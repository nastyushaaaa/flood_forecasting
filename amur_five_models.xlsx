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drawings/charts/chart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3d1e0af7ed48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92dd22de0ec841ed"/>
    <x:sheet xmlns:r="http://schemas.openxmlformats.org/officeDocument/2006/relationships" name="Полином 2" sheetId="2" r:id="Red7ce8713e164f05"/>
    <x:sheet xmlns:r="http://schemas.openxmlformats.org/officeDocument/2006/relationships" name="Полином 3" sheetId="3" r:id="Rcc0d8370a83245cd"/>
    <x:sheet xmlns:r="http://schemas.openxmlformats.org/officeDocument/2006/relationships" name="Степенная" sheetId="4" r:id="Rd0fb23e5cb4b4158"/>
    <x:sheet xmlns:r="http://schemas.openxmlformats.org/officeDocument/2006/relationships" name="Логарифмическая" sheetId="5" r:id="R79c141d883104c57"/>
    <x:sheet xmlns:r="http://schemas.openxmlformats.org/officeDocument/2006/relationships" name="Экспоненциальная" sheetId="6" r:id="R6b265de6d0cd4d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0"/>
    <x:numFmt numFmtId="201" formatCode="0"/>
    <x:numFmt numFmtId="202" formatCode="#,##0"/>
    <x:numFmt numFmtId="203" formatCode="0.000"/>
    <x:numFmt numFmtId="204" formatCode="yyyy-mm-dd"/>
    <x:numFmt numFmtId="205" formatCode="0.000000"/>
    <x:numFmt numFmtId="206" formatCode="0.0%"/>
    <x:numFmt numFmtId="207" formatCode="0.0000"/>
  </x:numFmts>
  <x:fonts count="2">
    <x:font>
      <x:sz val="11"/>
      <x:name val="Carlito"/>
    </x:font>
    <x:font>
      <x:sz val="11"/>
      <x:color rgb="FF000000"/>
      <x:name val="Calibri"/>
    </x:font>
  </x:fonts>
  <x:fills count="2">
    <x:fill>
      <x:patternFill patternType="none"/>
    </x:fill>
    <x:fill>
      <x:patternFill patternType="gray125"/>
    </x:fill>
  </x:fills>
  <x:borders count="2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4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203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horizontal="center" vertical="center" wrapText="1"/>
    </x:xf>
    <x:xf numFmtId="205" fontId="1" fillId="0" borderId="1" xfId="0" applyNumberFormat="1" applyFont="1" applyFill="1" applyBorder="1" applyAlignment="1">
      <x:alignment vertical="center"/>
    </x:xf>
    <x:xf numFmtId="206" fontId="1" fillId="0" borderId="1" xfId="0" applyNumberFormat="1" applyFont="1" applyFill="1" applyBorder="1" applyAlignment="1">
      <x:alignment vertical="center"/>
    </x:xf>
    <x:xf numFmtId="207" fontId="1" fillId="0" borderId="1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e531ab7c1d4476" /><Relationship Type="http://schemas.openxmlformats.org/officeDocument/2006/relationships/theme" Target="/xl/theme/theme1.xml" Id="Rc5a271c0f7fe4200" /><Relationship Type="http://schemas.openxmlformats.org/officeDocument/2006/relationships/sharedStrings" Target="/xl/sharedStrings.xml" Id="R301e3e312cfc44b7" /><Relationship Type="http://schemas.openxmlformats.org/officeDocument/2006/relationships/worksheet" Target="/xl/worksheets/sheet1.xml" Id="R92dd22de0ec841ed" /><Relationship Type="http://schemas.openxmlformats.org/officeDocument/2006/relationships/worksheet" Target="/xl/worksheets/sheet2.xml" Id="Red7ce8713e164f05" /><Relationship Type="http://schemas.openxmlformats.org/officeDocument/2006/relationships/worksheet" Target="/xl/worksheets/sheet3.xml" Id="Rcc0d8370a83245cd" /><Relationship Type="http://schemas.openxmlformats.org/officeDocument/2006/relationships/worksheet" Target="/xl/worksheets/sheet4.xml" Id="Rd0fb23e5cb4b4158" /><Relationship Type="http://schemas.openxmlformats.org/officeDocument/2006/relationships/worksheet" Target="/xl/worksheets/sheet5.xml" Id="R79c141d883104c57" /><Relationship Type="http://schemas.openxmlformats.org/officeDocument/2006/relationships/worksheet" Target="/xl/worksheets/sheet6.xml" Id="R6b265de6d0cd4d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8dfa213ff9400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5f82aad224e424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002b9543c1bc48ae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296dc9b510cf4c1b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c8c3ba5a8a4e4b26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0f66788c884045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00" b="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Посуточный прогноз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Полином 2</c:v>
          </c:tx>
          <c:spPr>
            <a:ln xmlns:a="http://schemas.openxmlformats.org/drawingml/2006/main" w="11430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'Сводка'!$A$18:$A$47</c:f>
              <c:strCache>
                <c:ptCount val="0"/>
              </c:strCache>
            </c:strRef>
          </c:cat>
          <c:val>
            <c:numRef>
              <c:f>'Сводка'!$B$18:$B$47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Полином 3</c:v>
          </c:tx>
          <c:spPr>
            <a:ln xmlns:a="http://schemas.openxmlformats.org/drawingml/2006/main" w="14288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strRef>
              <c:f>'Сводка'!$A$18:$A$47</c:f>
              <c:strCache>
                <c:ptCount val="0"/>
              </c:strCache>
            </c:strRef>
          </c:cat>
          <c:val>
            <c:numRef>
              <c:f>'Сводка'!$C$18:$C$47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Степенная</c:v>
          </c:tx>
          <c:spPr>
            <a:ln xmlns:a="http://schemas.openxmlformats.org/drawingml/2006/main" w="17145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'Сводка'!$A$18:$A$47</c:f>
              <c:strCache>
                <c:ptCount val="0"/>
              </c:strCache>
            </c:strRef>
          </c:cat>
          <c:val>
            <c:numRef>
              <c:f>'Сводка'!$D$18:$D$47</c:f>
              <c:numCache>
                <c:formatCode>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Логарифм.</c:v>
          </c:tx>
          <c:spPr>
            <a:ln xmlns:a="http://schemas.openxmlformats.org/drawingml/2006/main" w="11430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strRef>
              <c:f>'Сводка'!$A$18:$A$47</c:f>
              <c:strCache>
                <c:ptCount val="0"/>
              </c:strCache>
            </c:strRef>
          </c:cat>
          <c:val>
            <c:numRef>
              <c:f>'Сводка'!$E$18:$E$47</c:f>
              <c:numCache>
                <c:formatCode>0.00</c:formatCode>
                <c:ptCount val="0"/>
              </c:numCache>
            </c:numRef>
          </c:val>
          <c:smooth val="0"/>
        </c:ser>
        <c:ser>
          <c:idx val="4"/>
          <c:order val="4"/>
          <c:tx>
            <c:v>Экспонента</c:v>
          </c:tx>
          <c:spPr>
            <a:ln xmlns:a="http://schemas.openxmlformats.org/drawingml/2006/main" w="14288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'Сводка'!$A$18:$A$47</c:f>
              <c:strCache>
                <c:ptCount val="0"/>
              </c:strCache>
            </c:strRef>
          </c:cat>
          <c:val>
            <c:numRef>
              <c:f>'Сводка'!$F$18:$F$47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yyyy-mm-dd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auto val="1"/>
      </c:date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100" b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Уровень, см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100" b="0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00" b="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Полином 2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Прогноз, см</c:v>
          </c:tx>
          <c:spPr>
            <a:ln xmlns:a="http://schemas.openxmlformats.org/drawingml/2006/main" w="11430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'Полином 2'!$A$19:$A$48</c:f>
              <c:strCache>
                <c:ptCount val="0"/>
              </c:strCache>
            </c:strRef>
          </c:cat>
          <c:val>
            <c:numRef>
              <c:f>'Полином 2'!$D$19:$D$48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Нижняя 95%</c:v>
          </c:tx>
          <c:spPr>
            <a:ln xmlns:a="http://schemas.openxmlformats.org/drawingml/2006/main" w="14288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strRef>
              <c:f>'Полином 2'!$A$19:$A$48</c:f>
              <c:strCache>
                <c:ptCount val="0"/>
              </c:strCache>
            </c:strRef>
          </c:cat>
          <c:val>
            <c:numRef>
              <c:f>'Полином 2'!$F$19:$F$48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Верхняя 95%</c:v>
          </c:tx>
          <c:spPr>
            <a:ln xmlns:a="http://schemas.openxmlformats.org/drawingml/2006/main" w="17145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'Полином 2'!$A$19:$A$48</c:f>
              <c:strCache>
                <c:ptCount val="0"/>
              </c:strCache>
            </c:strRef>
          </c:cat>
          <c:val>
            <c:numRef>
              <c:f>'Полином 2'!$G$19:$G$48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yyyy-mm-dd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auto val="1"/>
      </c:date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100" b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Уровень, см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100" b="0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00" b="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Полином 3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Прогноз, см</c:v>
          </c:tx>
          <c:spPr>
            <a:ln xmlns:a="http://schemas.openxmlformats.org/drawingml/2006/main" w="11430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'Полином 3'!$A$19:$A$48</c:f>
              <c:strCache>
                <c:ptCount val="0"/>
              </c:strCache>
            </c:strRef>
          </c:cat>
          <c:val>
            <c:numRef>
              <c:f>'Полином 3'!$D$19:$D$48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Нижняя 95%</c:v>
          </c:tx>
          <c:spPr>
            <a:ln xmlns:a="http://schemas.openxmlformats.org/drawingml/2006/main" w="14288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strRef>
              <c:f>'Полином 3'!$A$19:$A$48</c:f>
              <c:strCache>
                <c:ptCount val="0"/>
              </c:strCache>
            </c:strRef>
          </c:cat>
          <c:val>
            <c:numRef>
              <c:f>'Полином 3'!$F$19:$F$48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Верхняя 95%</c:v>
          </c:tx>
          <c:spPr>
            <a:ln xmlns:a="http://schemas.openxmlformats.org/drawingml/2006/main" w="17145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'Полином 3'!$A$19:$A$48</c:f>
              <c:strCache>
                <c:ptCount val="0"/>
              </c:strCache>
            </c:strRef>
          </c:cat>
          <c:val>
            <c:numRef>
              <c:f>'Полином 3'!$G$19:$G$48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yyyy-mm-dd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auto val="1"/>
      </c:date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100" b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Уровень, см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100" b="0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00" b="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Степенная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Прогноз, см</c:v>
          </c:tx>
          <c:spPr>
            <a:ln xmlns:a="http://schemas.openxmlformats.org/drawingml/2006/main" w="11430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'Степенная'!$A$19:$A$48</c:f>
              <c:strCache>
                <c:ptCount val="0"/>
              </c:strCache>
            </c:strRef>
          </c:cat>
          <c:val>
            <c:numRef>
              <c:f>'Степенная'!$D$19:$D$48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Нижняя 95%</c:v>
          </c:tx>
          <c:spPr>
            <a:ln xmlns:a="http://schemas.openxmlformats.org/drawingml/2006/main" w="14288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strRef>
              <c:f>'Степенная'!$A$19:$A$48</c:f>
              <c:strCache>
                <c:ptCount val="0"/>
              </c:strCache>
            </c:strRef>
          </c:cat>
          <c:val>
            <c:numRef>
              <c:f>'Степенная'!$F$19:$F$48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Верхняя 95%</c:v>
          </c:tx>
          <c:spPr>
            <a:ln xmlns:a="http://schemas.openxmlformats.org/drawingml/2006/main" w="17145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'Степенная'!$A$19:$A$48</c:f>
              <c:strCache>
                <c:ptCount val="0"/>
              </c:strCache>
            </c:strRef>
          </c:cat>
          <c:val>
            <c:numRef>
              <c:f>'Степенная'!$G$19:$G$48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yyyy-mm-dd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auto val="1"/>
      </c:date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100" b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Уровень, см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100" b="0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00" b="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Логарифмическая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Прогноз, см</c:v>
          </c:tx>
          <c:spPr>
            <a:ln xmlns:a="http://schemas.openxmlformats.org/drawingml/2006/main" w="11430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'Логарифмическая'!$A$19:$A$48</c:f>
              <c:strCache>
                <c:ptCount val="0"/>
              </c:strCache>
            </c:strRef>
          </c:cat>
          <c:val>
            <c:numRef>
              <c:f>'Логарифмическая'!$D$19:$D$48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Нижняя 95%</c:v>
          </c:tx>
          <c:spPr>
            <a:ln xmlns:a="http://schemas.openxmlformats.org/drawingml/2006/main" w="14288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strRef>
              <c:f>'Логарифмическая'!$A$19:$A$48</c:f>
              <c:strCache>
                <c:ptCount val="0"/>
              </c:strCache>
            </c:strRef>
          </c:cat>
          <c:val>
            <c:numRef>
              <c:f>'Логарифмическая'!$F$19:$F$48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Верхняя 95%</c:v>
          </c:tx>
          <c:spPr>
            <a:ln xmlns:a="http://schemas.openxmlformats.org/drawingml/2006/main" w="17145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'Логарифмическая'!$A$19:$A$48</c:f>
              <c:strCache>
                <c:ptCount val="0"/>
              </c:strCache>
            </c:strRef>
          </c:cat>
          <c:val>
            <c:numRef>
              <c:f>'Логарифмическая'!$G$19:$G$48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yyyy-mm-dd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auto val="1"/>
      </c:date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100" b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Уровень, см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100" b="0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00" b="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Экспоненциальная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Прогноз, см</c:v>
          </c:tx>
          <c:spPr>
            <a:ln xmlns:a="http://schemas.openxmlformats.org/drawingml/2006/main" w="11430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'Экспоненциальная'!$A$19:$A$48</c:f>
              <c:strCache>
                <c:ptCount val="0"/>
              </c:strCache>
            </c:strRef>
          </c:cat>
          <c:val>
            <c:numRef>
              <c:f>'Экспоненциальная'!$D$19:$D$48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Нижняя 95%</c:v>
          </c:tx>
          <c:spPr>
            <a:ln xmlns:a="http://schemas.openxmlformats.org/drawingml/2006/main" w="14288">
              <a:solidFill>
                <a:srgbClr val="000000"/>
              </a:solidFill>
              <a:prstDash val="dash"/>
            </a:ln>
          </c:spPr>
          <c:marker>
            <c:symbol val="none"/>
          </c:marker>
          <c:cat>
            <c:strRef>
              <c:f>'Экспоненциальная'!$A$19:$A$48</c:f>
              <c:strCache>
                <c:ptCount val="0"/>
              </c:strCache>
            </c:strRef>
          </c:cat>
          <c:val>
            <c:numRef>
              <c:f>'Экспоненциальная'!$F$19:$F$48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Верхняя 95%</c:v>
          </c:tx>
          <c:spPr>
            <a:ln xmlns:a="http://schemas.openxmlformats.org/drawingml/2006/main" w="17145"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strRef>
              <c:f>'Экспоненциальная'!$A$19:$A$48</c:f>
              <c:strCache>
                <c:ptCount val="0"/>
              </c:strCache>
            </c:strRef>
          </c:cat>
          <c:val>
            <c:numRef>
              <c:f>'Экспоненциальная'!$G$19:$G$48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yyyy-mm-dd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auto val="1"/>
      </c:date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100" b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Уровень, см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100" b="0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11</xdr:row>
      <xdr:rowOff>0</xdr:rowOff>
    </xdr:from>
    <xdr:to>
      <xdr:col>15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8dfa213ff9400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0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f82aad224e424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0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2b9543c1bc48ae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9</xdr:col>
      <xdr:colOff>0</xdr:colOff>
      <xdr:row>0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6dc9b510cf4c1b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9</xdr:col>
      <xdr:colOff>0</xdr:colOff>
      <xdr:row>0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c3ba5a8a4e4b2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9</xdr:col>
      <xdr:colOff>0</xdr:colOff>
      <xdr:row>0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66788c884045f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a26ca2a33a45a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2a6ec7619d849f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b672b926b7a546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f8f33eabddfc46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e8285bf6d0c3469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6a39cd75f24040c9" /></Relationships>
</file>

<file path=xl/worksheets/sheet1.xml><?xml version="1.0" encoding="utf-8"?>
<x:worksheet xmlns:x="http://schemas.openxmlformats.org/spreadsheetml/2006/main">
  <x:sheetPr>
    <x:tabColor rgb="FFFFFFFF"/>
  </x:sheetPr>
  <x:sheetViews>
    <x:sheetView showGridLines="1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2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15" customHeight="1">
      <x:c r="A1" s="3" t="str">
        <x:v>Уровень воды — Хабаровск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 t="str">
        <x:v>amur_khabarovsk_clean_2002-2026.csv</x:v>
      </x:c>
      <x:c r="S1" s="3"/>
      <x:c r="T1" s="3"/>
    </x:row>
    <x:row r="2" ht="30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14" t="str">
        <x:v>Дата</x:v>
      </x:c>
      <x:c r="S2" s="14" t="str">
        <x:v>Уровень, см</x:v>
      </x:c>
      <x:c r="T2" s="14" t="str">
        <x:v>Флаг заполнения</x:v>
      </x:c>
    </x:row>
    <x:row r="3" ht="30" customHeight="1">
      <x:c r="A3" s="8" t="str">
        <x:v>Горизонт, дней</x:v>
      </x:c>
      <x:c r="B3" s="9" t="n">
        <x:v>30</x:v>
      </x:c>
      <x:c r="C3" s="3"/>
      <x:c r="D3" s="15" t="str">
        <x:v>Модель</x:v>
      </x:c>
      <x:c r="E3" s="15" t="str">
        <x:v>R² обучения</x:v>
      </x:c>
      <x:c r="F3" s="15" t="str">
        <x:v>MAE, см</x:v>
      </x:c>
      <x:c r="G3" s="15" t="str">
        <x:v>S (RMSE), см</x:v>
      </x:c>
      <x:c r="H3" s="15" t="str">
        <x:v>NSE</x:v>
      </x:c>
      <x:c r="I3" s="15" t="str">
        <x:v>S/σΔ</x:v>
      </x:c>
      <x:c r="J3" s="15" t="str">
        <x:v>P%</x:v>
      </x:c>
      <x:c r="K3" s="15" t="str">
        <x:v>σΔ, см</x:v>
      </x:c>
      <x:c r="L3" s="3"/>
      <x:c r="M3" s="3"/>
      <x:c r="N3" s="3"/>
      <x:c r="O3" s="3"/>
      <x:c r="P3" s="3"/>
      <x:c r="Q3" s="3"/>
      <x:c r="R3" s="7" t="n">
        <x:v>45841</x:v>
      </x:c>
      <x:c r="S3" s="3" t="n">
        <x:v>213</x:v>
      </x:c>
      <x:c r="T3" s="4" t="n">
        <x:v>0</x:v>
      </x:c>
    </x:row>
    <x:row r="4" ht="15" customHeight="1">
      <x:c r="A4" s="8" t="str">
        <x:v>Данные до</x:v>
      </x:c>
      <x:c r="B4" s="10" t="n">
        <x:v>46235</x:v>
      </x:c>
      <x:c r="C4" s="3"/>
      <x:c r="D4" s="8" t="str">
        <x:v>Полином 2</x:v>
      </x:c>
      <x:c r="E4" s="12" t="n">
        <x:f>'Полином 2'!G4</x:f>
        <x:v>0.1146946458711906</x:v>
      </x:c>
      <x:c r="F4" s="8" t="n">
        <x:f>'Полином 2'!G5</x:f>
        <x:v>125.5273019260045</x:v>
      </x:c>
      <x:c r="G4" s="8" t="n">
        <x:f>'Полином 2'!G6</x:f>
        <x:v>144.29205788164822</x:v>
      </x:c>
      <x:c r="H4" s="12" t="n">
        <x:f>'Полином 2'!G7</x:f>
        <x:v>-0.17751358464722733</x:v>
      </x:c>
      <x:c r="I4" s="12" t="n">
        <x:f>'Полином 2'!G8</x:f>
        <x:v>13.183781050430282</x:v>
      </x:c>
      <x:c r="J4" s="17" t="n">
        <x:f>'Полином 2'!G9</x:f>
        <x:v>0.02535211267605634</x:v>
      </x:c>
      <x:c r="K4" s="8" t="n">
        <x:f>'Полином 2'!G10</x:f>
        <x:v>10.944664306067107</x:v>
      </x:c>
      <x:c r="L4" s="3"/>
      <x:c r="M4" s="3"/>
      <x:c r="N4" s="3"/>
      <x:c r="O4" s="3"/>
      <x:c r="P4" s="3"/>
      <x:c r="Q4" s="3"/>
      <x:c r="R4" s="7" t="n">
        <x:v>45842</x:v>
      </x:c>
      <x:c r="S4" s="3" t="n">
        <x:v>201</x:v>
      </x:c>
      <x:c r="T4" s="4" t="n">
        <x:v>0</x:v>
      </x:c>
    </x:row>
    <x:row r="5" ht="15" customHeight="1">
      <x:c r="A5" s="8" t="str">
        <x:v>Прогноз с</x:v>
      </x:c>
      <x:c r="B5" s="10" t="n">
        <x:f>B4+1</x:f>
        <x:v>46236</x:v>
      </x:c>
      <x:c r="C5" s="3"/>
      <x:c r="D5" s="8" t="str">
        <x:v>Полином 3</x:v>
      </x:c>
      <x:c r="E5" s="12" t="n">
        <x:f>'Полином 3'!G4</x:f>
        <x:v>0.11597430316903024</x:v>
      </x:c>
      <x:c r="F5" s="8" t="n">
        <x:f>'Полином 3'!G5</x:f>
        <x:v>124.77362169429004</x:v>
      </x:c>
      <x:c r="G5" s="8" t="n">
        <x:f>'Полином 3'!G6</x:f>
        <x:v>142.71079030307058</x:v>
      </x:c>
      <x:c r="H5" s="12" t="n">
        <x:f>'Полином 3'!G7</x:f>
        <x:v>-0.15184673038600938</x:v>
      </x:c>
      <x:c r="I5" s="12" t="n">
        <x:f>'Полином 3'!G8</x:f>
        <x:v>13.039302651243467</x:v>
      </x:c>
      <x:c r="J5" s="17" t="n">
        <x:f>'Полином 3'!G9</x:f>
        <x:v>0.022535211267605635</x:v>
      </x:c>
      <x:c r="K5" s="8" t="n">
        <x:f>'Полином 3'!G10</x:f>
        <x:v>10.944664306067107</x:v>
      </x:c>
      <x:c r="L5" s="3"/>
      <x:c r="M5" s="3"/>
      <x:c r="N5" s="3"/>
      <x:c r="O5" s="3"/>
      <x:c r="P5" s="3"/>
      <x:c r="Q5" s="3"/>
      <x:c r="R5" s="7" t="n">
        <x:v>45843</x:v>
      </x:c>
      <x:c r="S5" s="3" t="n">
        <x:v>190</x:v>
      </x:c>
      <x:c r="T5" s="4" t="n">
        <x:v>0</x:v>
      </x:c>
    </x:row>
    <x:row r="6" ht="15" customHeight="1">
      <x:c r="A6" s="8" t="str">
        <x:v>n обучения</x:v>
      </x:c>
      <x:c r="B6" s="11" t="n">
        <x:v>8595</x:v>
      </x:c>
      <x:c r="C6" s="3"/>
      <x:c r="D6" s="8" t="str">
        <x:v>Степенная</x:v>
      </x:c>
      <x:c r="E6" s="12" t="n">
        <x:f>'Степенная'!G4</x:f>
        <x:v>0.09478062322935665</x:v>
      </x:c>
      <x:c r="F6" s="8" t="n">
        <x:f>'Степенная'!G5</x:f>
        <x:v>134.3914137296108</x:v>
      </x:c>
      <x:c r="G6" s="8" t="n">
        <x:f>'Степенная'!G6</x:f>
        <x:v>156.75671790276067</x:v>
      </x:c>
      <x:c r="H6" s="12" t="n">
        <x:f>'Степенная'!G7</x:f>
        <x:v>-0.3897394799702085</x:v>
      </x:c>
      <x:c r="I6" s="12" t="n">
        <x:f>'Степенная'!G8</x:f>
        <x:v>14.322661117697649</x:v>
      </x:c>
      <x:c r="J6" s="17" t="n">
        <x:f>'Степенная'!G9</x:f>
        <x:v>0.030985915492957747</x:v>
      </x:c>
      <x:c r="K6" s="8" t="n">
        <x:f>'Степенная'!G10</x:f>
        <x:v>10.944664306067107</x:v>
      </x:c>
      <x:c r="L6" s="3"/>
      <x:c r="M6" s="3"/>
      <x:c r="N6" s="3"/>
      <x:c r="O6" s="3"/>
      <x:c r="P6" s="3"/>
      <x:c r="Q6" s="3"/>
      <x:c r="R6" s="7" t="n">
        <x:v>45844</x:v>
      </x:c>
      <x:c r="S6" s="3" t="n">
        <x:v>180</x:v>
      </x:c>
      <x:c r="T6" s="4" t="n">
        <x:v>0</x:v>
      </x:c>
    </x:row>
    <x:row r="7" ht="15" customHeight="1">
      <x:c r="A7" s="8" t="str">
        <x:v>Тест с</x:v>
      </x:c>
      <x:c r="B7" s="10" t="n">
        <x:v>45871</x:v>
      </x:c>
      <x:c r="C7" s="3"/>
      <x:c r="D7" s="8" t="str">
        <x:v>Логарифмическая</x:v>
      </x:c>
      <x:c r="E7" s="12" t="n">
        <x:f>'Логарифмическая'!G4</x:f>
        <x:v>0.10802857023635015</x:v>
      </x:c>
      <x:c r="F7" s="8" t="n">
        <x:f>'Логарифмическая'!G5</x:f>
        <x:v>123.96418321622428</x:v>
      </x:c>
      <x:c r="G7" s="8" t="n">
        <x:f>'Логарифмическая'!G6</x:f>
        <x:v>141.52696501894945</x:v>
      </x:c>
      <x:c r="H7" s="12" t="n">
        <x:f>'Логарифмическая'!G7</x:f>
        <x:v>-0.1328162194853595</x:v>
      </x:c>
      <x:c r="I7" s="12" t="n">
        <x:f>'Логарифмическая'!G8</x:f>
        <x:v>12.9311380469198</x:v>
      </x:c>
      <x:c r="J7" s="17" t="n">
        <x:f>'Логарифмическая'!G9</x:f>
        <x:v>0.03943661971830986</x:v>
      </x:c>
      <x:c r="K7" s="8" t="n">
        <x:f>'Логарифмическая'!G10</x:f>
        <x:v>10.944664306067107</x:v>
      </x:c>
      <x:c r="L7" s="3"/>
      <x:c r="M7" s="3"/>
      <x:c r="N7" s="3"/>
      <x:c r="O7" s="3"/>
      <x:c r="P7" s="3"/>
      <x:c r="Q7" s="3"/>
      <x:c r="R7" s="7" t="n">
        <x:v>45845</x:v>
      </x:c>
      <x:c r="S7" s="3" t="n">
        <x:v>170</x:v>
      </x:c>
      <x:c r="T7" s="4" t="n">
        <x:v>0</x:v>
      </x:c>
    </x:row>
    <x:row r="8" ht="15" customHeight="1">
      <x:c r="A8" s="8" t="str">
        <x:v>Тест по</x:v>
      </x:c>
      <x:c r="B8" s="10" t="n">
        <x:v>46235</x:v>
      </x:c>
      <x:c r="C8" s="3"/>
      <x:c r="D8" s="8" t="str">
        <x:v>Экспоненциальная</x:v>
      </x:c>
      <x:c r="E8" s="12" t="n">
        <x:f>'Экспоненциальная'!G4</x:f>
        <x:v>0.07381372877329362</x:v>
      </x:c>
      <x:c r="F8" s="8" t="n">
        <x:f>'Экспоненциальная'!G5</x:f>
        <x:v>140.5840416554198</x:v>
      </x:c>
      <x:c r="G8" s="8" t="n">
        <x:f>'Экспоненциальная'!G6</x:f>
        <x:v>166.0197083779421</x:v>
      </x:c>
      <x:c r="H8" s="12" t="n">
        <x:f>'Экспоненциальная'!G7</x:f>
        <x:v>-0.5588357772247179</x:v>
      </x:c>
      <x:c r="I8" s="12" t="n">
        <x:f>'Экспоненциальная'!G8</x:f>
        <x:v>15.169008727468242</x:v>
      </x:c>
      <x:c r="J8" s="17" t="n">
        <x:f>'Экспоненциальная'!G9</x:f>
        <x:v>0.036619718309859155</x:v>
      </x:c>
      <x:c r="K8" s="8" t="n">
        <x:f>'Экспоненциальная'!G10</x:f>
        <x:v>10.944664306067107</x:v>
      </x:c>
      <x:c r="L8" s="3"/>
      <x:c r="M8" s="3"/>
      <x:c r="N8" s="3"/>
      <x:c r="O8" s="3"/>
      <x:c r="P8" s="3"/>
      <x:c r="Q8" s="3"/>
      <x:c r="R8" s="7" t="n">
        <x:v>45846</x:v>
      </x:c>
      <x:c r="S8" s="3" t="n">
        <x:v>165</x:v>
      </x:c>
      <x:c r="T8" s="4" t="n">
        <x:v>0</x:v>
      </x:c>
    </x:row>
    <x:row r="9" ht="15" customHeight="1">
      <x:c r="A9" s="8" t="str">
        <x:v>Единица уровня</x:v>
      </x:c>
      <x:c r="B9" s="8" t="str">
        <x:v>см</x:v>
      </x:c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7" t="n">
        <x:v>45847</x:v>
      </x:c>
      <x:c r="S9" s="3" t="n">
        <x:v>164</x:v>
      </x:c>
      <x:c r="T9" s="4" t="n">
        <x:v>0</x:v>
      </x:c>
    </x:row>
    <x:row r="10" ht="15" customHeight="1">
      <x:c r="A10" s="8" t="str">
        <x:v>n проверки</x:v>
      </x:c>
      <x:c r="B10" s="9" t="n">
        <x:f>'Полином 2'!G11</x:f>
        <x:v>355</x:v>
      </x:c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7" t="n">
        <x:v>45848</x:v>
      </x:c>
      <x:c r="S10" s="3" t="n">
        <x:v>164</x:v>
      </x:c>
      <x:c r="T10" s="4" t="n">
        <x:v>0</x:v>
      </x:c>
    </x:row>
    <x:row r="11" ht="15" customHeight="1">
      <x:c r="A11" s="8" t="str">
        <x:v>Оценка, суток</x:v>
      </x:c>
      <x:c r="B11" s="9" t="n">
        <x:v>1</x:v>
      </x:c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7" t="n">
        <x:v>45849</x:v>
      </x:c>
      <x:c r="S11" s="3" t="n">
        <x:v>167</x:v>
      </x:c>
      <x:c r="T11" s="4" t="n">
        <x:v>0</x:v>
      </x:c>
    </x:row>
    <x:row r="12" ht="15" customHeight="1">
      <x:c r="A12" s="8" t="str">
        <x:v>S/σΔ: хорошо</x:v>
      </x:c>
      <x:c r="B12" s="8" t="n">
        <x:v>0.5</x:v>
      </x:c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7" t="n">
        <x:v>45850</x:v>
      </x:c>
      <x:c r="S12" s="3" t="n">
        <x:v>170</x:v>
      </x:c>
      <x:c r="T12" s="4" t="n">
        <x:v>0</x:v>
      </x:c>
    </x:row>
    <x:row r="13" ht="15" customHeight="1">
      <x:c r="A13" s="8" t="str">
        <x:v>S/σΔ: удовл.</x:v>
      </x:c>
      <x:c r="B13" s="8" t="n">
        <x:v>0.8</x:v>
      </x:c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7" t="n">
        <x:v>45851</x:v>
      </x:c>
      <x:c r="S13" s="3" t="n">
        <x:v>178</x:v>
      </x:c>
      <x:c r="T13" s="4" t="n">
        <x:v>0</x:v>
      </x:c>
    </x:row>
    <x:row r="14" ht="15" customHeight="1">
      <x:c r="A14" s="8" t="str">
        <x:v>Коэф. допуска</x:v>
      </x:c>
      <x:c r="B14" s="12" t="n">
        <x:v>0.674</x:v>
      </x:c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7" t="n">
        <x:v>45852</x:v>
      </x:c>
      <x:c r="S14" s="3" t="n">
        <x:v>185</x:v>
      </x:c>
      <x:c r="T14" s="4" t="n">
        <x:v>0</x:v>
      </x:c>
    </x:row>
    <x:row r="15" ht="1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7" t="n">
        <x:v>45853</x:v>
      </x:c>
      <x:c r="S15" s="3" t="n">
        <x:v>189</x:v>
      </x:c>
      <x:c r="T15" s="4" t="n">
        <x:v>0</x:v>
      </x:c>
    </x:row>
    <x:row r="16" ht="15" customHeight="1">
      <x:c r="A16" s="3" t="str">
        <x:v>Прогноз</x:v>
      </x:c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7" t="n">
        <x:v>45854</x:v>
      </x:c>
      <x:c r="S16" s="3" t="n">
        <x:v>192</x:v>
      </x:c>
      <x:c r="T16" s="4" t="n">
        <x:v>0</x:v>
      </x:c>
    </x:row>
    <x:row r="17" ht="30" customHeight="1">
      <x:c r="A17" s="15" t="str">
        <x:v>Дата</x:v>
      </x:c>
      <x:c r="B17" s="15" t="str">
        <x:v>Полином 2</x:v>
      </x:c>
      <x:c r="C17" s="15" t="str">
        <x:v>Полином 3</x:v>
      </x:c>
      <x:c r="D17" s="15" t="str">
        <x:v>Степенная</x:v>
      </x:c>
      <x:c r="E17" s="15" t="str">
        <x:v>Логарифм.</x:v>
      </x:c>
      <x:c r="F17" s="15" t="str">
        <x:v>Экспонента</x:v>
      </x:c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7" t="n">
        <x:v>45855</x:v>
      </x:c>
      <x:c r="S17" s="3" t="n">
        <x:v>199</x:v>
      </x:c>
      <x:c r="T17" s="4" t="n">
        <x:v>0</x:v>
      </x:c>
    </x:row>
    <x:row r="18" ht="15" customHeight="1">
      <x:c r="A18" s="10" t="n">
        <x:f>IF(1&lt;=$B$3,$B$4+1,"")</x:f>
        <x:v>46236</x:v>
      </x:c>
      <x:c r="B18" s="8" t="n">
        <x:f>IF($A18="","",'Полином 2'!D19)</x:f>
        <x:v>118.64781197381203</x:v>
      </x:c>
      <x:c r="C18" s="8" t="n">
        <x:f>IF($A18="","",'Полином 3'!D19)</x:f>
        <x:v>102.64185115340841</x:v>
      </x:c>
      <x:c r="D18" s="8" t="n">
        <x:f>IF($A18="","",'Степенная'!D19)</x:f>
        <x:v>153.25655513229324</x:v>
      </x:c>
      <x:c r="E18" s="8" t="n">
        <x:f>IF($A18="","",'Логарифмическая'!D19)</x:f>
        <x:v>125.39134855308063</x:v>
      </x:c>
      <x:c r="F18" s="8" t="n">
        <x:f>IF($A18="","",'Экспоненциальная'!D19)</x:f>
        <x:v>166.1936879182149</x:v>
      </x:c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7" t="n">
        <x:v>45856</x:v>
      </x:c>
      <x:c r="S18" s="3" t="n">
        <x:v>202</x:v>
      </x:c>
      <x:c r="T18" s="4" t="n">
        <x:v>0</x:v>
      </x:c>
    </x:row>
    <x:row r="19" ht="15" customHeight="1">
      <x:c r="A19" s="10" t="n">
        <x:f>IF(2&lt;=$B$3,$B$4+2,"")</x:f>
        <x:v>46237</x:v>
      </x:c>
      <x:c r="B19" s="8" t="n">
        <x:f>IF($A19="","",'Полином 2'!D20)</x:f>
        <x:v>118.63869525453764</x:v>
      </x:c>
      <x:c r="C19" s="8" t="n">
        <x:f>IF($A19="","",'Полином 3'!D20)</x:f>
        <x:v>102.61109317174646</x:v>
      </x:c>
      <x:c r="D19" s="8" t="n">
        <x:f>IF($A19="","",'Степенная'!D20)</x:f>
        <x:v>153.27427488123138</x:v>
      </x:c>
      <x:c r="E19" s="8" t="n">
        <x:f>IF($A19="","",'Логарифмическая'!D20)</x:f>
        <x:v>125.39766782617389</x:v>
      </x:c>
      <x:c r="F19" s="8" t="n">
        <x:f>IF($A19="","",'Экспоненциальная'!D20)</x:f>
        <x:v>166.22940626288622</x:v>
      </x:c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7" t="n">
        <x:v>45857</x:v>
      </x:c>
      <x:c r="S19" s="3" t="n">
        <x:v>227</x:v>
      </x:c>
      <x:c r="T19" s="4" t="n">
        <x:v>0</x:v>
      </x:c>
    </x:row>
    <x:row r="20" ht="15" customHeight="1">
      <x:c r="A20" s="10" t="n">
        <x:f>IF(3&lt;=$B$3,$B$4+3,"")</x:f>
        <x:v>46238</x:v>
      </x:c>
      <x:c r="B20" s="8" t="n">
        <x:f>IF($A20="","",'Полином 2'!D21)</x:f>
        <x:v>118.62957178421792</x:v>
      </x:c>
      <x:c r="C20" s="8" t="n">
        <x:f>IF($A20="","",'Полином 3'!D21)</x:f>
        <x:v>102.58031637990402</x:v>
      </x:c>
      <x:c r="D20" s="8" t="n">
        <x:f>IF($A20="","",'Степенная'!D21)</x:f>
        <x:v>153.2919947056944</x:v>
      </x:c>
      <x:c r="E20" s="8" t="n">
        <x:f>IF($A20="","",'Логарифмическая'!D21)</x:f>
        <x:v>125.40398639567941</x:v>
      </x:c>
      <x:c r="F20" s="8" t="n">
        <x:f>IF($A20="","",'Экспоненциальная'!D21)</x:f>
        <x:v>166.2651322841436</x:v>
      </x:c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7" t="n">
        <x:v>45858</x:v>
      </x:c>
      <x:c r="S20" s="3" t="n">
        <x:v>236</x:v>
      </x:c>
      <x:c r="T20" s="4" t="n">
        <x:v>0</x:v>
      </x:c>
    </x:row>
    <x:row r="21" ht="15" customHeight="1">
      <x:c r="A21" s="10" t="n">
        <x:f>IF(4&lt;=$B$3,$B$4+4,"")</x:f>
        <x:v>46239</x:v>
      </x:c>
      <x:c r="B21" s="8" t="n">
        <x:f>IF($A21="","",'Полином 2'!D22)</x:f>
        <x:v>118.62044156285278</x:v>
      </x:c>
      <x:c r="C21" s="8" t="n">
        <x:f>IF($A21="","",'Полином 3'!D22)</x:f>
        <x:v>102.5495207751963</x:v>
      </x:c>
      <x:c r="D21" s="8" t="n">
        <x:f>IF($A21="","",'Степенная'!D22)</x:f>
        <x:v>153.3097146056743</x:v>
      </x:c>
      <x:c r="E21" s="8" t="n">
        <x:f>IF($A21="","",'Логарифмическая'!D22)</x:f>
        <x:v>125.41030426175391</x:v>
      </x:c>
      <x:c r="F21" s="8" t="n">
        <x:f>IF($A21="","",'Экспоненциальная'!D22)</x:f>
        <x:v>166.30086598363695</x:v>
      </x:c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7" t="n">
        <x:v>45859</x:v>
      </x:c>
      <x:c r="S21" s="3" t="n">
        <x:v>233</x:v>
      </x:c>
      <x:c r="T21" s="4" t="n">
        <x:v>0</x:v>
      </x:c>
    </x:row>
    <x:row r="22" ht="15" customHeight="1">
      <x:c r="A22" s="10" t="n">
        <x:f>IF(5&lt;=$B$3,$B$4+5,"")</x:f>
        <x:v>46240</x:v>
      </x:c>
      <x:c r="B22" s="8" t="n">
        <x:f>IF($A22="","",'Полином 2'!D23)</x:f>
        <x:v>118.61130459044226</x:v>
      </x:c>
      <x:c r="C22" s="8" t="n">
        <x:f>IF($A22="","",'Полином 3'!D23)</x:f>
        <x:v>102.51870635493843</x:v>
      </x:c>
      <x:c r="D22" s="8" t="n">
        <x:f>IF($A22="","",'Степенная'!D23)</x:f>
        <x:v>153.3274345811629</x:v>
      </x:c>
      <x:c r="E22" s="8" t="n">
        <x:f>IF($A22="","",'Логарифмическая'!D23)</x:f>
        <x:v>125.41662142455391</x:v>
      </x:c>
      <x:c r="F22" s="8" t="n">
        <x:f>IF($A22="","",'Экспоненциальная'!D23)</x:f>
        <x:v>166.33660736301633</x:v>
      </x:c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7" t="n">
        <x:v>45860</x:v>
      </x:c>
      <x:c r="S22" s="3" t="n">
        <x:v>223</x:v>
      </x:c>
      <x:c r="T22" s="4" t="n">
        <x:v>0</x:v>
      </x:c>
    </x:row>
    <x:row r="23" ht="15" customHeight="1">
      <x:c r="A23" s="10" t="n">
        <x:f>IF(6&lt;=$B$3,$B$4+6,"")</x:f>
        <x:v>46241</x:v>
      </x:c>
      <x:c r="B23" s="8" t="n">
        <x:f>IF($A23="","",'Полином 2'!D24)</x:f>
        <x:v>118.60216086698634</x:v>
      </x:c>
      <x:c r="C23" s="8" t="n">
        <x:f>IF($A23="","",'Полином 3'!D24)</x:f>
        <x:v>102.48787311644556</x:v>
      </x:c>
      <x:c r="D23" s="8" t="n">
        <x:f>IF($A23="","",'Степенная'!D24)</x:f>
        <x:v>153.34515463215212</x:v>
      </x:c>
      <x:c r="E23" s="8" t="n">
        <x:f>IF($A23="","",'Логарифмическая'!D24)</x:f>
        <x:v>125.42293788423605</x:v>
      </x:c>
      <x:c r="F23" s="8" t="n">
        <x:f>IF($A23="","",'Экспоненциальная'!D24)</x:f>
        <x:v>166.3723564239324</x:v>
      </x:c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7" t="n">
        <x:v>45861</x:v>
      </x:c>
      <x:c r="S23" s="3" t="n">
        <x:v>205</x:v>
      </x:c>
      <x:c r="T23" s="4" t="n">
        <x:v>0</x:v>
      </x:c>
    </x:row>
    <x:row r="24" ht="15" customHeight="1">
      <x:c r="A24" s="10" t="n">
        <x:f>IF(7&lt;=$B$3,$B$4+7,"")</x:f>
        <x:v>46242</x:v>
      </x:c>
      <x:c r="B24" s="8" t="n">
        <x:f>IF($A24="","",'Полином 2'!D25)</x:f>
        <x:v>118.59301039248511</x:v>
      </x:c>
      <x:c r="C24" s="8" t="n">
        <x:f>IF($A24="","",'Полином 3'!D25)</x:f>
        <x:v>102.4570210570329</x:v>
      </x:c>
      <x:c r="D24" s="8" t="n">
        <x:f>IF($A24="","",'Степенная'!D25)</x:f>
        <x:v>153.36287475863395</x:v>
      </x:c>
      <x:c r="E24" s="8" t="n">
        <x:f>IF($A24="","",'Логарифмическая'!D25)</x:f>
        <x:v>125.42925364095674</x:v>
      </x:c>
      <x:c r="F24" s="8" t="n">
        <x:f>IF($A24="","",'Экспоненциальная'!D25)</x:f>
        <x:v>166.40811316803607</x:v>
      </x:c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7" t="n">
        <x:v>45862</x:v>
      </x:c>
      <x:c r="S24" s="3" t="n">
        <x:v>193</x:v>
      </x:c>
      <x:c r="T24" s="4" t="n">
        <x:v>0</x:v>
      </x:c>
    </x:row>
    <x:row r="25" ht="15" customHeight="1">
      <x:c r="A25" s="10" t="n">
        <x:f>IF(8&lt;=$B$3,$B$4+8,"")</x:f>
        <x:v>46243</x:v>
      </x:c>
      <x:c r="B25" s="8" t="n">
        <x:f>IF($A25="","",'Полином 2'!D26)</x:f>
        <x:v>118.58385316693844</x:v>
      </x:c>
      <x:c r="C25" s="8" t="n">
        <x:f>IF($A25="","",'Полином 3'!D26)</x:f>
        <x:v>102.4261501740155</x:v>
      </x:c>
      <x:c r="D25" s="8" t="n">
        <x:f>IF($A25="","",'Степенная'!D26)</x:f>
        <x:v>153.38059496060023</x:v>
      </x:c>
      <x:c r="E25" s="8" t="n">
        <x:f>IF($A25="","",'Логарифмическая'!D26)</x:f>
        <x:v>125.43556869487252</x:v>
      </x:c>
      <x:c r="F25" s="8" t="n">
        <x:f>IF($A25="","",'Экспоненциальная'!D26)</x:f>
        <x:v>166.44387759697858</x:v>
      </x:c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7" t="n">
        <x:v>45863</x:v>
      </x:c>
      <x:c r="S25" s="3" t="n">
        <x:v>179</x:v>
      </x:c>
      <x:c r="T25" s="4" t="n">
        <x:v>0</x:v>
      </x:c>
    </x:row>
    <x:row r="26" ht="15" customHeight="1">
      <x:c r="A26" s="10" t="n">
        <x:f>IF(9&lt;=$B$3,$B$4+9,"")</x:f>
        <x:v>46244</x:v>
      </x:c>
      <x:c r="B26" s="8" t="n">
        <x:f>IF($A26="","",'Полином 2'!D27)</x:f>
        <x:v>118.57468919034639</x:v>
      </x:c>
      <x:c r="C26" s="8" t="n">
        <x:f>IF($A26="","",'Полином 3'!D27)</x:f>
        <x:v>102.3952604647086</x:v>
      </x:c>
      <x:c r="D26" s="8" t="n">
        <x:f>IF($A26="","",'Степенная'!D27)</x:f>
        <x:v>153.39831523804298</x:v>
      </x:c>
      <x:c r="E26" s="8" t="n">
        <x:f>IF($A26="","",'Логарифмическая'!D27)</x:f>
        <x:v>125.44188304613971</x:v>
      </x:c>
      <x:c r="F26" s="8" t="n">
        <x:f>IF($A26="","",'Экспоненциальная'!D27)</x:f>
        <x:v>166.47964971241157</x:v>
      </x:c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7" t="n">
        <x:v>45864</x:v>
      </x:c>
      <x:c r="S26" s="3" t="n">
        <x:v>172</x:v>
      </x:c>
      <x:c r="T26" s="4" t="n">
        <x:v>0</x:v>
      </x:c>
    </x:row>
    <x:row r="27" ht="15" customHeight="1">
      <x:c r="A27" s="10" t="n">
        <x:f>IF(10&lt;=$B$3,$B$4+10,"")</x:f>
        <x:v>46245</x:v>
      </x:c>
      <x:c r="B27" s="8" t="n">
        <x:f>IF($A27="","",'Полином 2'!D28)</x:f>
        <x:v>118.56551846270902</x:v>
      </x:c>
      <x:c r="C27" s="8" t="n">
        <x:f>IF($A27="","",'Полином 3'!D28)</x:f>
        <x:v>102.36435192642733</x:v>
      </x:c>
      <x:c r="D27" s="8" t="n">
        <x:f>IF($A27="","",'Степенная'!D28)</x:f>
        <x:v>153.41603559095407</x:v>
      </x:c>
      <x:c r="E27" s="8" t="n">
        <x:f>IF($A27="","",'Логарифмическая'!D28)</x:f>
        <x:v>125.4481966949147</x:v>
      </x:c>
      <x:c r="F27" s="8" t="n">
        <x:f>IF($A27="","",'Экспоненциальная'!D28)</x:f>
        <x:v>166.515429515987</x:v>
      </x:c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7" t="n">
        <x:v>45865</x:v>
      </x:c>
      <x:c r="S27" s="3" t="n">
        <x:v>168</x:v>
      </x:c>
      <x:c r="T27" s="4" t="n">
        <x:v>0</x:v>
      </x:c>
    </x:row>
    <x:row r="28" ht="15" customHeight="1">
      <x:c r="A28" s="10" t="n">
        <x:f>IF(11&lt;=$B$3,$B$4+11,"")</x:f>
        <x:v>46246</x:v>
      </x:c>
      <x:c r="B28" s="8" t="n">
        <x:f>IF($A28="","",'Полином 2'!D29)</x:f>
        <x:v>118.5563409840262</x:v>
      </x:c>
      <x:c r="C28" s="8" t="n">
        <x:f>IF($A28="","",'Полином 3'!D29)</x:f>
        <x:v>102.33342455648682</x:v>
      </x:c>
      <x:c r="D28" s="8" t="n">
        <x:f>IF($A28="","",'Степенная'!D29)</x:f>
        <x:v>153.4337560193254</x:v>
      </x:c>
      <x:c r="E28" s="8" t="n">
        <x:f>IF($A28="","",'Логарифмическая'!D29)</x:f>
        <x:v>125.45450964135375</x:v>
      </x:c>
      <x:c r="F28" s="8" t="n">
        <x:f>IF($A28="","",'Экспоненциальная'!D29)</x:f>
        <x:v>166.55121700935726</x:v>
      </x:c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7" t="n">
        <x:v>45866</x:v>
      </x:c>
      <x:c r="S28" s="3" t="n">
        <x:v>166</x:v>
      </x:c>
      <x:c r="T28" s="4" t="n">
        <x:v>0</x:v>
      </x:c>
    </x:row>
    <x:row r="29" ht="15" customHeight="1">
      <x:c r="A29" s="10" t="n">
        <x:f>IF(12&lt;=$B$3,$B$4+12,"")</x:f>
        <x:v>46247</x:v>
      </x:c>
      <x:c r="B29" s="8" t="n">
        <x:f>IF($A29="","",'Полином 2'!D30)</x:f>
        <x:v>118.54715675429804</x:v>
      </x:c>
      <x:c r="C29" s="8" t="n">
        <x:f>IF($A29="","",'Полином 3'!D30)</x:f>
        <x:v>102.30247835220224</x:v>
      </x:c>
      <x:c r="D29" s="8" t="n">
        <x:f>IF($A29="","",'Степенная'!D30)</x:f>
        <x:v>153.45147652314887</x:v>
      </x:c>
      <x:c r="E29" s="8" t="n">
        <x:f>IF($A29="","",'Логарифмическая'!D30)</x:f>
        <x:v>125.46082188561311</x:v>
      </x:c>
      <x:c r="F29" s="8" t="n">
        <x:f>IF($A29="","",'Экспоненциальная'!D30)</x:f>
        <x:v>166.58701219417495</x:v>
      </x:c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7" t="n">
        <x:v>45867</x:v>
      </x:c>
      <x:c r="S29" s="3" t="n">
        <x:v>167</x:v>
      </x:c>
      <x:c r="T29" s="4" t="n">
        <x:v>0</x:v>
      </x:c>
    </x:row>
    <x:row r="30" ht="15" customHeight="1">
      <x:c r="A30" s="10" t="n">
        <x:f>IF(13&lt;=$B$3,$B$4+13,"")</x:f>
        <x:v>46248</x:v>
      </x:c>
      <x:c r="B30" s="8" t="n">
        <x:f>IF($A30="","",'Полином 2'!D31)</x:f>
        <x:v>118.53796577352452</x:v>
      </x:c>
      <x:c r="C30" s="8" t="n">
        <x:f>IF($A30="","",'Полином 3'!D31)</x:f>
        <x:v>102.27151331088871</x:v>
      </x:c>
      <x:c r="D30" s="8" t="n">
        <x:f>IF($A30="","",'Степенная'!D31)</x:f>
        <x:v>153.46919710241653</x:v>
      </x:c>
      <x:c r="E30" s="8" t="n">
        <x:f>IF($A30="","",'Логарифмическая'!D31)</x:f>
        <x:v>125.467133427849</x:v>
      </x:c>
      <x:c r="F30" s="8" t="n">
        <x:f>IF($A30="","",'Экспоненциальная'!D31)</x:f>
        <x:v>166.6228150720933</x:v>
      </x:c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7" t="n">
        <x:v>45868</x:v>
      </x:c>
      <x:c r="S30" s="3" t="n">
        <x:v>175</x:v>
      </x:c>
      <x:c r="T30" s="4" t="n">
        <x:v>0</x:v>
      </x:c>
    </x:row>
    <x:row r="31" ht="15" customHeight="1">
      <x:c r="A31" s="10" t="n">
        <x:f>IF(14&lt;=$B$3,$B$4+14,"")</x:f>
        <x:v>46249</x:v>
      </x:c>
      <x:c r="B31" s="8" t="n">
        <x:f>IF($A31="","",'Полином 2'!D32)</x:f>
        <x:v>118.52876804170556</x:v>
      </x:c>
      <x:c r="C31" s="8" t="n">
        <x:f>IF($A31="","",'Полином 3'!D32)</x:f>
        <x:v>102.24052942986137</x:v>
      </x:c>
      <x:c r="D31" s="8" t="n">
        <x:f>IF($A31="","",'Степенная'!D32)</x:f>
        <x:v>153.4869177571202</x:v>
      </x:c>
      <x:c r="E31" s="8" t="n">
        <x:f>IF($A31="","",'Логарифмическая'!D32)</x:f>
        <x:v>125.47344426821749</x:v>
      </x:c>
      <x:c r="F31" s="8" t="n">
        <x:f>IF($A31="","",'Экспоненциальная'!D32)</x:f>
        <x:v>166.65862564476544</x:v>
      </x:c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7" t="n">
        <x:v>45869</x:v>
      </x:c>
      <x:c r="S31" s="3" t="n">
        <x:v>183</x:v>
      </x:c>
      <x:c r="T31" s="4" t="n">
        <x:v>0</x:v>
      </x:c>
    </x:row>
    <x:row r="32" ht="15" customHeight="1">
      <x:c r="A32" s="10" t="n">
        <x:f>IF(15&lt;=$B$3,$B$4+15,"")</x:f>
        <x:v>46250</x:v>
      </x:c>
      <x:c r="B32" s="8" t="n">
        <x:f>IF($A32="","",'Полином 2'!D33)</x:f>
        <x:v>118.51956355884124</x:v>
      </x:c>
      <x:c r="C32" s="8" t="n">
        <x:f>IF($A32="","",'Полином 3'!D33)</x:f>
        <x:v>102.2095267064355</x:v>
      </x:c>
      <x:c r="D32" s="8" t="n">
        <x:f>IF($A32="","",'Степенная'!D33)</x:f>
        <x:v>153.5046384872519</x:v>
      </x:c>
      <x:c r="E32" s="8" t="n">
        <x:f>IF($A32="","",'Логарифмическая'!D33)</x:f>
        <x:v>125.47975440687475</x:v>
      </x:c>
      <x:c r="F32" s="8" t="n">
        <x:f>IF($A32="","",'Экспоненциальная'!D33)</x:f>
        <x:v>166.6944439138453</x:v>
      </x:c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7" t="n">
        <x:v>45870</x:v>
      </x:c>
      <x:c r="S32" s="3" t="n">
        <x:v>193</x:v>
      </x:c>
      <x:c r="T32" s="4" t="n">
        <x:v>0</x:v>
      </x:c>
    </x:row>
    <x:row r="33" ht="15" customHeight="1">
      <x:c r="A33" s="10" t="n">
        <x:f>IF(16&lt;=$B$3,$B$4+16,"")</x:f>
        <x:v>46251</x:v>
      </x:c>
      <x:c r="B33" s="8" t="n">
        <x:f>IF($A33="","",'Полином 2'!D34)</x:f>
        <x:v>118.51035232493155</x:v>
      </x:c>
      <x:c r="C33" s="8" t="n">
        <x:f>IF($A33="","",'Полином 3'!D34)</x:f>
        <x:v>102.17850513792608</x:v>
      </x:c>
      <x:c r="D33" s="8" t="n">
        <x:f>IF($A33="","",'Степенная'!D34)</x:f>
        <x:v>153.52235929280346</x:v>
      </x:c>
      <x:c r="E33" s="8" t="n">
        <x:f>IF($A33="","",'Логарифмическая'!D34)</x:f>
        <x:v>125.48606384397672</x:v>
      </x:c>
      <x:c r="F33" s="8" t="n">
        <x:f>IF($A33="","",'Экспоненциальная'!D34)</x:f>
        <x:v>166.73026988098698</x:v>
      </x:c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7" t="n">
        <x:v>45871</x:v>
      </x:c>
      <x:c r="S33" s="3" t="n">
        <x:v>211</x:v>
      </x:c>
      <x:c r="T33" s="4" t="n">
        <x:v>0</x:v>
      </x:c>
    </x:row>
    <x:row r="34" ht="15" customHeight="1">
      <x:c r="A34" s="10" t="n">
        <x:f>IF(17&lt;=$B$3,$B$4+17,"")</x:f>
        <x:v>46252</x:v>
      </x:c>
      <x:c r="B34" s="8" t="n">
        <x:f>IF($A34="","",'Полином 2'!D35)</x:f>
        <x:v>118.50113433997649</x:v>
      </x:c>
      <x:c r="C34" s="8" t="n">
        <x:f>IF($A34="","",'Полином 3'!D35)</x:f>
        <x:v>102.14746472164835</x:v>
      </x:c>
      <x:c r="D34" s="8" t="n">
        <x:f>IF($A34="","",'Степенная'!D35)</x:f>
        <x:v>153.5400801737669</x:v>
      </x:c>
      <x:c r="E34" s="8" t="n">
        <x:f>IF($A34="","",'Логарифмическая'!D35)</x:f>
        <x:v>125.49237257967944</x:v>
      </x:c>
      <x:c r="F34" s="8" t="n">
        <x:f>IF($A34="","",'Экспоненциальная'!D35)</x:f>
        <x:v>166.766103547845</x:v>
      </x:c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7" t="n">
        <x:v>45872</x:v>
      </x:c>
      <x:c r="S34" s="3" t="n">
        <x:v>229</x:v>
      </x:c>
      <x:c r="T34" s="4" t="n">
        <x:v>0</x:v>
      </x:c>
    </x:row>
    <x:row r="35" ht="15" customHeight="1">
      <x:c r="A35" s="10" t="n">
        <x:f>IF(18&lt;=$B$3,$B$4+18,"")</x:f>
        <x:v>46253</x:v>
      </x:c>
      <x:c r="B35" s="8" t="n">
        <x:f>IF($A35="","",'Полином 2'!D36)</x:f>
        <x:v>118.49190960397601</x:v>
      </x:c>
      <x:c r="C35" s="8" t="n">
        <x:f>IF($A35="","",'Полином 3'!D36)</x:f>
        <x:v>102.11640545491751</x:v>
      </x:c>
      <x:c r="D35" s="8" t="n">
        <x:f>IF($A35="","",'Степенная'!D36)</x:f>
        <x:v>153.55780113013412</x:v>
      </x:c>
      <x:c r="E35" s="8" t="n">
        <x:f>IF($A35="","",'Логарифмическая'!D36)</x:f>
        <x:v>125.49868061413882</x:v>
      </x:c>
      <x:c r="F35" s="8" t="n">
        <x:f>IF($A35="","",'Экспоненциальная'!D36)</x:f>
        <x:v>166.801944916074</x:v>
      </x:c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7" t="n">
        <x:v>45873</x:v>
      </x:c>
      <x:c r="S35" s="3" t="n">
        <x:v>243</x:v>
      </x:c>
      <x:c r="T35" s="4" t="n">
        <x:v>0</x:v>
      </x:c>
    </x:row>
    <x:row r="36" ht="15" customHeight="1">
      <x:c r="A36" s="10" t="n">
        <x:f>IF(19&lt;=$B$3,$B$4+19,"")</x:f>
        <x:v>46254</x:v>
      </x:c>
      <x:c r="B36" s="8" t="n">
        <x:f>IF($A36="","",'Полином 2'!D37)</x:f>
        <x:v>118.48267811693019</x:v>
      </x:c>
      <x:c r="C36" s="8" t="n">
        <x:f>IF($A36="","",'Полином 3'!D37)</x:f>
        <x:v>102.0853273350486</x:v>
      </x:c>
      <x:c r="D36" s="8" t="n">
        <x:f>IF($A36="","",'Степенная'!D37)</x:f>
        <x:v>153.5755221618971</x:v>
      </x:c>
      <x:c r="E36" s="8" t="n">
        <x:f>IF($A36="","",'Логарифмическая'!D37)</x:f>
        <x:v>125.50498794751074</x:v>
      </x:c>
      <x:c r="F36" s="8" t="n">
        <x:f>IF($A36="","",'Экспоненциальная'!D37)</x:f>
        <x:v>166.8377939873293</x:v>
      </x:c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7" t="n">
        <x:v>45874</x:v>
      </x:c>
      <x:c r="S36" s="3" t="n">
        <x:v>249</x:v>
      </x:c>
      <x:c r="T36" s="4" t="n">
        <x:v>0</x:v>
      </x:c>
    </x:row>
    <x:row r="37" ht="15" customHeight="1">
      <x:c r="A37" s="10" t="n">
        <x:f>IF(20&lt;=$B$3,$B$4+20,"")</x:f>
        <x:v>46255</x:v>
      </x:c>
      <x:c r="B37" s="8" t="n">
        <x:f>IF($A37="","",'Полином 2'!D38)</x:f>
        <x:v>118.47343987883899</x:v>
      </x:c>
      <x:c r="C37" s="8" t="n">
        <x:f>IF($A37="","",'Полином 3'!D38)</x:f>
        <x:v>102.0542303593569</x:v>
      </x:c>
      <x:c r="D37" s="8" t="n">
        <x:f>IF($A37="","",'Степенная'!D38)</x:f>
        <x:v>153.59324326904778</x:v>
      </x:c>
      <x:c r="E37" s="8" t="n">
        <x:f>IF($A37="","",'Логарифмическая'!D38)</x:f>
        <x:v>125.51129457995101</x:v>
      </x:c>
      <x:c r="F37" s="8" t="n">
        <x:f>IF($A37="","",'Экспоненциальная'!D38)</x:f>
        <x:v>166.87365076326648</x:v>
      </x:c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7" t="n">
        <x:v>45875</x:v>
      </x:c>
      <x:c r="S37" s="3" t="n">
        <x:v>253</x:v>
      </x:c>
      <x:c r="T37" s="4" t="n">
        <x:v>0</x:v>
      </x:c>
    </x:row>
    <x:row r="38" ht="15" customHeight="1">
      <x:c r="A38" s="10" t="n">
        <x:f>IF(21&lt;=$B$3,$B$4+21,"")</x:f>
        <x:v>46256</x:v>
      </x:c>
      <x:c r="B38" s="8" t="n">
        <x:f>IF($A38="","",'Полином 2'!D39)</x:f>
        <x:v>118.46419488970238</x:v>
      </x:c>
      <x:c r="C38" s="8" t="n">
        <x:f>IF($A38="","",'Полином 3'!D39)</x:f>
        <x:v>102.02311452515745</x:v>
      </x:c>
      <x:c r="D38" s="8" t="n">
        <x:f>IF($A38="","",'Степенная'!D39)</x:f>
        <x:v>153.610964451578</x:v>
      </x:c>
      <x:c r="E38" s="8" t="n">
        <x:f>IF($A38="","",'Логарифмическая'!D39)</x:f>
        <x:v>125.51760051161541</x:v>
      </x:c>
      <x:c r="F38" s="8" t="n">
        <x:f>IF($A38="","",'Экспоненциальная'!D39)</x:f>
        <x:v>166.90951524554126</x:v>
      </x:c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7" t="n">
        <x:v>45876</x:v>
      </x:c>
      <x:c r="S38" s="3" t="n">
        <x:v>259</x:v>
      </x:c>
      <x:c r="T38" s="4" t="n">
        <x:v>0</x:v>
      </x:c>
    </x:row>
    <x:row r="39" ht="15" customHeight="1">
      <x:c r="A39" s="10" t="n">
        <x:f>IF(22&lt;=$B$3,$B$4+22,"")</x:f>
        <x:v>46257</x:v>
      </x:c>
      <x:c r="B39" s="8" t="n">
        <x:f>IF($A39="","",'Полином 2'!D40)</x:f>
        <x:v>118.45494314952042</x:v>
      </x:c>
      <x:c r="C39" s="8" t="n">
        <x:f>IF($A39="","",'Полином 3'!D40)</x:f>
        <x:v>101.9919798297654</x:v>
      </x:c>
      <x:c r="D39" s="8" t="n">
        <x:f>IF($A39="","",'Степенная'!D40)</x:f>
        <x:v>153.62868570947984</x:v>
      </x:c>
      <x:c r="E39" s="8" t="n">
        <x:f>IF($A39="","",'Логарифмическая'!D40)</x:f>
        <x:v>125.52390574265966</x:v>
      </x:c>
      <x:c r="F39" s="8" t="n">
        <x:f>IF($A39="","",'Экспоненциальная'!D40)</x:f>
        <x:v>166.94538743581</x:v>
      </x:c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7" t="n">
        <x:v>45877</x:v>
      </x:c>
      <x:c r="S39" s="3" t="n">
        <x:v>265</x:v>
      </x:c>
      <x:c r="T39" s="4" t="n">
        <x:v>0</x:v>
      </x:c>
    </x:row>
    <x:row r="40" ht="15" customHeight="1">
      <x:c r="A40" s="10" t="n">
        <x:f>IF(23&lt;=$B$3,$B$4+23,"")</x:f>
        <x:v>46258</x:v>
      </x:c>
      <x:c r="B40" s="8" t="n">
        <x:f>IF($A40="","",'Полином 2'!D41)</x:f>
        <x:v>118.44568465829308</x:v>
      </x:c>
      <x:c r="C40" s="8" t="n">
        <x:f>IF($A40="","",'Полином 3'!D41)</x:f>
        <x:v>101.96082627049603</x:v>
      </x:c>
      <x:c r="D40" s="8" t="n">
        <x:f>IF($A40="","",'Степенная'!D41)</x:f>
        <x:v>153.64640704274518</x:v>
      </x:c>
      <x:c r="E40" s="8" t="n">
        <x:f>IF($A40="","",'Логарифмическая'!D41)</x:f>
        <x:v>125.53021027323943</x:v>
      </x:c>
      <x:c r="F40" s="8" t="n">
        <x:f>IF($A40="","",'Экспоненциальная'!D41)</x:f>
        <x:v>166.98126733572934</x:v>
      </x:c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7" t="n">
        <x:v>45878</x:v>
      </x:c>
      <x:c r="S40" s="3" t="n">
        <x:v>276</x:v>
      </x:c>
      <x:c r="T40" s="4" t="n">
        <x:v>0</x:v>
      </x:c>
    </x:row>
    <x:row r="41" ht="15" customHeight="1">
      <x:c r="A41" s="10" t="n">
        <x:f>IF(24&lt;=$B$3,$B$4+24,"")</x:f>
        <x:v>46259</x:v>
      </x:c>
      <x:c r="B41" s="8" t="n">
        <x:f>IF($A41="","",'Полином 2'!D42)</x:f>
        <x:v>118.43641941602033</x:v>
      </x:c>
      <x:c r="C41" s="8" t="n">
        <x:f>IF($A41="","",'Полином 3'!D42)</x:f>
        <x:v>101.92965384466433</x:v>
      </x:c>
      <x:c r="D41" s="8" t="n">
        <x:f>IF($A41="","",'Степенная'!D42)</x:f>
        <x:v>153.66412845136594</x:v>
      </x:c>
      <x:c r="E41" s="8" t="n">
        <x:f>IF($A41="","",'Логарифмическая'!D42)</x:f>
        <x:v>125.53651410351031</x:v>
      </x:c>
      <x:c r="F41" s="8" t="n">
        <x:f>IF($A41="","",'Экспоненциальная'!D42)</x:f>
        <x:v>167.01715494695614</x:v>
      </x:c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7" t="n">
        <x:v>45879</x:v>
      </x:c>
      <x:c r="S41" s="3" t="n">
        <x:v>290</x:v>
      </x:c>
      <x:c r="T41" s="4" t="n">
        <x:v>0</x:v>
      </x:c>
    </x:row>
    <x:row r="42" ht="15" customHeight="1">
      <x:c r="A42" s="10" t="n">
        <x:f>IF(25&lt;=$B$3,$B$4+25,"")</x:f>
        <x:v>46260</x:v>
      </x:c>
      <x:c r="B42" s="8" t="n">
        <x:f>IF($A42="","",'Полином 2'!D43)</x:f>
        <x:v>118.42714742270222</x:v>
      </x:c>
      <x:c r="C42" s="8" t="n">
        <x:f>IF($A42="","",'Полином 3'!D43)</x:f>
        <x:v>101.89846254958557</x:v>
      </x:c>
      <x:c r="D42" s="8" t="n">
        <x:f>IF($A42="","",'Степенная'!D43)</x:f>
        <x:v>153.68184993533413</x:v>
      </x:c>
      <x:c r="E42" s="8" t="n">
        <x:f>IF($A42="","",'Логарифмическая'!D43)</x:f>
        <x:v>125.54281723362791</x:v>
      </x:c>
      <x:c r="F42" s="8" t="n">
        <x:f>IF($A42="","",'Экспоненциальная'!D43)</x:f>
        <x:v>167.05305027114773</x:v>
      </x:c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7" t="n">
        <x:v>45880</x:v>
      </x:c>
      <x:c r="S42" s="3" t="n">
        <x:v>303</x:v>
      </x:c>
      <x:c r="T42" s="4" t="n">
        <x:v>0</x:v>
      </x:c>
    </x:row>
    <x:row r="43" ht="15" customHeight="1">
      <x:c r="A43" s="10" t="n">
        <x:f>IF(26&lt;=$B$3,$B$4+26,"")</x:f>
        <x:v>46261</x:v>
      </x:c>
      <x:c r="B43" s="8" t="n">
        <x:f>IF($A43="","",'Полином 2'!D44)</x:f>
        <x:v>118.41786867833873</x:v>
      </x:c>
      <x:c r="C43" s="8" t="n">
        <x:f>IF($A43="","",'Полином 3'!D44)</x:f>
        <x:v>101.86725238257486</x:v>
      </x:c>
      <x:c r="D43" s="8" t="n">
        <x:f>IF($A43="","",'Степенная'!D44)</x:f>
        <x:v>153.69957149464173</x:v>
      </x:c>
      <x:c r="E43" s="8" t="n">
        <x:f>IF($A43="","",'Логарифмическая'!D44)</x:f>
        <x:v>125.54911966374769</x:v>
      </x:c>
      <x:c r="F43" s="8" t="n">
        <x:f>IF($A43="","",'Экспоненциальная'!D44)</x:f>
        <x:v>167.08895330996185</x:v>
      </x:c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7" t="n">
        <x:v>45881</x:v>
      </x:c>
      <x:c r="S43" s="3" t="n">
        <x:v>315</x:v>
      </x:c>
      <x:c r="T43" s="4" t="n">
        <x:v>0</x:v>
      </x:c>
    </x:row>
    <x:row r="44" ht="15" customHeight="1">
      <x:c r="A44" s="10" t="n">
        <x:f>IF(27&lt;=$B$3,$B$4+27,"")</x:f>
        <x:v>46262</x:v>
      </x:c>
      <x:c r="B44" s="8" t="n">
        <x:f>IF($A44="","",'Полином 2'!D45)</x:f>
        <x:v>118.40858318292985</x:v>
      </x:c>
      <x:c r="C44" s="8" t="n">
        <x:f>IF($A44="","",'Полином 3'!D45)</x:f>
        <x:v>101.83602334094732</x:v>
      </x:c>
      <x:c r="D44" s="8" t="n">
        <x:f>IF($A44="","",'Степенная'!D45)</x:f>
        <x:v>153.7172931292806</x:v>
      </x:c>
      <x:c r="E44" s="8" t="n">
        <x:f>IF($A44="","",'Логарифмическая'!D45)</x:f>
        <x:v>125.55542139402516</x:v>
      </x:c>
      <x:c r="F44" s="8" t="n">
        <x:f>IF($A44="","",'Экспоненциальная'!D45)</x:f>
        <x:v>167.12486406505644</x:v>
      </x:c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7" t="n">
        <x:v>45882</x:v>
      </x:c>
      <x:c r="S44" s="3" t="n">
        <x:v>323</x:v>
      </x:c>
      <x:c r="T44" s="4" t="n">
        <x:v>0</x:v>
      </x:c>
    </x:row>
    <x:row r="45" ht="15" customHeight="1">
      <x:c r="A45" s="10" t="n">
        <x:f>IF(28&lt;=$B$3,$B$4+28,"")</x:f>
        <x:v>46263</x:v>
      </x:c>
      <x:c r="B45" s="8" t="n">
        <x:f>IF($A45="","",'Полином 2'!D46)</x:f>
        <x:v>118.3992909364756</x:v>
      </x:c>
      <x:c r="C45" s="8" t="n">
        <x:f>IF($A45="","",'Полином 3'!D46)</x:f>
        <x:v>101.80477542201817</x:v>
      </x:c>
      <x:c r="D45" s="8" t="n">
        <x:f>IF($A45="","",'Степенная'!D46)</x:f>
        <x:v>153.7350148392427</x:v>
      </x:c>
      <x:c r="E45" s="8" t="n">
        <x:f>IF($A45="","",'Логарифмическая'!D46)</x:f>
        <x:v>125.56172242461568</x:v>
      </x:c>
      <x:c r="F45" s="8" t="n">
        <x:f>IF($A45="","",'Экспоненциальная'!D46)</x:f>
        <x:v>167.16078253808993</x:v>
      </x:c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7" t="n">
        <x:v>45883</x:v>
      </x:c>
      <x:c r="S45" s="3" t="n">
        <x:v>327</x:v>
      </x:c>
      <x:c r="T45" s="4" t="n">
        <x:v>0</x:v>
      </x:c>
    </x:row>
    <x:row r="46" ht="15" customHeight="1">
      <x:c r="A46" s="10" t="n">
        <x:f>IF(29&lt;=$B$3,$B$4+29,"")</x:f>
        <x:v>46264</x:v>
      </x:c>
      <x:c r="B46" s="8" t="n">
        <x:f>IF($A46="","",'Полином 2'!D47)</x:f>
        <x:v>118.38999193897597</x:v>
      </x:c>
      <x:c r="C46" s="8" t="n">
        <x:f>IF($A46="","",'Полином 3'!D47)</x:f>
        <x:v>101.77350862310252</x:v>
      </x:c>
      <x:c r="D46" s="8" t="n">
        <x:f>IF($A46="","",'Степенная'!D47)</x:f>
        <x:v>153.75273662452005</x:v>
      </x:c>
      <x:c r="E46" s="8" t="n">
        <x:f>IF($A46="","",'Логарифмическая'!D47)</x:f>
        <x:v>125.56802275567466</x:v>
      </x:c>
      <x:c r="F46" s="8" t="n">
        <x:f>IF($A46="","",'Экспоненциальная'!D47)</x:f>
        <x:v>167.19670873072104</x:v>
      </x:c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7" t="n">
        <x:v>45884</x:v>
      </x:c>
      <x:c r="S46" s="3" t="n">
        <x:v>329</x:v>
      </x:c>
      <x:c r="T46" s="4" t="n">
        <x:v>0</x:v>
      </x:c>
    </x:row>
    <x:row r="47" ht="15" customHeight="1">
      <x:c r="A47" s="10" t="n">
        <x:f>IF(30&lt;=$B$3,$B$4+30,"")</x:f>
        <x:v>46265</x:v>
      </x:c>
      <x:c r="B47" s="8" t="n">
        <x:f>IF($A47="","",'Полином 2'!D48)</x:f>
        <x:v>118.38068619043094</x:v>
      </x:c>
      <x:c r="C47" s="8" t="n">
        <x:f>IF($A47="","",'Полином 3'!D48)</x:f>
        <x:v>101.74222294151545</x:v>
      </x:c>
      <x:c r="D47" s="8" t="n">
        <x:f>IF($A47="","",'Степенная'!D48)</x:f>
        <x:v>153.77045848510463</x:v>
      </x:c>
      <x:c r="E47" s="8" t="n">
        <x:f>IF($A47="","",'Логарифмическая'!D48)</x:f>
        <x:v>125.57432238735738</x:v>
      </x:c>
      <x:c r="F47" s="8" t="n">
        <x:f>IF($A47="","",'Экспоненциальная'!D48)</x:f>
        <x:v>167.23264264460897</x:v>
      </x:c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7" t="n">
        <x:v>45885</x:v>
      </x:c>
      <x:c r="S47" s="3" t="n">
        <x:v>329</x:v>
      </x:c>
      <x:c r="T47" s="4" t="n">
        <x:v>0</x:v>
      </x:c>
    </x:row>
    <x:row r="48" ht="15" customHeight="1">
      <x:c r="A48" s="7" t="str">
        <x:f>IF(31&lt;=$B$3,$B$4+31,"")</x:f>
      </x:c>
      <x:c r="B48" s="3" t="str">
        <x:f>IF($A48="","",'Полином 2'!D49)</x:f>
      </x:c>
      <x:c r="C48" s="3" t="str">
        <x:f>IF($A48="","",'Полином 3'!D49)</x:f>
      </x:c>
      <x:c r="D48" s="3" t="str">
        <x:f>IF($A48="","",'Степенная'!D49)</x:f>
      </x:c>
      <x:c r="E48" s="3" t="str">
        <x:f>IF($A48="","",'Логарифмическая'!D49)</x:f>
      </x:c>
      <x:c r="F48" s="3" t="str">
        <x:f>IF($A48="","",'Экспоненциальная'!D49)</x:f>
      </x:c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7" t="n">
        <x:v>45886</x:v>
      </x:c>
      <x:c r="S48" s="3" t="n">
        <x:v>325</x:v>
      </x:c>
      <x:c r="T48" s="4" t="n">
        <x:v>0</x:v>
      </x:c>
    </x:row>
    <x:row r="49" ht="15" customHeight="1">
      <x:c r="A49" s="7" t="str">
        <x:f>IF(32&lt;=$B$3,$B$4+32,"")</x:f>
      </x:c>
      <x:c r="B49" s="3" t="str">
        <x:f>IF($A49="","",'Полином 2'!D50)</x:f>
      </x:c>
      <x:c r="C49" s="3" t="str">
        <x:f>IF($A49="","",'Полином 3'!D50)</x:f>
      </x:c>
      <x:c r="D49" s="3" t="str">
        <x:f>IF($A49="","",'Степенная'!D50)</x:f>
      </x:c>
      <x:c r="E49" s="3" t="str">
        <x:f>IF($A49="","",'Логарифмическая'!D50)</x:f>
      </x:c>
      <x:c r="F49" s="3" t="str">
        <x:f>IF($A49="","",'Экспоненциальная'!D50)</x:f>
      </x:c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7" t="n">
        <x:v>45887</x:v>
      </x:c>
      <x:c r="S49" s="3" t="n">
        <x:v>320</x:v>
      </x:c>
      <x:c r="T49" s="4" t="n">
        <x:v>0</x:v>
      </x:c>
    </x:row>
    <x:row r="50" ht="15" customHeight="1">
      <x:c r="A50" s="7" t="str">
        <x:f>IF(33&lt;=$B$3,$B$4+33,"")</x:f>
      </x:c>
      <x:c r="B50" s="3" t="str">
        <x:f>IF($A50="","",'Полином 2'!D51)</x:f>
      </x:c>
      <x:c r="C50" s="3" t="str">
        <x:f>IF($A50="","",'Полином 3'!D51)</x:f>
      </x:c>
      <x:c r="D50" s="3" t="str">
        <x:f>IF($A50="","",'Степенная'!D51)</x:f>
      </x:c>
      <x:c r="E50" s="3" t="str">
        <x:f>IF($A50="","",'Логарифмическая'!D51)</x:f>
      </x:c>
      <x:c r="F50" s="3" t="str">
        <x:f>IF($A50="","",'Экспоненциальная'!D51)</x:f>
      </x:c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7" t="n">
        <x:v>45888</x:v>
      </x:c>
      <x:c r="S50" s="3" t="n">
        <x:v>309</x:v>
      </x:c>
      <x:c r="T50" s="4" t="n">
        <x:v>0</x:v>
      </x:c>
    </x:row>
    <x:row r="51" ht="15" customHeight="1">
      <x:c r="A51" s="7" t="str">
        <x:f>IF(34&lt;=$B$3,$B$4+34,"")</x:f>
      </x:c>
      <x:c r="B51" s="3" t="str">
        <x:f>IF($A51="","",'Полином 2'!D52)</x:f>
      </x:c>
      <x:c r="C51" s="3" t="str">
        <x:f>IF($A51="","",'Полином 3'!D52)</x:f>
      </x:c>
      <x:c r="D51" s="3" t="str">
        <x:f>IF($A51="","",'Степенная'!D52)</x:f>
      </x:c>
      <x:c r="E51" s="3" t="str">
        <x:f>IF($A51="","",'Логарифмическая'!D52)</x:f>
      </x:c>
      <x:c r="F51" s="3" t="str">
        <x:f>IF($A51="","",'Экспоненциальная'!D52)</x:f>
      </x:c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7" t="n">
        <x:v>45889</x:v>
      </x:c>
      <x:c r="S51" s="3" t="n">
        <x:v>296</x:v>
      </x:c>
      <x:c r="T51" s="4" t="n">
        <x:v>0</x:v>
      </x:c>
    </x:row>
    <x:row r="52" ht="15" customHeight="1">
      <x:c r="A52" s="7" t="str">
        <x:f>IF(35&lt;=$B$3,$B$4+35,"")</x:f>
      </x:c>
      <x:c r="B52" s="3" t="str">
        <x:f>IF($A52="","",'Полином 2'!D53)</x:f>
      </x:c>
      <x:c r="C52" s="3" t="str">
        <x:f>IF($A52="","",'Полином 3'!D53)</x:f>
      </x:c>
      <x:c r="D52" s="3" t="str">
        <x:f>IF($A52="","",'Степенная'!D53)</x:f>
      </x:c>
      <x:c r="E52" s="3" t="str">
        <x:f>IF($A52="","",'Логарифмическая'!D53)</x:f>
      </x:c>
      <x:c r="F52" s="3" t="str">
        <x:f>IF($A52="","",'Экспоненциальная'!D53)</x:f>
      </x:c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7" t="n">
        <x:v>45890</x:v>
      </x:c>
      <x:c r="S52" s="3" t="n">
        <x:v>282</x:v>
      </x:c>
      <x:c r="T52" s="4" t="n">
        <x:v>0</x:v>
      </x:c>
    </x:row>
    <x:row r="53" ht="15" customHeight="1">
      <x:c r="A53" s="7" t="str">
        <x:f>IF(36&lt;=$B$3,$B$4+36,"")</x:f>
      </x:c>
      <x:c r="B53" s="3" t="str">
        <x:f>IF($A53="","",'Полином 2'!D54)</x:f>
      </x:c>
      <x:c r="C53" s="3" t="str">
        <x:f>IF($A53="","",'Полином 3'!D54)</x:f>
      </x:c>
      <x:c r="D53" s="3" t="str">
        <x:f>IF($A53="","",'Степенная'!D54)</x:f>
      </x:c>
      <x:c r="E53" s="3" t="str">
        <x:f>IF($A53="","",'Логарифмическая'!D54)</x:f>
      </x:c>
      <x:c r="F53" s="3" t="str">
        <x:f>IF($A53="","",'Экспоненциальная'!D54)</x:f>
      </x:c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7" t="n">
        <x:v>45891</x:v>
      </x:c>
      <x:c r="S53" s="3" t="n">
        <x:v>270</x:v>
      </x:c>
      <x:c r="T53" s="4" t="n">
        <x:v>0</x:v>
      </x:c>
    </x:row>
    <x:row r="54" ht="15" customHeight="1">
      <x:c r="A54" s="7" t="str">
        <x:f>IF(37&lt;=$B$3,$B$4+37,"")</x:f>
      </x:c>
      <x:c r="B54" s="3" t="str">
        <x:f>IF($A54="","",'Полином 2'!D55)</x:f>
      </x:c>
      <x:c r="C54" s="3" t="str">
        <x:f>IF($A54="","",'Полином 3'!D55)</x:f>
      </x:c>
      <x:c r="D54" s="3" t="str">
        <x:f>IF($A54="","",'Степенная'!D55)</x:f>
      </x:c>
      <x:c r="E54" s="3" t="str">
        <x:f>IF($A54="","",'Логарифмическая'!D55)</x:f>
      </x:c>
      <x:c r="F54" s="3" t="str">
        <x:f>IF($A54="","",'Экспоненциальная'!D55)</x:f>
      </x:c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7" t="n">
        <x:v>45892</x:v>
      </x:c>
      <x:c r="S54" s="3" t="n">
        <x:v>255</x:v>
      </x:c>
      <x:c r="T54" s="4" t="n">
        <x:v>0</x:v>
      </x:c>
    </x:row>
    <x:row r="55" ht="15" customHeight="1">
      <x:c r="A55" s="7" t="str">
        <x:f>IF(38&lt;=$B$3,$B$4+38,"")</x:f>
      </x:c>
      <x:c r="B55" s="3" t="str">
        <x:f>IF($A55="","",'Полином 2'!D56)</x:f>
      </x:c>
      <x:c r="C55" s="3" t="str">
        <x:f>IF($A55="","",'Полином 3'!D56)</x:f>
      </x:c>
      <x:c r="D55" s="3" t="str">
        <x:f>IF($A55="","",'Степенная'!D56)</x:f>
      </x:c>
      <x:c r="E55" s="3" t="str">
        <x:f>IF($A55="","",'Логарифмическая'!D56)</x:f>
      </x:c>
      <x:c r="F55" s="3" t="str">
        <x:f>IF($A55="","",'Экспоненциальная'!D56)</x:f>
      </x:c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7" t="n">
        <x:v>45893</x:v>
      </x:c>
      <x:c r="S55" s="3" t="n">
        <x:v>245</x:v>
      </x:c>
      <x:c r="T55" s="4" t="n">
        <x:v>0</x:v>
      </x:c>
    </x:row>
    <x:row r="56" ht="15" customHeight="1">
      <x:c r="A56" s="7" t="str">
        <x:f>IF(39&lt;=$B$3,$B$4+39,"")</x:f>
      </x:c>
      <x:c r="B56" s="3" t="str">
        <x:f>IF($A56="","",'Полином 2'!D57)</x:f>
      </x:c>
      <x:c r="C56" s="3" t="str">
        <x:f>IF($A56="","",'Полином 3'!D57)</x:f>
      </x:c>
      <x:c r="D56" s="3" t="str">
        <x:f>IF($A56="","",'Степенная'!D57)</x:f>
      </x:c>
      <x:c r="E56" s="3" t="str">
        <x:f>IF($A56="","",'Логарифмическая'!D57)</x:f>
      </x:c>
      <x:c r="F56" s="3" t="str">
        <x:f>IF($A56="","",'Экспоненциальная'!D57)</x:f>
      </x:c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7" t="n">
        <x:v>45894</x:v>
      </x:c>
      <x:c r="S56" s="3" t="n">
        <x:v>235</x:v>
      </x:c>
      <x:c r="T56" s="4" t="n">
        <x:v>0</x:v>
      </x:c>
    </x:row>
    <x:row r="57" ht="15" customHeight="1">
      <x:c r="A57" s="7" t="str">
        <x:f>IF(40&lt;=$B$3,$B$4+40,"")</x:f>
      </x:c>
      <x:c r="B57" s="3" t="str">
        <x:f>IF($A57="","",'Полином 2'!D58)</x:f>
      </x:c>
      <x:c r="C57" s="3" t="str">
        <x:f>IF($A57="","",'Полином 3'!D58)</x:f>
      </x:c>
      <x:c r="D57" s="3" t="str">
        <x:f>IF($A57="","",'Степенная'!D58)</x:f>
      </x:c>
      <x:c r="E57" s="3" t="str">
        <x:f>IF($A57="","",'Логарифмическая'!D58)</x:f>
      </x:c>
      <x:c r="F57" s="3" t="str">
        <x:f>IF($A57="","",'Экспоненциальная'!D58)</x:f>
      </x:c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7" t="n">
        <x:v>45895</x:v>
      </x:c>
      <x:c r="S57" s="3" t="n">
        <x:v>227</x:v>
      </x:c>
      <x:c r="T57" s="4" t="n">
        <x:v>0</x:v>
      </x:c>
    </x:row>
    <x:row r="58" ht="15" customHeight="1">
      <x:c r="A58" s="7" t="str">
        <x:f>IF(41&lt;=$B$3,$B$4+41,"")</x:f>
      </x:c>
      <x:c r="B58" s="3" t="str">
        <x:f>IF($A58="","",'Полином 2'!D59)</x:f>
      </x:c>
      <x:c r="C58" s="3" t="str">
        <x:f>IF($A58="","",'Полином 3'!D59)</x:f>
      </x:c>
      <x:c r="D58" s="3" t="str">
        <x:f>IF($A58="","",'Степенная'!D59)</x:f>
      </x:c>
      <x:c r="E58" s="3" t="str">
        <x:f>IF($A58="","",'Логарифмическая'!D59)</x:f>
      </x:c>
      <x:c r="F58" s="3" t="str">
        <x:f>IF($A58="","",'Экспоненциальная'!D59)</x:f>
      </x:c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7" t="n">
        <x:v>45896</x:v>
      </x:c>
      <x:c r="S58" s="3" t="n">
        <x:v>226</x:v>
      </x:c>
      <x:c r="T58" s="4" t="n">
        <x:v>0</x:v>
      </x:c>
    </x:row>
    <x:row r="59" ht="15" customHeight="1">
      <x:c r="A59" s="7" t="str">
        <x:f>IF(42&lt;=$B$3,$B$4+42,"")</x:f>
      </x:c>
      <x:c r="B59" s="3" t="str">
        <x:f>IF($A59="","",'Полином 2'!D60)</x:f>
      </x:c>
      <x:c r="C59" s="3" t="str">
        <x:f>IF($A59="","",'Полином 3'!D60)</x:f>
      </x:c>
      <x:c r="D59" s="3" t="str">
        <x:f>IF($A59="","",'Степенная'!D60)</x:f>
      </x:c>
      <x:c r="E59" s="3" t="str">
        <x:f>IF($A59="","",'Логарифмическая'!D60)</x:f>
      </x:c>
      <x:c r="F59" s="3" t="str">
        <x:f>IF($A59="","",'Экспоненциальная'!D60)</x:f>
      </x:c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7" t="n">
        <x:v>45897</x:v>
      </x:c>
      <x:c r="S59" s="3" t="n">
        <x:v>229</x:v>
      </x:c>
      <x:c r="T59" s="4" t="n">
        <x:v>0</x:v>
      </x:c>
    </x:row>
    <x:row r="60" ht="15" customHeight="1">
      <x:c r="A60" s="7" t="str">
        <x:f>IF(43&lt;=$B$3,$B$4+43,"")</x:f>
      </x:c>
      <x:c r="B60" s="3" t="str">
        <x:f>IF($A60="","",'Полином 2'!D61)</x:f>
      </x:c>
      <x:c r="C60" s="3" t="str">
        <x:f>IF($A60="","",'Полином 3'!D61)</x:f>
      </x:c>
      <x:c r="D60" s="3" t="str">
        <x:f>IF($A60="","",'Степенная'!D61)</x:f>
      </x:c>
      <x:c r="E60" s="3" t="str">
        <x:f>IF($A60="","",'Логарифмическая'!D61)</x:f>
      </x:c>
      <x:c r="F60" s="3" t="str">
        <x:f>IF($A60="","",'Экспоненциальная'!D61)</x:f>
      </x:c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7" t="n">
        <x:v>45898</x:v>
      </x:c>
      <x:c r="S60" s="3" t="n">
        <x:v>233</x:v>
      </x:c>
      <x:c r="T60" s="4" t="n">
        <x:v>0</x:v>
      </x:c>
    </x:row>
    <x:row r="61" ht="15" customHeight="1">
      <x:c r="A61" s="7" t="str">
        <x:f>IF(44&lt;=$B$3,$B$4+44,"")</x:f>
      </x:c>
      <x:c r="B61" s="3" t="str">
        <x:f>IF($A61="","",'Полином 2'!D62)</x:f>
      </x:c>
      <x:c r="C61" s="3" t="str">
        <x:f>IF($A61="","",'Полином 3'!D62)</x:f>
      </x:c>
      <x:c r="D61" s="3" t="str">
        <x:f>IF($A61="","",'Степенная'!D62)</x:f>
      </x:c>
      <x:c r="E61" s="3" t="str">
        <x:f>IF($A61="","",'Логарифмическая'!D62)</x:f>
      </x:c>
      <x:c r="F61" s="3" t="str">
        <x:f>IF($A61="","",'Экспоненциальная'!D62)</x:f>
      </x:c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7" t="n">
        <x:v>45899</x:v>
      </x:c>
      <x:c r="S61" s="3" t="n">
        <x:v>238</x:v>
      </x:c>
      <x:c r="T61" s="4" t="n">
        <x:v>0</x:v>
      </x:c>
    </x:row>
    <x:row r="62" ht="15" customHeight="1">
      <x:c r="A62" s="7" t="str">
        <x:f>IF(45&lt;=$B$3,$B$4+45,"")</x:f>
      </x:c>
      <x:c r="B62" s="3" t="str">
        <x:f>IF($A62="","",'Полином 2'!D63)</x:f>
      </x:c>
      <x:c r="C62" s="3" t="str">
        <x:f>IF($A62="","",'Полином 3'!D63)</x:f>
      </x:c>
      <x:c r="D62" s="3" t="str">
        <x:f>IF($A62="","",'Степенная'!D63)</x:f>
      </x:c>
      <x:c r="E62" s="3" t="str">
        <x:f>IF($A62="","",'Логарифмическая'!D63)</x:f>
      </x:c>
      <x:c r="F62" s="3" t="str">
        <x:f>IF($A62="","",'Экспоненциальная'!D63)</x:f>
      </x:c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7" t="n">
        <x:v>45900</x:v>
      </x:c>
      <x:c r="S62" s="3" t="n">
        <x:v>238</x:v>
      </x:c>
      <x:c r="T62" s="4" t="n">
        <x:v>0</x:v>
      </x:c>
    </x:row>
    <x:row r="63" ht="15" customHeight="1">
      <x:c r="A63" s="7" t="str">
        <x:f>IF(46&lt;=$B$3,$B$4+46,"")</x:f>
      </x:c>
      <x:c r="B63" s="3" t="str">
        <x:f>IF($A63="","",'Полином 2'!D64)</x:f>
      </x:c>
      <x:c r="C63" s="3" t="str">
        <x:f>IF($A63="","",'Полином 3'!D64)</x:f>
      </x:c>
      <x:c r="D63" s="3" t="str">
        <x:f>IF($A63="","",'Степенная'!D64)</x:f>
      </x:c>
      <x:c r="E63" s="3" t="str">
        <x:f>IF($A63="","",'Логарифмическая'!D64)</x:f>
      </x:c>
      <x:c r="F63" s="3" t="str">
        <x:f>IF($A63="","",'Экспоненциальная'!D64)</x:f>
      </x:c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7" t="n">
        <x:v>45901</x:v>
      </x:c>
      <x:c r="S63" s="3" t="n">
        <x:v>238</x:v>
      </x:c>
      <x:c r="T63" s="4" t="n">
        <x:v>0</x:v>
      </x:c>
    </x:row>
    <x:row r="64" ht="15" customHeight="1">
      <x:c r="A64" s="7" t="str">
        <x:f>IF(47&lt;=$B$3,$B$4+47,"")</x:f>
      </x:c>
      <x:c r="B64" s="3" t="str">
        <x:f>IF($A64="","",'Полином 2'!D65)</x:f>
      </x:c>
      <x:c r="C64" s="3" t="str">
        <x:f>IF($A64="","",'Полином 3'!D65)</x:f>
      </x:c>
      <x:c r="D64" s="3" t="str">
        <x:f>IF($A64="","",'Степенная'!D65)</x:f>
      </x:c>
      <x:c r="E64" s="3" t="str">
        <x:f>IF($A64="","",'Логарифмическая'!D65)</x:f>
      </x:c>
      <x:c r="F64" s="3" t="str">
        <x:f>IF($A64="","",'Экспоненциальная'!D65)</x:f>
      </x:c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7" t="n">
        <x:v>45902</x:v>
      </x:c>
      <x:c r="S64" s="3" t="n">
        <x:v>233</x:v>
      </x:c>
      <x:c r="T64" s="4" t="n">
        <x:v>0</x:v>
      </x:c>
    </x:row>
    <x:row r="65" ht="15" customHeight="1">
      <x:c r="A65" s="7" t="str">
        <x:f>IF(48&lt;=$B$3,$B$4+48,"")</x:f>
      </x:c>
      <x:c r="B65" s="3" t="str">
        <x:f>IF($A65="","",'Полином 2'!D66)</x:f>
      </x:c>
      <x:c r="C65" s="3" t="str">
        <x:f>IF($A65="","",'Полином 3'!D66)</x:f>
      </x:c>
      <x:c r="D65" s="3" t="str">
        <x:f>IF($A65="","",'Степенная'!D66)</x:f>
      </x:c>
      <x:c r="E65" s="3" t="str">
        <x:f>IF($A65="","",'Логарифмическая'!D66)</x:f>
      </x:c>
      <x:c r="F65" s="3" t="str">
        <x:f>IF($A65="","",'Экспоненциальная'!D66)</x:f>
      </x:c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7" t="n">
        <x:v>45903</x:v>
      </x:c>
      <x:c r="S65" s="3" t="n">
        <x:v>228</x:v>
      </x:c>
      <x:c r="T65" s="4" t="n">
        <x:v>0</x:v>
      </x:c>
    </x:row>
    <x:row r="66" ht="15" customHeight="1">
      <x:c r="A66" s="7" t="str">
        <x:f>IF(49&lt;=$B$3,$B$4+49,"")</x:f>
      </x:c>
      <x:c r="B66" s="3" t="str">
        <x:f>IF($A66="","",'Полином 2'!D67)</x:f>
      </x:c>
      <x:c r="C66" s="3" t="str">
        <x:f>IF($A66="","",'Полином 3'!D67)</x:f>
      </x:c>
      <x:c r="D66" s="3" t="str">
        <x:f>IF($A66="","",'Степенная'!D67)</x:f>
      </x:c>
      <x:c r="E66" s="3" t="str">
        <x:f>IF($A66="","",'Логарифмическая'!D67)</x:f>
      </x:c>
      <x:c r="F66" s="3" t="str">
        <x:f>IF($A66="","",'Экспоненциальная'!D67)</x:f>
      </x:c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7" t="n">
        <x:v>45904</x:v>
      </x:c>
      <x:c r="S66" s="3" t="n">
        <x:v>226</x:v>
      </x:c>
      <x:c r="T66" s="4" t="n">
        <x:v>0</x:v>
      </x:c>
    </x:row>
    <x:row r="67" ht="15" customHeight="1">
      <x:c r="A67" s="7" t="str">
        <x:f>IF(50&lt;=$B$3,$B$4+50,"")</x:f>
      </x:c>
      <x:c r="B67" s="3" t="str">
        <x:f>IF($A67="","",'Полином 2'!D68)</x:f>
      </x:c>
      <x:c r="C67" s="3" t="str">
        <x:f>IF($A67="","",'Полином 3'!D68)</x:f>
      </x:c>
      <x:c r="D67" s="3" t="str">
        <x:f>IF($A67="","",'Степенная'!D68)</x:f>
      </x:c>
      <x:c r="E67" s="3" t="str">
        <x:f>IF($A67="","",'Логарифмическая'!D68)</x:f>
      </x:c>
      <x:c r="F67" s="3" t="str">
        <x:f>IF($A67="","",'Экспоненциальная'!D68)</x:f>
      </x:c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7" t="n">
        <x:v>45905</x:v>
      </x:c>
      <x:c r="S67" s="3" t="n">
        <x:v>226</x:v>
      </x:c>
      <x:c r="T67" s="4" t="n">
        <x:v>0</x:v>
      </x:c>
    </x:row>
    <x:row r="68" ht="15" customHeight="1">
      <x:c r="A68" s="7" t="str">
        <x:f>IF(51&lt;=$B$3,$B$4+51,"")</x:f>
      </x:c>
      <x:c r="B68" s="3" t="str">
        <x:f>IF($A68="","",'Полином 2'!D69)</x:f>
      </x:c>
      <x:c r="C68" s="3" t="str">
        <x:f>IF($A68="","",'Полином 3'!D69)</x:f>
      </x:c>
      <x:c r="D68" s="3" t="str">
        <x:f>IF($A68="","",'Степенная'!D69)</x:f>
      </x:c>
      <x:c r="E68" s="3" t="str">
        <x:f>IF($A68="","",'Логарифмическая'!D69)</x:f>
      </x:c>
      <x:c r="F68" s="3" t="str">
        <x:f>IF($A68="","",'Экспоненциальная'!D69)</x:f>
      </x:c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7" t="n">
        <x:v>45906</x:v>
      </x:c>
      <x:c r="S68" s="3" t="n">
        <x:v>226</x:v>
      </x:c>
      <x:c r="T68" s="4" t="n">
        <x:v>0</x:v>
      </x:c>
    </x:row>
    <x:row r="69" ht="15" customHeight="1">
      <x:c r="A69" s="7" t="str">
        <x:f>IF(52&lt;=$B$3,$B$4+52,"")</x:f>
      </x:c>
      <x:c r="B69" s="3" t="str">
        <x:f>IF($A69="","",'Полином 2'!D70)</x:f>
      </x:c>
      <x:c r="C69" s="3" t="str">
        <x:f>IF($A69="","",'Полином 3'!D70)</x:f>
      </x:c>
      <x:c r="D69" s="3" t="str">
        <x:f>IF($A69="","",'Степенная'!D70)</x:f>
      </x:c>
      <x:c r="E69" s="3" t="str">
        <x:f>IF($A69="","",'Логарифмическая'!D70)</x:f>
      </x:c>
      <x:c r="F69" s="3" t="str">
        <x:f>IF($A69="","",'Экспоненциальная'!D70)</x:f>
      </x:c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7" t="n">
        <x:v>45907</x:v>
      </x:c>
      <x:c r="S69" s="3" t="n">
        <x:v>226</x:v>
      </x:c>
      <x:c r="T69" s="4" t="n">
        <x:v>0</x:v>
      </x:c>
    </x:row>
    <x:row r="70" ht="15" customHeight="1">
      <x:c r="A70" s="7" t="str">
        <x:f>IF(53&lt;=$B$3,$B$4+53,"")</x:f>
      </x:c>
      <x:c r="B70" s="3" t="str">
        <x:f>IF($A70="","",'Полином 2'!D71)</x:f>
      </x:c>
      <x:c r="C70" s="3" t="str">
        <x:f>IF($A70="","",'Полином 3'!D71)</x:f>
      </x:c>
      <x:c r="D70" s="3" t="str">
        <x:f>IF($A70="","",'Степенная'!D71)</x:f>
      </x:c>
      <x:c r="E70" s="3" t="str">
        <x:f>IF($A70="","",'Логарифмическая'!D71)</x:f>
      </x:c>
      <x:c r="F70" s="3" t="str">
        <x:f>IF($A70="","",'Экспоненциальная'!D71)</x:f>
      </x:c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7" t="n">
        <x:v>45908</x:v>
      </x:c>
      <x:c r="S70" s="3" t="n">
        <x:v>222</x:v>
      </x:c>
      <x:c r="T70" s="4" t="n">
        <x:v>0</x:v>
      </x:c>
    </x:row>
    <x:row r="71" ht="15" customHeight="1">
      <x:c r="A71" s="7" t="str">
        <x:f>IF(54&lt;=$B$3,$B$4+54,"")</x:f>
      </x:c>
      <x:c r="B71" s="3" t="str">
        <x:f>IF($A71="","",'Полином 2'!D72)</x:f>
      </x:c>
      <x:c r="C71" s="3" t="str">
        <x:f>IF($A71="","",'Полином 3'!D72)</x:f>
      </x:c>
      <x:c r="D71" s="3" t="str">
        <x:f>IF($A71="","",'Степенная'!D72)</x:f>
      </x:c>
      <x:c r="E71" s="3" t="str">
        <x:f>IF($A71="","",'Логарифмическая'!D72)</x:f>
      </x:c>
      <x:c r="F71" s="3" t="str">
        <x:f>IF($A71="","",'Экспоненциальная'!D72)</x:f>
      </x:c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7" t="n">
        <x:v>45909</x:v>
      </x:c>
      <x:c r="S71" s="3" t="n">
        <x:v>218</x:v>
      </x:c>
      <x:c r="T71" s="4" t="n">
        <x:v>0</x:v>
      </x:c>
    </x:row>
    <x:row r="72" ht="15" customHeight="1">
      <x:c r="A72" s="7" t="str">
        <x:f>IF(55&lt;=$B$3,$B$4+55,"")</x:f>
      </x:c>
      <x:c r="B72" s="3" t="str">
        <x:f>IF($A72="","",'Полином 2'!D73)</x:f>
      </x:c>
      <x:c r="C72" s="3" t="str">
        <x:f>IF($A72="","",'Полином 3'!D73)</x:f>
      </x:c>
      <x:c r="D72" s="3" t="str">
        <x:f>IF($A72="","",'Степенная'!D73)</x:f>
      </x:c>
      <x:c r="E72" s="3" t="str">
        <x:f>IF($A72="","",'Логарифмическая'!D73)</x:f>
      </x:c>
      <x:c r="F72" s="3" t="str">
        <x:f>IF($A72="","",'Экспоненциальная'!D73)</x:f>
      </x:c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7" t="n">
        <x:v>45910</x:v>
      </x:c>
      <x:c r="S72" s="3" t="n">
        <x:v>209</x:v>
      </x:c>
      <x:c r="T72" s="4" t="n">
        <x:v>0</x:v>
      </x:c>
    </x:row>
    <x:row r="73" ht="15" customHeight="1">
      <x:c r="A73" s="7" t="str">
        <x:f>IF(56&lt;=$B$3,$B$4+56,"")</x:f>
      </x:c>
      <x:c r="B73" s="3" t="str">
        <x:f>IF($A73="","",'Полином 2'!D74)</x:f>
      </x:c>
      <x:c r="C73" s="3" t="str">
        <x:f>IF($A73="","",'Полином 3'!D74)</x:f>
      </x:c>
      <x:c r="D73" s="3" t="str">
        <x:f>IF($A73="","",'Степенная'!D74)</x:f>
      </x:c>
      <x:c r="E73" s="3" t="str">
        <x:f>IF($A73="","",'Логарифмическая'!D74)</x:f>
      </x:c>
      <x:c r="F73" s="3" t="str">
        <x:f>IF($A73="","",'Экспоненциальная'!D74)</x:f>
      </x:c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7" t="n">
        <x:v>45911</x:v>
      </x:c>
      <x:c r="S73" s="3" t="n">
        <x:v>207</x:v>
      </x:c>
      <x:c r="T73" s="4" t="n">
        <x:v>0</x:v>
      </x:c>
    </x:row>
    <x:row r="74" ht="15" customHeight="1">
      <x:c r="A74" s="7" t="str">
        <x:f>IF(57&lt;=$B$3,$B$4+57,"")</x:f>
      </x:c>
      <x:c r="B74" s="3" t="str">
        <x:f>IF($A74="","",'Полином 2'!D75)</x:f>
      </x:c>
      <x:c r="C74" s="3" t="str">
        <x:f>IF($A74="","",'Полином 3'!D75)</x:f>
      </x:c>
      <x:c r="D74" s="3" t="str">
        <x:f>IF($A74="","",'Степенная'!D75)</x:f>
      </x:c>
      <x:c r="E74" s="3" t="str">
        <x:f>IF($A74="","",'Логарифмическая'!D75)</x:f>
      </x:c>
      <x:c r="F74" s="3" t="str">
        <x:f>IF($A74="","",'Экспоненциальная'!D75)</x:f>
      </x:c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7" t="n">
        <x:v>45912</x:v>
      </x:c>
      <x:c r="S74" s="3" t="n">
        <x:v>204</x:v>
      </x:c>
      <x:c r="T74" s="4" t="n">
        <x:v>0</x:v>
      </x:c>
    </x:row>
    <x:row r="75" ht="15" customHeight="1">
      <x:c r="A75" s="7" t="str">
        <x:f>IF(58&lt;=$B$3,$B$4+58,"")</x:f>
      </x:c>
      <x:c r="B75" s="3" t="str">
        <x:f>IF($A75="","",'Полином 2'!D76)</x:f>
      </x:c>
      <x:c r="C75" s="3" t="str">
        <x:f>IF($A75="","",'Полином 3'!D76)</x:f>
      </x:c>
      <x:c r="D75" s="3" t="str">
        <x:f>IF($A75="","",'Степенная'!D76)</x:f>
      </x:c>
      <x:c r="E75" s="3" t="str">
        <x:f>IF($A75="","",'Логарифмическая'!D76)</x:f>
      </x:c>
      <x:c r="F75" s="3" t="str">
        <x:f>IF($A75="","",'Экспоненциальная'!D76)</x:f>
      </x:c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7" t="n">
        <x:v>45913</x:v>
      </x:c>
      <x:c r="S75" s="3" t="n">
        <x:v>201</x:v>
      </x:c>
      <x:c r="T75" s="4" t="n">
        <x:v>0</x:v>
      </x:c>
    </x:row>
    <x:row r="76" ht="15" customHeight="1">
      <x:c r="A76" s="7" t="str">
        <x:f>IF(59&lt;=$B$3,$B$4+59,"")</x:f>
      </x:c>
      <x:c r="B76" s="3" t="str">
        <x:f>IF($A76="","",'Полином 2'!D77)</x:f>
      </x:c>
      <x:c r="C76" s="3" t="str">
        <x:f>IF($A76="","",'Полином 3'!D77)</x:f>
      </x:c>
      <x:c r="D76" s="3" t="str">
        <x:f>IF($A76="","",'Степенная'!D77)</x:f>
      </x:c>
      <x:c r="E76" s="3" t="str">
        <x:f>IF($A76="","",'Логарифмическая'!D77)</x:f>
      </x:c>
      <x:c r="F76" s="3" t="str">
        <x:f>IF($A76="","",'Экспоненциальная'!D77)</x:f>
      </x:c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7" t="n">
        <x:v>45914</x:v>
      </x:c>
      <x:c r="S76" s="3" t="n">
        <x:v>202</x:v>
      </x:c>
      <x:c r="T76" s="4" t="n">
        <x:v>0</x:v>
      </x:c>
    </x:row>
    <x:row r="77" ht="15" customHeight="1">
      <x:c r="A77" s="7" t="str">
        <x:f>IF(60&lt;=$B$3,$B$4+60,"")</x:f>
      </x:c>
      <x:c r="B77" s="3" t="str">
        <x:f>IF($A77="","",'Полином 2'!D78)</x:f>
      </x:c>
      <x:c r="C77" s="3" t="str">
        <x:f>IF($A77="","",'Полином 3'!D78)</x:f>
      </x:c>
      <x:c r="D77" s="3" t="str">
        <x:f>IF($A77="","",'Степенная'!D78)</x:f>
      </x:c>
      <x:c r="E77" s="3" t="str">
        <x:f>IF($A77="","",'Логарифмическая'!D78)</x:f>
      </x:c>
      <x:c r="F77" s="3" t="str">
        <x:f>IF($A77="","",'Экспоненциальная'!D78)</x:f>
      </x:c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7" t="n">
        <x:v>45915</x:v>
      </x:c>
      <x:c r="S77" s="3" t="n">
        <x:v>204</x:v>
      </x:c>
      <x:c r="T77" s="4" t="n">
        <x:v>0</x:v>
      </x:c>
    </x:row>
    <x:row r="78" ht="15" customHeight="1">
      <x:c r="A78" s="7" t="str">
        <x:f>IF(61&lt;=$B$3,$B$4+61,"")</x:f>
      </x:c>
      <x:c r="B78" s="3" t="str">
        <x:f>IF($A78="","",'Полином 2'!D79)</x:f>
      </x:c>
      <x:c r="C78" s="3" t="str">
        <x:f>IF($A78="","",'Полином 3'!D79)</x:f>
      </x:c>
      <x:c r="D78" s="3" t="str">
        <x:f>IF($A78="","",'Степенная'!D79)</x:f>
      </x:c>
      <x:c r="E78" s="3" t="str">
        <x:f>IF($A78="","",'Логарифмическая'!D79)</x:f>
      </x:c>
      <x:c r="F78" s="3" t="str">
        <x:f>IF($A78="","",'Экспоненциальная'!D79)</x:f>
      </x:c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7" t="n">
        <x:v>45916</x:v>
      </x:c>
      <x:c r="S78" s="3" t="n">
        <x:v>213</x:v>
      </x:c>
      <x:c r="T78" s="4" t="n">
        <x:v>0</x:v>
      </x:c>
    </x:row>
    <x:row r="79" ht="15" customHeight="1">
      <x:c r="A79" s="7" t="str">
        <x:f>IF(62&lt;=$B$3,$B$4+62,"")</x:f>
      </x:c>
      <x:c r="B79" s="3" t="str">
        <x:f>IF($A79="","",'Полином 2'!D80)</x:f>
      </x:c>
      <x:c r="C79" s="3" t="str">
        <x:f>IF($A79="","",'Полином 3'!D80)</x:f>
      </x:c>
      <x:c r="D79" s="3" t="str">
        <x:f>IF($A79="","",'Степенная'!D80)</x:f>
      </x:c>
      <x:c r="E79" s="3" t="str">
        <x:f>IF($A79="","",'Логарифмическая'!D80)</x:f>
      </x:c>
      <x:c r="F79" s="3" t="str">
        <x:f>IF($A79="","",'Экспоненциальная'!D80)</x:f>
      </x:c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7" t="n">
        <x:v>45917</x:v>
      </x:c>
      <x:c r="S79" s="3" t="n">
        <x:v>219</x:v>
      </x:c>
      <x:c r="T79" s="4" t="n">
        <x:v>0</x:v>
      </x:c>
    </x:row>
    <x:row r="80" ht="15" customHeight="1">
      <x:c r="A80" s="7" t="str">
        <x:f>IF(63&lt;=$B$3,$B$4+63,"")</x:f>
      </x:c>
      <x:c r="B80" s="3" t="str">
        <x:f>IF($A80="","",'Полином 2'!D81)</x:f>
      </x:c>
      <x:c r="C80" s="3" t="str">
        <x:f>IF($A80="","",'Полином 3'!D81)</x:f>
      </x:c>
      <x:c r="D80" s="3" t="str">
        <x:f>IF($A80="","",'Степенная'!D81)</x:f>
      </x:c>
      <x:c r="E80" s="3" t="str">
        <x:f>IF($A80="","",'Логарифмическая'!D81)</x:f>
      </x:c>
      <x:c r="F80" s="3" t="str">
        <x:f>IF($A80="","",'Экспоненциальная'!D81)</x:f>
      </x:c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7" t="n">
        <x:v>45918</x:v>
      </x:c>
      <x:c r="S80" s="3" t="n">
        <x:v>227</x:v>
      </x:c>
      <x:c r="T80" s="4" t="n">
        <x:v>0</x:v>
      </x:c>
    </x:row>
    <x:row r="81" ht="15" customHeight="1">
      <x:c r="A81" s="7" t="str">
        <x:f>IF(64&lt;=$B$3,$B$4+64,"")</x:f>
      </x:c>
      <x:c r="B81" s="3" t="str">
        <x:f>IF($A81="","",'Полином 2'!D82)</x:f>
      </x:c>
      <x:c r="C81" s="3" t="str">
        <x:f>IF($A81="","",'Полином 3'!D82)</x:f>
      </x:c>
      <x:c r="D81" s="3" t="str">
        <x:f>IF($A81="","",'Степенная'!D82)</x:f>
      </x:c>
      <x:c r="E81" s="3" t="str">
        <x:f>IF($A81="","",'Логарифмическая'!D82)</x:f>
      </x:c>
      <x:c r="F81" s="3" t="str">
        <x:f>IF($A81="","",'Экспоненциальная'!D82)</x:f>
      </x:c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7" t="n">
        <x:v>45919</x:v>
      </x:c>
      <x:c r="S81" s="3" t="n">
        <x:v>241</x:v>
      </x:c>
      <x:c r="T81" s="4" t="n">
        <x:v>0</x:v>
      </x:c>
    </x:row>
    <x:row r="82" ht="15" customHeight="1">
      <x:c r="A82" s="7" t="str">
        <x:f>IF(65&lt;=$B$3,$B$4+65,"")</x:f>
      </x:c>
      <x:c r="B82" s="3" t="str">
        <x:f>IF($A82="","",'Полином 2'!D83)</x:f>
      </x:c>
      <x:c r="C82" s="3" t="str">
        <x:f>IF($A82="","",'Полином 3'!D83)</x:f>
      </x:c>
      <x:c r="D82" s="3" t="str">
        <x:f>IF($A82="","",'Степенная'!D83)</x:f>
      </x:c>
      <x:c r="E82" s="3" t="str">
        <x:f>IF($A82="","",'Логарифмическая'!D83)</x:f>
      </x:c>
      <x:c r="F82" s="3" t="str">
        <x:f>IF($A82="","",'Экспоненциальная'!D83)</x:f>
      </x:c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7" t="n">
        <x:v>45920</x:v>
      </x:c>
      <x:c r="S82" s="3" t="n">
        <x:v>249</x:v>
      </x:c>
      <x:c r="T82" s="4" t="n">
        <x:v>0</x:v>
      </x:c>
    </x:row>
    <x:row r="83" ht="15" customHeight="1">
      <x:c r="A83" s="7" t="str">
        <x:f>IF(66&lt;=$B$3,$B$4+66,"")</x:f>
      </x:c>
      <x:c r="B83" s="3" t="str">
        <x:f>IF($A83="","",'Полином 2'!D84)</x:f>
      </x:c>
      <x:c r="C83" s="3" t="str">
        <x:f>IF($A83="","",'Полином 3'!D84)</x:f>
      </x:c>
      <x:c r="D83" s="3" t="str">
        <x:f>IF($A83="","",'Степенная'!D84)</x:f>
      </x:c>
      <x:c r="E83" s="3" t="str">
        <x:f>IF($A83="","",'Логарифмическая'!D84)</x:f>
      </x:c>
      <x:c r="F83" s="3" t="str">
        <x:f>IF($A83="","",'Экспоненциальная'!D84)</x:f>
      </x:c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7" t="n">
        <x:v>45921</x:v>
      </x:c>
      <x:c r="S83" s="3" t="n">
        <x:v>260</x:v>
      </x:c>
      <x:c r="T83" s="4" t="n">
        <x:v>0</x:v>
      </x:c>
    </x:row>
    <x:row r="84" ht="15" customHeight="1">
      <x:c r="A84" s="7" t="str">
        <x:f>IF(67&lt;=$B$3,$B$4+67,"")</x:f>
      </x:c>
      <x:c r="B84" s="3" t="str">
        <x:f>IF($A84="","",'Полином 2'!D85)</x:f>
      </x:c>
      <x:c r="C84" s="3" t="str">
        <x:f>IF($A84="","",'Полином 3'!D85)</x:f>
      </x:c>
      <x:c r="D84" s="3" t="str">
        <x:f>IF($A84="","",'Степенная'!D85)</x:f>
      </x:c>
      <x:c r="E84" s="3" t="str">
        <x:f>IF($A84="","",'Логарифмическая'!D85)</x:f>
      </x:c>
      <x:c r="F84" s="3" t="str">
        <x:f>IF($A84="","",'Экспоненциальная'!D85)</x:f>
      </x:c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7" t="n">
        <x:v>45922</x:v>
      </x:c>
      <x:c r="S84" s="3" t="n">
        <x:v>272</x:v>
      </x:c>
      <x:c r="T84" s="4" t="n">
        <x:v>0</x:v>
      </x:c>
    </x:row>
    <x:row r="85" ht="15" customHeight="1">
      <x:c r="A85" s="7" t="str">
        <x:f>IF(68&lt;=$B$3,$B$4+68,"")</x:f>
      </x:c>
      <x:c r="B85" s="3" t="str">
        <x:f>IF($A85="","",'Полином 2'!D86)</x:f>
      </x:c>
      <x:c r="C85" s="3" t="str">
        <x:f>IF($A85="","",'Полином 3'!D86)</x:f>
      </x:c>
      <x:c r="D85" s="3" t="str">
        <x:f>IF($A85="","",'Степенная'!D86)</x:f>
      </x:c>
      <x:c r="E85" s="3" t="str">
        <x:f>IF($A85="","",'Логарифмическая'!D86)</x:f>
      </x:c>
      <x:c r="F85" s="3" t="str">
        <x:f>IF($A85="","",'Экспоненциальная'!D86)</x:f>
      </x:c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7" t="n">
        <x:v>45923</x:v>
      </x:c>
      <x:c r="S85" s="3" t="n">
        <x:v>279</x:v>
      </x:c>
      <x:c r="T85" s="4" t="n">
        <x:v>0</x:v>
      </x:c>
    </x:row>
    <x:row r="86" ht="15" customHeight="1">
      <x:c r="A86" s="7" t="str">
        <x:f>IF(69&lt;=$B$3,$B$4+69,"")</x:f>
      </x:c>
      <x:c r="B86" s="3" t="str">
        <x:f>IF($A86="","",'Полином 2'!D87)</x:f>
      </x:c>
      <x:c r="C86" s="3" t="str">
        <x:f>IF($A86="","",'Полином 3'!D87)</x:f>
      </x:c>
      <x:c r="D86" s="3" t="str">
        <x:f>IF($A86="","",'Степенная'!D87)</x:f>
      </x:c>
      <x:c r="E86" s="3" t="str">
        <x:f>IF($A86="","",'Логарифмическая'!D87)</x:f>
      </x:c>
      <x:c r="F86" s="3" t="str">
        <x:f>IF($A86="","",'Экспоненциальная'!D87)</x:f>
      </x:c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7" t="n">
        <x:v>45924</x:v>
      </x:c>
      <x:c r="S86" s="3" t="n">
        <x:v>284</x:v>
      </x:c>
      <x:c r="T86" s="4" t="n">
        <x:v>0</x:v>
      </x:c>
    </x:row>
    <x:row r="87" ht="15" customHeight="1">
      <x:c r="A87" s="7" t="str">
        <x:f>IF(70&lt;=$B$3,$B$4+70,"")</x:f>
      </x:c>
      <x:c r="B87" s="3" t="str">
        <x:f>IF($A87="","",'Полином 2'!D88)</x:f>
      </x:c>
      <x:c r="C87" s="3" t="str">
        <x:f>IF($A87="","",'Полином 3'!D88)</x:f>
      </x:c>
      <x:c r="D87" s="3" t="str">
        <x:f>IF($A87="","",'Степенная'!D88)</x:f>
      </x:c>
      <x:c r="E87" s="3" t="str">
        <x:f>IF($A87="","",'Логарифмическая'!D88)</x:f>
      </x:c>
      <x:c r="F87" s="3" t="str">
        <x:f>IF($A87="","",'Экспоненциальная'!D88)</x:f>
      </x:c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7" t="n">
        <x:v>45925</x:v>
      </x:c>
      <x:c r="S87" s="3" t="n">
        <x:v>288</x:v>
      </x:c>
      <x:c r="T87" s="4" t="n">
        <x:v>0</x:v>
      </x:c>
    </x:row>
    <x:row r="88" ht="15" customHeight="1">
      <x:c r="A88" s="7" t="str">
        <x:f>IF(71&lt;=$B$3,$B$4+71,"")</x:f>
      </x:c>
      <x:c r="B88" s="3" t="str">
        <x:f>IF($A88="","",'Полином 2'!D89)</x:f>
      </x:c>
      <x:c r="C88" s="3" t="str">
        <x:f>IF($A88="","",'Полином 3'!D89)</x:f>
      </x:c>
      <x:c r="D88" s="3" t="str">
        <x:f>IF($A88="","",'Степенная'!D89)</x:f>
      </x:c>
      <x:c r="E88" s="3" t="str">
        <x:f>IF($A88="","",'Логарифмическая'!D89)</x:f>
      </x:c>
      <x:c r="F88" s="3" t="str">
        <x:f>IF($A88="","",'Экспоненциальная'!D89)</x:f>
      </x:c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7" t="n">
        <x:v>45926</x:v>
      </x:c>
      <x:c r="S88" s="3" t="n">
        <x:v>290</x:v>
      </x:c>
      <x:c r="T88" s="4" t="n">
        <x:v>0</x:v>
      </x:c>
    </x:row>
    <x:row r="89" ht="15" customHeight="1">
      <x:c r="A89" s="7" t="str">
        <x:f>IF(72&lt;=$B$3,$B$4+72,"")</x:f>
      </x:c>
      <x:c r="B89" s="3" t="str">
        <x:f>IF($A89="","",'Полином 2'!D90)</x:f>
      </x:c>
      <x:c r="C89" s="3" t="str">
        <x:f>IF($A89="","",'Полином 3'!D90)</x:f>
      </x:c>
      <x:c r="D89" s="3" t="str">
        <x:f>IF($A89="","",'Степенная'!D90)</x:f>
      </x:c>
      <x:c r="E89" s="3" t="str">
        <x:f>IF($A89="","",'Логарифмическая'!D90)</x:f>
      </x:c>
      <x:c r="F89" s="3" t="str">
        <x:f>IF($A89="","",'Экспоненциальная'!D90)</x:f>
      </x:c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7" t="n">
        <x:v>45927</x:v>
      </x:c>
      <x:c r="S89" s="3" t="n">
        <x:v>291</x:v>
      </x:c>
      <x:c r="T89" s="4" t="n">
        <x:v>0</x:v>
      </x:c>
    </x:row>
    <x:row r="90" ht="15" customHeight="1">
      <x:c r="A90" s="7" t="str">
        <x:f>IF(73&lt;=$B$3,$B$4+73,"")</x:f>
      </x:c>
      <x:c r="B90" s="3" t="str">
        <x:f>IF($A90="","",'Полином 2'!D91)</x:f>
      </x:c>
      <x:c r="C90" s="3" t="str">
        <x:f>IF($A90="","",'Полином 3'!D91)</x:f>
      </x:c>
      <x:c r="D90" s="3" t="str">
        <x:f>IF($A90="","",'Степенная'!D91)</x:f>
      </x:c>
      <x:c r="E90" s="3" t="str">
        <x:f>IF($A90="","",'Логарифмическая'!D91)</x:f>
      </x:c>
      <x:c r="F90" s="3" t="str">
        <x:f>IF($A90="","",'Экспоненциальная'!D91)</x:f>
      </x:c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7" t="n">
        <x:v>45928</x:v>
      </x:c>
      <x:c r="S90" s="3" t="n">
        <x:v>290</x:v>
      </x:c>
      <x:c r="T90" s="4" t="n">
        <x:v>0</x:v>
      </x:c>
    </x:row>
    <x:row r="91" ht="15" customHeight="1">
      <x:c r="A91" s="7" t="str">
        <x:f>IF(74&lt;=$B$3,$B$4+74,"")</x:f>
      </x:c>
      <x:c r="B91" s="3" t="str">
        <x:f>IF($A91="","",'Полином 2'!D92)</x:f>
      </x:c>
      <x:c r="C91" s="3" t="str">
        <x:f>IF($A91="","",'Полином 3'!D92)</x:f>
      </x:c>
      <x:c r="D91" s="3" t="str">
        <x:f>IF($A91="","",'Степенная'!D92)</x:f>
      </x:c>
      <x:c r="E91" s="3" t="str">
        <x:f>IF($A91="","",'Логарифмическая'!D92)</x:f>
      </x:c>
      <x:c r="F91" s="3" t="str">
        <x:f>IF($A91="","",'Экспоненциальная'!D92)</x:f>
      </x:c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7" t="n">
        <x:v>45929</x:v>
      </x:c>
      <x:c r="S91" s="3" t="n">
        <x:v>290</x:v>
      </x:c>
      <x:c r="T91" s="4" t="n">
        <x:v>0</x:v>
      </x:c>
    </x:row>
    <x:row r="92" ht="15" customHeight="1">
      <x:c r="A92" s="7" t="str">
        <x:f>IF(75&lt;=$B$3,$B$4+75,"")</x:f>
      </x:c>
      <x:c r="B92" s="3" t="str">
        <x:f>IF($A92="","",'Полином 2'!D93)</x:f>
      </x:c>
      <x:c r="C92" s="3" t="str">
        <x:f>IF($A92="","",'Полином 3'!D93)</x:f>
      </x:c>
      <x:c r="D92" s="3" t="str">
        <x:f>IF($A92="","",'Степенная'!D93)</x:f>
      </x:c>
      <x:c r="E92" s="3" t="str">
        <x:f>IF($A92="","",'Логарифмическая'!D93)</x:f>
      </x:c>
      <x:c r="F92" s="3" t="str">
        <x:f>IF($A92="","",'Экспоненциальная'!D93)</x:f>
      </x:c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7" t="n">
        <x:v>45930</x:v>
      </x:c>
      <x:c r="S92" s="3" t="n">
        <x:v>293</x:v>
      </x:c>
      <x:c r="T92" s="4" t="n">
        <x:v>0</x:v>
      </x:c>
    </x:row>
    <x:row r="93" ht="15" customHeight="1">
      <x:c r="A93" s="7" t="str">
        <x:f>IF(76&lt;=$B$3,$B$4+76,"")</x:f>
      </x:c>
      <x:c r="B93" s="3" t="str">
        <x:f>IF($A93="","",'Полином 2'!D94)</x:f>
      </x:c>
      <x:c r="C93" s="3" t="str">
        <x:f>IF($A93="","",'Полином 3'!D94)</x:f>
      </x:c>
      <x:c r="D93" s="3" t="str">
        <x:f>IF($A93="","",'Степенная'!D94)</x:f>
      </x:c>
      <x:c r="E93" s="3" t="str">
        <x:f>IF($A93="","",'Логарифмическая'!D94)</x:f>
      </x:c>
      <x:c r="F93" s="3" t="str">
        <x:f>IF($A93="","",'Экспоненциальная'!D94)</x:f>
      </x:c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7" t="n">
        <x:v>45931</x:v>
      </x:c>
      <x:c r="S93" s="3" t="n">
        <x:v>292</x:v>
      </x:c>
      <x:c r="T93" s="4" t="n">
        <x:v>0</x:v>
      </x:c>
    </x:row>
    <x:row r="94" ht="15" customHeight="1">
      <x:c r="A94" s="7" t="str">
        <x:f>IF(77&lt;=$B$3,$B$4+77,"")</x:f>
      </x:c>
      <x:c r="B94" s="3" t="str">
        <x:f>IF($A94="","",'Полином 2'!D95)</x:f>
      </x:c>
      <x:c r="C94" s="3" t="str">
        <x:f>IF($A94="","",'Полином 3'!D95)</x:f>
      </x:c>
      <x:c r="D94" s="3" t="str">
        <x:f>IF($A94="","",'Степенная'!D95)</x:f>
      </x:c>
      <x:c r="E94" s="3" t="str">
        <x:f>IF($A94="","",'Логарифмическая'!D95)</x:f>
      </x:c>
      <x:c r="F94" s="3" t="str">
        <x:f>IF($A94="","",'Экспоненциальная'!D95)</x:f>
      </x:c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7" t="n">
        <x:v>45932</x:v>
      </x:c>
      <x:c r="S94" s="3" t="n">
        <x:v>284</x:v>
      </x:c>
      <x:c r="T94" s="4" t="n">
        <x:v>0</x:v>
      </x:c>
    </x:row>
    <x:row r="95" ht="15" customHeight="1">
      <x:c r="A95" s="7" t="str">
        <x:f>IF(78&lt;=$B$3,$B$4+78,"")</x:f>
      </x:c>
      <x:c r="B95" s="3" t="str">
        <x:f>IF($A95="","",'Полином 2'!D96)</x:f>
      </x:c>
      <x:c r="C95" s="3" t="str">
        <x:f>IF($A95="","",'Полином 3'!D96)</x:f>
      </x:c>
      <x:c r="D95" s="3" t="str">
        <x:f>IF($A95="","",'Степенная'!D96)</x:f>
      </x:c>
      <x:c r="E95" s="3" t="str">
        <x:f>IF($A95="","",'Логарифмическая'!D96)</x:f>
      </x:c>
      <x:c r="F95" s="3" t="str">
        <x:f>IF($A95="","",'Экспоненциальная'!D96)</x:f>
      </x:c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7" t="n">
        <x:v>45933</x:v>
      </x:c>
      <x:c r="S95" s="3" t="n">
        <x:v>274</x:v>
      </x:c>
      <x:c r="T95" s="4" t="n">
        <x:v>0</x:v>
      </x:c>
    </x:row>
    <x:row r="96" ht="15" customHeight="1">
      <x:c r="A96" s="7" t="str">
        <x:f>IF(79&lt;=$B$3,$B$4+79,"")</x:f>
      </x:c>
      <x:c r="B96" s="3" t="str">
        <x:f>IF($A96="","",'Полином 2'!D97)</x:f>
      </x:c>
      <x:c r="C96" s="3" t="str">
        <x:f>IF($A96="","",'Полином 3'!D97)</x:f>
      </x:c>
      <x:c r="D96" s="3" t="str">
        <x:f>IF($A96="","",'Степенная'!D97)</x:f>
      </x:c>
      <x:c r="E96" s="3" t="str">
        <x:f>IF($A96="","",'Логарифмическая'!D97)</x:f>
      </x:c>
      <x:c r="F96" s="3" t="str">
        <x:f>IF($A96="","",'Экспоненциальная'!D97)</x:f>
      </x:c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7" t="n">
        <x:v>45934</x:v>
      </x:c>
      <x:c r="S96" s="3" t="n">
        <x:v>258</x:v>
      </x:c>
      <x:c r="T96" s="4" t="n">
        <x:v>0</x:v>
      </x:c>
    </x:row>
    <x:row r="97" ht="15" customHeight="1">
      <x:c r="A97" s="7" t="str">
        <x:f>IF(80&lt;=$B$3,$B$4+80,"")</x:f>
      </x:c>
      <x:c r="B97" s="3" t="str">
        <x:f>IF($A97="","",'Полином 2'!D98)</x:f>
      </x:c>
      <x:c r="C97" s="3" t="str">
        <x:f>IF($A97="","",'Полином 3'!D98)</x:f>
      </x:c>
      <x:c r="D97" s="3" t="str">
        <x:f>IF($A97="","",'Степенная'!D98)</x:f>
      </x:c>
      <x:c r="E97" s="3" t="str">
        <x:f>IF($A97="","",'Логарифмическая'!D98)</x:f>
      </x:c>
      <x:c r="F97" s="3" t="str">
        <x:f>IF($A97="","",'Экспоненциальная'!D98)</x:f>
      </x:c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7" t="n">
        <x:v>45935</x:v>
      </x:c>
      <x:c r="S97" s="3" t="n">
        <x:v>240</x:v>
      </x:c>
      <x:c r="T97" s="4" t="n">
        <x:v>0</x:v>
      </x:c>
    </x:row>
    <x:row r="98" ht="15" customHeight="1">
      <x:c r="A98" s="7" t="str">
        <x:f>IF(81&lt;=$B$3,$B$4+81,"")</x:f>
      </x:c>
      <x:c r="B98" s="3" t="str">
        <x:f>IF($A98="","",'Полином 2'!D99)</x:f>
      </x:c>
      <x:c r="C98" s="3" t="str">
        <x:f>IF($A98="","",'Полином 3'!D99)</x:f>
      </x:c>
      <x:c r="D98" s="3" t="str">
        <x:f>IF($A98="","",'Степенная'!D99)</x:f>
      </x:c>
      <x:c r="E98" s="3" t="str">
        <x:f>IF($A98="","",'Логарифмическая'!D99)</x:f>
      </x:c>
      <x:c r="F98" s="3" t="str">
        <x:f>IF($A98="","",'Экспоненциальная'!D99)</x:f>
      </x:c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7" t="n">
        <x:v>45936</x:v>
      </x:c>
      <x:c r="S98" s="3" t="n">
        <x:v>224</x:v>
      </x:c>
      <x:c r="T98" s="4" t="n">
        <x:v>0</x:v>
      </x:c>
    </x:row>
    <x:row r="99" ht="15" customHeight="1">
      <x:c r="A99" s="7" t="str">
        <x:f>IF(82&lt;=$B$3,$B$4+82,"")</x:f>
      </x:c>
      <x:c r="B99" s="3" t="str">
        <x:f>IF($A99="","",'Полином 2'!D100)</x:f>
      </x:c>
      <x:c r="C99" s="3" t="str">
        <x:f>IF($A99="","",'Полином 3'!D100)</x:f>
      </x:c>
      <x:c r="D99" s="3" t="str">
        <x:f>IF($A99="","",'Степенная'!D100)</x:f>
      </x:c>
      <x:c r="E99" s="3" t="str">
        <x:f>IF($A99="","",'Логарифмическая'!D100)</x:f>
      </x:c>
      <x:c r="F99" s="3" t="str">
        <x:f>IF($A99="","",'Экспоненциальная'!D100)</x:f>
      </x:c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7" t="n">
        <x:v>45937</x:v>
      </x:c>
      <x:c r="S99" s="3" t="n">
        <x:v>210</x:v>
      </x:c>
      <x:c r="T99" s="4" t="n">
        <x:v>0</x:v>
      </x:c>
    </x:row>
    <x:row r="100" ht="15" customHeight="1">
      <x:c r="A100" s="7" t="str">
        <x:f>IF(83&lt;=$B$3,$B$4+83,"")</x:f>
      </x:c>
      <x:c r="B100" s="3" t="str">
        <x:f>IF($A100="","",'Полином 2'!D101)</x:f>
      </x:c>
      <x:c r="C100" s="3" t="str">
        <x:f>IF($A100="","",'Полином 3'!D101)</x:f>
      </x:c>
      <x:c r="D100" s="3" t="str">
        <x:f>IF($A100="","",'Степенная'!D101)</x:f>
      </x:c>
      <x:c r="E100" s="3" t="str">
        <x:f>IF($A100="","",'Логарифмическая'!D101)</x:f>
      </x:c>
      <x:c r="F100" s="3" t="str">
        <x:f>IF($A100="","",'Экспоненциальная'!D101)</x:f>
      </x:c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7" t="n">
        <x:v>45938</x:v>
      </x:c>
      <x:c r="S100" s="3" t="n">
        <x:v>198</x:v>
      </x:c>
      <x:c r="T100" s="4" t="n">
        <x:v>0</x:v>
      </x:c>
    </x:row>
    <x:row r="101" ht="15" customHeight="1">
      <x:c r="A101" s="7" t="str">
        <x:f>IF(84&lt;=$B$3,$B$4+84,"")</x:f>
      </x:c>
      <x:c r="B101" s="3" t="str">
        <x:f>IF($A101="","",'Полином 2'!D102)</x:f>
      </x:c>
      <x:c r="C101" s="3" t="str">
        <x:f>IF($A101="","",'Полином 3'!D102)</x:f>
      </x:c>
      <x:c r="D101" s="3" t="str">
        <x:f>IF($A101="","",'Степенная'!D102)</x:f>
      </x:c>
      <x:c r="E101" s="3" t="str">
        <x:f>IF($A101="","",'Логарифмическая'!D102)</x:f>
      </x:c>
      <x:c r="F101" s="3" t="str">
        <x:f>IF($A101="","",'Экспоненциальная'!D102)</x:f>
      </x:c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7" t="n">
        <x:v>45939</x:v>
      </x:c>
      <x:c r="S101" s="3" t="n">
        <x:v>178</x:v>
      </x:c>
      <x:c r="T101" s="4" t="n">
        <x:v>0</x:v>
      </x:c>
    </x:row>
    <x:row r="102" ht="15" customHeight="1">
      <x:c r="A102" s="7" t="str">
        <x:f>IF(85&lt;=$B$3,$B$4+85,"")</x:f>
      </x:c>
      <x:c r="B102" s="3" t="str">
        <x:f>IF($A102="","",'Полином 2'!D103)</x:f>
      </x:c>
      <x:c r="C102" s="3" t="str">
        <x:f>IF($A102="","",'Полином 3'!D103)</x:f>
      </x:c>
      <x:c r="D102" s="3" t="str">
        <x:f>IF($A102="","",'Степенная'!D103)</x:f>
      </x:c>
      <x:c r="E102" s="3" t="str">
        <x:f>IF($A102="","",'Логарифмическая'!D103)</x:f>
      </x:c>
      <x:c r="F102" s="3" t="str">
        <x:f>IF($A102="","",'Экспоненциальная'!D103)</x:f>
      </x:c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7" t="n">
        <x:v>45940</x:v>
      </x:c>
      <x:c r="S102" s="3" t="n">
        <x:v>163</x:v>
      </x:c>
      <x:c r="T102" s="4" t="n">
        <x:v>0</x:v>
      </x:c>
    </x:row>
    <x:row r="103" ht="15" customHeight="1">
      <x:c r="A103" s="7" t="str">
        <x:f>IF(86&lt;=$B$3,$B$4+86,"")</x:f>
      </x:c>
      <x:c r="B103" s="3" t="str">
        <x:f>IF($A103="","",'Полином 2'!D104)</x:f>
      </x:c>
      <x:c r="C103" s="3" t="str">
        <x:f>IF($A103="","",'Полином 3'!D104)</x:f>
      </x:c>
      <x:c r="D103" s="3" t="str">
        <x:f>IF($A103="","",'Степенная'!D104)</x:f>
      </x:c>
      <x:c r="E103" s="3" t="str">
        <x:f>IF($A103="","",'Логарифмическая'!D104)</x:f>
      </x:c>
      <x:c r="F103" s="3" t="str">
        <x:f>IF($A103="","",'Экспоненциальная'!D104)</x:f>
      </x:c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7" t="n">
        <x:v>45941</x:v>
      </x:c>
      <x:c r="S103" s="3" t="n">
        <x:v>152</x:v>
      </x:c>
      <x:c r="T103" s="4" t="n">
        <x:v>0</x:v>
      </x:c>
    </x:row>
    <x:row r="104" ht="15" customHeight="1">
      <x:c r="A104" s="7" t="str">
        <x:f>IF(87&lt;=$B$3,$B$4+87,"")</x:f>
      </x:c>
      <x:c r="B104" s="3" t="str">
        <x:f>IF($A104="","",'Полином 2'!D105)</x:f>
      </x:c>
      <x:c r="C104" s="3" t="str">
        <x:f>IF($A104="","",'Полином 3'!D105)</x:f>
      </x:c>
      <x:c r="D104" s="3" t="str">
        <x:f>IF($A104="","",'Степенная'!D105)</x:f>
      </x:c>
      <x:c r="E104" s="3" t="str">
        <x:f>IF($A104="","",'Логарифмическая'!D105)</x:f>
      </x:c>
      <x:c r="F104" s="3" t="str">
        <x:f>IF($A104="","",'Экспоненциальная'!D105)</x:f>
      </x:c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7" t="n">
        <x:v>45942</x:v>
      </x:c>
      <x:c r="S104" s="3" t="n">
        <x:v>138</x:v>
      </x:c>
      <x:c r="T104" s="4" t="n">
        <x:v>0</x:v>
      </x:c>
    </x:row>
    <x:row r="105" ht="15" customHeight="1">
      <x:c r="A105" s="7" t="str">
        <x:f>IF(88&lt;=$B$3,$B$4+88,"")</x:f>
      </x:c>
      <x:c r="B105" s="3" t="str">
        <x:f>IF($A105="","",'Полином 2'!D106)</x:f>
      </x:c>
      <x:c r="C105" s="3" t="str">
        <x:f>IF($A105="","",'Полином 3'!D106)</x:f>
      </x:c>
      <x:c r="D105" s="3" t="str">
        <x:f>IF($A105="","",'Степенная'!D106)</x:f>
      </x:c>
      <x:c r="E105" s="3" t="str">
        <x:f>IF($A105="","",'Логарифмическая'!D106)</x:f>
      </x:c>
      <x:c r="F105" s="3" t="str">
        <x:f>IF($A105="","",'Экспоненциальная'!D106)</x:f>
      </x:c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7" t="n">
        <x:v>45943</x:v>
      </x:c>
      <x:c r="S105" s="3" t="n">
        <x:v>123</x:v>
      </x:c>
      <x:c r="T105" s="4" t="n">
        <x:v>0</x:v>
      </x:c>
    </x:row>
    <x:row r="106" ht="15" customHeight="1">
      <x:c r="A106" s="7" t="str">
        <x:f>IF(89&lt;=$B$3,$B$4+89,"")</x:f>
      </x:c>
      <x:c r="B106" s="3" t="str">
        <x:f>IF($A106="","",'Полином 2'!D107)</x:f>
      </x:c>
      <x:c r="C106" s="3" t="str">
        <x:f>IF($A106="","",'Полином 3'!D107)</x:f>
      </x:c>
      <x:c r="D106" s="3" t="str">
        <x:f>IF($A106="","",'Степенная'!D107)</x:f>
      </x:c>
      <x:c r="E106" s="3" t="str">
        <x:f>IF($A106="","",'Логарифмическая'!D107)</x:f>
      </x:c>
      <x:c r="F106" s="3" t="str">
        <x:f>IF($A106="","",'Экспоненциальная'!D107)</x:f>
      </x:c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7" t="n">
        <x:v>45944</x:v>
      </x:c>
      <x:c r="S106" s="3" t="n">
        <x:v>111</x:v>
      </x:c>
      <x:c r="T106" s="4" t="n">
        <x:v>0</x:v>
      </x:c>
    </x:row>
    <x:row r="107" ht="15" customHeight="1">
      <x:c r="A107" s="7" t="str">
        <x:f>IF(90&lt;=$B$3,$B$4+90,"")</x:f>
      </x:c>
      <x:c r="B107" s="3" t="str">
        <x:f>IF($A107="","",'Полином 2'!D108)</x:f>
      </x:c>
      <x:c r="C107" s="3" t="str">
        <x:f>IF($A107="","",'Полином 3'!D108)</x:f>
      </x:c>
      <x:c r="D107" s="3" t="str">
        <x:f>IF($A107="","",'Степенная'!D108)</x:f>
      </x:c>
      <x:c r="E107" s="3" t="str">
        <x:f>IF($A107="","",'Логарифмическая'!D108)</x:f>
      </x:c>
      <x:c r="F107" s="3" t="str">
        <x:f>IF($A107="","",'Экспоненциальная'!D108)</x:f>
      </x:c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7" t="n">
        <x:v>45945</x:v>
      </x:c>
      <x:c r="S107" s="3" t="n">
        <x:v>100</x:v>
      </x:c>
      <x:c r="T107" s="4" t="n">
        <x:v>0</x:v>
      </x:c>
    </x:row>
    <x:row r="108" ht="15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7" t="n">
        <x:v>45946</x:v>
      </x:c>
      <x:c r="S108" s="3" t="n">
        <x:v>89</x:v>
      </x:c>
      <x:c r="T108" s="4" t="n">
        <x:v>0</x:v>
      </x:c>
    </x:row>
    <x:row r="109" ht="15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7" t="n">
        <x:v>45947</x:v>
      </x:c>
      <x:c r="S109" s="3" t="n">
        <x:v>79</x:v>
      </x:c>
      <x:c r="T109" s="4" t="n">
        <x:v>0</x:v>
      </x:c>
    </x:row>
    <x:row r="110" ht="15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7" t="n">
        <x:v>45948</x:v>
      </x:c>
      <x:c r="S110" s="3" t="n">
        <x:v>66</x:v>
      </x:c>
      <x:c r="T110" s="4" t="n">
        <x:v>0</x:v>
      </x:c>
    </x:row>
    <x:row r="111" ht="15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7" t="n">
        <x:v>45949</x:v>
      </x:c>
      <x:c r="S111" s="3" t="n">
        <x:v>56</x:v>
      </x:c>
      <x:c r="T111" s="4" t="n">
        <x:v>0</x:v>
      </x:c>
    </x:row>
    <x:row r="112" ht="15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7" t="n">
        <x:v>45950</x:v>
      </x:c>
      <x:c r="S112" s="3" t="n">
        <x:v>46</x:v>
      </x:c>
      <x:c r="T112" s="4" t="n">
        <x:v>0</x:v>
      </x:c>
    </x:row>
    <x:row r="113" ht="15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7" t="n">
        <x:v>45951</x:v>
      </x:c>
      <x:c r="S113" s="3" t="n">
        <x:v>36</x:v>
      </x:c>
      <x:c r="T113" s="4" t="n">
        <x:v>0</x:v>
      </x:c>
    </x:row>
    <x:row r="114" ht="15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7" t="n">
        <x:v>45952</x:v>
      </x:c>
      <x:c r="S114" s="3" t="n">
        <x:v>30</x:v>
      </x:c>
      <x:c r="T114" s="4" t="n">
        <x:v>0</x:v>
      </x:c>
    </x:row>
    <x:row r="115" ht="15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7" t="n">
        <x:v>45953</x:v>
      </x:c>
      <x:c r="S115" s="3" t="n">
        <x:v>19</x:v>
      </x:c>
      <x:c r="T115" s="4" t="n">
        <x:v>0</x:v>
      </x:c>
    </x:row>
    <x:row r="116" ht="15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7" t="n">
        <x:v>45954</x:v>
      </x:c>
      <x:c r="S116" s="3" t="n">
        <x:v>12</x:v>
      </x:c>
      <x:c r="T116" s="4" t="n">
        <x:v>0</x:v>
      </x:c>
    </x:row>
    <x:row r="117" ht="15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7" t="n">
        <x:v>45955</x:v>
      </x:c>
      <x:c r="S117" s="3" t="n">
        <x:v>5</x:v>
      </x:c>
      <x:c r="T117" s="4" t="n">
        <x:v>0</x:v>
      </x:c>
    </x:row>
    <x:row r="118" ht="15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7" t="n">
        <x:v>45956</x:v>
      </x:c>
      <x:c r="S118" s="3" t="n">
        <x:v>-1</x:v>
      </x:c>
      <x:c r="T118" s="4" t="n">
        <x:v>0</x:v>
      </x:c>
    </x:row>
    <x:row r="119" ht="15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7" t="n">
        <x:v>45957</x:v>
      </x:c>
      <x:c r="S119" s="3" t="n">
        <x:v>-11</x:v>
      </x:c>
      <x:c r="T119" s="4" t="n">
        <x:v>0</x:v>
      </x:c>
    </x:row>
    <x:row r="120" ht="15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7" t="n">
        <x:v>45958</x:v>
      </x:c>
      <x:c r="S120" s="3" t="n">
        <x:v>-20</x:v>
      </x:c>
      <x:c r="T120" s="4" t="n">
        <x:v>0</x:v>
      </x:c>
    </x:row>
    <x:row r="121" ht="15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7" t="n">
        <x:v>45959</x:v>
      </x:c>
      <x:c r="S121" s="3" t="n">
        <x:v>-27</x:v>
      </x:c>
      <x:c r="T121" s="4" t="n">
        <x:v>0</x:v>
      </x:c>
    </x:row>
    <x:row r="122" ht="15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7" t="n">
        <x:v>45960</x:v>
      </x:c>
      <x:c r="S122" s="3" t="n">
        <x:v>-33</x:v>
      </x:c>
      <x:c r="T122" s="4" t="n">
        <x:v>0</x:v>
      </x:c>
    </x:row>
    <x:row r="123" ht="15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7" t="n">
        <x:v>45961</x:v>
      </x:c>
      <x:c r="S123" s="3" t="n">
        <x:v>-36</x:v>
      </x:c>
      <x:c r="T123" s="4" t="n">
        <x:v>0</x:v>
      </x:c>
    </x:row>
    <x:row r="124" ht="15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7" t="n">
        <x:v>45962</x:v>
      </x:c>
      <x:c r="S124" s="3" t="n">
        <x:v>-37</x:v>
      </x:c>
      <x:c r="T124" s="4" t="n">
        <x:v>0</x:v>
      </x:c>
    </x:row>
    <x:row r="125" ht="15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7" t="n">
        <x:v>45963</x:v>
      </x:c>
      <x:c r="S125" s="3" t="n">
        <x:v>-40</x:v>
      </x:c>
      <x:c r="T125" s="4" t="n">
        <x:v>0</x:v>
      </x:c>
    </x:row>
    <x:row r="126" ht="15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7" t="n">
        <x:v>45964</x:v>
      </x:c>
      <x:c r="S126" s="3" t="n">
        <x:v>-46</x:v>
      </x:c>
      <x:c r="T126" s="4" t="n">
        <x:v>0</x:v>
      </x:c>
    </x:row>
    <x:row r="127" ht="15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7" t="n">
        <x:v>45965</x:v>
      </x:c>
      <x:c r="S127" s="3" t="n">
        <x:v>-49</x:v>
      </x:c>
      <x:c r="T127" s="4" t="n">
        <x:v>0</x:v>
      </x:c>
    </x:row>
    <x:row r="128" ht="15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7" t="n">
        <x:v>45966</x:v>
      </x:c>
      <x:c r="S128" s="3" t="n">
        <x:v>-56</x:v>
      </x:c>
      <x:c r="T128" s="4" t="n">
        <x:v>0</x:v>
      </x:c>
    </x:row>
    <x:row r="129" ht="15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7" t="n">
        <x:v>45967</x:v>
      </x:c>
      <x:c r="S129" s="3" t="n">
        <x:v>-61</x:v>
      </x:c>
      <x:c r="T129" s="4" t="n">
        <x:v>0</x:v>
      </x:c>
    </x:row>
    <x:row r="130" ht="15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7" t="n">
        <x:v>45968</x:v>
      </x:c>
      <x:c r="S130" s="3" t="n">
        <x:v>-69</x:v>
      </x:c>
      <x:c r="T130" s="4" t="n">
        <x:v>0</x:v>
      </x:c>
    </x:row>
    <x:row r="131" ht="15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7" t="n">
        <x:v>45969</x:v>
      </x:c>
      <x:c r="S131" s="3" t="n">
        <x:v>-74</x:v>
      </x:c>
      <x:c r="T131" s="4" t="n">
        <x:v>0</x:v>
      </x:c>
    </x:row>
    <x:row r="132" ht="15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7" t="n">
        <x:v>45970</x:v>
      </x:c>
      <x:c r="S132" s="3" t="n">
        <x:v>-80</x:v>
      </x:c>
      <x:c r="T132" s="4" t="n">
        <x:v>0</x:v>
      </x:c>
    </x:row>
    <x:row r="133" ht="15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7" t="n">
        <x:v>45971</x:v>
      </x:c>
      <x:c r="S133" s="3" t="n">
        <x:v>-83</x:v>
      </x:c>
      <x:c r="T133" s="4" t="n">
        <x:v>0</x:v>
      </x:c>
    </x:row>
    <x:row r="134" ht="15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7" t="n">
        <x:v>45972</x:v>
      </x:c>
      <x:c r="S134" s="3" t="n">
        <x:v>-89</x:v>
      </x:c>
      <x:c r="T134" s="4" t="n">
        <x:v>0</x:v>
      </x:c>
    </x:row>
    <x:row r="135" ht="15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7" t="n">
        <x:v>45973</x:v>
      </x:c>
      <x:c r="S135" s="3" t="n">
        <x:v>-88</x:v>
      </x:c>
      <x:c r="T135" s="4" t="n">
        <x:v>0</x:v>
      </x:c>
    </x:row>
    <x:row r="136" ht="15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7" t="n">
        <x:v>45974</x:v>
      </x:c>
      <x:c r="S136" s="3" t="n">
        <x:v>-89</x:v>
      </x:c>
      <x:c r="T136" s="4" t="n">
        <x:v>0</x:v>
      </x:c>
    </x:row>
    <x:row r="137" ht="15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7" t="n">
        <x:v>45975</x:v>
      </x:c>
      <x:c r="S137" s="3" t="n">
        <x:v>-95</x:v>
      </x:c>
      <x:c r="T137" s="4" t="n">
        <x:v>0</x:v>
      </x:c>
    </x:row>
    <x:row r="138" ht="15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7" t="n">
        <x:v>45976</x:v>
      </x:c>
      <x:c r="S138" s="3" t="n">
        <x:v>-90</x:v>
      </x:c>
      <x:c r="T138" s="4" t="n">
        <x:v>0</x:v>
      </x:c>
    </x:row>
    <x:row r="139" ht="15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7" t="n">
        <x:v>45977</x:v>
      </x:c>
      <x:c r="S139" s="3" t="n">
        <x:v>-81</x:v>
      </x:c>
      <x:c r="T139" s="4" t="n">
        <x:v>0</x:v>
      </x:c>
    </x:row>
    <x:row r="140" ht="15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7" t="n">
        <x:v>45978</x:v>
      </x:c>
      <x:c r="S140" s="3" t="n">
        <x:v>-83</x:v>
      </x:c>
      <x:c r="T140" s="4" t="n">
        <x:v>0</x:v>
      </x:c>
    </x:row>
    <x:row r="141" ht="15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7" t="n">
        <x:v>45979</x:v>
      </x:c>
      <x:c r="S141" s="3" t="n">
        <x:v>-72</x:v>
      </x:c>
      <x:c r="T141" s="4" t="n">
        <x:v>0</x:v>
      </x:c>
    </x:row>
    <x:row r="142" ht="15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7" t="n">
        <x:v>45980</x:v>
      </x:c>
      <x:c r="S142" s="3" t="n">
        <x:v>-74</x:v>
      </x:c>
      <x:c r="T142" s="4" t="n">
        <x:v>0</x:v>
      </x:c>
    </x:row>
    <x:row r="143" ht="15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7" t="n">
        <x:v>45981</x:v>
      </x:c>
      <x:c r="S143" s="3" t="n">
        <x:v>-71</x:v>
      </x:c>
      <x:c r="T143" s="4" t="n">
        <x:v>0</x:v>
      </x:c>
    </x:row>
    <x:row r="144" ht="15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7" t="n">
        <x:v>45982</x:v>
      </x:c>
      <x:c r="S144" s="3" t="n">
        <x:v>-85</x:v>
      </x:c>
      <x:c r="T144" s="4" t="n">
        <x:v>0</x:v>
      </x:c>
    </x:row>
    <x:row r="145" ht="15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7" t="n">
        <x:v>45983</x:v>
      </x:c>
      <x:c r="S145" s="3" t="n">
        <x:v>-98</x:v>
      </x:c>
      <x:c r="T145" s="4" t="n">
        <x:v>0</x:v>
      </x:c>
    </x:row>
    <x:row r="146" ht="15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7" t="n">
        <x:v>45984</x:v>
      </x:c>
      <x:c r="S146" s="3" t="n">
        <x:v>-118</x:v>
      </x:c>
      <x:c r="T146" s="4" t="n">
        <x:v>0</x:v>
      </x:c>
    </x:row>
    <x:row r="147" ht="15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7" t="n">
        <x:v>45985</x:v>
      </x:c>
      <x:c r="S147" s="3" t="n">
        <x:v>-123</x:v>
      </x:c>
      <x:c r="T147" s="4" t="n">
        <x:v>0</x:v>
      </x:c>
    </x:row>
    <x:row r="148" ht="15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7" t="n">
        <x:v>45986</x:v>
      </x:c>
      <x:c r="S148" s="3" t="n">
        <x:v>-116</x:v>
      </x:c>
      <x:c r="T148" s="4" t="n">
        <x:v>0</x:v>
      </x:c>
    </x:row>
    <x:row r="149" ht="15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7" t="n">
        <x:v>45987</x:v>
      </x:c>
      <x:c r="S149" s="3" t="n">
        <x:v>-119</x:v>
      </x:c>
      <x:c r="T149" s="4" t="n">
        <x:v>0</x:v>
      </x:c>
    </x:row>
    <x:row r="150" ht="15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7" t="n">
        <x:v>45988</x:v>
      </x:c>
      <x:c r="S150" s="3" t="n">
        <x:v>-114</x:v>
      </x:c>
      <x:c r="T150" s="4" t="n">
        <x:v>0</x:v>
      </x:c>
    </x:row>
    <x:row r="151" ht="15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7" t="n">
        <x:v>45989</x:v>
      </x:c>
      <x:c r="S151" s="3" t="n">
        <x:v>-86</x:v>
      </x:c>
      <x:c r="T151" s="4" t="n">
        <x:v>1</x:v>
      </x:c>
    </x:row>
    <x:row r="152" ht="15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7" t="n">
        <x:v>45990</x:v>
      </x:c>
      <x:c r="S152" s="3" t="n">
        <x:v>-58</x:v>
      </x:c>
      <x:c r="T152" s="4" t="n">
        <x:v>0</x:v>
      </x:c>
    </x:row>
    <x:row r="153" ht="15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7" t="n">
        <x:v>45991</x:v>
      </x:c>
      <x:c r="S153" s="3" t="n">
        <x:v>-53</x:v>
      </x:c>
      <x:c r="T153" s="4" t="n">
        <x:v>0</x:v>
      </x:c>
    </x:row>
    <x:row r="154" ht="15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7" t="n">
        <x:v>45992</x:v>
      </x:c>
      <x:c r="S154" s="3" t="n">
        <x:v>-56</x:v>
      </x:c>
      <x:c r="T154" s="4" t="n">
        <x:v>0</x:v>
      </x:c>
    </x:row>
    <x:row r="155" ht="15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7" t="n">
        <x:v>45993</x:v>
      </x:c>
      <x:c r="S155" s="3" t="n">
        <x:v>-46</x:v>
      </x:c>
      <x:c r="T155" s="4" t="n">
        <x:v>0</x:v>
      </x:c>
    </x:row>
    <x:row r="156" ht="15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7" t="n">
        <x:v>45994</x:v>
      </x:c>
      <x:c r="S156" s="3" t="n">
        <x:v>-30</x:v>
      </x:c>
      <x:c r="T156" s="4" t="n">
        <x:v>0</x:v>
      </x:c>
    </x:row>
    <x:row r="157" ht="15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7" t="n">
        <x:v>45995</x:v>
      </x:c>
      <x:c r="S157" s="3" t="n">
        <x:v>-20</x:v>
      </x:c>
      <x:c r="T157" s="4" t="n">
        <x:v>0</x:v>
      </x:c>
    </x:row>
    <x:row r="158" ht="15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7" t="n">
        <x:v>45996</x:v>
      </x:c>
      <x:c r="S158" s="3" t="n">
        <x:v>-16</x:v>
      </x:c>
      <x:c r="T158" s="4" t="n">
        <x:v>1</x:v>
      </x:c>
    </x:row>
    <x:row r="159" ht="15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7" t="n">
        <x:v>45997</x:v>
      </x:c>
      <x:c r="S159" s="3" t="n">
        <x:v>-12</x:v>
      </x:c>
      <x:c r="T159" s="4" t="n">
        <x:v>1</x:v>
      </x:c>
    </x:row>
    <x:row r="160" ht="15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7" t="n">
        <x:v>45998</x:v>
      </x:c>
      <x:c r="S160" s="3" t="n">
        <x:v>-8</x:v>
      </x:c>
      <x:c r="T160" s="4" t="n">
        <x:v>0</x:v>
      </x:c>
    </x:row>
    <x:row r="161" ht="15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7" t="n">
        <x:v>45999</x:v>
      </x:c>
      <x:c r="S161" s="3" t="n">
        <x:v>-13</x:v>
      </x:c>
      <x:c r="T161" s="4" t="n">
        <x:v>0</x:v>
      </x:c>
    </x:row>
    <x:row r="162" ht="15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7" t="n">
        <x:v>46000</x:v>
      </x:c>
      <x:c r="S162" s="3" t="n">
        <x:v>-20</x:v>
      </x:c>
      <x:c r="T162" s="4" t="n">
        <x:v>0</x:v>
      </x:c>
    </x:row>
    <x:row r="163" ht="15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7" t="n">
        <x:v>46001</x:v>
      </x:c>
      <x:c r="S163" s="3" t="n">
        <x:v>-28</x:v>
      </x:c>
      <x:c r="T163" s="4" t="n">
        <x:v>0</x:v>
      </x:c>
    </x:row>
    <x:row r="164" ht="15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7" t="n">
        <x:v>46002</x:v>
      </x:c>
      <x:c r="S164" s="3" t="n">
        <x:v>-38</x:v>
      </x:c>
      <x:c r="T164" s="4" t="n">
        <x:v>0</x:v>
      </x:c>
    </x:row>
    <x:row r="165" ht="15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7" t="n">
        <x:v>46003</x:v>
      </x:c>
      <x:c r="S165" s="3" t="n">
        <x:v>-37.7</x:v>
      </x:c>
      <x:c r="T165" s="4" t="n">
        <x:v>1</x:v>
      </x:c>
    </x:row>
    <x:row r="166" ht="15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7" t="n">
        <x:v>46004</x:v>
      </x:c>
      <x:c r="S166" s="3" t="n">
        <x:v>-37.3</x:v>
      </x:c>
      <x:c r="T166" s="4" t="n">
        <x:v>1</x:v>
      </x:c>
    </x:row>
    <x:row r="167" ht="15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7" t="n">
        <x:v>46005</x:v>
      </x:c>
      <x:c r="S167" s="3" t="n">
        <x:v>-37</x:v>
      </x:c>
      <x:c r="T167" s="4" t="n">
        <x:v>0</x:v>
      </x:c>
    </x:row>
    <x:row r="168" ht="15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7" t="n">
        <x:v>46006</x:v>
      </x:c>
      <x:c r="S168" s="3" t="n">
        <x:v>-37</x:v>
      </x:c>
      <x:c r="T168" s="4" t="n">
        <x:v>0</x:v>
      </x:c>
    </x:row>
    <x:row r="169" ht="15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7" t="n">
        <x:v>46007</x:v>
      </x:c>
      <x:c r="S169" s="3" t="n">
        <x:v>-41</x:v>
      </x:c>
      <x:c r="T169" s="4" t="n">
        <x:v>0</x:v>
      </x:c>
    </x:row>
    <x:row r="170" ht="15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7" t="n">
        <x:v>46008</x:v>
      </x:c>
      <x:c r="S170" s="3" t="n">
        <x:v>-35</x:v>
      </x:c>
      <x:c r="T170" s="4" t="n">
        <x:v>0</x:v>
      </x:c>
    </x:row>
    <x:row r="171" ht="15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7" t="n">
        <x:v>46009</x:v>
      </x:c>
      <x:c r="S171" s="3" t="n">
        <x:v>-33</x:v>
      </x:c>
      <x:c r="T171" s="4" t="n">
        <x:v>0</x:v>
      </x:c>
    </x:row>
    <x:row r="172" ht="15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7" t="n">
        <x:v>46010</x:v>
      </x:c>
      <x:c r="S172" s="3" t="n">
        <x:v>-31</x:v>
      </x:c>
      <x:c r="T172" s="4" t="n">
        <x:v>0</x:v>
      </x:c>
    </x:row>
    <x:row r="173" ht="15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7" t="n">
        <x:v>46011</x:v>
      </x:c>
      <x:c r="S173" s="3" t="n">
        <x:v>-31</x:v>
      </x:c>
      <x:c r="T173" s="4" t="n">
        <x:v>0</x:v>
      </x:c>
    </x:row>
    <x:row r="174" ht="15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7" t="n">
        <x:v>46012</x:v>
      </x:c>
      <x:c r="S174" s="3" t="n">
        <x:v>-30</x:v>
      </x:c>
      <x:c r="T174" s="4" t="n">
        <x:v>0</x:v>
      </x:c>
    </x:row>
    <x:row r="175" ht="15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7" t="n">
        <x:v>46013</x:v>
      </x:c>
      <x:c r="S175" s="3" t="n">
        <x:v>-27</x:v>
      </x:c>
      <x:c r="T175" s="4" t="n">
        <x:v>0</x:v>
      </x:c>
    </x:row>
    <x:row r="176" ht="15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7" t="n">
        <x:v>46014</x:v>
      </x:c>
      <x:c r="S176" s="3" t="n">
        <x:v>-23</x:v>
      </x:c>
      <x:c r="T176" s="4" t="n">
        <x:v>0</x:v>
      </x:c>
    </x:row>
    <x:row r="177" ht="15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7" t="n">
        <x:v>46015</x:v>
      </x:c>
      <x:c r="S177" s="3" t="n">
        <x:v>-21</x:v>
      </x:c>
      <x:c r="T177" s="4" t="n">
        <x:v>0</x:v>
      </x:c>
    </x:row>
    <x:row r="178" ht="15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7" t="n">
        <x:v>46016</x:v>
      </x:c>
      <x:c r="S178" s="3" t="n">
        <x:v>-19</x:v>
      </x:c>
      <x:c r="T178" s="4" t="n">
        <x:v>0</x:v>
      </x:c>
    </x:row>
    <x:row r="179" ht="15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7" t="n">
        <x:v>46017</x:v>
      </x:c>
      <x:c r="S179" s="3" t="n">
        <x:v>-17</x:v>
      </x:c>
      <x:c r="T179" s="4" t="n">
        <x:v>0</x:v>
      </x:c>
    </x:row>
    <x:row r="180" ht="15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7" t="n">
        <x:v>46018</x:v>
      </x:c>
      <x:c r="S180" s="3" t="n">
        <x:v>-15</x:v>
      </x:c>
      <x:c r="T180" s="4" t="n">
        <x:v>0</x:v>
      </x:c>
    </x:row>
    <x:row r="181" ht="15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7" t="n">
        <x:v>46019</x:v>
      </x:c>
      <x:c r="S181" s="3" t="n">
        <x:v>-12</x:v>
      </x:c>
      <x:c r="T181" s="4" t="n">
        <x:v>0</x:v>
      </x:c>
    </x:row>
    <x:row r="182" ht="15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7" t="n">
        <x:v>46020</x:v>
      </x:c>
      <x:c r="S182" s="3" t="n">
        <x:v>-6</x:v>
      </x:c>
      <x:c r="T182" s="4" t="n">
        <x:v>0</x:v>
      </x:c>
    </x:row>
    <x:row r="183" ht="15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7" t="n">
        <x:v>46021</x:v>
      </x:c>
      <x:c r="S183" s="3" t="n">
        <x:v>-3</x:v>
      </x:c>
      <x:c r="T183" s="4" t="n">
        <x:v>0</x:v>
      </x:c>
    </x:row>
    <x:row r="184" ht="15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7" t="n">
        <x:v>46022</x:v>
      </x:c>
      <x:c r="S184" s="3" t="n">
        <x:v>0</x:v>
      </x:c>
      <x:c r="T184" s="4" t="n">
        <x:v>1</x:v>
      </x:c>
    </x:row>
    <x:row r="185" ht="15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7" t="n">
        <x:v>46023</x:v>
      </x:c>
      <x:c r="S185" s="3" t="n">
        <x:v>3</x:v>
      </x:c>
      <x:c r="T185" s="4" t="n">
        <x:v>0</x:v>
      </x:c>
    </x:row>
    <x:row r="186" ht="15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7" t="n">
        <x:v>46024</x:v>
      </x:c>
      <x:c r="S186" s="3" t="n">
        <x:v>6</x:v>
      </x:c>
      <x:c r="T186" s="4" t="n">
        <x:v>0</x:v>
      </x:c>
    </x:row>
    <x:row r="187" ht="15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7" t="n">
        <x:v>46025</x:v>
      </x:c>
      <x:c r="S187" s="3" t="n">
        <x:v>6</x:v>
      </x:c>
      <x:c r="T187" s="4" t="n">
        <x:v>0</x:v>
      </x:c>
    </x:row>
    <x:row r="188" ht="15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7" t="n">
        <x:v>46026</x:v>
      </x:c>
      <x:c r="S188" s="3" t="n">
        <x:v>6</x:v>
      </x:c>
      <x:c r="T188" s="4" t="n">
        <x:v>0</x:v>
      </x:c>
    </x:row>
    <x:row r="189" ht="15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7" t="n">
        <x:v>46027</x:v>
      </x:c>
      <x:c r="S189" s="3" t="n">
        <x:v>6</x:v>
      </x:c>
      <x:c r="T189" s="4" t="n">
        <x:v>0</x:v>
      </x:c>
    </x:row>
    <x:row r="190" ht="15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7" t="n">
        <x:v>46028</x:v>
      </x:c>
      <x:c r="S190" s="3" t="n">
        <x:v>2</x:v>
      </x:c>
      <x:c r="T190" s="4" t="n">
        <x:v>0</x:v>
      </x:c>
    </x:row>
    <x:row r="191" ht="15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7" t="n">
        <x:v>46029</x:v>
      </x:c>
      <x:c r="S191" s="3" t="n">
        <x:v>-2</x:v>
      </x:c>
      <x:c r="T191" s="4" t="n">
        <x:v>0</x:v>
      </x:c>
    </x:row>
    <x:row r="192" ht="15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7" t="n">
        <x:v>46030</x:v>
      </x:c>
      <x:c r="S192" s="3" t="n">
        <x:v>-7</x:v>
      </x:c>
      <x:c r="T192" s="4" t="n">
        <x:v>0</x:v>
      </x:c>
    </x:row>
    <x:row r="193" ht="15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7" t="n">
        <x:v>46031</x:v>
      </x:c>
      <x:c r="S193" s="3" t="n">
        <x:v>-10</x:v>
      </x:c>
      <x:c r="T193" s="4" t="n">
        <x:v>0</x:v>
      </x:c>
    </x:row>
    <x:row r="194" ht="15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7" t="n">
        <x:v>46032</x:v>
      </x:c>
      <x:c r="S194" s="3" t="n">
        <x:v>-13</x:v>
      </x:c>
      <x:c r="T194" s="4" t="n">
        <x:v>0</x:v>
      </x:c>
    </x:row>
    <x:row r="195" ht="15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7" t="n">
        <x:v>46033</x:v>
      </x:c>
      <x:c r="S195" s="3" t="n">
        <x:v>-17</x:v>
      </x:c>
      <x:c r="T195" s="4" t="n">
        <x:v>0</x:v>
      </x:c>
    </x:row>
    <x:row r="196" ht="15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7" t="n">
        <x:v>46034</x:v>
      </x:c>
      <x:c r="S196" s="3" t="n">
        <x:v>-19</x:v>
      </x:c>
      <x:c r="T196" s="4" t="n">
        <x:v>0</x:v>
      </x:c>
    </x:row>
    <x:row r="197" ht="15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7" t="n">
        <x:v>46035</x:v>
      </x:c>
      <x:c r="S197" s="3" t="n">
        <x:v>-22</x:v>
      </x:c>
      <x:c r="T197" s="4" t="n">
        <x:v>0</x:v>
      </x:c>
    </x:row>
    <x:row r="198" ht="15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7" t="n">
        <x:v>46036</x:v>
      </x:c>
      <x:c r="S198" s="3" t="n">
        <x:v>-25</x:v>
      </x:c>
      <x:c r="T198" s="4" t="n">
        <x:v>0</x:v>
      </x:c>
    </x:row>
    <x:row r="199" ht="15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7" t="n">
        <x:v>46037</x:v>
      </x:c>
      <x:c r="S199" s="3" t="n">
        <x:v>-26</x:v>
      </x:c>
      <x:c r="T199" s="4" t="n">
        <x:v>0</x:v>
      </x:c>
    </x:row>
    <x:row r="200" ht="15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7" t="n">
        <x:v>46038</x:v>
      </x:c>
      <x:c r="S200" s="3" t="n">
        <x:v>-28</x:v>
      </x:c>
      <x:c r="T200" s="4" t="n">
        <x:v>0</x:v>
      </x:c>
    </x:row>
    <x:row r="201" ht="15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7" t="n">
        <x:v>46039</x:v>
      </x:c>
      <x:c r="S201" s="3" t="n">
        <x:v>-29</x:v>
      </x:c>
      <x:c r="T201" s="4" t="n">
        <x:v>0</x:v>
      </x:c>
    </x:row>
    <x:row r="202" ht="15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7" t="n">
        <x:v>46040</x:v>
      </x:c>
      <x:c r="S202" s="3" t="n">
        <x:v>-34</x:v>
      </x:c>
      <x:c r="T202" s="4" t="n">
        <x:v>0</x:v>
      </x:c>
    </x:row>
    <x:row r="203" ht="15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7" t="n">
        <x:v>46041</x:v>
      </x:c>
      <x:c r="S203" s="3" t="n">
        <x:v>-34</x:v>
      </x:c>
      <x:c r="T203" s="4" t="n">
        <x:v>0</x:v>
      </x:c>
    </x:row>
    <x:row r="204" ht="15" customHeight="1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7" t="n">
        <x:v>46042</x:v>
      </x:c>
      <x:c r="S204" s="3" t="n">
        <x:v>-39</x:v>
      </x:c>
      <x:c r="T204" s="4" t="n">
        <x:v>0</x:v>
      </x:c>
    </x:row>
    <x:row r="205" ht="15" customHeight="1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7" t="n">
        <x:v>46043</x:v>
      </x:c>
      <x:c r="S205" s="3" t="n">
        <x:v>-41</x:v>
      </x:c>
      <x:c r="T205" s="4" t="n">
        <x:v>0</x:v>
      </x:c>
    </x:row>
    <x:row r="206" ht="15" customHeight="1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7" t="n">
        <x:v>46044</x:v>
      </x:c>
      <x:c r="S206" s="3" t="n">
        <x:v>-41</x:v>
      </x:c>
      <x:c r="T206" s="4" t="n">
        <x:v>0</x:v>
      </x:c>
    </x:row>
    <x:row r="207" ht="15" customHeight="1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7" t="n">
        <x:v>46045</x:v>
      </x:c>
      <x:c r="S207" s="3" t="n">
        <x:v>-37</x:v>
      </x:c>
      <x:c r="T207" s="4" t="n">
        <x:v>0</x:v>
      </x:c>
    </x:row>
    <x:row r="208" ht="15" customHeight="1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7" t="n">
        <x:v>46046</x:v>
      </x:c>
      <x:c r="S208" s="3" t="n">
        <x:v>-39</x:v>
      </x:c>
      <x:c r="T208" s="4" t="n">
        <x:v>0</x:v>
      </x:c>
    </x:row>
    <x:row r="209" ht="15" customHeight="1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7" t="n">
        <x:v>46047</x:v>
      </x:c>
      <x:c r="S209" s="3" t="n">
        <x:v>-36</x:v>
      </x:c>
      <x:c r="T209" s="4" t="n">
        <x:v>0</x:v>
      </x:c>
    </x:row>
    <x:row r="210" ht="15" customHeight="1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7" t="n">
        <x:v>46048</x:v>
      </x:c>
      <x:c r="S210" s="3" t="n">
        <x:v>-36</x:v>
      </x:c>
      <x:c r="T210" s="4" t="n">
        <x:v>0</x:v>
      </x:c>
    </x:row>
    <x:row r="211" ht="15" customHeight="1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7" t="n">
        <x:v>46049</x:v>
      </x:c>
      <x:c r="S211" s="3" t="n">
        <x:v>-38</x:v>
      </x:c>
      <x:c r="T211" s="4" t="n">
        <x:v>0</x:v>
      </x:c>
    </x:row>
    <x:row r="212" ht="15" customHeight="1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7" t="n">
        <x:v>46050</x:v>
      </x:c>
      <x:c r="S212" s="3" t="n">
        <x:v>-33</x:v>
      </x:c>
      <x:c r="T212" s="4" t="n">
        <x:v>0</x:v>
      </x:c>
    </x:row>
    <x:row r="213" ht="15" customHeight="1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7" t="n">
        <x:v>46051</x:v>
      </x:c>
      <x:c r="S213" s="3" t="n">
        <x:v>-33</x:v>
      </x:c>
      <x:c r="T213" s="4" t="n">
        <x:v>0</x:v>
      </x:c>
    </x:row>
    <x:row r="214" ht="15" customHeight="1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7" t="n">
        <x:v>46052</x:v>
      </x:c>
      <x:c r="S214" s="3" t="n">
        <x:v>-36</x:v>
      </x:c>
      <x:c r="T214" s="4" t="n">
        <x:v>0</x:v>
      </x:c>
    </x:row>
    <x:row r="215" ht="15" customHeight="1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7" t="n">
        <x:v>46053</x:v>
      </x:c>
      <x:c r="S215" s="3" t="n">
        <x:v>-32</x:v>
      </x:c>
      <x:c r="T215" s="4" t="n">
        <x:v>0</x:v>
      </x:c>
    </x:row>
    <x:row r="216" ht="15" customHeight="1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7" t="n">
        <x:v>46054</x:v>
      </x:c>
      <x:c r="S216" s="3" t="n">
        <x:v>-34</x:v>
      </x:c>
      <x:c r="T216" s="4" t="n">
        <x:v>0</x:v>
      </x:c>
    </x:row>
    <x:row r="217" ht="15" customHeight="1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7" t="n">
        <x:v>46055</x:v>
      </x:c>
      <x:c r="S217" s="3" t="n">
        <x:v>-33</x:v>
      </x:c>
      <x:c r="T217" s="4" t="n">
        <x:v>0</x:v>
      </x:c>
    </x:row>
    <x:row r="218" ht="15" customHeight="1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7" t="n">
        <x:v>46056</x:v>
      </x:c>
      <x:c r="S218" s="3" t="n">
        <x:v>-36</x:v>
      </x:c>
      <x:c r="T218" s="4" t="n">
        <x:v>0</x:v>
      </x:c>
    </x:row>
    <x:row r="219" ht="15" customHeight="1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7" t="n">
        <x:v>46057</x:v>
      </x:c>
      <x:c r="S219" s="3" t="n">
        <x:v>-34</x:v>
      </x:c>
      <x:c r="T219" s="4" t="n">
        <x:v>0</x:v>
      </x:c>
    </x:row>
    <x:row r="220" ht="15" customHeight="1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7" t="n">
        <x:v>46058</x:v>
      </x:c>
      <x:c r="S220" s="3" t="n">
        <x:v>-35</x:v>
      </x:c>
      <x:c r="T220" s="4" t="n">
        <x:v>0</x:v>
      </x:c>
    </x:row>
    <x:row r="221" ht="15" customHeight="1">
      <x:c r="A221" s="3"/>
      <x:c r="B221" s="3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  <x:c r="N221" s="3"/>
      <x:c r="O221" s="3"/>
      <x:c r="P221" s="3"/>
      <x:c r="Q221" s="3"/>
      <x:c r="R221" s="7" t="n">
        <x:v>46059</x:v>
      </x:c>
      <x:c r="S221" s="3" t="n">
        <x:v>-38</x:v>
      </x:c>
      <x:c r="T221" s="4" t="n">
        <x:v>0</x:v>
      </x:c>
    </x:row>
    <x:row r="222" ht="15" customHeight="1">
      <x:c r="A222" s="3"/>
      <x:c r="B222" s="3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  <x:c r="N222" s="3"/>
      <x:c r="O222" s="3"/>
      <x:c r="P222" s="3"/>
      <x:c r="Q222" s="3"/>
      <x:c r="R222" s="7" t="n">
        <x:v>46060</x:v>
      </x:c>
      <x:c r="S222" s="3" t="n">
        <x:v>-41</x:v>
      </x:c>
      <x:c r="T222" s="4" t="n">
        <x:v>0</x:v>
      </x:c>
    </x:row>
    <x:row r="223" ht="15" customHeight="1">
      <x:c r="A223" s="3"/>
      <x:c r="B223" s="3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  <x:c r="N223" s="3"/>
      <x:c r="O223" s="3"/>
      <x:c r="P223" s="3"/>
      <x:c r="Q223" s="3"/>
      <x:c r="R223" s="7" t="n">
        <x:v>46061</x:v>
      </x:c>
      <x:c r="S223" s="3" t="n">
        <x:v>-43</x:v>
      </x:c>
      <x:c r="T223" s="4" t="n">
        <x:v>0</x:v>
      </x:c>
    </x:row>
    <x:row r="224" ht="15" customHeight="1">
      <x:c r="A224" s="3"/>
      <x:c r="B224" s="3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  <x:c r="N224" s="3"/>
      <x:c r="O224" s="3"/>
      <x:c r="P224" s="3"/>
      <x:c r="Q224" s="3"/>
      <x:c r="R224" s="7" t="n">
        <x:v>46062</x:v>
      </x:c>
      <x:c r="S224" s="3" t="n">
        <x:v>-43</x:v>
      </x:c>
      <x:c r="T224" s="4" t="n">
        <x:v>0</x:v>
      </x:c>
    </x:row>
    <x:row r="225" ht="15" customHeight="1">
      <x:c r="A225" s="3"/>
      <x:c r="B225" s="3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  <x:c r="N225" s="3"/>
      <x:c r="O225" s="3"/>
      <x:c r="P225" s="3"/>
      <x:c r="Q225" s="3"/>
      <x:c r="R225" s="7" t="n">
        <x:v>46063</x:v>
      </x:c>
      <x:c r="S225" s="3" t="n">
        <x:v>-44</x:v>
      </x:c>
      <x:c r="T225" s="4" t="n">
        <x:v>0</x:v>
      </x:c>
    </x:row>
    <x:row r="226" ht="15" customHeight="1">
      <x:c r="A226" s="3"/>
      <x:c r="B226" s="3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  <x:c r="N226" s="3"/>
      <x:c r="O226" s="3"/>
      <x:c r="P226" s="3"/>
      <x:c r="Q226" s="3"/>
      <x:c r="R226" s="7" t="n">
        <x:v>46064</x:v>
      </x:c>
      <x:c r="S226" s="3" t="n">
        <x:v>-44</x:v>
      </x:c>
      <x:c r="T226" s="4" t="n">
        <x:v>0</x:v>
      </x:c>
    </x:row>
    <x:row r="227" ht="15" customHeight="1">
      <x:c r="A227" s="3"/>
      <x:c r="B227" s="3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  <x:c r="N227" s="3"/>
      <x:c r="O227" s="3"/>
      <x:c r="P227" s="3"/>
      <x:c r="Q227" s="3"/>
      <x:c r="R227" s="7" t="n">
        <x:v>46065</x:v>
      </x:c>
      <x:c r="S227" s="3" t="n">
        <x:v>-44</x:v>
      </x:c>
      <x:c r="T227" s="4" t="n">
        <x:v>0</x:v>
      </x:c>
    </x:row>
    <x:row r="228" ht="15" customHeight="1">
      <x:c r="A228" s="3"/>
      <x:c r="B228" s="3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  <x:c r="N228" s="3"/>
      <x:c r="O228" s="3"/>
      <x:c r="P228" s="3"/>
      <x:c r="Q228" s="3"/>
      <x:c r="R228" s="7" t="n">
        <x:v>46066</x:v>
      </x:c>
      <x:c r="S228" s="3" t="n">
        <x:v>-41</x:v>
      </x:c>
      <x:c r="T228" s="4" t="n">
        <x:v>0</x:v>
      </x:c>
    </x:row>
    <x:row r="229" ht="15" customHeight="1">
      <x:c r="A229" s="3"/>
      <x:c r="B229" s="3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  <x:c r="N229" s="3"/>
      <x:c r="O229" s="3"/>
      <x:c r="P229" s="3"/>
      <x:c r="Q229" s="3"/>
      <x:c r="R229" s="7" t="n">
        <x:v>46067</x:v>
      </x:c>
      <x:c r="S229" s="3" t="n">
        <x:v>-39</x:v>
      </x:c>
      <x:c r="T229" s="4" t="n">
        <x:v>0</x:v>
      </x:c>
    </x:row>
    <x:row r="230" ht="15" customHeight="1">
      <x:c r="A230" s="3"/>
      <x:c r="B230" s="3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  <x:c r="N230" s="3"/>
      <x:c r="O230" s="3"/>
      <x:c r="P230" s="3"/>
      <x:c r="Q230" s="3"/>
      <x:c r="R230" s="7" t="n">
        <x:v>46068</x:v>
      </x:c>
      <x:c r="S230" s="3" t="n">
        <x:v>-38</x:v>
      </x:c>
      <x:c r="T230" s="4" t="n">
        <x:v>0</x:v>
      </x:c>
    </x:row>
    <x:row r="231" ht="15" customHeight="1">
      <x:c r="A231" s="3"/>
      <x:c r="B231" s="3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  <x:c r="N231" s="3"/>
      <x:c r="O231" s="3"/>
      <x:c r="P231" s="3"/>
      <x:c r="Q231" s="3"/>
      <x:c r="R231" s="7" t="n">
        <x:v>46069</x:v>
      </x:c>
      <x:c r="S231" s="3" t="n">
        <x:v>-38</x:v>
      </x:c>
      <x:c r="T231" s="4" t="n">
        <x:v>0</x:v>
      </x:c>
    </x:row>
    <x:row r="232" ht="15" customHeight="1">
      <x:c r="A232" s="3"/>
      <x:c r="B232" s="3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  <x:c r="N232" s="3"/>
      <x:c r="O232" s="3"/>
      <x:c r="P232" s="3"/>
      <x:c r="Q232" s="3"/>
      <x:c r="R232" s="7" t="n">
        <x:v>46070</x:v>
      </x:c>
      <x:c r="S232" s="3" t="n">
        <x:v>-40</x:v>
      </x:c>
      <x:c r="T232" s="4" t="n">
        <x:v>0</x:v>
      </x:c>
    </x:row>
    <x:row r="233" ht="15" customHeight="1">
      <x:c r="A233" s="3"/>
      <x:c r="B233" s="3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  <x:c r="N233" s="3"/>
      <x:c r="O233" s="3"/>
      <x:c r="P233" s="3"/>
      <x:c r="Q233" s="3"/>
      <x:c r="R233" s="7" t="n">
        <x:v>46071</x:v>
      </x:c>
      <x:c r="S233" s="3" t="n">
        <x:v>-40</x:v>
      </x:c>
      <x:c r="T233" s="4" t="n">
        <x:v>0</x:v>
      </x:c>
    </x:row>
    <x:row r="234" ht="15" customHeight="1">
      <x:c r="A234" s="3"/>
      <x:c r="B234" s="3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  <x:c r="N234" s="3"/>
      <x:c r="O234" s="3"/>
      <x:c r="P234" s="3"/>
      <x:c r="Q234" s="3"/>
      <x:c r="R234" s="7" t="n">
        <x:v>46072</x:v>
      </x:c>
      <x:c r="S234" s="3" t="n">
        <x:v>-42</x:v>
      </x:c>
      <x:c r="T234" s="4" t="n">
        <x:v>0</x:v>
      </x:c>
    </x:row>
    <x:row r="235" ht="15" customHeight="1">
      <x:c r="A235" s="3"/>
      <x:c r="B235" s="3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  <x:c r="N235" s="3"/>
      <x:c r="O235" s="3"/>
      <x:c r="P235" s="3"/>
      <x:c r="Q235" s="3"/>
      <x:c r="R235" s="7" t="n">
        <x:v>46073</x:v>
      </x:c>
      <x:c r="S235" s="3" t="n">
        <x:v>-43</x:v>
      </x:c>
      <x:c r="T235" s="4" t="n">
        <x:v>0</x:v>
      </x:c>
    </x:row>
    <x:row r="236" ht="15" customHeight="1">
      <x:c r="A236" s="3"/>
      <x:c r="B236" s="3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  <x:c r="N236" s="3"/>
      <x:c r="O236" s="3"/>
      <x:c r="P236" s="3"/>
      <x:c r="Q236" s="3"/>
      <x:c r="R236" s="7" t="n">
        <x:v>46074</x:v>
      </x:c>
      <x:c r="S236" s="3" t="n">
        <x:v>-43</x:v>
      </x:c>
      <x:c r="T236" s="4" t="n">
        <x:v>0</x:v>
      </x:c>
    </x:row>
    <x:row r="237" ht="15" customHeight="1">
      <x:c r="A237" s="3"/>
      <x:c r="B237" s="3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  <x:c r="N237" s="3"/>
      <x:c r="O237" s="3"/>
      <x:c r="P237" s="3"/>
      <x:c r="Q237" s="3"/>
      <x:c r="R237" s="7" t="n">
        <x:v>46075</x:v>
      </x:c>
      <x:c r="S237" s="3" t="n">
        <x:v>-43</x:v>
      </x:c>
      <x:c r="T237" s="4" t="n">
        <x:v>0</x:v>
      </x:c>
    </x:row>
    <x:row r="238" ht="15" customHeight="1">
      <x:c r="A238" s="3"/>
      <x:c r="B238" s="3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  <x:c r="N238" s="3"/>
      <x:c r="O238" s="3"/>
      <x:c r="P238" s="3"/>
      <x:c r="Q238" s="3"/>
      <x:c r="R238" s="7" t="n">
        <x:v>46076</x:v>
      </x:c>
      <x:c r="S238" s="3" t="n">
        <x:v>-44</x:v>
      </x:c>
      <x:c r="T238" s="4" t="n">
        <x:v>0</x:v>
      </x:c>
    </x:row>
    <x:row r="239" ht="15" customHeight="1">
      <x:c r="A239" s="3"/>
      <x:c r="B239" s="3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  <x:c r="N239" s="3"/>
      <x:c r="O239" s="3"/>
      <x:c r="P239" s="3"/>
      <x:c r="Q239" s="3"/>
      <x:c r="R239" s="7" t="n">
        <x:v>46077</x:v>
      </x:c>
      <x:c r="S239" s="3" t="n">
        <x:v>-46</x:v>
      </x:c>
      <x:c r="T239" s="4" t="n">
        <x:v>0</x:v>
      </x:c>
    </x:row>
    <x:row r="240" ht="15" customHeight="1">
      <x:c r="A240" s="3"/>
      <x:c r="B240" s="3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  <x:c r="N240" s="3"/>
      <x:c r="O240" s="3"/>
      <x:c r="P240" s="3"/>
      <x:c r="Q240" s="3"/>
      <x:c r="R240" s="7" t="n">
        <x:v>46078</x:v>
      </x:c>
      <x:c r="S240" s="3" t="n">
        <x:v>-46</x:v>
      </x:c>
      <x:c r="T240" s="4" t="n">
        <x:v>0</x:v>
      </x:c>
    </x:row>
    <x:row r="241" ht="15" customHeight="1">
      <x:c r="A241" s="3"/>
      <x:c r="B241" s="3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  <x:c r="N241" s="3"/>
      <x:c r="O241" s="3"/>
      <x:c r="P241" s="3"/>
      <x:c r="Q241" s="3"/>
      <x:c r="R241" s="7" t="n">
        <x:v>46079</x:v>
      </x:c>
      <x:c r="S241" s="3" t="n">
        <x:v>-48</x:v>
      </x:c>
      <x:c r="T241" s="4" t="n">
        <x:v>0</x:v>
      </x:c>
    </x:row>
    <x:row r="242" ht="15" customHeight="1">
      <x:c r="A242" s="3"/>
      <x:c r="B242" s="3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  <x:c r="N242" s="3"/>
      <x:c r="O242" s="3"/>
      <x:c r="P242" s="3"/>
      <x:c r="Q242" s="3"/>
      <x:c r="R242" s="7" t="n">
        <x:v>46080</x:v>
      </x:c>
      <x:c r="S242" s="3" t="n">
        <x:v>-51</x:v>
      </x:c>
      <x:c r="T242" s="4" t="n">
        <x:v>0</x:v>
      </x:c>
    </x:row>
    <x:row r="243" ht="15" customHeight="1">
      <x:c r="A243" s="3"/>
      <x:c r="B243" s="3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  <x:c r="N243" s="3"/>
      <x:c r="O243" s="3"/>
      <x:c r="P243" s="3"/>
      <x:c r="Q243" s="3"/>
      <x:c r="R243" s="7" t="n">
        <x:v>46081</x:v>
      </x:c>
      <x:c r="S243" s="3" t="n">
        <x:v>-54</x:v>
      </x:c>
      <x:c r="T243" s="4" t="n">
        <x:v>0</x:v>
      </x:c>
    </x:row>
    <x:row r="244" ht="15" customHeight="1">
      <x:c r="A244" s="3"/>
      <x:c r="B244" s="3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  <x:c r="N244" s="3"/>
      <x:c r="O244" s="3"/>
      <x:c r="P244" s="3"/>
      <x:c r="Q244" s="3"/>
      <x:c r="R244" s="7" t="n">
        <x:v>46082</x:v>
      </x:c>
      <x:c r="S244" s="3" t="n">
        <x:v>-55</x:v>
      </x:c>
      <x:c r="T244" s="4" t="n">
        <x:v>0</x:v>
      </x:c>
    </x:row>
    <x:row r="245" ht="15" customHeight="1">
      <x:c r="A245" s="3"/>
      <x:c r="B245" s="3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  <x:c r="N245" s="3"/>
      <x:c r="O245" s="3"/>
      <x:c r="P245" s="3"/>
      <x:c r="Q245" s="3"/>
      <x:c r="R245" s="7" t="n">
        <x:v>46083</x:v>
      </x:c>
      <x:c r="S245" s="3" t="n">
        <x:v>-57</x:v>
      </x:c>
      <x:c r="T245" s="4" t="n">
        <x:v>0</x:v>
      </x:c>
    </x:row>
    <x:row r="246" ht="15" customHeight="1">
      <x:c r="A246" s="3"/>
      <x:c r="B246" s="3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  <x:c r="N246" s="3"/>
      <x:c r="O246" s="3"/>
      <x:c r="P246" s="3"/>
      <x:c r="Q246" s="3"/>
      <x:c r="R246" s="7" t="n">
        <x:v>46084</x:v>
      </x:c>
      <x:c r="S246" s="3" t="n">
        <x:v>-58</x:v>
      </x:c>
      <x:c r="T246" s="4" t="n">
        <x:v>0</x:v>
      </x:c>
    </x:row>
    <x:row r="247" ht="15" customHeight="1">
      <x:c r="A247" s="3"/>
      <x:c r="B247" s="3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  <x:c r="N247" s="3"/>
      <x:c r="O247" s="3"/>
      <x:c r="P247" s="3"/>
      <x:c r="Q247" s="3"/>
      <x:c r="R247" s="7" t="n">
        <x:v>46085</x:v>
      </x:c>
      <x:c r="S247" s="3" t="n">
        <x:v>-58</x:v>
      </x:c>
      <x:c r="T247" s="4" t="n">
        <x:v>0</x:v>
      </x:c>
    </x:row>
    <x:row r="248" ht="15" customHeight="1">
      <x:c r="A248" s="3"/>
      <x:c r="B248" s="3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  <x:c r="N248" s="3"/>
      <x:c r="O248" s="3"/>
      <x:c r="P248" s="3"/>
      <x:c r="Q248" s="3"/>
      <x:c r="R248" s="7" t="n">
        <x:v>46086</x:v>
      </x:c>
      <x:c r="S248" s="3" t="n">
        <x:v>-58</x:v>
      </x:c>
      <x:c r="T248" s="4" t="n">
        <x:v>0</x:v>
      </x:c>
    </x:row>
    <x:row r="249" ht="15" customHeight="1">
      <x:c r="A249" s="3"/>
      <x:c r="B249" s="3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  <x:c r="N249" s="3"/>
      <x:c r="O249" s="3"/>
      <x:c r="P249" s="3"/>
      <x:c r="Q249" s="3"/>
      <x:c r="R249" s="7" t="n">
        <x:v>46087</x:v>
      </x:c>
      <x:c r="S249" s="3" t="n">
        <x:v>-57</x:v>
      </x:c>
      <x:c r="T249" s="4" t="n">
        <x:v>0</x:v>
      </x:c>
    </x:row>
    <x:row r="250" ht="15" customHeight="1">
      <x:c r="A250" s="3"/>
      <x:c r="B250" s="3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  <x:c r="N250" s="3"/>
      <x:c r="O250" s="3"/>
      <x:c r="P250" s="3"/>
      <x:c r="Q250" s="3"/>
      <x:c r="R250" s="7" t="n">
        <x:v>46088</x:v>
      </x:c>
      <x:c r="S250" s="3" t="n">
        <x:v>-57</x:v>
      </x:c>
      <x:c r="T250" s="4" t="n">
        <x:v>0</x:v>
      </x:c>
    </x:row>
    <x:row r="251" ht="15" customHeight="1">
      <x:c r="A251" s="3"/>
      <x:c r="B251" s="3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3"/>
      <x:c r="N251" s="3"/>
      <x:c r="O251" s="3"/>
      <x:c r="P251" s="3"/>
      <x:c r="Q251" s="3"/>
      <x:c r="R251" s="7" t="n">
        <x:v>46089</x:v>
      </x:c>
      <x:c r="S251" s="3" t="n">
        <x:v>-59</x:v>
      </x:c>
      <x:c r="T251" s="4" t="n">
        <x:v>0</x:v>
      </x:c>
    </x:row>
    <x:row r="252" ht="15" customHeight="1">
      <x:c r="A252" s="3"/>
      <x:c r="B252" s="3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3"/>
      <x:c r="N252" s="3"/>
      <x:c r="O252" s="3"/>
      <x:c r="P252" s="3"/>
      <x:c r="Q252" s="3"/>
      <x:c r="R252" s="7" t="n">
        <x:v>46090</x:v>
      </x:c>
      <x:c r="S252" s="3" t="n">
        <x:v>-61</x:v>
      </x:c>
      <x:c r="T252" s="4" t="n">
        <x:v>0</x:v>
      </x:c>
    </x:row>
    <x:row r="253" ht="15" customHeight="1">
      <x:c r="A253" s="3"/>
      <x:c r="B253" s="3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3"/>
      <x:c r="N253" s="3"/>
      <x:c r="O253" s="3"/>
      <x:c r="P253" s="3"/>
      <x:c r="Q253" s="3"/>
      <x:c r="R253" s="7" t="n">
        <x:v>46091</x:v>
      </x:c>
      <x:c r="S253" s="3" t="n">
        <x:v>-64</x:v>
      </x:c>
      <x:c r="T253" s="4" t="n">
        <x:v>0</x:v>
      </x:c>
    </x:row>
    <x:row r="254" ht="15" customHeight="1">
      <x:c r="A254" s="3"/>
      <x:c r="B254" s="3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3"/>
      <x:c r="N254" s="3"/>
      <x:c r="O254" s="3"/>
      <x:c r="P254" s="3"/>
      <x:c r="Q254" s="3"/>
      <x:c r="R254" s="7" t="n">
        <x:v>46092</x:v>
      </x:c>
      <x:c r="S254" s="3" t="n">
        <x:v>-69</x:v>
      </x:c>
      <x:c r="T254" s="4" t="n">
        <x:v>0</x:v>
      </x:c>
    </x:row>
    <x:row r="255" ht="15" customHeight="1">
      <x:c r="A255" s="3"/>
      <x:c r="B255" s="3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3"/>
      <x:c r="N255" s="3"/>
      <x:c r="O255" s="3"/>
      <x:c r="P255" s="3"/>
      <x:c r="Q255" s="3"/>
      <x:c r="R255" s="7" t="n">
        <x:v>46093</x:v>
      </x:c>
      <x:c r="S255" s="3" t="n">
        <x:v>-73</x:v>
      </x:c>
      <x:c r="T255" s="4" t="n">
        <x:v>0</x:v>
      </x:c>
    </x:row>
    <x:row r="256" ht="15" customHeight="1">
      <x:c r="A256" s="3"/>
      <x:c r="B256" s="3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3"/>
      <x:c r="N256" s="3"/>
      <x:c r="O256" s="3"/>
      <x:c r="P256" s="3"/>
      <x:c r="Q256" s="3"/>
      <x:c r="R256" s="7" t="n">
        <x:v>46094</x:v>
      </x:c>
      <x:c r="S256" s="3" t="n">
        <x:v>-73</x:v>
      </x:c>
      <x:c r="T256" s="4" t="n">
        <x:v>0</x:v>
      </x:c>
    </x:row>
    <x:row r="257" ht="15" customHeight="1">
      <x:c r="A257" s="3"/>
      <x:c r="B257" s="3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3"/>
      <x:c r="N257" s="3"/>
      <x:c r="O257" s="3"/>
      <x:c r="P257" s="3"/>
      <x:c r="Q257" s="3"/>
      <x:c r="R257" s="7" t="n">
        <x:v>46095</x:v>
      </x:c>
      <x:c r="S257" s="3" t="n">
        <x:v>-75</x:v>
      </x:c>
      <x:c r="T257" s="4" t="n">
        <x:v>0</x:v>
      </x:c>
    </x:row>
    <x:row r="258" ht="15" customHeight="1">
      <x:c r="A258" s="3"/>
      <x:c r="B258" s="3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3"/>
      <x:c r="N258" s="3"/>
      <x:c r="O258" s="3"/>
      <x:c r="P258" s="3"/>
      <x:c r="Q258" s="3"/>
      <x:c r="R258" s="7" t="n">
        <x:v>46096</x:v>
      </x:c>
      <x:c r="S258" s="3" t="n">
        <x:v>-76</x:v>
      </x:c>
      <x:c r="T258" s="4" t="n">
        <x:v>0</x:v>
      </x:c>
    </x:row>
    <x:row r="259" ht="15" customHeight="1">
      <x:c r="A259" s="3"/>
      <x:c r="B259" s="3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3"/>
      <x:c r="N259" s="3"/>
      <x:c r="O259" s="3"/>
      <x:c r="P259" s="3"/>
      <x:c r="Q259" s="3"/>
      <x:c r="R259" s="7" t="n">
        <x:v>46097</x:v>
      </x:c>
      <x:c r="S259" s="3" t="n">
        <x:v>-76</x:v>
      </x:c>
      <x:c r="T259" s="4" t="n">
        <x:v>0</x:v>
      </x:c>
    </x:row>
    <x:row r="260" ht="15" customHeight="1">
      <x:c r="A260" s="3"/>
      <x:c r="B260" s="3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3"/>
      <x:c r="N260" s="3"/>
      <x:c r="O260" s="3"/>
      <x:c r="P260" s="3"/>
      <x:c r="Q260" s="3"/>
      <x:c r="R260" s="7" t="n">
        <x:v>46098</x:v>
      </x:c>
      <x:c r="S260" s="3" t="n">
        <x:v>-76</x:v>
      </x:c>
      <x:c r="T260" s="4" t="n">
        <x:v>0</x:v>
      </x:c>
    </x:row>
    <x:row r="261" ht="15" customHeight="1">
      <x:c r="A261" s="3"/>
      <x:c r="B261" s="3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3"/>
      <x:c r="N261" s="3"/>
      <x:c r="O261" s="3"/>
      <x:c r="P261" s="3"/>
      <x:c r="Q261" s="3"/>
      <x:c r="R261" s="7" t="n">
        <x:v>46099</x:v>
      </x:c>
      <x:c r="S261" s="3" t="n">
        <x:v>-74</x:v>
      </x:c>
      <x:c r="T261" s="4" t="n">
        <x:v>0</x:v>
      </x:c>
    </x:row>
    <x:row r="262" ht="15" customHeight="1">
      <x:c r="A262" s="3"/>
      <x:c r="B262" s="3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3"/>
      <x:c r="N262" s="3"/>
      <x:c r="O262" s="3"/>
      <x:c r="P262" s="3"/>
      <x:c r="Q262" s="3"/>
      <x:c r="R262" s="7" t="n">
        <x:v>46100</x:v>
      </x:c>
      <x:c r="S262" s="3" t="n">
        <x:v>-73</x:v>
      </x:c>
      <x:c r="T262" s="4" t="n">
        <x:v>0</x:v>
      </x:c>
    </x:row>
    <x:row r="263" ht="15" customHeight="1">
      <x:c r="A263" s="3"/>
      <x:c r="B263" s="3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3"/>
      <x:c r="N263" s="3"/>
      <x:c r="O263" s="3"/>
      <x:c r="P263" s="3"/>
      <x:c r="Q263" s="3"/>
      <x:c r="R263" s="7" t="n">
        <x:v>46101</x:v>
      </x:c>
      <x:c r="S263" s="3" t="n">
        <x:v>-73</x:v>
      </x:c>
      <x:c r="T263" s="4" t="n">
        <x:v>0</x:v>
      </x:c>
    </x:row>
    <x:row r="264" ht="15" customHeight="1">
      <x:c r="A264" s="3"/>
      <x:c r="B264" s="3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3"/>
      <x:c r="N264" s="3"/>
      <x:c r="O264" s="3"/>
      <x:c r="P264" s="3"/>
      <x:c r="Q264" s="3"/>
      <x:c r="R264" s="7" t="n">
        <x:v>46102</x:v>
      </x:c>
      <x:c r="S264" s="3" t="n">
        <x:v>-71</x:v>
      </x:c>
      <x:c r="T264" s="4" t="n">
        <x:v>0</x:v>
      </x:c>
    </x:row>
    <x:row r="265" ht="15" customHeight="1">
      <x:c r="A265" s="3"/>
      <x:c r="B265" s="3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3"/>
      <x:c r="N265" s="3"/>
      <x:c r="O265" s="3"/>
      <x:c r="P265" s="3"/>
      <x:c r="Q265" s="3"/>
      <x:c r="R265" s="7" t="n">
        <x:v>46103</x:v>
      </x:c>
      <x:c r="S265" s="3" t="n">
        <x:v>-71</x:v>
      </x:c>
      <x:c r="T265" s="4" t="n">
        <x:v>0</x:v>
      </x:c>
    </x:row>
    <x:row r="266" ht="15" customHeight="1">
      <x:c r="A266" s="3"/>
      <x:c r="B266" s="3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3"/>
      <x:c r="N266" s="3"/>
      <x:c r="O266" s="3"/>
      <x:c r="P266" s="3"/>
      <x:c r="Q266" s="3"/>
      <x:c r="R266" s="7" t="n">
        <x:v>46104</x:v>
      </x:c>
      <x:c r="S266" s="3" t="n">
        <x:v>-71</x:v>
      </x:c>
      <x:c r="T266" s="4" t="n">
        <x:v>0</x:v>
      </x:c>
    </x:row>
    <x:row r="267" ht="15" customHeight="1">
      <x:c r="A267" s="3"/>
      <x:c r="B267" s="3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3"/>
      <x:c r="N267" s="3"/>
      <x:c r="O267" s="3"/>
      <x:c r="P267" s="3"/>
      <x:c r="Q267" s="3"/>
      <x:c r="R267" s="7" t="n">
        <x:v>46105</x:v>
      </x:c>
      <x:c r="S267" s="3" t="n">
        <x:v>-71</x:v>
      </x:c>
      <x:c r="T267" s="4" t="n">
        <x:v>0</x:v>
      </x:c>
    </x:row>
    <x:row r="268" ht="15" customHeight="1">
      <x:c r="A268" s="3"/>
      <x:c r="B268" s="3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3"/>
      <x:c r="N268" s="3"/>
      <x:c r="O268" s="3"/>
      <x:c r="P268" s="3"/>
      <x:c r="Q268" s="3"/>
      <x:c r="R268" s="7" t="n">
        <x:v>46106</x:v>
      </x:c>
      <x:c r="S268" s="3" t="n">
        <x:v>-72</x:v>
      </x:c>
      <x:c r="T268" s="4" t="n">
        <x:v>0</x:v>
      </x:c>
    </x:row>
    <x:row r="269" ht="15" customHeight="1">
      <x:c r="A269" s="3"/>
      <x:c r="B269" s="3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3"/>
      <x:c r="N269" s="3"/>
      <x:c r="O269" s="3"/>
      <x:c r="P269" s="3"/>
      <x:c r="Q269" s="3"/>
      <x:c r="R269" s="7" t="n">
        <x:v>46107</x:v>
      </x:c>
      <x:c r="S269" s="3" t="n">
        <x:v>-72</x:v>
      </x:c>
      <x:c r="T269" s="4" t="n">
        <x:v>0</x:v>
      </x:c>
    </x:row>
    <x:row r="270" ht="15" customHeight="1">
      <x:c r="A270" s="3"/>
      <x:c r="B270" s="3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3"/>
      <x:c r="N270" s="3"/>
      <x:c r="O270" s="3"/>
      <x:c r="P270" s="3"/>
      <x:c r="Q270" s="3"/>
      <x:c r="R270" s="7" t="n">
        <x:v>46108</x:v>
      </x:c>
      <x:c r="S270" s="3" t="n">
        <x:v>-71</x:v>
      </x:c>
      <x:c r="T270" s="4" t="n">
        <x:v>0</x:v>
      </x:c>
    </x:row>
    <x:row r="271" ht="15" customHeight="1">
      <x:c r="A271" s="3"/>
      <x:c r="B271" s="3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3"/>
      <x:c r="N271" s="3"/>
      <x:c r="O271" s="3"/>
      <x:c r="P271" s="3"/>
      <x:c r="Q271" s="3"/>
      <x:c r="R271" s="7" t="n">
        <x:v>46109</x:v>
      </x:c>
      <x:c r="S271" s="3" t="n">
        <x:v>-71</x:v>
      </x:c>
      <x:c r="T271" s="4" t="n">
        <x:v>0</x:v>
      </x:c>
    </x:row>
    <x:row r="272" ht="15" customHeight="1">
      <x:c r="A272" s="3"/>
      <x:c r="B272" s="3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3"/>
      <x:c r="N272" s="3"/>
      <x:c r="O272" s="3"/>
      <x:c r="P272" s="3"/>
      <x:c r="Q272" s="3"/>
      <x:c r="R272" s="7" t="n">
        <x:v>46110</x:v>
      </x:c>
      <x:c r="S272" s="3" t="n">
        <x:v>-71</x:v>
      </x:c>
      <x:c r="T272" s="4" t="n">
        <x:v>0</x:v>
      </x:c>
    </x:row>
    <x:row r="273" ht="15" customHeight="1">
      <x:c r="A273" s="3"/>
      <x:c r="B273" s="3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3"/>
      <x:c r="N273" s="3"/>
      <x:c r="O273" s="3"/>
      <x:c r="P273" s="3"/>
      <x:c r="Q273" s="3"/>
      <x:c r="R273" s="7" t="n">
        <x:v>46111</x:v>
      </x:c>
      <x:c r="S273" s="3" t="n">
        <x:v>-69</x:v>
      </x:c>
      <x:c r="T273" s="4" t="n">
        <x:v>0</x:v>
      </x:c>
    </x:row>
    <x:row r="274" ht="15" customHeight="1">
      <x:c r="A274" s="3"/>
      <x:c r="B274" s="3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3"/>
      <x:c r="N274" s="3"/>
      <x:c r="O274" s="3"/>
      <x:c r="P274" s="3"/>
      <x:c r="Q274" s="3"/>
      <x:c r="R274" s="7" t="n">
        <x:v>46112</x:v>
      </x:c>
      <x:c r="S274" s="3" t="n">
        <x:v>-67</x:v>
      </x:c>
      <x:c r="T274" s="4" t="n">
        <x:v>0</x:v>
      </x:c>
    </x:row>
    <x:row r="275" ht="15" customHeight="1">
      <x:c r="A275" s="3"/>
      <x:c r="B275" s="3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3"/>
      <x:c r="N275" s="3"/>
      <x:c r="O275" s="3"/>
      <x:c r="P275" s="3"/>
      <x:c r="Q275" s="3"/>
      <x:c r="R275" s="7" t="n">
        <x:v>46113</x:v>
      </x:c>
      <x:c r="S275" s="3" t="n">
        <x:v>-65</x:v>
      </x:c>
      <x:c r="T275" s="4" t="n">
        <x:v>0</x:v>
      </x:c>
    </x:row>
    <x:row r="276" ht="15" customHeight="1">
      <x:c r="A276" s="3"/>
      <x:c r="B276" s="3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3"/>
      <x:c r="N276" s="3"/>
      <x:c r="O276" s="3"/>
      <x:c r="P276" s="3"/>
      <x:c r="Q276" s="3"/>
      <x:c r="R276" s="7" t="n">
        <x:v>46114</x:v>
      </x:c>
      <x:c r="S276" s="3" t="n">
        <x:v>-59</x:v>
      </x:c>
      <x:c r="T276" s="4" t="n">
        <x:v>0</x:v>
      </x:c>
    </x:row>
    <x:row r="277" ht="15" customHeight="1">
      <x:c r="A277" s="3"/>
      <x:c r="B277" s="3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3"/>
      <x:c r="N277" s="3"/>
      <x:c r="O277" s="3"/>
      <x:c r="P277" s="3"/>
      <x:c r="Q277" s="3"/>
      <x:c r="R277" s="7" t="n">
        <x:v>46115</x:v>
      </x:c>
      <x:c r="S277" s="3" t="n">
        <x:v>-52</x:v>
      </x:c>
      <x:c r="T277" s="4" t="n">
        <x:v>0</x:v>
      </x:c>
    </x:row>
    <x:row r="278" ht="15" customHeight="1">
      <x:c r="A278" s="3"/>
      <x:c r="B278" s="3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3"/>
      <x:c r="N278" s="3"/>
      <x:c r="O278" s="3"/>
      <x:c r="P278" s="3"/>
      <x:c r="Q278" s="3"/>
      <x:c r="R278" s="7" t="n">
        <x:v>46116</x:v>
      </x:c>
      <x:c r="S278" s="3" t="n">
        <x:v>-42</x:v>
      </x:c>
      <x:c r="T278" s="4" t="n">
        <x:v>0</x:v>
      </x:c>
    </x:row>
    <x:row r="279" ht="15" customHeight="1">
      <x:c r="A279" s="3"/>
      <x:c r="B279" s="3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3"/>
      <x:c r="N279" s="3"/>
      <x:c r="O279" s="3"/>
      <x:c r="P279" s="3"/>
      <x:c r="Q279" s="3"/>
      <x:c r="R279" s="7" t="n">
        <x:v>46117</x:v>
      </x:c>
      <x:c r="S279" s="3" t="n">
        <x:v>-35</x:v>
      </x:c>
      <x:c r="T279" s="4" t="n">
        <x:v>0</x:v>
      </x:c>
    </x:row>
    <x:row r="280" ht="15" customHeight="1">
      <x:c r="A280" s="3"/>
      <x:c r="B280" s="3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3"/>
      <x:c r="N280" s="3"/>
      <x:c r="O280" s="3"/>
      <x:c r="P280" s="3"/>
      <x:c r="Q280" s="3"/>
      <x:c r="R280" s="7" t="n">
        <x:v>46118</x:v>
      </x:c>
      <x:c r="S280" s="3" t="n">
        <x:v>-17</x:v>
      </x:c>
      <x:c r="T280" s="4" t="n">
        <x:v>0</x:v>
      </x:c>
    </x:row>
    <x:row r="281" ht="15" customHeight="1">
      <x:c r="A281" s="3"/>
      <x:c r="B281" s="3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3"/>
      <x:c r="N281" s="3"/>
      <x:c r="O281" s="3"/>
      <x:c r="P281" s="3"/>
      <x:c r="Q281" s="3"/>
      <x:c r="R281" s="7" t="n">
        <x:v>46119</x:v>
      </x:c>
      <x:c r="S281" s="3" t="n">
        <x:v>-3</x:v>
      </x:c>
      <x:c r="T281" s="4" t="n">
        <x:v>0</x:v>
      </x:c>
    </x:row>
    <x:row r="282" ht="15" customHeight="1">
      <x:c r="A282" s="3"/>
      <x:c r="B282" s="3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3"/>
      <x:c r="N282" s="3"/>
      <x:c r="O282" s="3"/>
      <x:c r="P282" s="3"/>
      <x:c r="Q282" s="3"/>
      <x:c r="R282" s="7" t="n">
        <x:v>46120</x:v>
      </x:c>
      <x:c r="S282" s="3" t="n">
        <x:v>17</x:v>
      </x:c>
      <x:c r="T282" s="4" t="n">
        <x:v>0</x:v>
      </x:c>
    </x:row>
    <x:row r="283" ht="15" customHeight="1">
      <x:c r="A283" s="3"/>
      <x:c r="B283" s="3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3"/>
      <x:c r="N283" s="3"/>
      <x:c r="O283" s="3"/>
      <x:c r="P283" s="3"/>
      <x:c r="Q283" s="3"/>
      <x:c r="R283" s="7" t="n">
        <x:v>46121</x:v>
      </x:c>
      <x:c r="S283" s="3" t="n">
        <x:v>44</x:v>
      </x:c>
      <x:c r="T283" s="4" t="n">
        <x:v>0</x:v>
      </x:c>
    </x:row>
    <x:row r="284" ht="15" customHeight="1">
      <x:c r="A284" s="3"/>
      <x:c r="B284" s="3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3"/>
      <x:c r="N284" s="3"/>
      <x:c r="O284" s="3"/>
      <x:c r="P284" s="3"/>
      <x:c r="Q284" s="3"/>
      <x:c r="R284" s="7" t="n">
        <x:v>46122</x:v>
      </x:c>
      <x:c r="S284" s="3" t="n">
        <x:v>82</x:v>
      </x:c>
      <x:c r="T284" s="4" t="n">
        <x:v>0</x:v>
      </x:c>
    </x:row>
    <x:row r="285" ht="15" customHeight="1">
      <x:c r="A285" s="3"/>
      <x:c r="B285" s="3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3"/>
      <x:c r="N285" s="3"/>
      <x:c r="O285" s="3"/>
      <x:c r="P285" s="3"/>
      <x:c r="Q285" s="3"/>
      <x:c r="R285" s="7" t="n">
        <x:v>46123</x:v>
      </x:c>
      <x:c r="S285" s="3" t="n">
        <x:v>96</x:v>
      </x:c>
      <x:c r="T285" s="4" t="n">
        <x:v>0</x:v>
      </x:c>
    </x:row>
    <x:row r="286" ht="15" customHeight="1">
      <x:c r="A286" s="3"/>
      <x:c r="B286" s="3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3"/>
      <x:c r="N286" s="3"/>
      <x:c r="O286" s="3"/>
      <x:c r="P286" s="3"/>
      <x:c r="Q286" s="3"/>
      <x:c r="R286" s="7" t="n">
        <x:v>46124</x:v>
      </x:c>
      <x:c r="S286" s="3" t="n">
        <x:v>163</x:v>
      </x:c>
      <x:c r="T286" s="4" t="n">
        <x:v>0</x:v>
      </x:c>
    </x:row>
    <x:row r="287" ht="15" customHeight="1">
      <x:c r="A287" s="3"/>
      <x:c r="B287" s="3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3"/>
      <x:c r="N287" s="3"/>
      <x:c r="O287" s="3"/>
      <x:c r="P287" s="3"/>
      <x:c r="Q287" s="3"/>
      <x:c r="R287" s="7" t="n">
        <x:v>46125</x:v>
      </x:c>
      <x:c r="S287" s="3" t="n">
        <x:v>100</x:v>
      </x:c>
      <x:c r="T287" s="4" t="n">
        <x:v>0</x:v>
      </x:c>
    </x:row>
    <x:row r="288" ht="15" customHeight="1">
      <x:c r="A288" s="3"/>
      <x:c r="B288" s="3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3"/>
      <x:c r="N288" s="3"/>
      <x:c r="O288" s="3"/>
      <x:c r="P288" s="3"/>
      <x:c r="Q288" s="3"/>
      <x:c r="R288" s="7" t="n">
        <x:v>46126</x:v>
      </x:c>
      <x:c r="S288" s="3" t="n">
        <x:v>36</x:v>
      </x:c>
      <x:c r="T288" s="4" t="n">
        <x:v>0</x:v>
      </x:c>
    </x:row>
    <x:row r="289" ht="15" customHeight="1">
      <x:c r="A289" s="3"/>
      <x:c r="B289" s="3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3"/>
      <x:c r="N289" s="3"/>
      <x:c r="O289" s="3"/>
      <x:c r="P289" s="3"/>
      <x:c r="Q289" s="3"/>
      <x:c r="R289" s="7" t="n">
        <x:v>46127</x:v>
      </x:c>
      <x:c r="S289" s="3" t="n">
        <x:v>-4</x:v>
      </x:c>
      <x:c r="T289" s="4" t="n">
        <x:v>0</x:v>
      </x:c>
    </x:row>
    <x:row r="290" ht="15" customHeight="1">
      <x:c r="A290" s="3"/>
      <x:c r="B290" s="3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3"/>
      <x:c r="N290" s="3"/>
      <x:c r="O290" s="3"/>
      <x:c r="P290" s="3"/>
      <x:c r="Q290" s="3"/>
      <x:c r="R290" s="7" t="n">
        <x:v>46128</x:v>
      </x:c>
      <x:c r="S290" s="3" t="n">
        <x:v>-14</x:v>
      </x:c>
      <x:c r="T290" s="4" t="n">
        <x:v>0</x:v>
      </x:c>
    </x:row>
    <x:row r="291" ht="15" customHeight="1">
      <x:c r="A291" s="3"/>
      <x:c r="B291" s="3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3"/>
      <x:c r="N291" s="3"/>
      <x:c r="O291" s="3"/>
      <x:c r="P291" s="3"/>
      <x:c r="Q291" s="3"/>
      <x:c r="R291" s="7" t="n">
        <x:v>46129</x:v>
      </x:c>
      <x:c r="S291" s="3" t="n">
        <x:v>-6</x:v>
      </x:c>
      <x:c r="T291" s="4" t="n">
        <x:v>0</x:v>
      </x:c>
    </x:row>
    <x:row r="292" ht="15" customHeight="1">
      <x:c r="A292" s="3"/>
      <x:c r="B292" s="3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3"/>
      <x:c r="N292" s="3"/>
      <x:c r="O292" s="3"/>
      <x:c r="P292" s="3"/>
      <x:c r="Q292" s="3"/>
      <x:c r="R292" s="7" t="n">
        <x:v>46130</x:v>
      </x:c>
      <x:c r="S292" s="3" t="n">
        <x:v>-4</x:v>
      </x:c>
      <x:c r="T292" s="4" t="n">
        <x:v>0</x:v>
      </x:c>
    </x:row>
    <x:row r="293" ht="15" customHeight="1">
      <x:c r="A293" s="3"/>
      <x:c r="B293" s="3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3"/>
      <x:c r="N293" s="3"/>
      <x:c r="O293" s="3"/>
      <x:c r="P293" s="3"/>
      <x:c r="Q293" s="3"/>
      <x:c r="R293" s="7" t="n">
        <x:v>46131</x:v>
      </x:c>
      <x:c r="S293" s="3" t="n">
        <x:v>64</x:v>
      </x:c>
      <x:c r="T293" s="4" t="n">
        <x:v>0</x:v>
      </x:c>
    </x:row>
    <x:row r="294" ht="15" customHeight="1">
      <x:c r="A294" s="3"/>
      <x:c r="B294" s="3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3"/>
      <x:c r="N294" s="3"/>
      <x:c r="O294" s="3"/>
      <x:c r="P294" s="3"/>
      <x:c r="Q294" s="3"/>
      <x:c r="R294" s="7" t="n">
        <x:v>46132</x:v>
      </x:c>
      <x:c r="S294" s="3" t="n">
        <x:v>82</x:v>
      </x:c>
      <x:c r="T294" s="4" t="n">
        <x:v>0</x:v>
      </x:c>
    </x:row>
    <x:row r="295" ht="15" customHeight="1">
      <x:c r="A295" s="3"/>
      <x:c r="B295" s="3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3"/>
      <x:c r="N295" s="3"/>
      <x:c r="O295" s="3"/>
      <x:c r="P295" s="3"/>
      <x:c r="Q295" s="3"/>
      <x:c r="R295" s="7" t="n">
        <x:v>46133</x:v>
      </x:c>
      <x:c r="S295" s="3" t="n">
        <x:v>64</x:v>
      </x:c>
      <x:c r="T295" s="4" t="n">
        <x:v>0</x:v>
      </x:c>
    </x:row>
    <x:row r="296" ht="15" customHeight="1">
      <x:c r="A296" s="3"/>
      <x:c r="B296" s="3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3"/>
      <x:c r="N296" s="3"/>
      <x:c r="O296" s="3"/>
      <x:c r="P296" s="3"/>
      <x:c r="Q296" s="3"/>
      <x:c r="R296" s="7" t="n">
        <x:v>46134</x:v>
      </x:c>
      <x:c r="S296" s="3" t="n">
        <x:v>63</x:v>
      </x:c>
      <x:c r="T296" s="4" t="n">
        <x:v>0</x:v>
      </x:c>
    </x:row>
    <x:row r="297" ht="15" customHeight="1">
      <x:c r="A297" s="3"/>
      <x:c r="B297" s="3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3"/>
      <x:c r="N297" s="3"/>
      <x:c r="O297" s="3"/>
      <x:c r="P297" s="3"/>
      <x:c r="Q297" s="3"/>
      <x:c r="R297" s="7" t="n">
        <x:v>46135</x:v>
      </x:c>
      <x:c r="S297" s="3" t="n">
        <x:v>55</x:v>
      </x:c>
      <x:c r="T297" s="4" t="n">
        <x:v>0</x:v>
      </x:c>
    </x:row>
    <x:row r="298" ht="15" customHeight="1">
      <x:c r="A298" s="3"/>
      <x:c r="B298" s="3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3"/>
      <x:c r="N298" s="3"/>
      <x:c r="O298" s="3"/>
      <x:c r="P298" s="3"/>
      <x:c r="Q298" s="3"/>
      <x:c r="R298" s="7" t="n">
        <x:v>46136</x:v>
      </x:c>
      <x:c r="S298" s="3" t="n">
        <x:v>53</x:v>
      </x:c>
      <x:c r="T298" s="4" t="n">
        <x:v>0</x:v>
      </x:c>
    </x:row>
    <x:row r="299" ht="15" customHeight="1">
      <x:c r="A299" s="3"/>
      <x:c r="B299" s="3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3"/>
      <x:c r="N299" s="3"/>
      <x:c r="O299" s="3"/>
      <x:c r="P299" s="3"/>
      <x:c r="Q299" s="3"/>
      <x:c r="R299" s="7" t="n">
        <x:v>46137</x:v>
      </x:c>
      <x:c r="S299" s="3" t="n">
        <x:v>58</x:v>
      </x:c>
      <x:c r="T299" s="4" t="n">
        <x:v>0</x:v>
      </x:c>
    </x:row>
    <x:row r="300" ht="15" customHeight="1">
      <x:c r="A300" s="3"/>
      <x:c r="B300" s="3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3"/>
      <x:c r="N300" s="3"/>
      <x:c r="O300" s="3"/>
      <x:c r="P300" s="3"/>
      <x:c r="Q300" s="3"/>
      <x:c r="R300" s="7" t="n">
        <x:v>46138</x:v>
      </x:c>
      <x:c r="S300" s="3" t="n">
        <x:v>58</x:v>
      </x:c>
      <x:c r="T300" s="4" t="n">
        <x:v>0</x:v>
      </x:c>
    </x:row>
    <x:row r="301" ht="15" customHeight="1">
      <x:c r="A301" s="3"/>
      <x:c r="B301" s="3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3"/>
      <x:c r="N301" s="3"/>
      <x:c r="O301" s="3"/>
      <x:c r="P301" s="3"/>
      <x:c r="Q301" s="3"/>
      <x:c r="R301" s="7" t="n">
        <x:v>46139</x:v>
      </x:c>
      <x:c r="S301" s="3" t="n">
        <x:v>61</x:v>
      </x:c>
      <x:c r="T301" s="4" t="n">
        <x:v>0</x:v>
      </x:c>
    </x:row>
    <x:row r="302" ht="15" customHeight="1">
      <x:c r="A302" s="3"/>
      <x:c r="B302" s="3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3"/>
      <x:c r="N302" s="3"/>
      <x:c r="O302" s="3"/>
      <x:c r="P302" s="3"/>
      <x:c r="Q302" s="3"/>
      <x:c r="R302" s="7" t="n">
        <x:v>46140</x:v>
      </x:c>
      <x:c r="S302" s="3" t="n">
        <x:v>47</x:v>
      </x:c>
      <x:c r="T302" s="4" t="n">
        <x:v>0</x:v>
      </x:c>
    </x:row>
    <x:row r="303" ht="15" customHeight="1">
      <x:c r="A303" s="3"/>
      <x:c r="B303" s="3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3"/>
      <x:c r="N303" s="3"/>
      <x:c r="O303" s="3"/>
      <x:c r="P303" s="3"/>
      <x:c r="Q303" s="3"/>
      <x:c r="R303" s="7" t="n">
        <x:v>46141</x:v>
      </x:c>
      <x:c r="S303" s="3" t="n">
        <x:v>37</x:v>
      </x:c>
      <x:c r="T303" s="4" t="n">
        <x:v>0</x:v>
      </x:c>
    </x:row>
    <x:row r="304" ht="15" customHeight="1">
      <x:c r="A304" s="3"/>
      <x:c r="B304" s="3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3"/>
      <x:c r="N304" s="3"/>
      <x:c r="O304" s="3"/>
      <x:c r="P304" s="3"/>
      <x:c r="Q304" s="3"/>
      <x:c r="R304" s="7" t="n">
        <x:v>46142</x:v>
      </x:c>
      <x:c r="S304" s="3" t="n">
        <x:v>33</x:v>
      </x:c>
      <x:c r="T304" s="4" t="n">
        <x:v>0</x:v>
      </x:c>
    </x:row>
    <x:row r="305" ht="15" customHeight="1">
      <x:c r="A305" s="3"/>
      <x:c r="B305" s="3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3"/>
      <x:c r="N305" s="3"/>
      <x:c r="O305" s="3"/>
      <x:c r="P305" s="3"/>
      <x:c r="Q305" s="3"/>
      <x:c r="R305" s="7" t="n">
        <x:v>46143</x:v>
      </x:c>
      <x:c r="S305" s="3" t="n">
        <x:v>44</x:v>
      </x:c>
      <x:c r="T305" s="4" t="n">
        <x:v>0</x:v>
      </x:c>
    </x:row>
    <x:row r="306" ht="15" customHeight="1">
      <x:c r="A306" s="3"/>
      <x:c r="B306" s="3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3"/>
      <x:c r="N306" s="3"/>
      <x:c r="O306" s="3"/>
      <x:c r="P306" s="3"/>
      <x:c r="Q306" s="3"/>
      <x:c r="R306" s="7" t="n">
        <x:v>46144</x:v>
      </x:c>
      <x:c r="S306" s="3" t="n">
        <x:v>61</x:v>
      </x:c>
      <x:c r="T306" s="4" t="n">
        <x:v>0</x:v>
      </x:c>
    </x:row>
    <x:row r="307" ht="15" customHeight="1">
      <x:c r="A307" s="3"/>
      <x:c r="B307" s="3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3"/>
      <x:c r="N307" s="3"/>
      <x:c r="O307" s="3"/>
      <x:c r="P307" s="3"/>
      <x:c r="Q307" s="3"/>
      <x:c r="R307" s="7" t="n">
        <x:v>46145</x:v>
      </x:c>
      <x:c r="S307" s="3" t="n">
        <x:v>76</x:v>
      </x:c>
      <x:c r="T307" s="4" t="n">
        <x:v>0</x:v>
      </x:c>
    </x:row>
    <x:row r="308" ht="15" customHeight="1">
      <x:c r="A308" s="3"/>
      <x:c r="B308" s="3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3"/>
      <x:c r="N308" s="3"/>
      <x:c r="O308" s="3"/>
      <x:c r="P308" s="3"/>
      <x:c r="Q308" s="3"/>
      <x:c r="R308" s="7" t="n">
        <x:v>46146</x:v>
      </x:c>
      <x:c r="S308" s="3" t="n">
        <x:v>83</x:v>
      </x:c>
      <x:c r="T308" s="4" t="n">
        <x:v>0</x:v>
      </x:c>
    </x:row>
    <x:row r="309" ht="15" customHeight="1">
      <x:c r="A309" s="3"/>
      <x:c r="B309" s="3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3"/>
      <x:c r="N309" s="3"/>
      <x:c r="O309" s="3"/>
      <x:c r="P309" s="3"/>
      <x:c r="Q309" s="3"/>
      <x:c r="R309" s="7" t="n">
        <x:v>46147</x:v>
      </x:c>
      <x:c r="S309" s="3" t="n">
        <x:v>87</x:v>
      </x:c>
      <x:c r="T309" s="4" t="n">
        <x:v>0</x:v>
      </x:c>
    </x:row>
    <x:row r="310" ht="15" customHeight="1">
      <x:c r="A310" s="3"/>
      <x:c r="B310" s="3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3"/>
      <x:c r="N310" s="3"/>
      <x:c r="O310" s="3"/>
      <x:c r="P310" s="3"/>
      <x:c r="Q310" s="3"/>
      <x:c r="R310" s="7" t="n">
        <x:v>46148</x:v>
      </x:c>
      <x:c r="S310" s="3" t="n">
        <x:v>92</x:v>
      </x:c>
      <x:c r="T310" s="4" t="n">
        <x:v>0</x:v>
      </x:c>
    </x:row>
    <x:row r="311" ht="15" customHeight="1">
      <x:c r="A311" s="3"/>
      <x:c r="B311" s="3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3"/>
      <x:c r="N311" s="3"/>
      <x:c r="O311" s="3"/>
      <x:c r="P311" s="3"/>
      <x:c r="Q311" s="3"/>
      <x:c r="R311" s="7" t="n">
        <x:v>46149</x:v>
      </x:c>
      <x:c r="S311" s="3" t="n">
        <x:v>99</x:v>
      </x:c>
      <x:c r="T311" s="4" t="n">
        <x:v>0</x:v>
      </x:c>
    </x:row>
    <x:row r="312" ht="15" customHeight="1">
      <x:c r="A312" s="3"/>
      <x:c r="B312" s="3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3"/>
      <x:c r="N312" s="3"/>
      <x:c r="O312" s="3"/>
      <x:c r="P312" s="3"/>
      <x:c r="Q312" s="3"/>
      <x:c r="R312" s="7" t="n">
        <x:v>46150</x:v>
      </x:c>
      <x:c r="S312" s="3" t="n">
        <x:v>108</x:v>
      </x:c>
      <x:c r="T312" s="4" t="n">
        <x:v>0</x:v>
      </x:c>
    </x:row>
    <x:row r="313" ht="15" customHeight="1">
      <x:c r="A313" s="3"/>
      <x:c r="B313" s="3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3"/>
      <x:c r="N313" s="3"/>
      <x:c r="O313" s="3"/>
      <x:c r="P313" s="3"/>
      <x:c r="Q313" s="3"/>
      <x:c r="R313" s="7" t="n">
        <x:v>46151</x:v>
      </x:c>
      <x:c r="S313" s="3" t="n">
        <x:v>120</x:v>
      </x:c>
      <x:c r="T313" s="4" t="n">
        <x:v>0</x:v>
      </x:c>
    </x:row>
    <x:row r="314" ht="15" customHeight="1">
      <x:c r="A314" s="3"/>
      <x:c r="B314" s="3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3"/>
      <x:c r="N314" s="3"/>
      <x:c r="O314" s="3"/>
      <x:c r="P314" s="3"/>
      <x:c r="Q314" s="3"/>
      <x:c r="R314" s="7" t="n">
        <x:v>46152</x:v>
      </x:c>
      <x:c r="S314" s="3" t="n">
        <x:v>137</x:v>
      </x:c>
      <x:c r="T314" s="4" t="n">
        <x:v>0</x:v>
      </x:c>
    </x:row>
    <x:row r="315" ht="15" customHeight="1">
      <x:c r="A315" s="3"/>
      <x:c r="B315" s="3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3"/>
      <x:c r="N315" s="3"/>
      <x:c r="O315" s="3"/>
      <x:c r="P315" s="3"/>
      <x:c r="Q315" s="3"/>
      <x:c r="R315" s="7" t="n">
        <x:v>46153</x:v>
      </x:c>
      <x:c r="S315" s="3" t="n">
        <x:v>152</x:v>
      </x:c>
      <x:c r="T315" s="4" t="n">
        <x:v>0</x:v>
      </x:c>
    </x:row>
    <x:row r="316" ht="15" customHeight="1">
      <x:c r="A316" s="3"/>
      <x:c r="B316" s="3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3"/>
      <x:c r="N316" s="3"/>
      <x:c r="O316" s="3"/>
      <x:c r="P316" s="3"/>
      <x:c r="Q316" s="3"/>
      <x:c r="R316" s="7" t="n">
        <x:v>46154</x:v>
      </x:c>
      <x:c r="S316" s="3" t="n">
        <x:v>160</x:v>
      </x:c>
      <x:c r="T316" s="4" t="n">
        <x:v>0</x:v>
      </x:c>
    </x:row>
    <x:row r="317" ht="15" customHeight="1">
      <x:c r="A317" s="3"/>
      <x:c r="B317" s="3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3"/>
      <x:c r="N317" s="3"/>
      <x:c r="O317" s="3"/>
      <x:c r="P317" s="3"/>
      <x:c r="Q317" s="3"/>
      <x:c r="R317" s="7" t="n">
        <x:v>46155</x:v>
      </x:c>
      <x:c r="S317" s="3" t="n">
        <x:v>162</x:v>
      </x:c>
      <x:c r="T317" s="4" t="n">
        <x:v>0</x:v>
      </x:c>
    </x:row>
    <x:row r="318" ht="15" customHeight="1">
      <x:c r="A318" s="3"/>
      <x:c r="B318" s="3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3"/>
      <x:c r="N318" s="3"/>
      <x:c r="O318" s="3"/>
      <x:c r="P318" s="3"/>
      <x:c r="Q318" s="3"/>
      <x:c r="R318" s="7" t="n">
        <x:v>46156</x:v>
      </x:c>
      <x:c r="S318" s="3" t="n">
        <x:v>161</x:v>
      </x:c>
      <x:c r="T318" s="4" t="n">
        <x:v>0</x:v>
      </x:c>
    </x:row>
    <x:row r="319" ht="15" customHeight="1">
      <x:c r="A319" s="3"/>
      <x:c r="B319" s="3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3"/>
      <x:c r="N319" s="3"/>
      <x:c r="O319" s="3"/>
      <x:c r="P319" s="3"/>
      <x:c r="Q319" s="3"/>
      <x:c r="R319" s="7" t="n">
        <x:v>46157</x:v>
      </x:c>
      <x:c r="S319" s="3" t="n">
        <x:v>154</x:v>
      </x:c>
      <x:c r="T319" s="4" t="n">
        <x:v>0</x:v>
      </x:c>
    </x:row>
    <x:row r="320" ht="15" customHeight="1">
      <x:c r="A320" s="3"/>
      <x:c r="B320" s="3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3"/>
      <x:c r="N320" s="3"/>
      <x:c r="O320" s="3"/>
      <x:c r="P320" s="3"/>
      <x:c r="Q320" s="3"/>
      <x:c r="R320" s="7" t="n">
        <x:v>46158</x:v>
      </x:c>
      <x:c r="S320" s="3" t="n">
        <x:v>148</x:v>
      </x:c>
      <x:c r="T320" s="4" t="n">
        <x:v>0</x:v>
      </x:c>
    </x:row>
    <x:row r="321" ht="15" customHeight="1">
      <x:c r="A321" s="3"/>
      <x:c r="B321" s="3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3"/>
      <x:c r="N321" s="3"/>
      <x:c r="O321" s="3"/>
      <x:c r="P321" s="3"/>
      <x:c r="Q321" s="3"/>
      <x:c r="R321" s="7" t="n">
        <x:v>46159</x:v>
      </x:c>
      <x:c r="S321" s="3" t="n">
        <x:v>141</x:v>
      </x:c>
      <x:c r="T321" s="4" t="n">
        <x:v>0</x:v>
      </x:c>
    </x:row>
    <x:row r="322" ht="15" customHeight="1">
      <x:c r="A322" s="3"/>
      <x:c r="B322" s="3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3"/>
      <x:c r="N322" s="3"/>
      <x:c r="O322" s="3"/>
      <x:c r="P322" s="3"/>
      <x:c r="Q322" s="3"/>
      <x:c r="R322" s="7" t="n">
        <x:v>46160</x:v>
      </x:c>
      <x:c r="S322" s="3" t="n">
        <x:v>139</x:v>
      </x:c>
      <x:c r="T322" s="4" t="n">
        <x:v>0</x:v>
      </x:c>
    </x:row>
    <x:row r="323" ht="15" customHeight="1">
      <x:c r="A323" s="3"/>
      <x:c r="B323" s="3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3"/>
      <x:c r="N323" s="3"/>
      <x:c r="O323" s="3"/>
      <x:c r="P323" s="3"/>
      <x:c r="Q323" s="3"/>
      <x:c r="R323" s="7" t="n">
        <x:v>46161</x:v>
      </x:c>
      <x:c r="S323" s="3" t="n">
        <x:v>135</x:v>
      </x:c>
      <x:c r="T323" s="4" t="n">
        <x:v>0</x:v>
      </x:c>
    </x:row>
    <x:row r="324" ht="15" customHeight="1">
      <x:c r="A324" s="3"/>
      <x:c r="B324" s="3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3"/>
      <x:c r="N324" s="3"/>
      <x:c r="O324" s="3"/>
      <x:c r="P324" s="3"/>
      <x:c r="Q324" s="3"/>
      <x:c r="R324" s="7" t="n">
        <x:v>46162</x:v>
      </x:c>
      <x:c r="S324" s="3" t="n">
        <x:v>135</x:v>
      </x:c>
      <x:c r="T324" s="4" t="n">
        <x:v>0</x:v>
      </x:c>
    </x:row>
    <x:row r="325" ht="15" customHeight="1">
      <x:c r="A325" s="3"/>
      <x:c r="B325" s="3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3"/>
      <x:c r="N325" s="3"/>
      <x:c r="O325" s="3"/>
      <x:c r="P325" s="3"/>
      <x:c r="Q325" s="3"/>
      <x:c r="R325" s="7" t="n">
        <x:v>46163</x:v>
      </x:c>
      <x:c r="S325" s="3" t="n">
        <x:v>134</x:v>
      </x:c>
      <x:c r="T325" s="4" t="n">
        <x:v>0</x:v>
      </x:c>
    </x:row>
    <x:row r="326" ht="15" customHeight="1">
      <x:c r="A326" s="3"/>
      <x:c r="B326" s="3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3"/>
      <x:c r="N326" s="3"/>
      <x:c r="O326" s="3"/>
      <x:c r="P326" s="3"/>
      <x:c r="Q326" s="3"/>
      <x:c r="R326" s="7" t="n">
        <x:v>46164</x:v>
      </x:c>
      <x:c r="S326" s="3" t="n">
        <x:v>131</x:v>
      </x:c>
      <x:c r="T326" s="4" t="n">
        <x:v>0</x:v>
      </x:c>
    </x:row>
    <x:row r="327" ht="15" customHeight="1">
      <x:c r="A327" s="3"/>
      <x:c r="B327" s="3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3"/>
      <x:c r="N327" s="3"/>
      <x:c r="O327" s="3"/>
      <x:c r="P327" s="3"/>
      <x:c r="Q327" s="3"/>
      <x:c r="R327" s="7" t="n">
        <x:v>46165</x:v>
      </x:c>
      <x:c r="S327" s="3" t="n">
        <x:v>126</x:v>
      </x:c>
      <x:c r="T327" s="4" t="n">
        <x:v>0</x:v>
      </x:c>
    </x:row>
    <x:row r="328" ht="15" customHeight="1">
      <x:c r="A328" s="3"/>
      <x:c r="B328" s="3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3"/>
      <x:c r="N328" s="3"/>
      <x:c r="O328" s="3"/>
      <x:c r="P328" s="3"/>
      <x:c r="Q328" s="3"/>
      <x:c r="R328" s="7" t="n">
        <x:v>46166</x:v>
      </x:c>
      <x:c r="S328" s="3" t="n">
        <x:v>119</x:v>
      </x:c>
      <x:c r="T328" s="4" t="n">
        <x:v>0</x:v>
      </x:c>
    </x:row>
    <x:row r="329" ht="15" customHeight="1">
      <x:c r="A329" s="3"/>
      <x:c r="B329" s="3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3"/>
      <x:c r="N329" s="3"/>
      <x:c r="O329" s="3"/>
      <x:c r="P329" s="3"/>
      <x:c r="Q329" s="3"/>
      <x:c r="R329" s="7" t="n">
        <x:v>46167</x:v>
      </x:c>
      <x:c r="S329" s="3" t="n">
        <x:v>114</x:v>
      </x:c>
      <x:c r="T329" s="4" t="n">
        <x:v>0</x:v>
      </x:c>
    </x:row>
    <x:row r="330" ht="15" customHeight="1">
      <x:c r="A330" s="3"/>
      <x:c r="B330" s="3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3"/>
      <x:c r="N330" s="3"/>
      <x:c r="O330" s="3"/>
      <x:c r="P330" s="3"/>
      <x:c r="Q330" s="3"/>
      <x:c r="R330" s="7" t="n">
        <x:v>46168</x:v>
      </x:c>
      <x:c r="S330" s="3" t="n">
        <x:v>106</x:v>
      </x:c>
      <x:c r="T330" s="4" t="n">
        <x:v>0</x:v>
      </x:c>
    </x:row>
    <x:row r="331" ht="15" customHeight="1">
      <x:c r="A331" s="3"/>
      <x:c r="B331" s="3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3"/>
      <x:c r="N331" s="3"/>
      <x:c r="O331" s="3"/>
      <x:c r="P331" s="3"/>
      <x:c r="Q331" s="3"/>
      <x:c r="R331" s="7" t="n">
        <x:v>46169</x:v>
      </x:c>
      <x:c r="S331" s="3" t="n">
        <x:v>101</x:v>
      </x:c>
      <x:c r="T331" s="4" t="n">
        <x:v>0</x:v>
      </x:c>
    </x:row>
    <x:row r="332" ht="15" customHeight="1">
      <x:c r="A332" s="3"/>
      <x:c r="B332" s="3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3"/>
      <x:c r="N332" s="3"/>
      <x:c r="O332" s="3"/>
      <x:c r="P332" s="3"/>
      <x:c r="Q332" s="3"/>
      <x:c r="R332" s="7" t="n">
        <x:v>46170</x:v>
      </x:c>
      <x:c r="S332" s="3" t="n">
        <x:v>95</x:v>
      </x:c>
      <x:c r="T332" s="4" t="n">
        <x:v>0</x:v>
      </x:c>
    </x:row>
    <x:row r="333" ht="15" customHeight="1">
      <x:c r="A333" s="3"/>
      <x:c r="B333" s="3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3"/>
      <x:c r="N333" s="3"/>
      <x:c r="O333" s="3"/>
      <x:c r="P333" s="3"/>
      <x:c r="Q333" s="3"/>
      <x:c r="R333" s="7" t="n">
        <x:v>46171</x:v>
      </x:c>
      <x:c r="S333" s="3" t="n">
        <x:v>85</x:v>
      </x:c>
      <x:c r="T333" s="4" t="n">
        <x:v>0</x:v>
      </x:c>
    </x:row>
    <x:row r="334" ht="15" customHeight="1">
      <x:c r="A334" s="3"/>
      <x:c r="B334" s="3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3"/>
      <x:c r="N334" s="3"/>
      <x:c r="O334" s="3"/>
      <x:c r="P334" s="3"/>
      <x:c r="Q334" s="3"/>
      <x:c r="R334" s="7" t="n">
        <x:v>46172</x:v>
      </x:c>
      <x:c r="S334" s="3" t="n">
        <x:v>77</x:v>
      </x:c>
      <x:c r="T334" s="4" t="n">
        <x:v>0</x:v>
      </x:c>
    </x:row>
    <x:row r="335" ht="15" customHeight="1">
      <x:c r="A335" s="3"/>
      <x:c r="B335" s="3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3"/>
      <x:c r="N335" s="3"/>
      <x:c r="O335" s="3"/>
      <x:c r="P335" s="3"/>
      <x:c r="Q335" s="3"/>
      <x:c r="R335" s="7" t="n">
        <x:v>46173</x:v>
      </x:c>
      <x:c r="S335" s="3" t="n">
        <x:v>70</x:v>
      </x:c>
      <x:c r="T335" s="4" t="n">
        <x:v>0</x:v>
      </x:c>
    </x:row>
    <x:row r="336" ht="15" customHeight="1">
      <x:c r="A336" s="3"/>
      <x:c r="B336" s="3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3"/>
      <x:c r="N336" s="3"/>
      <x:c r="O336" s="3"/>
      <x:c r="P336" s="3"/>
      <x:c r="Q336" s="3"/>
      <x:c r="R336" s="7" t="n">
        <x:v>46174</x:v>
      </x:c>
      <x:c r="S336" s="3" t="n">
        <x:v>64</x:v>
      </x:c>
      <x:c r="T336" s="4" t="n">
        <x:v>0</x:v>
      </x:c>
    </x:row>
    <x:row r="337" ht="15" customHeight="1">
      <x:c r="A337" s="3"/>
      <x:c r="B337" s="3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3"/>
      <x:c r="N337" s="3"/>
      <x:c r="O337" s="3"/>
      <x:c r="P337" s="3"/>
      <x:c r="Q337" s="3"/>
      <x:c r="R337" s="7" t="n">
        <x:v>46175</x:v>
      </x:c>
      <x:c r="S337" s="3" t="n">
        <x:v>62</x:v>
      </x:c>
      <x:c r="T337" s="4" t="n">
        <x:v>0</x:v>
      </x:c>
    </x:row>
    <x:row r="338" ht="15" customHeight="1">
      <x:c r="A338" s="3"/>
      <x:c r="B338" s="3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3"/>
      <x:c r="N338" s="3"/>
      <x:c r="O338" s="3"/>
      <x:c r="P338" s="3"/>
      <x:c r="Q338" s="3"/>
      <x:c r="R338" s="7" t="n">
        <x:v>46176</x:v>
      </x:c>
      <x:c r="S338" s="3" t="n">
        <x:v>61</x:v>
      </x:c>
      <x:c r="T338" s="4" t="n">
        <x:v>0</x:v>
      </x:c>
    </x:row>
    <x:row r="339" ht="15" customHeight="1">
      <x:c r="A339" s="3"/>
      <x:c r="B339" s="3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3"/>
      <x:c r="N339" s="3"/>
      <x:c r="O339" s="3"/>
      <x:c r="P339" s="3"/>
      <x:c r="Q339" s="3"/>
      <x:c r="R339" s="7" t="n">
        <x:v>46177</x:v>
      </x:c>
      <x:c r="S339" s="3" t="n">
        <x:v>75</x:v>
      </x:c>
      <x:c r="T339" s="4" t="n">
        <x:v>0</x:v>
      </x:c>
    </x:row>
    <x:row r="340" ht="15" customHeight="1">
      <x:c r="A340" s="3"/>
      <x:c r="B340" s="3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3"/>
      <x:c r="N340" s="3"/>
      <x:c r="O340" s="3"/>
      <x:c r="P340" s="3"/>
      <x:c r="Q340" s="3"/>
      <x:c r="R340" s="7" t="n">
        <x:v>46178</x:v>
      </x:c>
      <x:c r="S340" s="3" t="n">
        <x:v>94</x:v>
      </x:c>
      <x:c r="T340" s="4" t="n">
        <x:v>0</x:v>
      </x:c>
    </x:row>
    <x:row r="341" ht="15" customHeight="1">
      <x:c r="A341" s="3"/>
      <x:c r="B341" s="3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3"/>
      <x:c r="N341" s="3"/>
      <x:c r="O341" s="3"/>
      <x:c r="P341" s="3"/>
      <x:c r="Q341" s="3"/>
      <x:c r="R341" s="7" t="n">
        <x:v>46179</x:v>
      </x:c>
      <x:c r="S341" s="3" t="n">
        <x:v>116</x:v>
      </x:c>
      <x:c r="T341" s="4" t="n">
        <x:v>0</x:v>
      </x:c>
    </x:row>
    <x:row r="342" ht="15" customHeight="1">
      <x:c r="A342" s="3"/>
      <x:c r="B342" s="3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3"/>
      <x:c r="N342" s="3"/>
      <x:c r="O342" s="3"/>
      <x:c r="P342" s="3"/>
      <x:c r="Q342" s="3"/>
      <x:c r="R342" s="7" t="n">
        <x:v>46180</x:v>
      </x:c>
      <x:c r="S342" s="3" t="n">
        <x:v>128</x:v>
      </x:c>
      <x:c r="T342" s="4" t="n">
        <x:v>0</x:v>
      </x:c>
    </x:row>
    <x:row r="343" ht="15" customHeight="1">
      <x:c r="A343" s="3"/>
      <x:c r="B343" s="3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3"/>
      <x:c r="N343" s="3"/>
      <x:c r="O343" s="3"/>
      <x:c r="P343" s="3"/>
      <x:c r="Q343" s="3"/>
      <x:c r="R343" s="7" t="n">
        <x:v>46181</x:v>
      </x:c>
      <x:c r="S343" s="3" t="n">
        <x:v>132</x:v>
      </x:c>
      <x:c r="T343" s="4" t="n">
        <x:v>0</x:v>
      </x:c>
    </x:row>
    <x:row r="344" ht="15" customHeight="1">
      <x:c r="A344" s="3"/>
      <x:c r="B344" s="3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3"/>
      <x:c r="N344" s="3"/>
      <x:c r="O344" s="3"/>
      <x:c r="P344" s="3"/>
      <x:c r="Q344" s="3"/>
      <x:c r="R344" s="7" t="n">
        <x:v>46182</x:v>
      </x:c>
      <x:c r="S344" s="3" t="n">
        <x:v>131</x:v>
      </x:c>
      <x:c r="T344" s="4" t="n">
        <x:v>0</x:v>
      </x:c>
    </x:row>
    <x:row r="345" ht="15" customHeight="1">
      <x:c r="A345" s="3"/>
      <x:c r="B345" s="3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3"/>
      <x:c r="N345" s="3"/>
      <x:c r="O345" s="3"/>
      <x:c r="P345" s="3"/>
      <x:c r="Q345" s="3"/>
      <x:c r="R345" s="7" t="n">
        <x:v>46183</x:v>
      </x:c>
      <x:c r="S345" s="3" t="n">
        <x:v>128</x:v>
      </x:c>
      <x:c r="T345" s="4" t="n">
        <x:v>0</x:v>
      </x:c>
    </x:row>
    <x:row r="346" ht="15" customHeight="1">
      <x:c r="A346" s="3"/>
      <x:c r="B346" s="3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3"/>
      <x:c r="N346" s="3"/>
      <x:c r="O346" s="3"/>
      <x:c r="P346" s="3"/>
      <x:c r="Q346" s="3"/>
      <x:c r="R346" s="7" t="n">
        <x:v>46184</x:v>
      </x:c>
      <x:c r="S346" s="3" t="n">
        <x:v>128</x:v>
      </x:c>
      <x:c r="T346" s="4" t="n">
        <x:v>0</x:v>
      </x:c>
    </x:row>
    <x:row r="347" ht="15" customHeight="1">
      <x:c r="A347" s="3"/>
      <x:c r="B347" s="3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3"/>
      <x:c r="N347" s="3"/>
      <x:c r="O347" s="3"/>
      <x:c r="P347" s="3"/>
      <x:c r="Q347" s="3"/>
      <x:c r="R347" s="7" t="n">
        <x:v>46185</x:v>
      </x:c>
      <x:c r="S347" s="3" t="n">
        <x:v>123</x:v>
      </x:c>
      <x:c r="T347" s="4" t="n">
        <x:v>0</x:v>
      </x:c>
    </x:row>
    <x:row r="348" ht="15" customHeight="1">
      <x:c r="A348" s="3"/>
      <x:c r="B348" s="3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3"/>
      <x:c r="N348" s="3"/>
      <x:c r="O348" s="3"/>
      <x:c r="P348" s="3"/>
      <x:c r="Q348" s="3"/>
      <x:c r="R348" s="7" t="n">
        <x:v>46186</x:v>
      </x:c>
      <x:c r="S348" s="3" t="n">
        <x:v>128</x:v>
      </x:c>
      <x:c r="T348" s="4" t="n">
        <x:v>0</x:v>
      </x:c>
    </x:row>
    <x:row r="349" ht="15" customHeight="1">
      <x:c r="A349" s="3"/>
      <x:c r="B349" s="3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3"/>
      <x:c r="N349" s="3"/>
      <x:c r="O349" s="3"/>
      <x:c r="P349" s="3"/>
      <x:c r="Q349" s="3"/>
      <x:c r="R349" s="7" t="n">
        <x:v>46187</x:v>
      </x:c>
      <x:c r="S349" s="3" t="n">
        <x:v>138</x:v>
      </x:c>
      <x:c r="T349" s="4" t="n">
        <x:v>0</x:v>
      </x:c>
    </x:row>
    <x:row r="350" ht="15" customHeight="1">
      <x:c r="A350" s="3"/>
      <x:c r="B350" s="3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3"/>
      <x:c r="N350" s="3"/>
      <x:c r="O350" s="3"/>
      <x:c r="P350" s="3"/>
      <x:c r="Q350" s="3"/>
      <x:c r="R350" s="7" t="n">
        <x:v>46188</x:v>
      </x:c>
      <x:c r="S350" s="3" t="n">
        <x:v>147</x:v>
      </x:c>
      <x:c r="T350" s="4" t="n">
        <x:v>0</x:v>
      </x:c>
    </x:row>
    <x:row r="351" ht="15" customHeight="1">
      <x:c r="A351" s="3"/>
      <x:c r="B351" s="3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3"/>
      <x:c r="N351" s="3"/>
      <x:c r="O351" s="3"/>
      <x:c r="P351" s="3"/>
      <x:c r="Q351" s="3"/>
      <x:c r="R351" s="7" t="n">
        <x:v>46189</x:v>
      </x:c>
      <x:c r="S351" s="3" t="n">
        <x:v>154</x:v>
      </x:c>
      <x:c r="T351" s="4" t="n">
        <x:v>0</x:v>
      </x:c>
    </x:row>
    <x:row r="352" ht="15" customHeight="1">
      <x:c r="A352" s="3"/>
      <x:c r="B352" s="3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3"/>
      <x:c r="N352" s="3"/>
      <x:c r="O352" s="3"/>
      <x:c r="P352" s="3"/>
      <x:c r="Q352" s="3"/>
      <x:c r="R352" s="7" t="n">
        <x:v>46190</x:v>
      </x:c>
      <x:c r="S352" s="3" t="n">
        <x:v>158</x:v>
      </x:c>
      <x:c r="T352" s="4" t="n">
        <x:v>0</x:v>
      </x:c>
    </x:row>
    <x:row r="353" ht="15" customHeight="1">
      <x:c r="A353" s="3"/>
      <x:c r="B353" s="3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3"/>
      <x:c r="N353" s="3"/>
      <x:c r="O353" s="3"/>
      <x:c r="P353" s="3"/>
      <x:c r="Q353" s="3"/>
      <x:c r="R353" s="7" t="n">
        <x:v>46191</x:v>
      </x:c>
      <x:c r="S353" s="3" t="n">
        <x:v>166</x:v>
      </x:c>
      <x:c r="T353" s="4" t="n">
        <x:v>0</x:v>
      </x:c>
    </x:row>
    <x:row r="354" ht="15" customHeight="1">
      <x:c r="A354" s="3"/>
      <x:c r="B354" s="3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3"/>
      <x:c r="N354" s="3"/>
      <x:c r="O354" s="3"/>
      <x:c r="P354" s="3"/>
      <x:c r="Q354" s="3"/>
      <x:c r="R354" s="7" t="n">
        <x:v>46192</x:v>
      </x:c>
      <x:c r="S354" s="3" t="n">
        <x:v>170</x:v>
      </x:c>
      <x:c r="T354" s="4" t="n">
        <x:v>0</x:v>
      </x:c>
    </x:row>
    <x:row r="355" ht="15" customHeight="1">
      <x:c r="A355" s="3"/>
      <x:c r="B355" s="3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3"/>
      <x:c r="N355" s="3"/>
      <x:c r="O355" s="3"/>
      <x:c r="P355" s="3"/>
      <x:c r="Q355" s="3"/>
      <x:c r="R355" s="7" t="n">
        <x:v>46193</x:v>
      </x:c>
      <x:c r="S355" s="3" t="n">
        <x:v>171</x:v>
      </x:c>
      <x:c r="T355" s="4" t="n">
        <x:v>0</x:v>
      </x:c>
    </x:row>
    <x:row r="356" ht="15" customHeight="1">
      <x:c r="A356" s="3"/>
      <x:c r="B356" s="3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3"/>
      <x:c r="N356" s="3"/>
      <x:c r="O356" s="3"/>
      <x:c r="P356" s="3"/>
      <x:c r="Q356" s="3"/>
      <x:c r="R356" s="7" t="n">
        <x:v>46194</x:v>
      </x:c>
      <x:c r="S356" s="3" t="n">
        <x:v>169</x:v>
      </x:c>
      <x:c r="T356" s="4" t="n">
        <x:v>0</x:v>
      </x:c>
    </x:row>
    <x:row r="357" ht="15" customHeight="1">
      <x:c r="A357" s="3"/>
      <x:c r="B357" s="3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3"/>
      <x:c r="N357" s="3"/>
      <x:c r="O357" s="3"/>
      <x:c r="P357" s="3"/>
      <x:c r="Q357" s="3"/>
      <x:c r="R357" s="7" t="n">
        <x:v>46195</x:v>
      </x:c>
      <x:c r="S357" s="3" t="n">
        <x:v>168</x:v>
      </x:c>
      <x:c r="T357" s="4" t="n">
        <x:v>0</x:v>
      </x:c>
    </x:row>
    <x:row r="358" ht="15" customHeight="1">
      <x:c r="A358" s="3"/>
      <x:c r="B358" s="3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3"/>
      <x:c r="N358" s="3"/>
      <x:c r="O358" s="3"/>
      <x:c r="P358" s="3"/>
      <x:c r="Q358" s="3"/>
      <x:c r="R358" s="7" t="n">
        <x:v>46196</x:v>
      </x:c>
      <x:c r="S358" s="3" t="n">
        <x:v>159</x:v>
      </x:c>
      <x:c r="T358" s="4" t="n">
        <x:v>0</x:v>
      </x:c>
    </x:row>
    <x:row r="359" ht="15" customHeight="1">
      <x:c r="A359" s="3"/>
      <x:c r="B359" s="3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3"/>
      <x:c r="N359" s="3"/>
      <x:c r="O359" s="3"/>
      <x:c r="P359" s="3"/>
      <x:c r="Q359" s="3"/>
      <x:c r="R359" s="7" t="n">
        <x:v>46197</x:v>
      </x:c>
      <x:c r="S359" s="3" t="n">
        <x:v>151</x:v>
      </x:c>
      <x:c r="T359" s="4" t="n">
        <x:v>0</x:v>
      </x:c>
    </x:row>
    <x:row r="360" ht="15" customHeight="1">
      <x:c r="A360" s="3"/>
      <x:c r="B360" s="3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3"/>
      <x:c r="N360" s="3"/>
      <x:c r="O360" s="3"/>
      <x:c r="P360" s="3"/>
      <x:c r="Q360" s="3"/>
      <x:c r="R360" s="7" t="n">
        <x:v>46198</x:v>
      </x:c>
      <x:c r="S360" s="3" t="n">
        <x:v>144</x:v>
      </x:c>
      <x:c r="T360" s="4" t="n">
        <x:v>0</x:v>
      </x:c>
    </x:row>
    <x:row r="361" ht="15" customHeight="1">
      <x:c r="A361" s="3"/>
      <x:c r="B361" s="3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3"/>
      <x:c r="N361" s="3"/>
      <x:c r="O361" s="3"/>
      <x:c r="P361" s="3"/>
      <x:c r="Q361" s="3"/>
      <x:c r="R361" s="7" t="n">
        <x:v>46199</x:v>
      </x:c>
      <x:c r="S361" s="3" t="n">
        <x:v>139</x:v>
      </x:c>
      <x:c r="T361" s="4" t="n">
        <x:v>0</x:v>
      </x:c>
    </x:row>
    <x:row r="362" ht="15" customHeight="1">
      <x:c r="A362" s="3"/>
      <x:c r="B362" s="3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3"/>
      <x:c r="N362" s="3"/>
      <x:c r="O362" s="3"/>
      <x:c r="P362" s="3"/>
      <x:c r="Q362" s="3"/>
      <x:c r="R362" s="7" t="n">
        <x:v>46200</x:v>
      </x:c>
      <x:c r="S362" s="3" t="n">
        <x:v>136</x:v>
      </x:c>
      <x:c r="T362" s="4" t="n">
        <x:v>0</x:v>
      </x:c>
    </x:row>
    <x:row r="363" ht="15" customHeight="1">
      <x:c r="A363" s="3"/>
      <x:c r="B363" s="3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3"/>
      <x:c r="N363" s="3"/>
      <x:c r="O363" s="3"/>
      <x:c r="P363" s="3"/>
      <x:c r="Q363" s="3"/>
      <x:c r="R363" s="7" t="n">
        <x:v>46201</x:v>
      </x:c>
      <x:c r="S363" s="3" t="n">
        <x:v>127</x:v>
      </x:c>
      <x:c r="T363" s="4" t="n">
        <x:v>0</x:v>
      </x:c>
    </x:row>
    <x:row r="364" ht="15" customHeight="1">
      <x:c r="A364" s="3"/>
      <x:c r="B364" s="3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3"/>
      <x:c r="N364" s="3"/>
      <x:c r="O364" s="3"/>
      <x:c r="P364" s="3"/>
      <x:c r="Q364" s="3"/>
      <x:c r="R364" s="7" t="n">
        <x:v>46202</x:v>
      </x:c>
      <x:c r="S364" s="3" t="n">
        <x:v>122</x:v>
      </x:c>
      <x:c r="T364" s="4" t="n">
        <x:v>0</x:v>
      </x:c>
    </x:row>
    <x:row r="365" ht="15" customHeight="1">
      <x:c r="A365" s="3"/>
      <x:c r="B365" s="3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3"/>
      <x:c r="N365" s="3"/>
      <x:c r="O365" s="3"/>
      <x:c r="P365" s="3"/>
      <x:c r="Q365" s="3"/>
      <x:c r="R365" s="7" t="n">
        <x:v>46203</x:v>
      </x:c>
      <x:c r="S365" s="3" t="n">
        <x:v>116</x:v>
      </x:c>
      <x:c r="T365" s="4" t="n">
        <x:v>0</x:v>
      </x:c>
    </x:row>
    <x:row r="366" ht="15" customHeight="1">
      <x:c r="A366" s="3"/>
      <x:c r="B366" s="3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3"/>
      <x:c r="N366" s="3"/>
      <x:c r="O366" s="3"/>
      <x:c r="P366" s="3"/>
      <x:c r="Q366" s="3"/>
      <x:c r="R366" s="7" t="n">
        <x:v>46204</x:v>
      </x:c>
      <x:c r="S366" s="3" t="n">
        <x:v>110</x:v>
      </x:c>
      <x:c r="T366" s="4" t="n">
        <x:v>0</x:v>
      </x:c>
    </x:row>
    <x:row r="367" ht="15" customHeight="1">
      <x:c r="A367" s="3"/>
      <x:c r="B367" s="3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3"/>
      <x:c r="N367" s="3"/>
      <x:c r="O367" s="3"/>
      <x:c r="P367" s="3"/>
      <x:c r="Q367" s="3"/>
      <x:c r="R367" s="7" t="n">
        <x:v>46205</x:v>
      </x:c>
      <x:c r="S367" s="3" t="n">
        <x:v>105</x:v>
      </x:c>
      <x:c r="T367" s="4" t="n">
        <x:v>0</x:v>
      </x:c>
    </x:row>
    <x:row r="368" ht="15" customHeight="1">
      <x:c r="A368" s="3"/>
      <x:c r="B368" s="3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3"/>
      <x:c r="N368" s="3"/>
      <x:c r="O368" s="3"/>
      <x:c r="P368" s="3"/>
      <x:c r="Q368" s="3"/>
      <x:c r="R368" s="7" t="n">
        <x:v>46206</x:v>
      </x:c>
      <x:c r="S368" s="3" t="n">
        <x:v>105</x:v>
      </x:c>
      <x:c r="T368" s="4" t="n">
        <x:v>0</x:v>
      </x:c>
    </x:row>
    <x:row r="369" ht="15" customHeight="1">
      <x:c r="A369" s="3"/>
      <x:c r="B369" s="3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3"/>
      <x:c r="N369" s="3"/>
      <x:c r="O369" s="3"/>
      <x:c r="P369" s="3"/>
      <x:c r="Q369" s="3"/>
      <x:c r="R369" s="7" t="n">
        <x:v>46207</x:v>
      </x:c>
      <x:c r="S369" s="3" t="n">
        <x:v>121</x:v>
      </x:c>
      <x:c r="T369" s="4" t="n">
        <x:v>0</x:v>
      </x:c>
    </x:row>
    <x:row r="370" ht="15" customHeight="1">
      <x:c r="A370" s="3"/>
      <x:c r="B370" s="3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3"/>
      <x:c r="N370" s="3"/>
      <x:c r="O370" s="3"/>
      <x:c r="P370" s="3"/>
      <x:c r="Q370" s="3"/>
      <x:c r="R370" s="7" t="n">
        <x:v>46208</x:v>
      </x:c>
      <x:c r="S370" s="3" t="n">
        <x:v>138</x:v>
      </x:c>
      <x:c r="T370" s="4" t="n">
        <x:v>0</x:v>
      </x:c>
    </x:row>
    <x:row r="371" ht="15" customHeight="1">
      <x:c r="A371" s="3"/>
      <x:c r="B371" s="3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3"/>
      <x:c r="N371" s="3"/>
      <x:c r="O371" s="3"/>
      <x:c r="P371" s="3"/>
      <x:c r="Q371" s="3"/>
      <x:c r="R371" s="7" t="n">
        <x:v>46209</x:v>
      </x:c>
      <x:c r="S371" s="3" t="n">
        <x:v>149</x:v>
      </x:c>
      <x:c r="T371" s="4" t="n">
        <x:v>0</x:v>
      </x:c>
    </x:row>
    <x:row r="372" ht="15" customHeight="1">
      <x:c r="A372" s="3"/>
      <x:c r="B372" s="3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3"/>
      <x:c r="N372" s="3"/>
      <x:c r="O372" s="3"/>
      <x:c r="P372" s="3"/>
      <x:c r="Q372" s="3"/>
      <x:c r="R372" s="7" t="n">
        <x:v>46210</x:v>
      </x:c>
      <x:c r="S372" s="3" t="n">
        <x:v>158</x:v>
      </x:c>
      <x:c r="T372" s="4" t="n">
        <x:v>0</x:v>
      </x:c>
    </x:row>
    <x:row r="373" ht="15" customHeight="1">
      <x:c r="A373" s="3"/>
      <x:c r="B373" s="3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3"/>
      <x:c r="N373" s="3"/>
      <x:c r="O373" s="3"/>
      <x:c r="P373" s="3"/>
      <x:c r="Q373" s="3"/>
      <x:c r="R373" s="7" t="n">
        <x:v>46211</x:v>
      </x:c>
      <x:c r="S373" s="3" t="n">
        <x:v>166</x:v>
      </x:c>
      <x:c r="T373" s="4" t="n">
        <x:v>0</x:v>
      </x:c>
    </x:row>
    <x:row r="374" ht="15" customHeight="1">
      <x:c r="A374" s="3"/>
      <x:c r="B374" s="3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3"/>
      <x:c r="N374" s="3"/>
      <x:c r="O374" s="3"/>
      <x:c r="P374" s="3"/>
      <x:c r="Q374" s="3"/>
      <x:c r="R374" s="7" t="n">
        <x:v>46212</x:v>
      </x:c>
      <x:c r="S374" s="3" t="n">
        <x:v>174</x:v>
      </x:c>
      <x:c r="T374" s="4" t="n">
        <x:v>0</x:v>
      </x:c>
    </x:row>
    <x:row r="375" ht="15" customHeight="1">
      <x:c r="A375" s="3"/>
      <x:c r="B375" s="3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3"/>
      <x:c r="N375" s="3"/>
      <x:c r="O375" s="3"/>
      <x:c r="P375" s="3"/>
      <x:c r="Q375" s="3"/>
      <x:c r="R375" s="7" t="n">
        <x:v>46213</x:v>
      </x:c>
      <x:c r="S375" s="3" t="n">
        <x:v>180</x:v>
      </x:c>
      <x:c r="T375" s="4" t="n">
        <x:v>0</x:v>
      </x:c>
    </x:row>
    <x:row r="376" ht="15" customHeight="1">
      <x:c r="A376" s="3"/>
      <x:c r="B376" s="3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3"/>
      <x:c r="N376" s="3"/>
      <x:c r="O376" s="3"/>
      <x:c r="P376" s="3"/>
      <x:c r="Q376" s="3"/>
      <x:c r="R376" s="7" t="n">
        <x:v>46214</x:v>
      </x:c>
      <x:c r="S376" s="3" t="n">
        <x:v>181</x:v>
      </x:c>
      <x:c r="T376" s="4" t="n">
        <x:v>0</x:v>
      </x:c>
    </x:row>
    <x:row r="377" ht="15" customHeight="1">
      <x:c r="A377" s="3"/>
      <x:c r="B377" s="3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3"/>
      <x:c r="N377" s="3"/>
      <x:c r="O377" s="3"/>
      <x:c r="P377" s="3"/>
      <x:c r="Q377" s="3"/>
      <x:c r="R377" s="7" t="n">
        <x:v>46215</x:v>
      </x:c>
      <x:c r="S377" s="3" t="n">
        <x:v>179</x:v>
      </x:c>
      <x:c r="T377" s="4" t="n">
        <x:v>0</x:v>
      </x:c>
    </x:row>
    <x:row r="378" ht="15" customHeight="1">
      <x:c r="A378" s="3"/>
      <x:c r="B378" s="3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3"/>
      <x:c r="N378" s="3"/>
      <x:c r="O378" s="3"/>
      <x:c r="P378" s="3"/>
      <x:c r="Q378" s="3"/>
      <x:c r="R378" s="7" t="n">
        <x:v>46216</x:v>
      </x:c>
      <x:c r="S378" s="3" t="n">
        <x:v>182</x:v>
      </x:c>
      <x:c r="T378" s="4" t="n">
        <x:v>0</x:v>
      </x:c>
    </x:row>
    <x:row r="379" ht="15" customHeight="1">
      <x:c r="A379" s="3"/>
      <x:c r="B379" s="3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3"/>
      <x:c r="N379" s="3"/>
      <x:c r="O379" s="3"/>
      <x:c r="P379" s="3"/>
      <x:c r="Q379" s="3"/>
      <x:c r="R379" s="7" t="n">
        <x:v>46217</x:v>
      </x:c>
      <x:c r="S379" s="3" t="n">
        <x:v>191</x:v>
      </x:c>
      <x:c r="T379" s="4" t="n">
        <x:v>0</x:v>
      </x:c>
    </x:row>
    <x:row r="380" ht="15" customHeight="1">
      <x:c r="A380" s="3"/>
      <x:c r="B380" s="3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3"/>
      <x:c r="N380" s="3"/>
      <x:c r="O380" s="3"/>
      <x:c r="P380" s="3"/>
      <x:c r="Q380" s="3"/>
      <x:c r="R380" s="7" t="n">
        <x:v>46218</x:v>
      </x:c>
      <x:c r="S380" s="3" t="n">
        <x:v>206</x:v>
      </x:c>
      <x:c r="T380" s="4" t="n">
        <x:v>0</x:v>
      </x:c>
    </x:row>
    <x:row r="381" ht="15" customHeight="1">
      <x:c r="A381" s="3"/>
      <x:c r="B381" s="3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3"/>
      <x:c r="N381" s="3"/>
      <x:c r="O381" s="3"/>
      <x:c r="P381" s="3"/>
      <x:c r="Q381" s="3"/>
      <x:c r="R381" s="7" t="n">
        <x:v>46219</x:v>
      </x:c>
      <x:c r="S381" s="3" t="n">
        <x:v>225</x:v>
      </x:c>
      <x:c r="T381" s="4" t="n">
        <x:v>0</x:v>
      </x:c>
    </x:row>
    <x:row r="382" ht="15" customHeight="1">
      <x:c r="A382" s="3"/>
      <x:c r="B382" s="3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3"/>
      <x:c r="N382" s="3"/>
      <x:c r="O382" s="3"/>
      <x:c r="P382" s="3"/>
      <x:c r="Q382" s="3"/>
      <x:c r="R382" s="7" t="n">
        <x:v>46220</x:v>
      </x:c>
      <x:c r="S382" s="3" t="n">
        <x:v>245</x:v>
      </x:c>
      <x:c r="T382" s="4" t="n">
        <x:v>0</x:v>
      </x:c>
    </x:row>
    <x:row r="383" ht="15" customHeight="1">
      <x:c r="A383" s="3"/>
      <x:c r="B383" s="3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3"/>
      <x:c r="N383" s="3"/>
      <x:c r="O383" s="3"/>
      <x:c r="P383" s="3"/>
      <x:c r="Q383" s="3"/>
      <x:c r="R383" s="7" t="n">
        <x:v>46221</x:v>
      </x:c>
      <x:c r="S383" s="3" t="n">
        <x:v>266</x:v>
      </x:c>
      <x:c r="T383" s="4" t="n">
        <x:v>0</x:v>
      </x:c>
    </x:row>
    <x:row r="384" ht="15" customHeight="1">
      <x:c r="A384" s="3"/>
      <x:c r="B384" s="3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3"/>
      <x:c r="N384" s="3"/>
      <x:c r="O384" s="3"/>
      <x:c r="P384" s="3"/>
      <x:c r="Q384" s="3"/>
      <x:c r="R384" s="7" t="n">
        <x:v>46222</x:v>
      </x:c>
      <x:c r="S384" s="3" t="n">
        <x:v>281</x:v>
      </x:c>
      <x:c r="T384" s="4" t="n">
        <x:v>0</x:v>
      </x:c>
    </x:row>
    <x:row r="385" ht="15" customHeight="1">
      <x:c r="A385" s="3"/>
      <x:c r="B385" s="3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  <x:c r="N385" s="3"/>
      <x:c r="O385" s="3"/>
      <x:c r="P385" s="3"/>
      <x:c r="Q385" s="3"/>
      <x:c r="R385" s="7" t="n">
        <x:v>46223</x:v>
      </x:c>
      <x:c r="S385" s="3" t="n">
        <x:v>292</x:v>
      </x:c>
      <x:c r="T385" s="4" t="n">
        <x:v>0</x:v>
      </x:c>
    </x:row>
    <x:row r="386" ht="15" customHeight="1">
      <x:c r="A386" s="3"/>
      <x:c r="B386" s="3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  <x:c r="N386" s="3"/>
      <x:c r="O386" s="3"/>
      <x:c r="P386" s="3"/>
      <x:c r="Q386" s="3"/>
      <x:c r="R386" s="7" t="n">
        <x:v>46224</x:v>
      </x:c>
      <x:c r="S386" s="3" t="n">
        <x:v>303</x:v>
      </x:c>
      <x:c r="T386" s="4" t="n">
        <x:v>0</x:v>
      </x:c>
    </x:row>
    <x:row r="387" ht="15" customHeight="1">
      <x:c r="A387" s="3"/>
      <x:c r="B387" s="3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3"/>
      <x:c r="N387" s="3"/>
      <x:c r="O387" s="3"/>
      <x:c r="P387" s="3"/>
      <x:c r="Q387" s="3"/>
      <x:c r="R387" s="7" t="n">
        <x:v>46225</x:v>
      </x:c>
      <x:c r="S387" s="3" t="n">
        <x:v>311</x:v>
      </x:c>
      <x:c r="T387" s="4" t="n">
        <x:v>0</x:v>
      </x:c>
    </x:row>
    <x:row r="388" ht="15" customHeight="1">
      <x:c r="A388" s="3"/>
      <x:c r="B388" s="3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3"/>
      <x:c r="N388" s="3"/>
      <x:c r="O388" s="3"/>
      <x:c r="P388" s="3"/>
      <x:c r="Q388" s="3"/>
      <x:c r="R388" s="7" t="n">
        <x:v>46226</x:v>
      </x:c>
      <x:c r="S388" s="3" t="n">
        <x:v>328</x:v>
      </x:c>
      <x:c r="T388" s="4" t="n">
        <x:v>0</x:v>
      </x:c>
    </x:row>
    <x:row r="389" ht="15" customHeight="1">
      <x:c r="A389" s="3"/>
      <x:c r="B389" s="3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3"/>
      <x:c r="N389" s="3"/>
      <x:c r="O389" s="3"/>
      <x:c r="P389" s="3"/>
      <x:c r="Q389" s="3"/>
      <x:c r="R389" s="7" t="n">
        <x:v>46227</x:v>
      </x:c>
      <x:c r="S389" s="3" t="n">
        <x:v>340</x:v>
      </x:c>
      <x:c r="T389" s="4" t="n">
        <x:v>0</x:v>
      </x:c>
    </x:row>
    <x:row r="390" ht="15" customHeight="1">
      <x:c r="A390" s="3"/>
      <x:c r="B390" s="3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3"/>
      <x:c r="N390" s="3"/>
      <x:c r="O390" s="3"/>
      <x:c r="P390" s="3"/>
      <x:c r="Q390" s="3"/>
      <x:c r="R390" s="7" t="n">
        <x:v>46228</x:v>
      </x:c>
      <x:c r="S390" s="3" t="n">
        <x:v>350</x:v>
      </x:c>
      <x:c r="T390" s="4" t="n">
        <x:v>0</x:v>
      </x:c>
    </x:row>
    <x:row r="391" ht="15" customHeight="1">
      <x:c r="A391" s="3"/>
      <x:c r="B391" s="3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3"/>
      <x:c r="N391" s="3"/>
      <x:c r="O391" s="3"/>
      <x:c r="P391" s="3"/>
      <x:c r="Q391" s="3"/>
      <x:c r="R391" s="7" t="n">
        <x:v>46229</x:v>
      </x:c>
      <x:c r="S391" s="3" t="n">
        <x:v>361</x:v>
      </x:c>
      <x:c r="T391" s="4" t="n">
        <x:v>0</x:v>
      </x:c>
    </x:row>
    <x:row r="392" ht="15" customHeight="1">
      <x:c r="A392" s="3"/>
      <x:c r="B392" s="3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3"/>
      <x:c r="N392" s="3"/>
      <x:c r="O392" s="3"/>
      <x:c r="P392" s="3"/>
      <x:c r="Q392" s="3"/>
      <x:c r="R392" s="7" t="n">
        <x:v>46230</x:v>
      </x:c>
      <x:c r="S392" s="3" t="n">
        <x:v>369</x:v>
      </x:c>
      <x:c r="T392" s="4" t="n">
        <x:v>0</x:v>
      </x:c>
    </x:row>
    <x:row r="393" ht="15" customHeight="1">
      <x:c r="A393" s="3"/>
      <x:c r="B393" s="3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3"/>
      <x:c r="N393" s="3"/>
      <x:c r="O393" s="3"/>
      <x:c r="P393" s="3"/>
      <x:c r="Q393" s="3"/>
      <x:c r="R393" s="7" t="n">
        <x:v>46231</x:v>
      </x:c>
      <x:c r="S393" s="3" t="n">
        <x:v>377</x:v>
      </x:c>
      <x:c r="T393" s="4" t="n">
        <x:v>0</x:v>
      </x:c>
    </x:row>
    <x:row r="394" ht="15" customHeight="1">
      <x:c r="A394" s="3"/>
      <x:c r="B394" s="3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3"/>
      <x:c r="N394" s="3"/>
      <x:c r="O394" s="3"/>
      <x:c r="P394" s="3"/>
      <x:c r="Q394" s="3"/>
      <x:c r="R394" s="7" t="n">
        <x:v>46232</x:v>
      </x:c>
      <x:c r="S394" s="3" t="n">
        <x:v>385</x:v>
      </x:c>
      <x:c r="T394" s="4" t="n">
        <x:v>0</x:v>
      </x:c>
    </x:row>
    <x:row r="395" ht="15" customHeight="1">
      <x:c r="A395" s="3"/>
      <x:c r="B395" s="3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3"/>
      <x:c r="N395" s="3"/>
      <x:c r="O395" s="3"/>
      <x:c r="P395" s="3"/>
      <x:c r="Q395" s="3"/>
      <x:c r="R395" s="7" t="n">
        <x:v>46233</x:v>
      </x:c>
      <x:c r="S395" s="3" t="n">
        <x:v>389</x:v>
      </x:c>
      <x:c r="T395" s="4" t="n">
        <x:v>0</x:v>
      </x:c>
    </x:row>
    <x:row r="396" ht="15" customHeight="1">
      <x:c r="A396" s="3"/>
      <x:c r="B396" s="3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3"/>
      <x:c r="N396" s="3"/>
      <x:c r="O396" s="3"/>
      <x:c r="P396" s="3"/>
      <x:c r="Q396" s="3"/>
      <x:c r="R396" s="7" t="n">
        <x:v>46234</x:v>
      </x:c>
      <x:c r="S396" s="3" t="n">
        <x:v>399</x:v>
      </x:c>
      <x:c r="T396" s="4" t="n">
        <x:v>0</x:v>
      </x:c>
    </x:row>
    <x:row r="397" ht="15" customHeight="1">
      <x:c r="A397" s="3"/>
      <x:c r="B397" s="3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3"/>
      <x:c r="N397" s="3"/>
      <x:c r="O397" s="3"/>
      <x:c r="P397" s="3"/>
      <x:c r="Q397" s="3"/>
      <x:c r="R397" s="7" t="n">
        <x:v>46235</x:v>
      </x:c>
      <x:c r="S397" s="3" t="n">
        <x:v>405</x:v>
      </x:c>
      <x:c r="T397" s="4" t="n">
        <x:v>0</x:v>
      </x:c>
    </x:row>
  </x:sheetData>
  <x:dataValidations count="2">
    <x:dataValidation type="whole" operator="between" sqref="B3">
      <x:formula1>1</x:formula1>
      <x:formula2>90</x:formula2>
    </x:dataValidation>
    <x:dataValidation type="whole" operator="between" sqref="B11">
      <x:formula1>1</x:formula1>
      <x:formula2>30</x:formula2>
    </x:dataValidation>
  </x:dataValidations>
  <x:pageMargins left="0.7" right="0.7" top="0.75" bottom="0.75" header="0.3" footer="0.3"/>
  <x:drawing xmlns:r="http://schemas.openxmlformats.org/officeDocument/2006/relationships" r:id="Rdda26ca2a33a45a1"/>
</x:worksheet>
</file>

<file path=xl/worksheets/sheet2.xml><?xml version="1.0" encoding="utf-8"?>
<x:worksheet xmlns:x="http://schemas.openxmlformats.org/spreadsheetml/2006/main">
  <x:sheetPr>
    <x:tabColor rgb="FFFFFFFF"/>
  </x:sheetPr>
  <x:sheetViews>
    <x:sheetView showGridLines="1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6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15" customHeight="1">
      <x:c r="A1" s="3" t="str">
        <x:v>Полином 2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15" customHeight="1">
      <x:c r="A2" s="3" t="str">
        <x:v>H=a0+a1·u+a2·u²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30" customHeight="1">
      <x:c r="A3" s="14" t="str">
        <x:v>Коэф.</x:v>
      </x:c>
      <x:c r="B3" s="14" t="str">
        <x:v>Оценка</x:v>
      </x:c>
      <x:c r="C3" s="14" t="str">
        <x:v>SE</x:v>
      </x:c>
      <x:c r="D3" s="3"/>
      <x:c r="E3" s="3"/>
      <x:c r="F3" s="14" t="str">
        <x:v>Показатель</x:v>
      </x:c>
      <x:c r="G3" s="14" t="str">
        <x:v>Значение</x:v>
      </x:c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15" customHeight="1">
      <x:c r="A4" s="8" t="str">
        <x:v>a0</x:v>
      </x:c>
      <x:c r="B4" s="16" t="n">
        <x:v>91.51585043404737</x:v>
      </x:c>
      <x:c r="C4" s="16" t="n">
        <x:f>SQRT(S409)</x:f>
        <x:v>2.578567442174297</x:v>
      </x:c>
      <x:c r="D4" s="3"/>
      <x:c r="E4" s="3"/>
      <x:c r="F4" s="8" t="str">
        <x:v>R² обучения</x:v>
      </x:c>
      <x:c r="G4" s="12" t="n">
        <x:v>0.1146946458711906</x:v>
      </x:c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15" customHeight="1">
      <x:c r="A5" s="8" t="str">
        <x:v>a1</x:v>
      </x:c>
      <x:c r="B5" s="16" t="n">
        <x:v>95.16163767456462</x:v>
      </x:c>
      <x:c r="C5" s="16" t="n">
        <x:f>SQRT(T410)</x:f>
        <x:v>3.0599283255456404</x:v>
      </x:c>
      <x:c r="D5" s="3"/>
      <x:c r="E5" s="3"/>
      <x:c r="F5" s="8" t="str">
        <x:v>MAE, см</x:v>
      </x:c>
      <x:c r="G5" s="8" t="n">
        <x:f>SUMPRODUCT($R$20:$R$384,$O$20:$O$384)/G11</x:f>
        <x:v>125.5273019260045</x:v>
      </x:c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15" customHeight="1">
      <x:c r="A6" s="8" t="str">
        <x:v>a2</x:v>
      </x:c>
      <x:c r="B6" s="16" t="n">
        <x:v>-68.02056616657097</x:v>
      </x:c>
      <x:c r="C6" s="16" t="n">
        <x:f>SQRT(U411)</x:f>
        <x:v>5.816863085008059</x:v>
      </x:c>
      <x:c r="D6" s="3"/>
      <x:c r="E6" s="3"/>
      <x:c r="F6" s="8" t="str">
        <x:v>S (RMSE), см</x:v>
      </x:c>
      <x:c r="G6" s="8" t="n">
        <x:f>SQRT(K408/G11)</x:f>
        <x:v>144.29205788164822</x:v>
      </x:c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15" customHeight="1">
      <x:c r="A7" s="3"/>
      <x:c r="B7" s="3"/>
      <x:c r="C7" s="3"/>
      <x:c r="D7" s="3"/>
      <x:c r="E7" s="3"/>
      <x:c r="F7" s="8" t="str">
        <x:v>NSE</x:v>
      </x:c>
      <x:c r="G7" s="12" t="n">
        <x:f>IF(K405=0,"н.д.",1-K408/K405)</x:f>
        <x:v>-0.17751358464722733</x:v>
      </x:c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15" customHeight="1">
      <x:c r="A8" s="3"/>
      <x:c r="B8" s="3"/>
      <x:c r="C8" s="3"/>
      <x:c r="D8" s="3"/>
      <x:c r="E8" s="3"/>
      <x:c r="F8" s="8" t="str">
        <x:v>S/σΔ</x:v>
      </x:c>
      <x:c r="G8" s="12" t="n">
        <x:f>IF(G10=0,"н.д.",G6/G10)</x:f>
        <x:v>13.183781050430282</x:v>
      </x:c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15" customHeight="1">
      <x:c r="A9" s="3"/>
      <x:c r="B9" s="3"/>
      <x:c r="C9" s="3"/>
      <x:c r="D9" s="3"/>
      <x:c r="E9" s="3"/>
      <x:c r="F9" s="8" t="str">
        <x:v>P%</x:v>
      </x:c>
      <x:c r="G9" s="17" t="n">
        <x:f>SUM($S$20:$S$384)/G11</x:f>
        <x:v>0.02535211267605634</x:v>
      </x:c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15" customHeight="1">
      <x:c r="A10" s="3"/>
      <x:c r="B10" s="3"/>
      <x:c r="C10" s="3"/>
      <x:c r="D10" s="3"/>
      <x:c r="E10" s="3"/>
      <x:c r="F10" s="8" t="str">
        <x:v>σΔ, см</x:v>
      </x:c>
      <x:c r="G10" s="8" t="n">
        <x:f>IF(G11&gt;1,SQRT(MAX(0,K407)/(G11-1)),"н.д.")</x:f>
        <x:v>10.944664306067107</x:v>
      </x:c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15" customHeight="1">
      <x:c r="A11" s="3"/>
      <x:c r="B11" s="3"/>
      <x:c r="C11" s="3"/>
      <x:c r="D11" s="3"/>
      <x:c r="E11" s="3"/>
      <x:c r="F11" s="8" t="str">
        <x:v>n проверки</x:v>
      </x:c>
      <x:c r="G11" s="9" t="n">
        <x:f>SUM($R$20:$R$384)</x:f>
        <x:v>355</x:v>
      </x:c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15" customHeight="1">
      <x:c r="A12" s="3"/>
      <x:c r="B12" s="3"/>
      <x:c r="C12" s="3"/>
      <x:c r="D12" s="3"/>
      <x:c r="E12" s="3"/>
      <x:c r="F12" s="8" t="str">
        <x:v>Оценка, суток</x:v>
      </x:c>
      <x:c r="G12" s="9" t="n">
        <x:f>'Сводка'!$B$11</x:f>
        <x:v>1</x:v>
      </x:c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15" customHeight="1">
      <x:c r="A13" s="3"/>
      <x:c r="B13" s="3"/>
      <x:c r="C13" s="3"/>
      <x:c r="D13" s="3"/>
      <x:c r="E13" s="3"/>
      <x:c r="F13" s="8" t="str">
        <x:v>δдоп, см</x:v>
      </x:c>
      <x:c r="G13" s="8" t="n">
        <x:f>'Сводка'!$B$14*G10</x:f>
        <x:v>7.376703742289231</x:v>
      </x:c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15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1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15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15" customHeight="1">
      <x:c r="A17" s="3" t="str">
        <x:v>Прогноз</x:v>
      </x:c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 ht="30" customHeight="1">
      <x:c r="A18" s="15" t="str">
        <x:v>Дата</x:v>
      </x:c>
      <x:c r="B18" s="15" t="str">
        <x:v>x</x:v>
      </x:c>
      <x:c r="C18" s="15" t="str">
        <x:v>u</x:v>
      </x:c>
      <x:c r="D18" s="15" t="str">
        <x:v>Прогноз, см</x:v>
      </x:c>
      <x:c r="E18" s="15" t="str">
        <x:v>SE прогноза</x:v>
      </x:c>
      <x:c r="F18" s="15" t="str">
        <x:v>Нижняя 95%</x:v>
      </x:c>
      <x:c r="G18" s="15" t="str">
        <x:v>Верхняя 95%</x:v>
      </x:c>
      <x:c r="H18" s="15" t="str">
        <x:v>SE среднего</x:v>
      </x:c>
      <x:c r="I18" s="3"/>
      <x:c r="J18" s="3" t="str">
        <x:v>Проверочные прогнозы</x:v>
      </x:c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 ht="30" customHeight="1">
      <x:c r="A19" s="10" t="n">
        <x:f>IF(1&lt;='Сводка'!$B$3,'Сводка'!$B$4+1,"")</x:f>
        <x:v>46236</x:v>
      </x:c>
      <x:c r="B19" s="18" t="n">
        <x:f>IF($A19="","",(A19-$T$405+1)/1000)</x:f>
        <x:v>8.98</x:v>
      </x:c>
      <x:c r="C19" s="18" t="n">
        <x:f>IF($A19="","",2*(A19-$T$405)/$T$406-1)</x:f>
        <x:v>1.000222766763199</x:v>
      </x:c>
      <x:c r="D19" s="8" t="n">
        <x:f>IF($A19="","",$B$4+$B$5*C19^1+$B$6*C19^2)</x:f>
        <x:v>118.64781197381203</x:v>
      </x:c>
      <x:c r="E19" s="8" t="n">
        <x:f>IF($A19="","",SQRT($T$403^2+H19^2))</x:f>
        <x:v>162.00337055295958</x:v>
      </x:c>
      <x:c r="F19" s="8" t="n">
        <x:f>IF($A19="","",D19-$T$404*E19)</x:f>
        <x:v>-198.91769538699427</x:v>
      </x:c>
      <x:c r="G19" s="8" t="n">
        <x:f>IF($A19="","",D19+$T$404*E19)</x:f>
        <x:v>436.2133193346183</x:v>
      </x:c>
      <x:c r="H19" s="8" t="n">
        <x:f>IF($A19="","",SQRT(MAX(0,(1)*$S$409*(1)+(1)*$T$409*(C19^1)+(1)*$U$409*(C19^2)+(C19^1)*$S$410*(1)+(C19^1)*$T$410*(C19^1)+(C19^1)*$U$410*(C19^2)+(C19^2)*$S$411*(1)+(C19^2)*$T$411*(C19^1)+(C19^2)*$U$411*(C19^2))))</x:f>
        <x:v>5.332230059080415</x:v>
      </x:c>
      <x:c r="I19" s="3"/>
      <x:c r="J19" s="15" t="str">
        <x:v>Дата</x:v>
      </x:c>
      <x:c r="K19" s="15" t="str">
        <x:v>Факт, см</x:v>
      </x:c>
      <x:c r="L19" s="15" t="str">
        <x:v>H начала</x:v>
      </x:c>
      <x:c r="M19" s="15" t="str">
        <x:v>Прогноз, см</x:v>
      </x:c>
      <x:c r="N19" s="15" t="str">
        <x:v>Ошибка</x:v>
      </x:c>
      <x:c r="O19" s="15" t="str">
        <x:v>|Ошибка|</x:v>
      </x:c>
      <x:c r="P19" s="15" t="str">
        <x:v>Ошибка²</x:v>
      </x:c>
      <x:c r="Q19" s="15" t="str">
        <x:v>ΔH</x:v>
      </x:c>
      <x:c r="R19" s="15" t="str">
        <x:v>Вес</x:v>
      </x:c>
      <x:c r="S19" s="15" t="str">
        <x:v>Оправдался</x:v>
      </x:c>
      <x:c r="T19" s="15" t="str">
        <x:v>Обучение до</x:v>
      </x:c>
      <x:c r="U19" s="14" t="str">
        <x:v>i факт</x:v>
      </x:c>
      <x:c r="V19" s="14" t="str">
        <x:v>i начало</x:v>
      </x:c>
      <x:c r="W19" s="14" t="str">
        <x:v>i fit</x:v>
      </x:c>
      <x:c r="X19" s="3"/>
      <x:c r="Y19" s="3"/>
      <x:c r="Z19" s="3"/>
    </x:row>
    <x:row r="20" ht="15" customHeight="1">
      <x:c r="A20" s="10" t="n">
        <x:f>IF(2&lt;='Сводка'!$B$3,'Сводка'!$B$4+2,"")</x:f>
        <x:v>46237</x:v>
      </x:c>
      <x:c r="B20" s="18" t="n">
        <x:f>IF($A20="","",(A20-$T$405+1)/1000)</x:f>
        <x:v>8.981</x:v>
      </x:c>
      <x:c r="C20" s="18" t="n">
        <x:f>IF($A20="","",2*(A20-$T$405)/$T$406-1)</x:f>
        <x:v>1.0004455335263978</x:v>
      </x:c>
      <x:c r="D20" s="8" t="n">
        <x:f>IF($A20="","",$B$4+$B$5*C20^1+$B$6*C20^2)</x:f>
        <x:v>118.63869525453764</x:v>
      </x:c>
      <x:c r="E20" s="8" t="n">
        <x:f>IF($A20="","",SQRT($T$403^2+H20^2))</x:f>
        <x:v>162.00344726973438</x:v>
      </x:c>
      <x:c r="F20" s="8" t="n">
        <x:f>IF($A20="","",D20-$T$404*E20)</x:f>
        <x:v>-198.9269624895689</x:v>
      </x:c>
      <x:c r="G20" s="8" t="n">
        <x:f>IF($A20="","",D20+$T$404*E20)</x:f>
        <x:v>436.2043529986442</x:v>
      </x:c>
      <x:c r="H20" s="8" t="n">
        <x:f>IF($A20="","",SQRT(MAX(0,(1)*$S$409*(1)+(1)*$T$409*(C20^1)+(1)*$U$409*(C20^2)+(C20^1)*$S$410*(1)+(C20^1)*$T$410*(C20^1)+(C20^1)*$U$410*(C20^2)+(C20^2)*$S$411*(1)+(C20^2)*$T$411*(C20^1)+(C20^2)*$U$411*(C20^2))))</x:f>
        <x:v>5.334560353115937</x:v>
      </x:c>
      <x:c r="I20" s="3"/>
      <x:c r="J20" s="10" t="n">
        <x:v>45871</x:v>
      </x:c>
      <x:c r="K20" s="8" t="n">
        <x:f>INDEX('Сводка'!$S$3:$S$397,U20)</x:f>
        <x:v>211</x:v>
      </x:c>
      <x:c r="L20" s="8" t="n">
        <x:f>INDEX('Сводка'!$S$3:$S$397,V20)</x:f>
        <x:v>193</x:v>
      </x:c>
      <x:c r="M20" s="8" t="n">
        <x:f>INDEX($K$388:$N$400,W20,1)+INDEX($K$388:$N$400,W20,2)*(2*(J20-$T$405)/(T20-$T$405)-1)^1+INDEX($K$388:$N$400,W20,3)*(2*(J20-$T$405)/(T20-$T$405)-1)^2</x:f>
        <x:v>140.8166019239365</x:v>
      </x:c>
      <x:c r="N20" s="8" t="n">
        <x:f>K20-M20</x:f>
        <x:v>70.1833980760635</x:v>
      </x:c>
      <x:c r="O20" s="8" t="n">
        <x:f>ABS(N20)</x:f>
        <x:v>70.1833980760635</x:v>
      </x:c>
      <x:c r="P20" s="8" t="n">
        <x:f>N20^2</x:f>
        <x:v>4925.709365503193</x:v>
      </x:c>
      <x:c r="Q20" s="8" t="n">
        <x:f>K20-L20</x:f>
        <x:v>18</x:v>
      </x:c>
      <x:c r="R20" s="9" t="n">
        <x:f>IF(AND(INDEX('Сводка'!$T$3:$T$397,U20)=0,INDEX('Сводка'!$T$3:$T$397,V20)=0),1,0)</x:f>
        <x:v>1</x:v>
      </x:c>
      <x:c r="S20" s="9" t="n">
        <x:f>IF(AND(R20=1,O20&lt;=$G$13),1,0)</x:f>
        <x:v>0</x:v>
      </x:c>
      <x:c r="T20" s="10" t="n">
        <x:f>EOMONTH(J20-'Сводка'!$B$11,-1)</x:f>
        <x:v>45869</x:v>
      </x:c>
      <x:c r="U20" s="4" t="n">
        <x:f>MATCH(J20,'Сводка'!$R$3:$R$397,0)</x:f>
        <x:v>31</x:v>
      </x:c>
      <x:c r="V20" s="4" t="n">
        <x:f>MATCH(J20-'Сводка'!$B$11,'Сводка'!$R$3:$R$397,0)</x:f>
        <x:v>30</x:v>
      </x:c>
      <x:c r="W20" s="4" t="n">
        <x:f>MATCH(T20,$J$388:$J$400,0)</x:f>
        <x:v>2</x:v>
      </x:c>
      <x:c r="X20" s="3"/>
      <x:c r="Y20" s="3"/>
      <x:c r="Z20" s="3"/>
    </x:row>
    <x:row r="21" ht="15" customHeight="1">
      <x:c r="A21" s="10" t="n">
        <x:f>IF(3&lt;='Сводка'!$B$3,'Сводка'!$B$4+3,"")</x:f>
        <x:v>46238</x:v>
      </x:c>
      <x:c r="B21" s="18" t="n">
        <x:f>IF($A21="","",(A21-$T$405+1)/1000)</x:f>
        <x:v>8.982</x:v>
      </x:c>
      <x:c r="C21" s="18" t="n">
        <x:f>IF($A21="","",2*(A21-$T$405)/$T$406-1)</x:f>
        <x:v>1.0006683002895969</x:v>
      </x:c>
      <x:c r="D21" s="8" t="n">
        <x:f>IF($A21="","",$B$4+$B$5*C21^1+$B$6*C21^2)</x:f>
        <x:v>118.62957178421792</x:v>
      </x:c>
      <x:c r="E21" s="8" t="n">
        <x:f>IF($A21="","",SQRT($T$403^2+H21^2))</x:f>
        <x:v>162.0035240452334</x:v>
      </x:c>
      <x:c r="F21" s="8" t="n">
        <x:f>IF($A21="","",D21-$T$404*E21)</x:f>
        <x:v>-198.93623645830243</x:v>
      </x:c>
      <x:c r="G21" s="8" t="n">
        <x:f>IF($A21="","",D21+$T$404*E21)</x:f>
        <x:v>436.19538002673823</x:v>
      </x:c>
      <x:c r="H21" s="8" t="n">
        <x:f>IF($A21="","",SQRT(MAX(0,(1)*$S$409*(1)+(1)*$T$409*(C21^1)+(1)*$U$409*(C21^2)+(C21^1)*$S$410*(1)+(C21^1)*$T$410*(C21^1)+(C21^1)*$U$410*(C21^2)+(C21^2)*$S$411*(1)+(C21^2)*$T$411*(C21^1)+(C21^2)*$U$411*(C21^2))))</x:f>
        <x:v>5.336891413355599</x:v>
      </x:c>
      <x:c r="I21" s="3"/>
      <x:c r="J21" s="10" t="n">
        <x:v>45872</x:v>
      </x:c>
      <x:c r="K21" s="8" t="n">
        <x:f>INDEX('Сводка'!$S$3:$S$397,U21)</x:f>
        <x:v>229</x:v>
      </x:c>
      <x:c r="L21" s="8" t="n">
        <x:f>INDEX('Сводка'!$S$3:$S$397,V21)</x:f>
        <x:v>211</x:v>
      </x:c>
      <x:c r="M21" s="8" t="n">
        <x:f>INDEX($K$388:$N$400,W21,1)+INDEX($K$388:$N$400,W21,2)*(2*(J21-$T$405)/(T21-$T$405)-1)^1+INDEX($K$388:$N$400,W21,3)*(2*(J21-$T$405)/(T21-$T$405)-1)^2</x:f>
        <x:v>140.81897457265995</x:v>
      </x:c>
      <x:c r="N21" s="8" t="n">
        <x:f>K21-M21</x:f>
        <x:v>88.18102542734005</x:v>
      </x:c>
      <x:c r="O21" s="8" t="n">
        <x:f>ABS(N21)</x:f>
        <x:v>88.18102542734005</x:v>
      </x:c>
      <x:c r="P21" s="8" t="n">
        <x:f>N21^2</x:f>
        <x:v>7775.893245417192</x:v>
      </x:c>
      <x:c r="Q21" s="8" t="n">
        <x:f>K21-L21</x:f>
        <x:v>18</x:v>
      </x:c>
      <x:c r="R21" s="9" t="n">
        <x:f>IF(AND(INDEX('Сводка'!$T$3:$T$397,U21)=0,INDEX('Сводка'!$T$3:$T$397,V21)=0),1,0)</x:f>
        <x:v>1</x:v>
      </x:c>
      <x:c r="S21" s="9" t="n">
        <x:f>IF(AND(R21=1,O21&lt;=$G$13),1,0)</x:f>
        <x:v>0</x:v>
      </x:c>
      <x:c r="T21" s="10" t="n">
        <x:f>EOMONTH(J21-'Сводка'!$B$11,-1)</x:f>
        <x:v>45869</x:v>
      </x:c>
      <x:c r="U21" s="4" t="n">
        <x:f>MATCH(J21,'Сводка'!$R$3:$R$397,0)</x:f>
        <x:v>32</x:v>
      </x:c>
      <x:c r="V21" s="4" t="n">
        <x:f>MATCH(J21-'Сводка'!$B$11,'Сводка'!$R$3:$R$397,0)</x:f>
        <x:v>31</x:v>
      </x:c>
      <x:c r="W21" s="4" t="n">
        <x:f>MATCH(T21,$J$388:$J$400,0)</x:f>
        <x:v>2</x:v>
      </x:c>
      <x:c r="X21" s="3"/>
      <x:c r="Y21" s="3"/>
      <x:c r="Z21" s="3"/>
    </x:row>
    <x:row r="22" ht="15" customHeight="1">
      <x:c r="A22" s="10" t="n">
        <x:f>IF(4&lt;='Сводка'!$B$3,'Сводка'!$B$4+4,"")</x:f>
        <x:v>46239</x:v>
      </x:c>
      <x:c r="B22" s="18" t="n">
        <x:f>IF($A22="","",(A22-$T$405+1)/1000)</x:f>
        <x:v>8.983</x:v>
      </x:c>
      <x:c r="C22" s="18" t="n">
        <x:f>IF($A22="","",2*(A22-$T$405)/$T$406-1)</x:f>
        <x:v>1.0008910670527955</x:v>
      </x:c>
      <x:c r="D22" s="8" t="n">
        <x:f>IF($A22="","",$B$4+$B$5*C22^1+$B$6*C22^2)</x:f>
        <x:v>118.62044156285278</x:v>
      </x:c>
      <x:c r="E22" s="8" t="n">
        <x:f>IF($A22="","",SQRT($T$403^2+H22^2))</x:f>
        <x:v>162.0036008794844</x:v>
      </x:c>
      <x:c r="F22" s="8" t="n">
        <x:f>IF($A22="","",D22-$T$404*E22)</x:f>
        <x:v>-198.94551729324934</x:v>
      </x:c>
      <x:c r="G22" s="8" t="n">
        <x:f>IF($A22="","",D22+$T$404*E22)</x:f>
        <x:v>436.18640041895486</x:v>
      </x:c>
      <x:c r="H22" s="8" t="n">
        <x:f>IF($A22="","",SQRT(MAX(0,(1)*$S$409*(1)+(1)*$T$409*(C22^1)+(1)*$U$409*(C22^2)+(C22^1)*$S$410*(1)+(C22^1)*$T$410*(C22^1)+(C22^1)*$U$410*(C22^2)+(C22^2)*$S$411*(1)+(C22^2)*$T$411*(C22^1)+(C22^2)*$U$411*(C22^2))))</x:f>
        <x:v>5.339223239639743</x:v>
      </x:c>
      <x:c r="I22" s="3"/>
      <x:c r="J22" s="10" t="n">
        <x:v>45873</x:v>
      </x:c>
      <x:c r="K22" s="8" t="n">
        <x:f>INDEX('Сводка'!$S$3:$S$397,U22)</x:f>
        <x:v>243</x:v>
      </x:c>
      <x:c r="L22" s="8" t="n">
        <x:f>INDEX('Сводка'!$S$3:$S$397,V22)</x:f>
        <x:v>229</x:v>
      </x:c>
      <x:c r="M22" s="8" t="n">
        <x:f>INDEX($K$388:$N$400,W22,1)+INDEX($K$388:$N$400,W22,2)*(2*(J22-$T$405)/(T22-$T$405)-1)^1+INDEX($K$388:$N$400,W22,3)*(2*(J22-$T$405)/(T22-$T$405)-1)^2</x:f>
        <x:v>140.82134222527247</x:v>
      </x:c>
      <x:c r="N22" s="8" t="n">
        <x:f>K22-M22</x:f>
        <x:v>102.17865777472753</x:v>
      </x:c>
      <x:c r="O22" s="8" t="n">
        <x:f>ABS(N22)</x:f>
        <x:v>102.17865777472753</x:v>
      </x:c>
      <x:c r="P22" s="8" t="n">
        <x:f>N22^2</x:f>
        <x:v>10440.478104644886</x:v>
      </x:c>
      <x:c r="Q22" s="8" t="n">
        <x:f>K22-L22</x:f>
        <x:v>14</x:v>
      </x:c>
      <x:c r="R22" s="9" t="n">
        <x:f>IF(AND(INDEX('Сводка'!$T$3:$T$397,U22)=0,INDEX('Сводка'!$T$3:$T$397,V22)=0),1,0)</x:f>
        <x:v>1</x:v>
      </x:c>
      <x:c r="S22" s="9" t="n">
        <x:f>IF(AND(R22=1,O22&lt;=$G$13),1,0)</x:f>
        <x:v>0</x:v>
      </x:c>
      <x:c r="T22" s="10" t="n">
        <x:f>EOMONTH(J22-'Сводка'!$B$11,-1)</x:f>
        <x:v>45869</x:v>
      </x:c>
      <x:c r="U22" s="4" t="n">
        <x:f>MATCH(J22,'Сводка'!$R$3:$R$397,0)</x:f>
        <x:v>33</x:v>
      </x:c>
      <x:c r="V22" s="4" t="n">
        <x:f>MATCH(J22-'Сводка'!$B$11,'Сводка'!$R$3:$R$397,0)</x:f>
        <x:v>32</x:v>
      </x:c>
      <x:c r="W22" s="4" t="n">
        <x:f>MATCH(T22,$J$388:$J$400,0)</x:f>
        <x:v>2</x:v>
      </x:c>
      <x:c r="X22" s="3"/>
      <x:c r="Y22" s="3"/>
      <x:c r="Z22" s="3"/>
    </x:row>
    <x:row r="23" ht="15" customHeight="1">
      <x:c r="A23" s="10" t="n">
        <x:f>IF(5&lt;='Сводка'!$B$3,'Сводка'!$B$4+5,"")</x:f>
        <x:v>46240</x:v>
      </x:c>
      <x:c r="B23" s="18" t="n">
        <x:f>IF($A23="","",(A23-$T$405+1)/1000)</x:f>
        <x:v>8.984</x:v>
      </x:c>
      <x:c r="C23" s="18" t="n">
        <x:f>IF($A23="","",2*(A23-$T$405)/$T$406-1)</x:f>
        <x:v>1.0011138338159946</x:v>
      </x:c>
      <x:c r="D23" s="8" t="n">
        <x:f>IF($A23="","",$B$4+$B$5*C23^1+$B$6*C23^2)</x:f>
        <x:v>118.61130459044226</x:v>
      </x:c>
      <x:c r="E23" s="8" t="n">
        <x:f>IF($A23="","",SQRT($T$403^2+H23^2))</x:f>
        <x:v>162.0036777725151</x:v>
      </x:c>
      <x:c r="F23" s="8" t="n">
        <x:f>IF($A23="","",D23-$T$404*E23)</x:f>
        <x:v>-198.95480499446398</x:v>
      </x:c>
      <x:c r="G23" s="8" t="n">
        <x:f>IF($A23="","",D23+$T$404*E23)</x:f>
        <x:v>436.17741417534853</x:v>
      </x:c>
      <x:c r="H23" s="8" t="n">
        <x:f>IF($A23="","",SQRT(MAX(0,(1)*$S$409*(1)+(1)*$T$409*(C23^1)+(1)*$U$409*(C23^2)+(C23^1)*$S$410*(1)+(C23^1)*$T$410*(C23^1)+(C23^1)*$U$410*(C23^2)+(C23^2)*$S$411*(1)+(C23^2)*$T$411*(C23^1)+(C23^2)*$U$411*(C23^2))))</x:f>
        <x:v>5.341555831808856</x:v>
      </x:c>
      <x:c r="I23" s="3"/>
      <x:c r="J23" s="10" t="n">
        <x:v>45874</x:v>
      </x:c>
      <x:c r="K23" s="8" t="n">
        <x:f>INDEX('Сводка'!$S$3:$S$397,U23)</x:f>
        <x:v>249</x:v>
      </x:c>
      <x:c r="L23" s="8" t="n">
        <x:f>INDEX('Сводка'!$S$3:$S$397,V23)</x:f>
        <x:v>243</x:v>
      </x:c>
      <x:c r="M23" s="8" t="n">
        <x:f>INDEX($K$388:$N$400,W23,1)+INDEX($K$388:$N$400,W23,2)*(2*(J23-$T$405)/(T23-$T$405)-1)^1+INDEX($K$388:$N$400,W23,3)*(2*(J23-$T$405)/(T23-$T$405)-1)^2</x:f>
        <x:v>140.82370488177398</x:v>
      </x:c>
      <x:c r="N23" s="8" t="n">
        <x:f>K23-M23</x:f>
        <x:v>108.17629511822602</x:v>
      </x:c>
      <x:c r="O23" s="8" t="n">
        <x:f>ABS(N23)</x:f>
        <x:v>108.17629511822602</x:v>
      </x:c>
      <x:c r="P23" s="8" t="n">
        <x:f>N23^2</x:f>
        <x:v>11702.110825505531</x:v>
      </x:c>
      <x:c r="Q23" s="8" t="n">
        <x:f>K23-L23</x:f>
        <x:v>6</x:v>
      </x:c>
      <x:c r="R23" s="9" t="n">
        <x:f>IF(AND(INDEX('Сводка'!$T$3:$T$397,U23)=0,INDEX('Сводка'!$T$3:$T$397,V23)=0),1,0)</x:f>
        <x:v>1</x:v>
      </x:c>
      <x:c r="S23" s="9" t="n">
        <x:f>IF(AND(R23=1,O23&lt;=$G$13),1,0)</x:f>
        <x:v>0</x:v>
      </x:c>
      <x:c r="T23" s="10" t="n">
        <x:f>EOMONTH(J23-'Сводка'!$B$11,-1)</x:f>
        <x:v>45869</x:v>
      </x:c>
      <x:c r="U23" s="4" t="n">
        <x:f>MATCH(J23,'Сводка'!$R$3:$R$397,0)</x:f>
        <x:v>34</x:v>
      </x:c>
      <x:c r="V23" s="4" t="n">
        <x:f>MATCH(J23-'Сводка'!$B$11,'Сводка'!$R$3:$R$397,0)</x:f>
        <x:v>33</x:v>
      </x:c>
      <x:c r="W23" s="4" t="n">
        <x:f>MATCH(T23,$J$388:$J$400,0)</x:f>
        <x:v>2</x:v>
      </x:c>
      <x:c r="X23" s="3"/>
      <x:c r="Y23" s="3"/>
      <x:c r="Z23" s="3"/>
    </x:row>
    <x:row r="24" ht="15" customHeight="1">
      <x:c r="A24" s="10" t="n">
        <x:f>IF(6&lt;='Сводка'!$B$3,'Сводка'!$B$4+6,"")</x:f>
        <x:v>46241</x:v>
      </x:c>
      <x:c r="B24" s="18" t="n">
        <x:f>IF($A24="","",(A24-$T$405+1)/1000)</x:f>
        <x:v>8.985</x:v>
      </x:c>
      <x:c r="C24" s="18" t="n">
        <x:f>IF($A24="","",2*(A24-$T$405)/$T$406-1)</x:f>
        <x:v>1.0013366005791937</x:v>
      </x:c>
      <x:c r="D24" s="8" t="n">
        <x:f>IF($A24="","",$B$4+$B$5*C24^1+$B$6*C24^2)</x:f>
        <x:v>118.60216086698634</x:v>
      </x:c>
      <x:c r="E24" s="8" t="n">
        <x:f>IF($A24="","",SQRT($T$403^2+H24^2))</x:f>
        <x:v>162.00375472435323</x:v>
      </x:c>
      <x:c r="F24" s="8" t="n">
        <x:f>IF($A24="","",D24-$T$404*E24)</x:f>
        <x:v>-198.9640995620007</x:v>
      </x:c>
      <x:c r="G24" s="8" t="n">
        <x:f>IF($A24="","",D24+$T$404*E24)</x:f>
        <x:v>436.1684212959734</x:v>
      </x:c>
      <x:c r="H24" s="8" t="n">
        <x:f>IF($A24="","",SQRT(MAX(0,(1)*$S$409*(1)+(1)*$T$409*(C24^1)+(1)*$U$409*(C24^2)+(C24^1)*$S$410*(1)+(C24^1)*$T$410*(C24^1)+(C24^1)*$U$410*(C24^2)+(C24^2)*$S$411*(1)+(C24^2)*$T$411*(C24^1)+(C24^2)*$U$411*(C24^2))))</x:f>
        <x:v>5.343889189703552</x:v>
      </x:c>
      <x:c r="I24" s="3"/>
      <x:c r="J24" s="10" t="n">
        <x:v>45875</x:v>
      </x:c>
      <x:c r="K24" s="8" t="n">
        <x:f>INDEX('Сводка'!$S$3:$S$397,U24)</x:f>
        <x:v>253</x:v>
      </x:c>
      <x:c r="L24" s="8" t="n">
        <x:f>INDEX('Сводка'!$S$3:$S$397,V24)</x:f>
        <x:v>249</x:v>
      </x:c>
      <x:c r="M24" s="8" t="n">
        <x:f>INDEX($K$388:$N$400,W24,1)+INDEX($K$388:$N$400,W24,2)*(2*(J24-$T$405)/(T24-$T$405)-1)^1+INDEX($K$388:$N$400,W24,3)*(2*(J24-$T$405)/(T24-$T$405)-1)^2</x:f>
        <x:v>140.82606254216455</x:v>
      </x:c>
      <x:c r="N24" s="8" t="n">
        <x:f>K24-M24</x:f>
        <x:v>112.17393745783545</x:v>
      </x:c>
      <x:c r="O24" s="8" t="n">
        <x:f>ABS(N24)</x:f>
        <x:v>112.17393745783545</x:v>
      </x:c>
      <x:c r="P24" s="8" t="n">
        <x:f>N24^2</x:f>
        <x:v>12582.992244794379</x:v>
      </x:c>
      <x:c r="Q24" s="8" t="n">
        <x:f>K24-L24</x:f>
        <x:v>4</x:v>
      </x:c>
      <x:c r="R24" s="9" t="n">
        <x:f>IF(AND(INDEX('Сводка'!$T$3:$T$397,U24)=0,INDEX('Сводка'!$T$3:$T$397,V24)=0),1,0)</x:f>
        <x:v>1</x:v>
      </x:c>
      <x:c r="S24" s="9" t="n">
        <x:f>IF(AND(R24=1,O24&lt;=$G$13),1,0)</x:f>
        <x:v>0</x:v>
      </x:c>
      <x:c r="T24" s="10" t="n">
        <x:f>EOMONTH(J24-'Сводка'!$B$11,-1)</x:f>
        <x:v>45869</x:v>
      </x:c>
      <x:c r="U24" s="4" t="n">
        <x:f>MATCH(J24,'Сводка'!$R$3:$R$397,0)</x:f>
        <x:v>35</x:v>
      </x:c>
      <x:c r="V24" s="4" t="n">
        <x:f>MATCH(J24-'Сводка'!$B$11,'Сводка'!$R$3:$R$397,0)</x:f>
        <x:v>34</x:v>
      </x:c>
      <x:c r="W24" s="4" t="n">
        <x:f>MATCH(T24,$J$388:$J$400,0)</x:f>
        <x:v>2</x:v>
      </x:c>
      <x:c r="X24" s="3"/>
      <x:c r="Y24" s="3"/>
      <x:c r="Z24" s="3"/>
    </x:row>
    <x:row r="25" ht="15" customHeight="1">
      <x:c r="A25" s="10" t="n">
        <x:f>IF(7&lt;='Сводка'!$B$3,'Сводка'!$B$4+7,"")</x:f>
        <x:v>46242</x:v>
      </x:c>
      <x:c r="B25" s="18" t="n">
        <x:f>IF($A25="","",(A25-$T$405+1)/1000)</x:f>
        <x:v>8.986</x:v>
      </x:c>
      <x:c r="C25" s="18" t="n">
        <x:f>IF($A25="","",2*(A25-$T$405)/$T$406-1)</x:f>
        <x:v>1.0015593673423924</x:v>
      </x:c>
      <x:c r="D25" s="8" t="n">
        <x:f>IF($A25="","",$B$4+$B$5*C25^1+$B$6*C25^2)</x:f>
        <x:v>118.59301039248511</x:v>
      </x:c>
      <x:c r="E25" s="8" t="n">
        <x:f>IF($A25="","",SQRT($T$403^2+H25^2))</x:f>
        <x:v>162.00383173502655</x:v>
      </x:c>
      <x:c r="F25" s="8" t="n">
        <x:f>IF($A25="","",D25-$T$404*E25)</x:f>
        <x:v>-198.9734009959139</x:v>
      </x:c>
      <x:c r="G25" s="8" t="n">
        <x:f>IF($A25="","",D25+$T$404*E25)</x:f>
        <x:v>436.1594217808841</x:v>
      </x:c>
      <x:c r="H25" s="8" t="n">
        <x:f>IF($A25="","",SQRT(MAX(0,(1)*$S$409*(1)+(1)*$T$409*(C25^1)+(1)*$U$409*(C25^2)+(C25^1)*$S$410*(1)+(C25^1)*$T$410*(C25^1)+(C25^1)*$U$410*(C25^2)+(C25^2)*$S$411*(1)+(C25^2)*$T$411*(C25^1)+(C25^2)*$U$411*(C25^2))))</x:f>
        <x:v>5.3462233131645815</x:v>
      </x:c>
      <x:c r="I25" s="3"/>
      <x:c r="J25" s="10" t="n">
        <x:v>45876</x:v>
      </x:c>
      <x:c r="K25" s="8" t="n">
        <x:f>INDEX('Сводка'!$S$3:$S$397,U25)</x:f>
        <x:v>259</x:v>
      </x:c>
      <x:c r="L25" s="8" t="n">
        <x:f>INDEX('Сводка'!$S$3:$S$397,V25)</x:f>
        <x:v>253</x:v>
      </x:c>
      <x:c r="M25" s="8" t="n">
        <x:f>INDEX($K$388:$N$400,W25,1)+INDEX($K$388:$N$400,W25,2)*(2*(J25-$T$405)/(T25-$T$405)-1)^1+INDEX($K$388:$N$400,W25,3)*(2*(J25-$T$405)/(T25-$T$405)-1)^2</x:f>
        <x:v>140.8284152064441</x:v>
      </x:c>
      <x:c r="N25" s="8" t="n">
        <x:f>K25-M25</x:f>
        <x:v>118.1715847935559</x:v>
      </x:c>
      <x:c r="O25" s="8" t="n">
        <x:f>ABS(N25)</x:f>
        <x:v>118.1715847935559</x:v>
      </x:c>
      <x:c r="P25" s="8" t="n">
        <x:f>N25^2</x:f>
        <x:v>13964.523452620571</x:v>
      </x:c>
      <x:c r="Q25" s="8" t="n">
        <x:f>K25-L25</x:f>
        <x:v>6</x:v>
      </x:c>
      <x:c r="R25" s="9" t="n">
        <x:f>IF(AND(INDEX('Сводка'!$T$3:$T$397,U25)=0,INDEX('Сводка'!$T$3:$T$397,V25)=0),1,0)</x:f>
        <x:v>1</x:v>
      </x:c>
      <x:c r="S25" s="9" t="n">
        <x:f>IF(AND(R25=1,O25&lt;=$G$13),1,0)</x:f>
        <x:v>0</x:v>
      </x:c>
      <x:c r="T25" s="10" t="n">
        <x:f>EOMONTH(J25-'Сводка'!$B$11,-1)</x:f>
        <x:v>45869</x:v>
      </x:c>
      <x:c r="U25" s="4" t="n">
        <x:f>MATCH(J25,'Сводка'!$R$3:$R$397,0)</x:f>
        <x:v>36</x:v>
      </x:c>
      <x:c r="V25" s="4" t="n">
        <x:f>MATCH(J25-'Сводка'!$B$11,'Сводка'!$R$3:$R$397,0)</x:f>
        <x:v>35</x:v>
      </x:c>
      <x:c r="W25" s="4" t="n">
        <x:f>MATCH(T25,$J$388:$J$400,0)</x:f>
        <x:v>2</x:v>
      </x:c>
      <x:c r="X25" s="3"/>
      <x:c r="Y25" s="3"/>
      <x:c r="Z25" s="3"/>
    </x:row>
    <x:row r="26" ht="15" customHeight="1">
      <x:c r="A26" s="10" t="n">
        <x:f>IF(8&lt;='Сводка'!$B$3,'Сводка'!$B$4+8,"")</x:f>
        <x:v>46243</x:v>
      </x:c>
      <x:c r="B26" s="18" t="n">
        <x:f>IF($A26="","",(A26-$T$405+1)/1000)</x:f>
        <x:v>8.987</x:v>
      </x:c>
      <x:c r="C26" s="18" t="n">
        <x:f>IF($A26="","",2*(A26-$T$405)/$T$406-1)</x:f>
        <x:v>1.0017821341055915</x:v>
      </x:c>
      <x:c r="D26" s="8" t="n">
        <x:f>IF($A26="","",$B$4+$B$5*C26^1+$B$6*C26^2)</x:f>
        <x:v>118.58385316693844</x:v>
      </x:c>
      <x:c r="E26" s="8" t="n">
        <x:f>IF($A26="","",SQRT($T$403^2+H26^2))</x:f>
        <x:v>162.0039088045628</x:v>
      </x:c>
      <x:c r="F26" s="8" t="n">
        <x:f>IF($A26="","",D26-$T$404*E26)</x:f>
        <x:v>-198.98270929625792</x:v>
      </x:c>
      <x:c r="G26" s="8" t="n">
        <x:f>IF($A26="","",D26+$T$404*E26)</x:f>
        <x:v>436.15041563013483</x:v>
      </x:c>
      <x:c r="H26" s="8" t="n">
        <x:f>IF($A26="","",SQRT(MAX(0,(1)*$S$409*(1)+(1)*$T$409*(C26^1)+(1)*$U$409*(C26^2)+(C26^1)*$S$410*(1)+(C26^1)*$T$410*(C26^1)+(C26^1)*$U$410*(C26^2)+(C26^2)*$S$411*(1)+(C26^2)*$T$411*(C26^1)+(C26^2)*$U$411*(C26^2))))</x:f>
        <x:v>5.348558202032844</x:v>
      </x:c>
      <x:c r="I26" s="3"/>
      <x:c r="J26" s="10" t="n">
        <x:v>45877</x:v>
      </x:c>
      <x:c r="K26" s="8" t="n">
        <x:f>INDEX('Сводка'!$S$3:$S$397,U26)</x:f>
        <x:v>265</x:v>
      </x:c>
      <x:c r="L26" s="8" t="n">
        <x:f>INDEX('Сводка'!$S$3:$S$397,V26)</x:f>
        <x:v>259</x:v>
      </x:c>
      <x:c r="M26" s="8" t="n">
        <x:f>INDEX($K$388:$N$400,W26,1)+INDEX($K$388:$N$400,W26,2)*(2*(J26-$T$405)/(T26-$T$405)-1)^1+INDEX($K$388:$N$400,W26,3)*(2*(J26-$T$405)/(T26-$T$405)-1)^2</x:f>
        <x:v>140.83076287461276</x:v>
      </x:c>
      <x:c r="N26" s="8" t="n">
        <x:f>K26-M26</x:f>
        <x:v>124.16923712538724</x:v>
      </x:c>
      <x:c r="O26" s="8" t="n">
        <x:f>ABS(N26)</x:f>
        <x:v>124.16923712538724</x:v>
      </x:c>
      <x:c r="P26" s="8" t="n">
        <x:f>N26^2</x:f>
        <x:v>15417.999448300645</x:v>
      </x:c>
      <x:c r="Q26" s="8" t="n">
        <x:f>K26-L26</x:f>
        <x:v>6</x:v>
      </x:c>
      <x:c r="R26" s="9" t="n">
        <x:f>IF(AND(INDEX('Сводка'!$T$3:$T$397,U26)=0,INDEX('Сводка'!$T$3:$T$397,V26)=0),1,0)</x:f>
        <x:v>1</x:v>
      </x:c>
      <x:c r="S26" s="9" t="n">
        <x:f>IF(AND(R26=1,O26&lt;=$G$13),1,0)</x:f>
        <x:v>0</x:v>
      </x:c>
      <x:c r="T26" s="10" t="n">
        <x:f>EOMONTH(J26-'Сводка'!$B$11,-1)</x:f>
        <x:v>45869</x:v>
      </x:c>
      <x:c r="U26" s="4" t="n">
        <x:f>MATCH(J26,'Сводка'!$R$3:$R$397,0)</x:f>
        <x:v>37</x:v>
      </x:c>
      <x:c r="V26" s="4" t="n">
        <x:f>MATCH(J26-'Сводка'!$B$11,'Сводка'!$R$3:$R$397,0)</x:f>
        <x:v>36</x:v>
      </x:c>
      <x:c r="W26" s="4" t="n">
        <x:f>MATCH(T26,$J$388:$J$400,0)</x:f>
        <x:v>2</x:v>
      </x:c>
      <x:c r="X26" s="3"/>
      <x:c r="Y26" s="3"/>
      <x:c r="Z26" s="3"/>
    </x:row>
    <x:row r="27" ht="15" customHeight="1">
      <x:c r="A27" s="10" t="n">
        <x:f>IF(9&lt;='Сводка'!$B$3,'Сводка'!$B$4+9,"")</x:f>
        <x:v>46244</x:v>
      </x:c>
      <x:c r="B27" s="18" t="n">
        <x:f>IF($A27="","",(A27-$T$405+1)/1000)</x:f>
        <x:v>8.988</x:v>
      </x:c>
      <x:c r="C27" s="18" t="n">
        <x:f>IF($A27="","",2*(A27-$T$405)/$T$406-1)</x:f>
        <x:v>1.0020049008687906</x:v>
      </x:c>
      <x:c r="D27" s="8" t="n">
        <x:f>IF($A27="","",$B$4+$B$5*C27^1+$B$6*C27^2)</x:f>
        <x:v>118.57468919034639</x:v>
      </x:c>
      <x:c r="E27" s="8" t="n">
        <x:f>IF($A27="","",SQRT($T$403^2+H27^2))</x:f>
        <x:v>162.00398593298976</x:v>
      </x:c>
      <x:c r="F27" s="8" t="n">
        <x:f>IF($A27="","",D27-$T$404*E27)</x:f>
        <x:v>-198.9920244630873</x:v>
      </x:c>
      <x:c r="G27" s="8" t="n">
        <x:f>IF($A27="","",D27+$T$404*E27)</x:f>
        <x:v>436.14140284378004</x:v>
      </x:c>
      <x:c r="H27" s="8" t="n">
        <x:f>IF($A27="","",SQRT(MAX(0,(1)*$S$409*(1)+(1)*$T$409*(C27^1)+(1)*$U$409*(C27^2)+(C27^1)*$S$410*(1)+(C27^1)*$T$410*(C27^1)+(C27^1)*$U$410*(C27^2)+(C27^2)*$S$411*(1)+(C27^2)*$T$411*(C27^1)+(C27^2)*$U$411*(C27^2))))</x:f>
        <x:v>5.350893856149363</x:v>
      </x:c>
      <x:c r="I27" s="3"/>
      <x:c r="J27" s="10" t="n">
        <x:v>45878</x:v>
      </x:c>
      <x:c r="K27" s="8" t="n">
        <x:f>INDEX('Сводка'!$S$3:$S$397,U27)</x:f>
        <x:v>276</x:v>
      </x:c>
      <x:c r="L27" s="8" t="n">
        <x:f>INDEX('Сводка'!$S$3:$S$397,V27)</x:f>
        <x:v>265</x:v>
      </x:c>
      <x:c r="M27" s="8" t="n">
        <x:f>INDEX($K$388:$N$400,W27,1)+INDEX($K$388:$N$400,W27,2)*(2*(J27-$T$405)/(T27-$T$405)-1)^1+INDEX($K$388:$N$400,W27,3)*(2*(J27-$T$405)/(T27-$T$405)-1)^2</x:f>
        <x:v>140.83310554667042</x:v>
      </x:c>
      <x:c r="N27" s="8" t="n">
        <x:f>K27-M27</x:f>
        <x:v>135.16689445332958</x:v>
      </x:c>
      <x:c r="O27" s="8" t="n">
        <x:f>ABS(N27)</x:f>
        <x:v>135.16689445332958</x:v>
      </x:c>
      <x:c r="P27" s="8" t="n">
        <x:f>N27^2</x:f>
        <x:v>18270.08935615754</x:v>
      </x:c>
      <x:c r="Q27" s="8" t="n">
        <x:f>K27-L27</x:f>
        <x:v>11</x:v>
      </x:c>
      <x:c r="R27" s="9" t="n">
        <x:f>IF(AND(INDEX('Сводка'!$T$3:$T$397,U27)=0,INDEX('Сводка'!$T$3:$T$397,V27)=0),1,0)</x:f>
        <x:v>1</x:v>
      </x:c>
      <x:c r="S27" s="9" t="n">
        <x:f>IF(AND(R27=1,O27&lt;=$G$13),1,0)</x:f>
        <x:v>0</x:v>
      </x:c>
      <x:c r="T27" s="10" t="n">
        <x:f>EOMONTH(J27-'Сводка'!$B$11,-1)</x:f>
        <x:v>45869</x:v>
      </x:c>
      <x:c r="U27" s="4" t="n">
        <x:f>MATCH(J27,'Сводка'!$R$3:$R$397,0)</x:f>
        <x:v>38</x:v>
      </x:c>
      <x:c r="V27" s="4" t="n">
        <x:f>MATCH(J27-'Сводка'!$B$11,'Сводка'!$R$3:$R$397,0)</x:f>
        <x:v>37</x:v>
      </x:c>
      <x:c r="W27" s="4" t="n">
        <x:f>MATCH(T27,$J$388:$J$400,0)</x:f>
        <x:v>2</x:v>
      </x:c>
      <x:c r="X27" s="3"/>
      <x:c r="Y27" s="3"/>
      <x:c r="Z27" s="3"/>
    </x:row>
    <x:row r="28" ht="15" customHeight="1">
      <x:c r="A28" s="10" t="n">
        <x:f>IF(10&lt;='Сводка'!$B$3,'Сводка'!$B$4+10,"")</x:f>
        <x:v>46245</x:v>
      </x:c>
      <x:c r="B28" s="18" t="n">
        <x:f>IF($A28="","",(A28-$T$405+1)/1000)</x:f>
        <x:v>8.989</x:v>
      </x:c>
      <x:c r="C28" s="18" t="n">
        <x:f>IF($A28="","",2*(A28-$T$405)/$T$406-1)</x:f>
        <x:v>1.0022276676319892</x:v>
      </x:c>
      <x:c r="D28" s="8" t="n">
        <x:f>IF($A28="","",$B$4+$B$5*C28^1+$B$6*C28^2)</x:f>
        <x:v>118.56551846270902</x:v>
      </x:c>
      <x:c r="E28" s="8" t="n">
        <x:f>IF($A28="","",SQRT($T$403^2+H28^2))</x:f>
        <x:v>162.0040631203352</x:v>
      </x:c>
      <x:c r="F28" s="8" t="n">
        <x:f>IF($A28="","",D28-$T$404*E28)</x:f>
        <x:v>-199.00134649645634</x:v>
      </x:c>
      <x:c r="G28" s="8" t="n">
        <x:f>IF($A28="","",D28+$T$404*E28)</x:f>
        <x:v>436.13238342187435</x:v>
      </x:c>
      <x:c r="H28" s="8" t="n">
        <x:f>IF($A28="","",SQRT(MAX(0,(1)*$S$409*(1)+(1)*$T$409*(C28^1)+(1)*$U$409*(C28^2)+(C28^1)*$S$410*(1)+(C28^1)*$T$410*(C28^1)+(C28^1)*$U$410*(C28^2)+(C28^2)*$S$411*(1)+(C28^2)*$T$411*(C28^1)+(C28^2)*$U$411*(C28^2))))</x:f>
        <x:v>5.353230275355295</x:v>
      </x:c>
      <x:c r="I28" s="3"/>
      <x:c r="J28" s="10" t="n">
        <x:v>45879</x:v>
      </x:c>
      <x:c r="K28" s="8" t="n">
        <x:f>INDEX('Сводка'!$S$3:$S$397,U28)</x:f>
        <x:v>290</x:v>
      </x:c>
      <x:c r="L28" s="8" t="n">
        <x:f>INDEX('Сводка'!$S$3:$S$397,V28)</x:f>
        <x:v>276</x:v>
      </x:c>
      <x:c r="M28" s="8" t="n">
        <x:f>INDEX($K$388:$N$400,W28,1)+INDEX($K$388:$N$400,W28,2)*(2*(J28-$T$405)/(T28-$T$405)-1)^1+INDEX($K$388:$N$400,W28,3)*(2*(J28-$T$405)/(T28-$T$405)-1)^2</x:f>
        <x:v>140.83544322261716</x:v>
      </x:c>
      <x:c r="N28" s="8" t="n">
        <x:f>K28-M28</x:f>
        <x:v>149.16455677738284</x:v>
      </x:c>
      <x:c r="O28" s="8" t="n">
        <x:f>ABS(N28)</x:f>
        <x:v>149.16455677738284</x:v>
      </x:c>
      <x:c r="P28" s="8" t="n">
        <x:f>N28^2</x:f>
        <x:v>22250.06499859307</x:v>
      </x:c>
      <x:c r="Q28" s="8" t="n">
        <x:f>K28-L28</x:f>
        <x:v>14</x:v>
      </x:c>
      <x:c r="R28" s="9" t="n">
        <x:f>IF(AND(INDEX('Сводка'!$T$3:$T$397,U28)=0,INDEX('Сводка'!$T$3:$T$397,V28)=0),1,0)</x:f>
        <x:v>1</x:v>
      </x:c>
      <x:c r="S28" s="9" t="n">
        <x:f>IF(AND(R28=1,O28&lt;=$G$13),1,0)</x:f>
        <x:v>0</x:v>
      </x:c>
      <x:c r="T28" s="10" t="n">
        <x:f>EOMONTH(J28-'Сводка'!$B$11,-1)</x:f>
        <x:v>45869</x:v>
      </x:c>
      <x:c r="U28" s="4" t="n">
        <x:f>MATCH(J28,'Сводка'!$R$3:$R$397,0)</x:f>
        <x:v>39</x:v>
      </x:c>
      <x:c r="V28" s="4" t="n">
        <x:f>MATCH(J28-'Сводка'!$B$11,'Сводка'!$R$3:$R$397,0)</x:f>
        <x:v>38</x:v>
      </x:c>
      <x:c r="W28" s="4" t="n">
        <x:f>MATCH(T28,$J$388:$J$400,0)</x:f>
        <x:v>2</x:v>
      </x:c>
      <x:c r="X28" s="3"/>
      <x:c r="Y28" s="3"/>
      <x:c r="Z28" s="3"/>
    </x:row>
    <x:row r="29" ht="15" customHeight="1">
      <x:c r="A29" s="10" t="n">
        <x:f>IF(11&lt;='Сводка'!$B$3,'Сводка'!$B$4+11,"")</x:f>
        <x:v>46246</x:v>
      </x:c>
      <x:c r="B29" s="18" t="n">
        <x:f>IF($A29="","",(A29-$T$405+1)/1000)</x:f>
        <x:v>8.99</x:v>
      </x:c>
      <x:c r="C29" s="18" t="n">
        <x:f>IF($A29="","",2*(A29-$T$405)/$T$406-1)</x:f>
        <x:v>1.0024504343951883</x:v>
      </x:c>
      <x:c r="D29" s="8" t="n">
        <x:f>IF($A29="","",$B$4+$B$5*C29^1+$B$6*C29^2)</x:f>
        <x:v>118.5563409840262</x:v>
      </x:c>
      <x:c r="E29" s="8" t="n">
        <x:f>IF($A29="","",SQRT($T$403^2+H29^2))</x:f>
        <x:v>162.00414036662687</x:v>
      </x:c>
      <x:c r="F29" s="8" t="n">
        <x:f>IF($A29="","",D29-$T$404*E29)</x:f>
        <x:v>-199.0106753964196</x:v>
      </x:c>
      <x:c r="G29" s="8" t="n">
        <x:f>IF($A29="","",D29+$T$404*E29)</x:f>
        <x:v>436.123357364472</x:v>
      </x:c>
      <x:c r="H29" s="8" t="n">
        <x:f>IF($A29="","",SQRT(MAX(0,(1)*$S$409*(1)+(1)*$T$409*(C29^1)+(1)*$U$409*(C29^2)+(C29^1)*$S$410*(1)+(C29^1)*$T$410*(C29^1)+(C29^1)*$U$410*(C29^2)+(C29^2)*$S$411*(1)+(C29^2)*$T$411*(C29^1)+(C29^2)*$U$411*(C29^2))))</x:f>
        <x:v>5.355567459491948</x:v>
      </x:c>
      <x:c r="I29" s="3"/>
      <x:c r="J29" s="10" t="n">
        <x:v>45880</x:v>
      </x:c>
      <x:c r="K29" s="8" t="n">
        <x:f>INDEX('Сводка'!$S$3:$S$397,U29)</x:f>
        <x:v>303</x:v>
      </x:c>
      <x:c r="L29" s="8" t="n">
        <x:f>INDEX('Сводка'!$S$3:$S$397,V29)</x:f>
        <x:v>290</x:v>
      </x:c>
      <x:c r="M29" s="8" t="n">
        <x:f>INDEX($K$388:$N$400,W29,1)+INDEX($K$388:$N$400,W29,2)*(2*(J29-$T$405)/(T29-$T$405)-1)^1+INDEX($K$388:$N$400,W29,3)*(2*(J29-$T$405)/(T29-$T$405)-1)^2</x:f>
        <x:v>140.8377759024529</x:v>
      </x:c>
      <x:c r="N29" s="8" t="n">
        <x:f>K29-M29</x:f>
        <x:v>162.1622240975471</x:v>
      </x:c>
      <x:c r="O29" s="8" t="n">
        <x:f>ABS(N29)</x:f>
        <x:v>162.1622240975471</x:v>
      </x:c>
      <x:c r="P29" s="8" t="n">
        <x:f>N29^2</x:f>
        <x:v>26296.586924263083</x:v>
      </x:c>
      <x:c r="Q29" s="8" t="n">
        <x:f>K29-L29</x:f>
        <x:v>13</x:v>
      </x:c>
      <x:c r="R29" s="9" t="n">
        <x:f>IF(AND(INDEX('Сводка'!$T$3:$T$397,U29)=0,INDEX('Сводка'!$T$3:$T$397,V29)=0),1,0)</x:f>
        <x:v>1</x:v>
      </x:c>
      <x:c r="S29" s="9" t="n">
        <x:f>IF(AND(R29=1,O29&lt;=$G$13),1,0)</x:f>
        <x:v>0</x:v>
      </x:c>
      <x:c r="T29" s="10" t="n">
        <x:f>EOMONTH(J29-'Сводка'!$B$11,-1)</x:f>
        <x:v>45869</x:v>
      </x:c>
      <x:c r="U29" s="4" t="n">
        <x:f>MATCH(J29,'Сводка'!$R$3:$R$397,0)</x:f>
        <x:v>40</x:v>
      </x:c>
      <x:c r="V29" s="4" t="n">
        <x:f>MATCH(J29-'Сводка'!$B$11,'Сводка'!$R$3:$R$397,0)</x:f>
        <x:v>39</x:v>
      </x:c>
      <x:c r="W29" s="4" t="n">
        <x:f>MATCH(T29,$J$388:$J$400,0)</x:f>
        <x:v>2</x:v>
      </x:c>
      <x:c r="X29" s="3"/>
      <x:c r="Y29" s="3"/>
      <x:c r="Z29" s="3"/>
    </x:row>
    <x:row r="30" ht="15" customHeight="1">
      <x:c r="A30" s="10" t="n">
        <x:f>IF(12&lt;='Сводка'!$B$3,'Сводка'!$B$4+12,"")</x:f>
        <x:v>46247</x:v>
      </x:c>
      <x:c r="B30" s="18" t="n">
        <x:f>IF($A30="","",(A30-$T$405+1)/1000)</x:f>
        <x:v>8.991</x:v>
      </x:c>
      <x:c r="C30" s="18" t="n">
        <x:f>IF($A30="","",2*(A30-$T$405)/$T$406-1)</x:f>
        <x:v>1.002673201158387</x:v>
      </x:c>
      <x:c r="D30" s="8" t="n">
        <x:f>IF($A30="","",$B$4+$B$5*C30^1+$B$6*C30^2)</x:f>
        <x:v>118.54715675429804</x:v>
      </x:c>
      <x:c r="E30" s="8" t="n">
        <x:f>IF($A30="","",SQRT($T$403^2+H30^2))</x:f>
        <x:v>162.00421767189255</x:v>
      </x:c>
      <x:c r="F30" s="8" t="n">
        <x:f>IF($A30="","",D30-$T$404*E30)</x:f>
        <x:v>-199.02001116303143</x:v>
      </x:c>
      <x:c r="G30" s="8" t="n">
        <x:f>IF($A30="","",D30+$T$404*E30)</x:f>
        <x:v>436.1143246716275</x:v>
      </x:c>
      <x:c r="H30" s="8" t="n">
        <x:f>IF($A30="","",SQRT(MAX(0,(1)*$S$409*(1)+(1)*$T$409*(C30^1)+(1)*$U$409*(C30^2)+(C30^1)*$S$410*(1)+(C30^1)*$T$410*(C30^1)+(C30^1)*$U$410*(C30^2)+(C30^2)*$S$411*(1)+(C30^2)*$T$411*(C30^1)+(C30^2)*$U$411*(C30^2))))</x:f>
        <x:v>5.357905408400747</x:v>
      </x:c>
      <x:c r="I30" s="3"/>
      <x:c r="J30" s="10" t="n">
        <x:v>45881</x:v>
      </x:c>
      <x:c r="K30" s="8" t="n">
        <x:f>INDEX('Сводка'!$S$3:$S$397,U30)</x:f>
        <x:v>315</x:v>
      </x:c>
      <x:c r="L30" s="8" t="n">
        <x:f>INDEX('Сводка'!$S$3:$S$397,V30)</x:f>
        <x:v>303</x:v>
      </x:c>
      <x:c r="M30" s="8" t="n">
        <x:f>INDEX($K$388:$N$400,W30,1)+INDEX($K$388:$N$400,W30,2)*(2*(J30-$T$405)/(T30-$T$405)-1)^1+INDEX($K$388:$N$400,W30,3)*(2*(J30-$T$405)/(T30-$T$405)-1)^2</x:f>
        <x:v>140.8401035861777</x:v>
      </x:c>
      <x:c r="N30" s="8" t="n">
        <x:f>K30-M30</x:f>
        <x:v>174.1598964138223</x:v>
      </x:c>
      <x:c r="O30" s="8" t="n">
        <x:f>ABS(N30)</x:f>
        <x:v>174.1598964138223</x:v>
      </x:c>
      <x:c r="P30" s="8" t="n">
        <x:f>N30^2</x:f>
        <x:v>30331.669518873317</x:v>
      </x:c>
      <x:c r="Q30" s="8" t="n">
        <x:f>K30-L30</x:f>
        <x:v>12</x:v>
      </x:c>
      <x:c r="R30" s="9" t="n">
        <x:f>IF(AND(INDEX('Сводка'!$T$3:$T$397,U30)=0,INDEX('Сводка'!$T$3:$T$397,V30)=0),1,0)</x:f>
        <x:v>1</x:v>
      </x:c>
      <x:c r="S30" s="9" t="n">
        <x:f>IF(AND(R30=1,O30&lt;=$G$13),1,0)</x:f>
        <x:v>0</x:v>
      </x:c>
      <x:c r="T30" s="10" t="n">
        <x:f>EOMONTH(J30-'Сводка'!$B$11,-1)</x:f>
        <x:v>45869</x:v>
      </x:c>
      <x:c r="U30" s="4" t="n">
        <x:f>MATCH(J30,'Сводка'!$R$3:$R$397,0)</x:f>
        <x:v>41</x:v>
      </x:c>
      <x:c r="V30" s="4" t="n">
        <x:f>MATCH(J30-'Сводка'!$B$11,'Сводка'!$R$3:$R$397,0)</x:f>
        <x:v>40</x:v>
      </x:c>
      <x:c r="W30" s="4" t="n">
        <x:f>MATCH(T30,$J$388:$J$400,0)</x:f>
        <x:v>2</x:v>
      </x:c>
      <x:c r="X30" s="3"/>
      <x:c r="Y30" s="3"/>
      <x:c r="Z30" s="3"/>
    </x:row>
    <x:row r="31" ht="15" customHeight="1">
      <x:c r="A31" s="10" t="n">
        <x:f>IF(13&lt;='Сводка'!$B$3,'Сводка'!$B$4+13,"")</x:f>
        <x:v>46248</x:v>
      </x:c>
      <x:c r="B31" s="18" t="n">
        <x:f>IF($A31="","",(A31-$T$405+1)/1000)</x:f>
        <x:v>8.992</x:v>
      </x:c>
      <x:c r="C31" s="18" t="n">
        <x:f>IF($A31="","",2*(A31-$T$405)/$T$406-1)</x:f>
        <x:v>1.002895967921586</x:v>
      </x:c>
      <x:c r="D31" s="8" t="n">
        <x:f>IF($A31="","",$B$4+$B$5*C31^1+$B$6*C31^2)</x:f>
        <x:v>118.53796577352452</x:v>
      </x:c>
      <x:c r="E31" s="8" t="n">
        <x:f>IF($A31="","",SQRT($T$403^2+H31^2))</x:f>
        <x:v>162.00429503616002</x:v>
      </x:c>
      <x:c r="F31" s="8" t="n">
        <x:f>IF($A31="","",D31-$T$404*E31)</x:f>
        <x:v>-199.02935379634627</x:v>
      </x:c>
      <x:c r="G31" s="8" t="n">
        <x:f>IF($A31="","",D31+$T$404*E31)</x:f>
        <x:v>436.1052853433953</x:v>
      </x:c>
      <x:c r="H31" s="8" t="n">
        <x:f>IF($A31="","",SQRT(MAX(0,(1)*$S$409*(1)+(1)*$T$409*(C31^1)+(1)*$U$409*(C31^2)+(C31^1)*$S$410*(1)+(C31^1)*$T$410*(C31^1)+(C31^1)*$U$410*(C31^2)+(C31^2)*$S$411*(1)+(C31^2)*$T$411*(C31^1)+(C31^2)*$U$411*(C31^2))))</x:f>
        <x:v>5.360244121923271</x:v>
      </x:c>
      <x:c r="I31" s="3"/>
      <x:c r="J31" s="10" t="n">
        <x:v>45882</x:v>
      </x:c>
      <x:c r="K31" s="8" t="n">
        <x:f>INDEX('Сводка'!$S$3:$S$397,U31)</x:f>
        <x:v>323</x:v>
      </x:c>
      <x:c r="L31" s="8" t="n">
        <x:f>INDEX('Сводка'!$S$3:$S$397,V31)</x:f>
        <x:v>315</x:v>
      </x:c>
      <x:c r="M31" s="8" t="n">
        <x:f>INDEX($K$388:$N$400,W31,1)+INDEX($K$388:$N$400,W31,2)*(2*(J31-$T$405)/(T31-$T$405)-1)^1+INDEX($K$388:$N$400,W31,3)*(2*(J31-$T$405)/(T31-$T$405)-1)^2</x:f>
        <x:v>140.8424262737915</x:v>
      </x:c>
      <x:c r="N31" s="8" t="n">
        <x:f>K31-M31</x:f>
        <x:v>182.1575737262085</x:v>
      </x:c>
      <x:c r="O31" s="8" t="n">
        <x:f>ABS(N31)</x:f>
        <x:v>182.1575737262085</x:v>
      </x:c>
      <x:c r="P31" s="8" t="n">
        <x:f>N31^2</x:f>
        <x:v>33181.38166581909</x:v>
      </x:c>
      <x:c r="Q31" s="8" t="n">
        <x:f>K31-L31</x:f>
        <x:v>8</x:v>
      </x:c>
      <x:c r="R31" s="9" t="n">
        <x:f>IF(AND(INDEX('Сводка'!$T$3:$T$397,U31)=0,INDEX('Сводка'!$T$3:$T$397,V31)=0),1,0)</x:f>
        <x:v>1</x:v>
      </x:c>
      <x:c r="S31" s="9" t="n">
        <x:f>IF(AND(R31=1,O31&lt;=$G$13),1,0)</x:f>
        <x:v>0</x:v>
      </x:c>
      <x:c r="T31" s="10" t="n">
        <x:f>EOMONTH(J31-'Сводка'!$B$11,-1)</x:f>
        <x:v>45869</x:v>
      </x:c>
      <x:c r="U31" s="4" t="n">
        <x:f>MATCH(J31,'Сводка'!$R$3:$R$397,0)</x:f>
        <x:v>42</x:v>
      </x:c>
      <x:c r="V31" s="4" t="n">
        <x:f>MATCH(J31-'Сводка'!$B$11,'Сводка'!$R$3:$R$397,0)</x:f>
        <x:v>41</x:v>
      </x:c>
      <x:c r="W31" s="4" t="n">
        <x:f>MATCH(T31,$J$388:$J$400,0)</x:f>
        <x:v>2</x:v>
      </x:c>
      <x:c r="X31" s="3"/>
      <x:c r="Y31" s="3"/>
      <x:c r="Z31" s="3"/>
    </x:row>
    <x:row r="32" ht="15" customHeight="1">
      <x:c r="A32" s="10" t="n">
        <x:f>IF(14&lt;='Сводка'!$B$3,'Сводка'!$B$4+14,"")</x:f>
        <x:v>46249</x:v>
      </x:c>
      <x:c r="B32" s="18" t="n">
        <x:f>IF($A32="","",(A32-$T$405+1)/1000)</x:f>
        <x:v>8.993</x:v>
      </x:c>
      <x:c r="C32" s="18" t="n">
        <x:f>IF($A32="","",2*(A32-$T$405)/$T$406-1)</x:f>
        <x:v>1.0031187346847852</x:v>
      </x:c>
      <x:c r="D32" s="8" t="n">
        <x:f>IF($A32="","",$B$4+$B$5*C32^1+$B$6*C32^2)</x:f>
        <x:v>118.52876804170556</x:v>
      </x:c>
      <x:c r="E32" s="8" t="n">
        <x:f>IF($A32="","",SQRT($T$403^2+H32^2))</x:f>
        <x:v>162.00437245945707</x:v>
      </x:c>
      <x:c r="F32" s="8" t="n">
        <x:f>IF($A32="","",D32-$T$404*E32)</x:f>
        <x:v>-199.0387032964187</x:v>
      </x:c>
      <x:c r="G32" s="8" t="n">
        <x:f>IF($A32="","",D32+$T$404*E32)</x:f>
        <x:v>436.09623937982985</x:v>
      </x:c>
      <x:c r="H32" s="8" t="n">
        <x:f>IF($A32="","",SQRT(MAX(0,(1)*$S$409*(1)+(1)*$T$409*(C32^1)+(1)*$U$409*(C32^2)+(C32^1)*$S$410*(1)+(C32^1)*$T$410*(C32^1)+(C32^1)*$U$410*(C32^2)+(C32^2)*$S$411*(1)+(C32^2)*$T$411*(C32^1)+(C32^2)*$U$411*(C32^2))))</x:f>
        <x:v>5.362583599901225</x:v>
      </x:c>
      <x:c r="I32" s="3"/>
      <x:c r="J32" s="10" t="n">
        <x:v>45883</x:v>
      </x:c>
      <x:c r="K32" s="8" t="n">
        <x:f>INDEX('Сводка'!$S$3:$S$397,U32)</x:f>
        <x:v>327</x:v>
      </x:c>
      <x:c r="L32" s="8" t="n">
        <x:f>INDEX('Сводка'!$S$3:$S$397,V32)</x:f>
        <x:v>323</x:v>
      </x:c>
      <x:c r="M32" s="8" t="n">
        <x:f>INDEX($K$388:$N$400,W32,1)+INDEX($K$388:$N$400,W32,2)*(2*(J32-$T$405)/(T32-$T$405)-1)^1+INDEX($K$388:$N$400,W32,3)*(2*(J32-$T$405)/(T32-$T$405)-1)^2</x:f>
        <x:v>140.84474396529436</x:v>
      </x:c>
      <x:c r="N32" s="8" t="n">
        <x:f>K32-M32</x:f>
        <x:v>186.15525603470564</x:v>
      </x:c>
      <x:c r="O32" s="8" t="n">
        <x:f>ABS(N32)</x:f>
        <x:v>186.15525603470564</x:v>
      </x:c>
      <x:c r="P32" s="8" t="n">
        <x:f>N32^2</x:f>
        <x:v>34653.77934934681</x:v>
      </x:c>
      <x:c r="Q32" s="8" t="n">
        <x:f>K32-L32</x:f>
        <x:v>4</x:v>
      </x:c>
      <x:c r="R32" s="9" t="n">
        <x:f>IF(AND(INDEX('Сводка'!$T$3:$T$397,U32)=0,INDEX('Сводка'!$T$3:$T$397,V32)=0),1,0)</x:f>
        <x:v>1</x:v>
      </x:c>
      <x:c r="S32" s="9" t="n">
        <x:f>IF(AND(R32=1,O32&lt;=$G$13),1,0)</x:f>
        <x:v>0</x:v>
      </x:c>
      <x:c r="T32" s="10" t="n">
        <x:f>EOMONTH(J32-'Сводка'!$B$11,-1)</x:f>
        <x:v>45869</x:v>
      </x:c>
      <x:c r="U32" s="4" t="n">
        <x:f>MATCH(J32,'Сводка'!$R$3:$R$397,0)</x:f>
        <x:v>43</x:v>
      </x:c>
      <x:c r="V32" s="4" t="n">
        <x:f>MATCH(J32-'Сводка'!$B$11,'Сводка'!$R$3:$R$397,0)</x:f>
        <x:v>42</x:v>
      </x:c>
      <x:c r="W32" s="4" t="n">
        <x:f>MATCH(T32,$J$388:$J$400,0)</x:f>
        <x:v>2</x:v>
      </x:c>
      <x:c r="X32" s="3"/>
      <x:c r="Y32" s="3"/>
      <x:c r="Z32" s="3"/>
    </x:row>
    <x:row r="33" ht="15" customHeight="1">
      <x:c r="A33" s="10" t="n">
        <x:f>IF(15&lt;='Сводка'!$B$3,'Сводка'!$B$4+15,"")</x:f>
        <x:v>46250</x:v>
      </x:c>
      <x:c r="B33" s="18" t="n">
        <x:f>IF($A33="","",(A33-$T$405+1)/1000)</x:f>
        <x:v>8.994</x:v>
      </x:c>
      <x:c r="C33" s="18" t="n">
        <x:f>IF($A33="","",2*(A33-$T$405)/$T$406-1)</x:f>
        <x:v>1.0033415014479838</x:v>
      </x:c>
      <x:c r="D33" s="8" t="n">
        <x:f>IF($A33="","",$B$4+$B$5*C33^1+$B$6*C33^2)</x:f>
        <x:v>118.51956355884124</x:v>
      </x:c>
      <x:c r="E33" s="8" t="n">
        <x:f>IF($A33="","",SQRT($T$403^2+H33^2))</x:f>
        <x:v>162.00444994181154</x:v>
      </x:c>
      <x:c r="F33" s="8" t="n">
        <x:f>IF($A33="","",D33-$T$404*E33)</x:f>
        <x:v>-199.04805966330326</x:v>
      </x:c>
      <x:c r="G33" s="8" t="n">
        <x:f>IF($A33="","",D33+$T$404*E33)</x:f>
        <x:v>436.08718678098575</x:v>
      </x:c>
      <x:c r="H33" s="8" t="n">
        <x:f>IF($A33="","",SQRT(MAX(0,(1)*$S$409*(1)+(1)*$T$409*(C33^1)+(1)*$U$409*(C33^2)+(C33^1)*$S$410*(1)+(C33^1)*$T$410*(C33^1)+(C33^1)*$U$410*(C33^2)+(C33^2)*$S$411*(1)+(C33^2)*$T$411*(C33^1)+(C33^2)*$U$411*(C33^2))))</x:f>
        <x:v>5.36492384217644</x:v>
      </x:c>
      <x:c r="I33" s="3"/>
      <x:c r="J33" s="10" t="n">
        <x:v>45884</x:v>
      </x:c>
      <x:c r="K33" s="8" t="n">
        <x:f>INDEX('Сводка'!$S$3:$S$397,U33)</x:f>
        <x:v>329</x:v>
      </x:c>
      <x:c r="L33" s="8" t="n">
        <x:f>INDEX('Сводка'!$S$3:$S$397,V33)</x:f>
        <x:v>327</x:v>
      </x:c>
      <x:c r="M33" s="8" t="n">
        <x:f>INDEX($K$388:$N$400,W33,1)+INDEX($K$388:$N$400,W33,2)*(2*(J33-$T$405)/(T33-$T$405)-1)^1+INDEX($K$388:$N$400,W33,3)*(2*(J33-$T$405)/(T33-$T$405)-1)^2</x:f>
        <x:v>140.84705666068626</x:v>
      </x:c>
      <x:c r="N33" s="8" t="n">
        <x:f>K33-M33</x:f>
        <x:v>188.15294333931374</x:v>
      </x:c>
      <x:c r="O33" s="8" t="n">
        <x:f>ABS(N33)</x:f>
        <x:v>188.15294333931374</x:v>
      </x:c>
      <x:c r="P33" s="8" t="n">
        <x:f>N33^2</x:f>
        <x:v>35401.530087247</x:v>
      </x:c>
      <x:c r="Q33" s="8" t="n">
        <x:f>K33-L33</x:f>
        <x:v>2</x:v>
      </x:c>
      <x:c r="R33" s="9" t="n">
        <x:f>IF(AND(INDEX('Сводка'!$T$3:$T$397,U33)=0,INDEX('Сводка'!$T$3:$T$397,V33)=0),1,0)</x:f>
        <x:v>1</x:v>
      </x:c>
      <x:c r="S33" s="9" t="n">
        <x:f>IF(AND(R33=1,O33&lt;=$G$13),1,0)</x:f>
        <x:v>0</x:v>
      </x:c>
      <x:c r="T33" s="10" t="n">
        <x:f>EOMONTH(J33-'Сводка'!$B$11,-1)</x:f>
        <x:v>45869</x:v>
      </x:c>
      <x:c r="U33" s="4" t="n">
        <x:f>MATCH(J33,'Сводка'!$R$3:$R$397,0)</x:f>
        <x:v>44</x:v>
      </x:c>
      <x:c r="V33" s="4" t="n">
        <x:f>MATCH(J33-'Сводка'!$B$11,'Сводка'!$R$3:$R$397,0)</x:f>
        <x:v>43</x:v>
      </x:c>
      <x:c r="W33" s="4" t="n">
        <x:f>MATCH(T33,$J$388:$J$400,0)</x:f>
        <x:v>2</x:v>
      </x:c>
      <x:c r="X33" s="3"/>
      <x:c r="Y33" s="3"/>
      <x:c r="Z33" s="3"/>
    </x:row>
    <x:row r="34" ht="15" customHeight="1">
      <x:c r="A34" s="10" t="n">
        <x:f>IF(16&lt;='Сводка'!$B$3,'Сводка'!$B$4+16,"")</x:f>
        <x:v>46251</x:v>
      </x:c>
      <x:c r="B34" s="18" t="n">
        <x:f>IF($A34="","",(A34-$T$405+1)/1000)</x:f>
        <x:v>8.995</x:v>
      </x:c>
      <x:c r="C34" s="18" t="n">
        <x:f>IF($A34="","",2*(A34-$T$405)/$T$406-1)</x:f>
        <x:v>1.003564268211183</x:v>
      </x:c>
      <x:c r="D34" s="8" t="n">
        <x:f>IF($A34="","",$B$4+$B$5*C34^1+$B$6*C34^2)</x:f>
        <x:v>118.51035232493155</x:v>
      </x:c>
      <x:c r="E34" s="8" t="n">
        <x:f>IF($A34="","",SQRT($T$403^2+H34^2))</x:f>
        <x:v>162.0045274832512</x:v>
      </x:c>
      <x:c r="F34" s="8" t="n">
        <x:f>IF($A34="","",D34-$T$404*E34)</x:f>
        <x:v>-199.05742289705432</x:v>
      </x:c>
      <x:c r="G34" s="8" t="n">
        <x:f>IF($A34="","",D34+$T$404*E34)</x:f>
        <x:v>436.0781275469174</x:v>
      </x:c>
      <x:c r="H34" s="8" t="n">
        <x:f>IF($A34="","",SQRT(MAX(0,(1)*$S$409*(1)+(1)*$T$409*(C34^1)+(1)*$U$409*(C34^2)+(C34^1)*$S$410*(1)+(C34^1)*$T$410*(C34^1)+(C34^1)*$U$410*(C34^2)+(C34^2)*$S$411*(1)+(C34^2)*$T$411*(C34^1)+(C34^2)*$U$411*(C34^2))))</x:f>
        <x:v>5.367264848590907</x:v>
      </x:c>
      <x:c r="I34" s="3"/>
      <x:c r="J34" s="10" t="n">
        <x:v>45885</x:v>
      </x:c>
      <x:c r="K34" s="8" t="n">
        <x:f>INDEX('Сводка'!$S$3:$S$397,U34)</x:f>
        <x:v>329</x:v>
      </x:c>
      <x:c r="L34" s="8" t="n">
        <x:f>INDEX('Сводка'!$S$3:$S$397,V34)</x:f>
        <x:v>329</x:v>
      </x:c>
      <x:c r="M34" s="8" t="n">
        <x:f>INDEX($K$388:$N$400,W34,1)+INDEX($K$388:$N$400,W34,2)*(2*(J34-$T$405)/(T34-$T$405)-1)^1+INDEX($K$388:$N$400,W34,3)*(2*(J34-$T$405)/(T34-$T$405)-1)^2</x:f>
        <x:v>140.8493643599672</x:v>
      </x:c>
      <x:c r="N34" s="8" t="n">
        <x:f>K34-M34</x:f>
        <x:v>188.1506356400328</x:v>
      </x:c>
      <x:c r="O34" s="8" t="n">
        <x:f>ABS(N34)</x:f>
        <x:v>188.1506356400328</x:v>
      </x:c>
      <x:c r="P34" s="8" t="n">
        <x:f>N34^2</x:f>
        <x:v>35400.66169174838</x:v>
      </x:c>
      <x:c r="Q34" s="8" t="n">
        <x:f>K34-L34</x:f>
        <x:v>0</x:v>
      </x:c>
      <x:c r="R34" s="9" t="n">
        <x:f>IF(AND(INDEX('Сводка'!$T$3:$T$397,U34)=0,INDEX('Сводка'!$T$3:$T$397,V34)=0),1,0)</x:f>
        <x:v>1</x:v>
      </x:c>
      <x:c r="S34" s="9" t="n">
        <x:f>IF(AND(R34=1,O34&lt;=$G$13),1,0)</x:f>
        <x:v>0</x:v>
      </x:c>
      <x:c r="T34" s="10" t="n">
        <x:f>EOMONTH(J34-'Сводка'!$B$11,-1)</x:f>
        <x:v>45869</x:v>
      </x:c>
      <x:c r="U34" s="4" t="n">
        <x:f>MATCH(J34,'Сводка'!$R$3:$R$397,0)</x:f>
        <x:v>45</x:v>
      </x:c>
      <x:c r="V34" s="4" t="n">
        <x:f>MATCH(J34-'Сводка'!$B$11,'Сводка'!$R$3:$R$397,0)</x:f>
        <x:v>44</x:v>
      </x:c>
      <x:c r="W34" s="4" t="n">
        <x:f>MATCH(T34,$J$388:$J$400,0)</x:f>
        <x:v>2</x:v>
      </x:c>
      <x:c r="X34" s="3"/>
      <x:c r="Y34" s="3"/>
      <x:c r="Z34" s="3"/>
    </x:row>
    <x:row r="35" ht="15" customHeight="1">
      <x:c r="A35" s="10" t="n">
        <x:f>IF(17&lt;='Сводка'!$B$3,'Сводка'!$B$4+17,"")</x:f>
        <x:v>46252</x:v>
      </x:c>
      <x:c r="B35" s="18" t="n">
        <x:f>IF($A35="","",(A35-$T$405+1)/1000)</x:f>
        <x:v>8.996</x:v>
      </x:c>
      <x:c r="C35" s="18" t="n">
        <x:f>IF($A35="","",2*(A35-$T$405)/$T$406-1)</x:f>
        <x:v>1.003787034974382</x:v>
      </x:c>
      <x:c r="D35" s="8" t="n">
        <x:f>IF($A35="","",$B$4+$B$5*C35^1+$B$6*C35^2)</x:f>
        <x:v>118.50113433997649</x:v>
      </x:c>
      <x:c r="E35" s="8" t="n">
        <x:f>IF($A35="","",SQRT($T$403^2+H35^2))</x:f>
        <x:v>162.00460508380382</x:v>
      </x:c>
      <x:c r="F35" s="8" t="n">
        <x:f>IF($A35="","",D35-$T$404*E35)</x:f>
        <x:v>-199.0667929977264</x:v>
      </x:c>
      <x:c r="G35" s="8" t="n">
        <x:f>IF($A35="","",D35+$T$404*E35)</x:f>
        <x:v>436.0690616776794</x:v>
      </x:c>
      <x:c r="H35" s="8" t="n">
        <x:f>IF($A35="","",SQRT(MAX(0,(1)*$S$409*(1)+(1)*$T$409*(C35^1)+(1)*$U$409*(C35^2)+(C35^1)*$S$410*(1)+(C35^1)*$T$410*(C35^1)+(C35^1)*$U$410*(C35^2)+(C35^2)*$S$411*(1)+(C35^2)*$T$411*(C35^1)+(C35^2)*$U$411*(C35^2))))</x:f>
        <x:v>5.369606618986733</x:v>
      </x:c>
      <x:c r="I35" s="3"/>
      <x:c r="J35" s="10" t="n">
        <x:v>45886</x:v>
      </x:c>
      <x:c r="K35" s="8" t="n">
        <x:f>INDEX('Сводка'!$S$3:$S$397,U35)</x:f>
        <x:v>325</x:v>
      </x:c>
      <x:c r="L35" s="8" t="n">
        <x:f>INDEX('Сводка'!$S$3:$S$397,V35)</x:f>
        <x:v>329</x:v>
      </x:c>
      <x:c r="M35" s="8" t="n">
        <x:f>INDEX($K$388:$N$400,W35,1)+INDEX($K$388:$N$400,W35,2)*(2*(J35-$T$405)/(T35-$T$405)-1)^1+INDEX($K$388:$N$400,W35,3)*(2*(J35-$T$405)/(T35-$T$405)-1)^2</x:f>
        <x:v>140.85166706313714</x:v>
      </x:c>
      <x:c r="N35" s="8" t="n">
        <x:f>K35-M35</x:f>
        <x:v>184.14833293686286</x:v>
      </x:c>
      <x:c r="O35" s="8" t="n">
        <x:f>ABS(N35)</x:f>
        <x:v>184.14833293686286</x:v>
      </x:c>
      <x:c r="P35" s="8" t="n">
        <x:f>N35^2</x:f>
        <x:v>33910.60852342569</x:v>
      </x:c>
      <x:c r="Q35" s="8" t="n">
        <x:f>K35-L35</x:f>
        <x:v>-4</x:v>
      </x:c>
      <x:c r="R35" s="9" t="n">
        <x:f>IF(AND(INDEX('Сводка'!$T$3:$T$397,U35)=0,INDEX('Сводка'!$T$3:$T$397,V35)=0),1,0)</x:f>
        <x:v>1</x:v>
      </x:c>
      <x:c r="S35" s="9" t="n">
        <x:f>IF(AND(R35=1,O35&lt;=$G$13),1,0)</x:f>
        <x:v>0</x:v>
      </x:c>
      <x:c r="T35" s="10" t="n">
        <x:f>EOMONTH(J35-'Сводка'!$B$11,-1)</x:f>
        <x:v>45869</x:v>
      </x:c>
      <x:c r="U35" s="4" t="n">
        <x:f>MATCH(J35,'Сводка'!$R$3:$R$397,0)</x:f>
        <x:v>46</x:v>
      </x:c>
      <x:c r="V35" s="4" t="n">
        <x:f>MATCH(J35-'Сводка'!$B$11,'Сводка'!$R$3:$R$397,0)</x:f>
        <x:v>45</x:v>
      </x:c>
      <x:c r="W35" s="4" t="n">
        <x:f>MATCH(T35,$J$388:$J$400,0)</x:f>
        <x:v>2</x:v>
      </x:c>
      <x:c r="X35" s="3"/>
      <x:c r="Y35" s="3"/>
      <x:c r="Z35" s="3"/>
    </x:row>
    <x:row r="36" ht="15" customHeight="1">
      <x:c r="A36" s="10" t="n">
        <x:f>IF(18&lt;='Сводка'!$B$3,'Сводка'!$B$4+18,"")</x:f>
        <x:v>46253</x:v>
      </x:c>
      <x:c r="B36" s="18" t="n">
        <x:f>IF($A36="","",(A36-$T$405+1)/1000)</x:f>
        <x:v>8.997</x:v>
      </x:c>
      <x:c r="C36" s="18" t="n">
        <x:f>IF($A36="","",2*(A36-$T$405)/$T$406-1)</x:f>
        <x:v>1.0040098017375807</x:v>
      </x:c>
      <x:c r="D36" s="8" t="n">
        <x:f>IF($A36="","",$B$4+$B$5*C36^1+$B$6*C36^2)</x:f>
        <x:v>118.49190960397601</x:v>
      </x:c>
      <x:c r="E36" s="8" t="n">
        <x:f>IF($A36="","",SQRT($T$403^2+H36^2))</x:f>
        <x:v>162.00468274349728</x:v>
      </x:c>
      <x:c r="F36" s="8" t="n">
        <x:f>IF($A36="","",D36-$T$404*E36)</x:f>
        <x:v>-199.0761699653741</x:v>
      </x:c>
      <x:c r="G36" s="8" t="n">
        <x:f>IF($A36="","",D36+$T$404*E36)</x:f>
        <x:v>436.05998917332613</x:v>
      </x:c>
      <x:c r="H36" s="8" t="n">
        <x:f>IF($A36="","",SQRT(MAX(0,(1)*$S$409*(1)+(1)*$T$409*(C36^1)+(1)*$U$409*(C36^2)+(C36^1)*$S$410*(1)+(C36^1)*$T$410*(C36^1)+(C36^1)*$U$410*(C36^2)+(C36^2)*$S$411*(1)+(C36^2)*$T$411*(C36^1)+(C36^2)*$U$411*(C36^2))))</x:f>
        <x:v>5.371949153206161</x:v>
      </x:c>
      <x:c r="I36" s="3"/>
      <x:c r="J36" s="10" t="n">
        <x:v>45887</x:v>
      </x:c>
      <x:c r="K36" s="8" t="n">
        <x:f>INDEX('Сводка'!$S$3:$S$397,U36)</x:f>
        <x:v>320</x:v>
      </x:c>
      <x:c r="L36" s="8" t="n">
        <x:f>INDEX('Сводка'!$S$3:$S$397,V36)</x:f>
        <x:v>325</x:v>
      </x:c>
      <x:c r="M36" s="8" t="n">
        <x:f>INDEX($K$388:$N$400,W36,1)+INDEX($K$388:$N$400,W36,2)*(2*(J36-$T$405)/(T36-$T$405)-1)^1+INDEX($K$388:$N$400,W36,3)*(2*(J36-$T$405)/(T36-$T$405)-1)^2</x:f>
        <x:v>140.85396477019617</x:v>
      </x:c>
      <x:c r="N36" s="8" t="n">
        <x:f>K36-M36</x:f>
        <x:v>179.14603522980383</x:v>
      </x:c>
      <x:c r="O36" s="8" t="n">
        <x:f>ABS(N36)</x:f>
        <x:v>179.14603522980383</x:v>
      </x:c>
      <x:c r="P36" s="8" t="n">
        <x:f>N36^2</x:f>
        <x:v>32093.301938558114</x:v>
      </x:c>
      <x:c r="Q36" s="8" t="n">
        <x:f>K36-L36</x:f>
        <x:v>-5</x:v>
      </x:c>
      <x:c r="R36" s="9" t="n">
        <x:f>IF(AND(INDEX('Сводка'!$T$3:$T$397,U36)=0,INDEX('Сводка'!$T$3:$T$397,V36)=0),1,0)</x:f>
        <x:v>1</x:v>
      </x:c>
      <x:c r="S36" s="9" t="n">
        <x:f>IF(AND(R36=1,O36&lt;=$G$13),1,0)</x:f>
        <x:v>0</x:v>
      </x:c>
      <x:c r="T36" s="10" t="n">
        <x:f>EOMONTH(J36-'Сводка'!$B$11,-1)</x:f>
        <x:v>45869</x:v>
      </x:c>
      <x:c r="U36" s="4" t="n">
        <x:f>MATCH(J36,'Сводка'!$R$3:$R$397,0)</x:f>
        <x:v>47</x:v>
      </x:c>
      <x:c r="V36" s="4" t="n">
        <x:f>MATCH(J36-'Сводка'!$B$11,'Сводка'!$R$3:$R$397,0)</x:f>
        <x:v>46</x:v>
      </x:c>
      <x:c r="W36" s="4" t="n">
        <x:f>MATCH(T36,$J$388:$J$400,0)</x:f>
        <x:v>2</x:v>
      </x:c>
      <x:c r="X36" s="3"/>
      <x:c r="Y36" s="3"/>
      <x:c r="Z36" s="3"/>
    </x:row>
    <x:row r="37" ht="15" customHeight="1">
      <x:c r="A37" s="10" t="n">
        <x:f>IF(19&lt;='Сводка'!$B$3,'Сводка'!$B$4+19,"")</x:f>
        <x:v>46254</x:v>
      </x:c>
      <x:c r="B37" s="18" t="n">
        <x:f>IF($A37="","",(A37-$T$405+1)/1000)</x:f>
        <x:v>8.998</x:v>
      </x:c>
      <x:c r="C37" s="18" t="n">
        <x:f>IF($A37="","",2*(A37-$T$405)/$T$406-1)</x:f>
        <x:v>1.0042325685007798</x:v>
      </x:c>
      <x:c r="D37" s="8" t="n">
        <x:f>IF($A37="","",$B$4+$B$5*C37^1+$B$6*C37^2)</x:f>
        <x:v>118.48267811693019</x:v>
      </x:c>
      <x:c r="E37" s="8" t="n">
        <x:f>IF($A37="","",SQRT($T$403^2+H37^2))</x:f>
        <x:v>162.00476046235934</x:v>
      </x:c>
      <x:c r="F37" s="8" t="n">
        <x:f>IF($A37="","",D37-$T$404*E37)</x:f>
        <x:v>-199.0855538000518</x:v>
      </x:c>
      <x:c r="G37" s="8" t="n">
        <x:f>IF($A37="","",D37+$T$404*E37)</x:f>
        <x:v>436.05091003391215</x:v>
      </x:c>
      <x:c r="H37" s="8" t="n">
        <x:f>IF($A37="","",SQRT(MAX(0,(1)*$S$409*(1)+(1)*$T$409*(C37^1)+(1)*$U$409*(C37^2)+(C37^1)*$S$410*(1)+(C37^1)*$T$410*(C37^1)+(C37^1)*$U$410*(C37^2)+(C37^2)*$S$411*(1)+(C37^2)*$T$411*(C37^1)+(C37^2)*$U$411*(C37^2))))</x:f>
        <x:v>5.374292451091585</x:v>
      </x:c>
      <x:c r="I37" s="3"/>
      <x:c r="J37" s="10" t="n">
        <x:v>45888</x:v>
      </x:c>
      <x:c r="K37" s="8" t="n">
        <x:f>INDEX('Сводка'!$S$3:$S$397,U37)</x:f>
        <x:v>309</x:v>
      </x:c>
      <x:c r="L37" s="8" t="n">
        <x:f>INDEX('Сводка'!$S$3:$S$397,V37)</x:f>
        <x:v>320</x:v>
      </x:c>
      <x:c r="M37" s="8" t="n">
        <x:f>INDEX($K$388:$N$400,W37,1)+INDEX($K$388:$N$400,W37,2)*(2*(J37-$T$405)/(T37-$T$405)-1)^1+INDEX($K$388:$N$400,W37,3)*(2*(J37-$T$405)/(T37-$T$405)-1)^2</x:f>
        <x:v>140.8562574811442</x:v>
      </x:c>
      <x:c r="N37" s="8" t="n">
        <x:f>K37-M37</x:f>
        <x:v>168.1437425188558</x:v>
      </x:c>
      <x:c r="O37" s="8" t="n">
        <x:f>ABS(N37)</x:f>
        <x:v>168.1437425188558</x:v>
      </x:c>
      <x:c r="P37" s="8" t="n">
        <x:f>N37^2</x:f>
        <x:v>28272.318148247272</x:v>
      </x:c>
      <x:c r="Q37" s="8" t="n">
        <x:f>K37-L37</x:f>
        <x:v>-11</x:v>
      </x:c>
      <x:c r="R37" s="9" t="n">
        <x:f>IF(AND(INDEX('Сводка'!$T$3:$T$397,U37)=0,INDEX('Сводка'!$T$3:$T$397,V37)=0),1,0)</x:f>
        <x:v>1</x:v>
      </x:c>
      <x:c r="S37" s="9" t="n">
        <x:f>IF(AND(R37=1,O37&lt;=$G$13),1,0)</x:f>
        <x:v>0</x:v>
      </x:c>
      <x:c r="T37" s="10" t="n">
        <x:f>EOMONTH(J37-'Сводка'!$B$11,-1)</x:f>
        <x:v>45869</x:v>
      </x:c>
      <x:c r="U37" s="4" t="n">
        <x:f>MATCH(J37,'Сводка'!$R$3:$R$397,0)</x:f>
        <x:v>48</x:v>
      </x:c>
      <x:c r="V37" s="4" t="n">
        <x:f>MATCH(J37-'Сводка'!$B$11,'Сводка'!$R$3:$R$397,0)</x:f>
        <x:v>47</x:v>
      </x:c>
      <x:c r="W37" s="4" t="n">
        <x:f>MATCH(T37,$J$388:$J$400,0)</x:f>
        <x:v>2</x:v>
      </x:c>
      <x:c r="X37" s="3"/>
      <x:c r="Y37" s="3"/>
      <x:c r="Z37" s="3"/>
    </x:row>
    <x:row r="38" ht="15" customHeight="1">
      <x:c r="A38" s="10" t="n">
        <x:f>IF(20&lt;='Сводка'!$B$3,'Сводка'!$B$4+20,"")</x:f>
        <x:v>46255</x:v>
      </x:c>
      <x:c r="B38" s="18" t="n">
        <x:f>IF($A38="","",(A38-$T$405+1)/1000)</x:f>
        <x:v>8.999</x:v>
      </x:c>
      <x:c r="C38" s="18" t="n">
        <x:f>IF($A38="","",2*(A38-$T$405)/$T$406-1)</x:f>
        <x:v>1.0044553352639785</x:v>
      </x:c>
      <x:c r="D38" s="8" t="n">
        <x:f>IF($A38="","",$B$4+$B$5*C38^1+$B$6*C38^2)</x:f>
        <x:v>118.47343987883899</x:v>
      </x:c>
      <x:c r="E38" s="8" t="n">
        <x:f>IF($A38="","",SQRT($T$403^2+H38^2))</x:f>
        <x:v>162.00483824041788</x:v>
      </x:c>
      <x:c r="F38" s="8" t="n">
        <x:f>IF($A38="","",D38-$T$404*E38)</x:f>
        <x:v>-199.0949445018142</x:v>
      </x:c>
      <x:c r="G38" s="8" t="n">
        <x:f>IF($A38="","",D38+$T$404*E38)</x:f>
        <x:v>436.04182425949216</x:v>
      </x:c>
      <x:c r="H38" s="8" t="n">
        <x:f>IF($A38="","",SQRT(MAX(0,(1)*$S$409*(1)+(1)*$T$409*(C38^1)+(1)*$U$409*(C38^2)+(C38^1)*$S$410*(1)+(C38^1)*$T$410*(C38^1)+(C38^1)*$U$410*(C38^2)+(C38^2)*$S$411*(1)+(C38^2)*$T$411*(C38^1)+(C38^2)*$U$411*(C38^2))))</x:f>
        <x:v>5.376636512485511</x:v>
      </x:c>
      <x:c r="I38" s="3"/>
      <x:c r="J38" s="10" t="n">
        <x:v>45889</x:v>
      </x:c>
      <x:c r="K38" s="8" t="n">
        <x:f>INDEX('Сводка'!$S$3:$S$397,U38)</x:f>
        <x:v>296</x:v>
      </x:c>
      <x:c r="L38" s="8" t="n">
        <x:f>INDEX('Сводка'!$S$3:$S$397,V38)</x:f>
        <x:v>309</x:v>
      </x:c>
      <x:c r="M38" s="8" t="n">
        <x:f>INDEX($K$388:$N$400,W38,1)+INDEX($K$388:$N$400,W38,2)*(2*(J38-$T$405)/(T38-$T$405)-1)^1+INDEX($K$388:$N$400,W38,3)*(2*(J38-$T$405)/(T38-$T$405)-1)^2</x:f>
        <x:v>140.85854519598132</x:v>
      </x:c>
      <x:c r="N38" s="8" t="n">
        <x:f>K38-M38</x:f>
        <x:v>155.14145480401868</x:v>
      </x:c>
      <x:c r="O38" s="8" t="n">
        <x:f>ABS(N38)</x:f>
        <x:v>155.14145480401868</x:v>
      </x:c>
      <x:c r="P38" s="8" t="n">
        <x:f>N38^2</x:f>
        <x:v>24068.87099870737</x:v>
      </x:c>
      <x:c r="Q38" s="8" t="n">
        <x:f>K38-L38</x:f>
        <x:v>-13</x:v>
      </x:c>
      <x:c r="R38" s="9" t="n">
        <x:f>IF(AND(INDEX('Сводка'!$T$3:$T$397,U38)=0,INDEX('Сводка'!$T$3:$T$397,V38)=0),1,0)</x:f>
        <x:v>1</x:v>
      </x:c>
      <x:c r="S38" s="9" t="n">
        <x:f>IF(AND(R38=1,O38&lt;=$G$13),1,0)</x:f>
        <x:v>0</x:v>
      </x:c>
      <x:c r="T38" s="10" t="n">
        <x:f>EOMONTH(J38-'Сводка'!$B$11,-1)</x:f>
        <x:v>45869</x:v>
      </x:c>
      <x:c r="U38" s="4" t="n">
        <x:f>MATCH(J38,'Сводка'!$R$3:$R$397,0)</x:f>
        <x:v>49</x:v>
      </x:c>
      <x:c r="V38" s="4" t="n">
        <x:f>MATCH(J38-'Сводка'!$B$11,'Сводка'!$R$3:$R$397,0)</x:f>
        <x:v>48</x:v>
      </x:c>
      <x:c r="W38" s="4" t="n">
        <x:f>MATCH(T38,$J$388:$J$400,0)</x:f>
        <x:v>2</x:v>
      </x:c>
      <x:c r="X38" s="3"/>
      <x:c r="Y38" s="3"/>
      <x:c r="Z38" s="3"/>
    </x:row>
    <x:row r="39" ht="15" customHeight="1">
      <x:c r="A39" s="10" t="n">
        <x:f>IF(21&lt;='Сводка'!$B$3,'Сводка'!$B$4+21,"")</x:f>
        <x:v>46256</x:v>
      </x:c>
      <x:c r="B39" s="18" t="n">
        <x:f>IF($A39="","",(A39-$T$405+1)/1000)</x:f>
        <x:v>9</x:v>
      </x:c>
      <x:c r="C39" s="18" t="n">
        <x:f>IF($A39="","",2*(A39-$T$405)/$T$406-1)</x:f>
        <x:v>1.0046781020271776</x:v>
      </x:c>
      <x:c r="D39" s="8" t="n">
        <x:f>IF($A39="","",$B$4+$B$5*C39^1+$B$6*C39^2)</x:f>
        <x:v>118.46419488970238</x:v>
      </x:c>
      <x:c r="E39" s="8" t="n">
        <x:f>IF($A39="","",SQRT($T$403^2+H39^2))</x:f>
        <x:v>162.0049160777007</x:v>
      </x:c>
      <x:c r="F39" s="8" t="n">
        <x:f>IF($A39="","",D39-$T$404*E39)</x:f>
        <x:v>-199.10434207071583</x:v>
      </x:c>
      <x:c r="G39" s="8" t="n">
        <x:f>IF($A39="","",D39+$T$404*E39)</x:f>
        <x:v>436.0327318501206</x:v>
      </x:c>
      <x:c r="H39" s="8" t="n">
        <x:f>IF($A39="","",SQRT(MAX(0,(1)*$S$409*(1)+(1)*$T$409*(C39^1)+(1)*$U$409*(C39^2)+(C39^1)*$S$410*(1)+(C39^1)*$T$410*(C39^1)+(C39^1)*$U$410*(C39^2)+(C39^2)*$S$411*(1)+(C39^2)*$T$411*(C39^1)+(C39^2)*$U$411*(C39^2))))</x:f>
        <x:v>5.3789813372306075</x:v>
      </x:c>
      <x:c r="I39" s="3"/>
      <x:c r="J39" s="10" t="n">
        <x:v>45890</x:v>
      </x:c>
      <x:c r="K39" s="8" t="n">
        <x:f>INDEX('Сводка'!$S$3:$S$397,U39)</x:f>
        <x:v>282</x:v>
      </x:c>
      <x:c r="L39" s="8" t="n">
        <x:f>INDEX('Сводка'!$S$3:$S$397,V39)</x:f>
        <x:v>296</x:v>
      </x:c>
      <x:c r="M39" s="8" t="n">
        <x:f>INDEX($K$388:$N$400,W39,1)+INDEX($K$388:$N$400,W39,2)*(2*(J39-$T$405)/(T39-$T$405)-1)^1+INDEX($K$388:$N$400,W39,3)*(2*(J39-$T$405)/(T39-$T$405)-1)^2</x:f>
        <x:v>140.86082791470744</x:v>
      </x:c>
      <x:c r="N39" s="8" t="n">
        <x:f>K39-M39</x:f>
        <x:v>141.13917208529256</x:v>
      </x:c>
      <x:c r="O39" s="8" t="n">
        <x:f>ABS(N39)</x:f>
        <x:v>141.13917208529256</x:v>
      </x:c>
      <x:c r="P39" s="8" t="n">
        <x:f>N39^2</x:f>
        <x:v>19920.265896921825</x:v>
      </x:c>
      <x:c r="Q39" s="8" t="n">
        <x:f>K39-L39</x:f>
        <x:v>-14</x:v>
      </x:c>
      <x:c r="R39" s="9" t="n">
        <x:f>IF(AND(INDEX('Сводка'!$T$3:$T$397,U39)=0,INDEX('Сводка'!$T$3:$T$397,V39)=0),1,0)</x:f>
        <x:v>1</x:v>
      </x:c>
      <x:c r="S39" s="9" t="n">
        <x:f>IF(AND(R39=1,O39&lt;=$G$13),1,0)</x:f>
        <x:v>0</x:v>
      </x:c>
      <x:c r="T39" s="10" t="n">
        <x:f>EOMONTH(J39-'Сводка'!$B$11,-1)</x:f>
        <x:v>45869</x:v>
      </x:c>
      <x:c r="U39" s="4" t="n">
        <x:f>MATCH(J39,'Сводка'!$R$3:$R$397,0)</x:f>
        <x:v>50</x:v>
      </x:c>
      <x:c r="V39" s="4" t="n">
        <x:f>MATCH(J39-'Сводка'!$B$11,'Сводка'!$R$3:$R$397,0)</x:f>
        <x:v>49</x:v>
      </x:c>
      <x:c r="W39" s="4" t="n">
        <x:f>MATCH(T39,$J$388:$J$400,0)</x:f>
        <x:v>2</x:v>
      </x:c>
      <x:c r="X39" s="3"/>
      <x:c r="Y39" s="3"/>
      <x:c r="Z39" s="3"/>
    </x:row>
    <x:row r="40" ht="15" customHeight="1">
      <x:c r="A40" s="10" t="n">
        <x:f>IF(22&lt;='Сводка'!$B$3,'Сводка'!$B$4+22,"")</x:f>
        <x:v>46257</x:v>
      </x:c>
      <x:c r="B40" s="18" t="n">
        <x:f>IF($A40="","",(A40-$T$405+1)/1000)</x:f>
        <x:v>9.001</x:v>
      </x:c>
      <x:c r="C40" s="18" t="n">
        <x:f>IF($A40="","",2*(A40-$T$405)/$T$406-1)</x:f>
        <x:v>1.0049008687903767</x:v>
      </x:c>
      <x:c r="D40" s="8" t="n">
        <x:f>IF($A40="","",$B$4+$B$5*C40^1+$B$6*C40^2)</x:f>
        <x:v>118.45494314952042</x:v>
      </x:c>
      <x:c r="E40" s="8" t="n">
        <x:f>IF($A40="","",SQRT($T$403^2+H40^2))</x:f>
        <x:v>162.00499397423565</x:v>
      </x:c>
      <x:c r="F40" s="8" t="n">
        <x:f>IF($A40="","",D40-$T$404*E40)</x:f>
        <x:v>-199.1137465068112</x:v>
      </x:c>
      <x:c r="G40" s="8" t="n">
        <x:f>IF($A40="","",D40+$T$404*E40)</x:f>
        <x:v>436.02363280585206</x:v>
      </x:c>
      <x:c r="H40" s="8" t="n">
        <x:f>IF($A40="","",SQRT(MAX(0,(1)*$S$409*(1)+(1)*$T$409*(C40^1)+(1)*$U$409*(C40^2)+(C40^1)*$S$410*(1)+(C40^1)*$T$410*(C40^1)+(C40^1)*$U$410*(C40^2)+(C40^2)*$S$411*(1)+(C40^2)*$T$411*(C40^1)+(C40^2)*$U$411*(C40^2))))</x:f>
        <x:v>5.381326925169655</x:v>
      </x:c>
      <x:c r="I40" s="3"/>
      <x:c r="J40" s="10" t="n">
        <x:v>45891</x:v>
      </x:c>
      <x:c r="K40" s="8" t="n">
        <x:f>INDEX('Сводка'!$S$3:$S$397,U40)</x:f>
        <x:v>270</x:v>
      </x:c>
      <x:c r="L40" s="8" t="n">
        <x:f>INDEX('Сводка'!$S$3:$S$397,V40)</x:f>
        <x:v>282</x:v>
      </x:c>
      <x:c r="M40" s="8" t="n">
        <x:f>INDEX($K$388:$N$400,W40,1)+INDEX($K$388:$N$400,W40,2)*(2*(J40-$T$405)/(T40-$T$405)-1)^1+INDEX($K$388:$N$400,W40,3)*(2*(J40-$T$405)/(T40-$T$405)-1)^2</x:f>
        <x:v>140.8631056373226</x:v>
      </x:c>
      <x:c r="N40" s="8" t="n">
        <x:f>K40-M40</x:f>
        <x:v>129.1368943626774</x:v>
      </x:c>
      <x:c r="O40" s="8" t="n">
        <x:f>ABS(N40)</x:f>
        <x:v>129.1368943626774</x:v>
      </x:c>
      <x:c r="P40" s="8" t="n">
        <x:f>N40^2</x:f>
        <x:v>16676.3374856373</x:v>
      </x:c>
      <x:c r="Q40" s="8" t="n">
        <x:f>K40-L40</x:f>
        <x:v>-12</x:v>
      </x:c>
      <x:c r="R40" s="9" t="n">
        <x:f>IF(AND(INDEX('Сводка'!$T$3:$T$397,U40)=0,INDEX('Сводка'!$T$3:$T$397,V40)=0),1,0)</x:f>
        <x:v>1</x:v>
      </x:c>
      <x:c r="S40" s="9" t="n">
        <x:f>IF(AND(R40=1,O40&lt;=$G$13),1,0)</x:f>
        <x:v>0</x:v>
      </x:c>
      <x:c r="T40" s="10" t="n">
        <x:f>EOMONTH(J40-'Сводка'!$B$11,-1)</x:f>
        <x:v>45869</x:v>
      </x:c>
      <x:c r="U40" s="4" t="n">
        <x:f>MATCH(J40,'Сводка'!$R$3:$R$397,0)</x:f>
        <x:v>51</x:v>
      </x:c>
      <x:c r="V40" s="4" t="n">
        <x:f>MATCH(J40-'Сводка'!$B$11,'Сводка'!$R$3:$R$397,0)</x:f>
        <x:v>50</x:v>
      </x:c>
      <x:c r="W40" s="4" t="n">
        <x:f>MATCH(T40,$J$388:$J$400,0)</x:f>
        <x:v>2</x:v>
      </x:c>
      <x:c r="X40" s="3"/>
      <x:c r="Y40" s="3"/>
      <x:c r="Z40" s="3"/>
    </x:row>
    <x:row r="41" ht="15" customHeight="1">
      <x:c r="A41" s="10" t="n">
        <x:f>IF(23&lt;='Сводка'!$B$3,'Сводка'!$B$4+23,"")</x:f>
        <x:v>46258</x:v>
      </x:c>
      <x:c r="B41" s="18" t="n">
        <x:f>IF($A41="","",(A41-$T$405+1)/1000)</x:f>
        <x:v>9.002</x:v>
      </x:c>
      <x:c r="C41" s="18" t="n">
        <x:f>IF($A41="","",2*(A41-$T$405)/$T$406-1)</x:f>
        <x:v>1.0051236355535753</x:v>
      </x:c>
      <x:c r="D41" s="8" t="n">
        <x:f>IF($A41="","",$B$4+$B$5*C41^1+$B$6*C41^2)</x:f>
        <x:v>118.44568465829308</x:v>
      </x:c>
      <x:c r="E41" s="8" t="n">
        <x:f>IF($A41="","",SQRT($T$403^2+H41^2))</x:f>
        <x:v>162.00507193005055</x:v>
      </x:c>
      <x:c r="F41" s="8" t="n">
        <x:f>IF($A41="","",D41-$T$404*E41)</x:f>
        <x:v>-199.12315781015485</x:v>
      </x:c>
      <x:c r="G41" s="8" t="n">
        <x:f>IF($A41="","",D41+$T$404*E41)</x:f>
        <x:v>436.01452712674103</x:v>
      </x:c>
      <x:c r="H41" s="8" t="n">
        <x:f>IF($A41="","",SQRT(MAX(0,(1)*$S$409*(1)+(1)*$T$409*(C41^1)+(1)*$U$409*(C41^2)+(C41^1)*$S$410*(1)+(C41^1)*$T$410*(C41^1)+(C41^1)*$U$410*(C41^2)+(C41^2)*$S$411*(1)+(C41^2)*$T$411*(C41^1)+(C41^2)*$U$411*(C41^2))))</x:f>
        <x:v>5.383673276145576</x:v>
      </x:c>
      <x:c r="I41" s="3"/>
      <x:c r="J41" s="10" t="n">
        <x:v>45892</x:v>
      </x:c>
      <x:c r="K41" s="8" t="n">
        <x:f>INDEX('Сводка'!$S$3:$S$397,U41)</x:f>
        <x:v>255</x:v>
      </x:c>
      <x:c r="L41" s="8" t="n">
        <x:f>INDEX('Сводка'!$S$3:$S$397,V41)</x:f>
        <x:v>270</x:v>
      </x:c>
      <x:c r="M41" s="8" t="n">
        <x:f>INDEX($K$388:$N$400,W41,1)+INDEX($K$388:$N$400,W41,2)*(2*(J41-$T$405)/(T41-$T$405)-1)^1+INDEX($K$388:$N$400,W41,3)*(2*(J41-$T$405)/(T41-$T$405)-1)^2</x:f>
        <x:v>140.86537836382678</x:v>
      </x:c>
      <x:c r="N41" s="8" t="n">
        <x:f>K41-M41</x:f>
        <x:v>114.13462163617322</x:v>
      </x:c>
      <x:c r="O41" s="8" t="n">
        <x:f>ABS(N41)</x:f>
        <x:v>114.13462163617322</x:v>
      </x:c>
      <x:c r="P41" s="8" t="n">
        <x:f>N41^2</x:f>
        <x:v>13026.71185603242</x:v>
      </x:c>
      <x:c r="Q41" s="8" t="n">
        <x:f>K41-L41</x:f>
        <x:v>-15</x:v>
      </x:c>
      <x:c r="R41" s="9" t="n">
        <x:f>IF(AND(INDEX('Сводка'!$T$3:$T$397,U41)=0,INDEX('Сводка'!$T$3:$T$397,V41)=0),1,0)</x:f>
        <x:v>1</x:v>
      </x:c>
      <x:c r="S41" s="9" t="n">
        <x:f>IF(AND(R41=1,O41&lt;=$G$13),1,0)</x:f>
        <x:v>0</x:v>
      </x:c>
      <x:c r="T41" s="10" t="n">
        <x:f>EOMONTH(J41-'Сводка'!$B$11,-1)</x:f>
        <x:v>45869</x:v>
      </x:c>
      <x:c r="U41" s="4" t="n">
        <x:f>MATCH(J41,'Сводка'!$R$3:$R$397,0)</x:f>
        <x:v>52</x:v>
      </x:c>
      <x:c r="V41" s="4" t="n">
        <x:f>MATCH(J41-'Сводка'!$B$11,'Сводка'!$R$3:$R$397,0)</x:f>
        <x:v>51</x:v>
      </x:c>
      <x:c r="W41" s="4" t="n">
        <x:f>MATCH(T41,$J$388:$J$400,0)</x:f>
        <x:v>2</x:v>
      </x:c>
      <x:c r="X41" s="3"/>
      <x:c r="Y41" s="3"/>
      <x:c r="Z41" s="3"/>
    </x:row>
    <x:row r="42" ht="15" customHeight="1">
      <x:c r="A42" s="10" t="n">
        <x:f>IF(24&lt;='Сводка'!$B$3,'Сводка'!$B$4+24,"")</x:f>
        <x:v>46259</x:v>
      </x:c>
      <x:c r="B42" s="18" t="n">
        <x:f>IF($A42="","",(A42-$T$405+1)/1000)</x:f>
        <x:v>9.003</x:v>
      </x:c>
      <x:c r="C42" s="18" t="n">
        <x:f>IF($A42="","",2*(A42-$T$405)/$T$406-1)</x:f>
        <x:v>1.0053464023167744</x:v>
      </x:c>
      <x:c r="D42" s="8" t="n">
        <x:f>IF($A42="","",$B$4+$B$5*C42^1+$B$6*C42^2)</x:f>
        <x:v>118.43641941602033</x:v>
      </x:c>
      <x:c r="E42" s="8" t="n">
        <x:f>IF($A42="","",SQRT($T$403^2+H42^2))</x:f>
        <x:v>162.0051499451733</x:v>
      </x:c>
      <x:c r="F42" s="8" t="n">
        <x:f>IF($A42="","",D42-$T$404*E42)</x:f>
        <x:v>-199.13257598080162</x:v>
      </x:c>
      <x:c r="G42" s="8" t="n">
        <x:f>IF($A42="","",D42+$T$404*E42)</x:f>
        <x:v>436.0054148128423</x:v>
      </x:c>
      <x:c r="H42" s="8" t="n">
        <x:f>IF($A42="","",SQRT(MAX(0,(1)*$S$409*(1)+(1)*$T$409*(C42^1)+(1)*$U$409*(C42^2)+(C42^1)*$S$410*(1)+(C42^1)*$T$410*(C42^1)+(C42^1)*$U$410*(C42^2)+(C42^2)*$S$411*(1)+(C42^2)*$T$411*(C42^1)+(C42^2)*$U$411*(C42^2))))</x:f>
        <x:v>5.386020390001437</x:v>
      </x:c>
      <x:c r="I42" s="3"/>
      <x:c r="J42" s="10" t="n">
        <x:v>45893</x:v>
      </x:c>
      <x:c r="K42" s="8" t="n">
        <x:f>INDEX('Сводка'!$S$3:$S$397,U42)</x:f>
        <x:v>245</x:v>
      </x:c>
      <x:c r="L42" s="8" t="n">
        <x:f>INDEX('Сводка'!$S$3:$S$397,V42)</x:f>
        <x:v>255</x:v>
      </x:c>
      <x:c r="M42" s="8" t="n">
        <x:f>INDEX($K$388:$N$400,W42,1)+INDEX($K$388:$N$400,W42,2)*(2*(J42-$T$405)/(T42-$T$405)-1)^1+INDEX($K$388:$N$400,W42,3)*(2*(J42-$T$405)/(T42-$T$405)-1)^2</x:f>
        <x:v>140.86764609422002</x:v>
      </x:c>
      <x:c r="N42" s="8" t="n">
        <x:f>K42-M42</x:f>
        <x:v>104.13235390577998</x:v>
      </x:c>
      <x:c r="O42" s="8" t="n">
        <x:f>ABS(N42)</x:f>
        <x:v>104.13235390577998</x:v>
      </x:c>
      <x:c r="P42" s="8" t="n">
        <x:f>N42^2</x:f>
        <x:v>10843.547129958612</x:v>
      </x:c>
      <x:c r="Q42" s="8" t="n">
        <x:f>K42-L42</x:f>
        <x:v>-10</x:v>
      </x:c>
      <x:c r="R42" s="9" t="n">
        <x:f>IF(AND(INDEX('Сводка'!$T$3:$T$397,U42)=0,INDEX('Сводка'!$T$3:$T$397,V42)=0),1,0)</x:f>
        <x:v>1</x:v>
      </x:c>
      <x:c r="S42" s="9" t="n">
        <x:f>IF(AND(R42=1,O42&lt;=$G$13),1,0)</x:f>
        <x:v>0</x:v>
      </x:c>
      <x:c r="T42" s="10" t="n">
        <x:f>EOMONTH(J42-'Сводка'!$B$11,-1)</x:f>
        <x:v>45869</x:v>
      </x:c>
      <x:c r="U42" s="4" t="n">
        <x:f>MATCH(J42,'Сводка'!$R$3:$R$397,0)</x:f>
        <x:v>53</x:v>
      </x:c>
      <x:c r="V42" s="4" t="n">
        <x:f>MATCH(J42-'Сводка'!$B$11,'Сводка'!$R$3:$R$397,0)</x:f>
        <x:v>52</x:v>
      </x:c>
      <x:c r="W42" s="4" t="n">
        <x:f>MATCH(T42,$J$388:$J$400,0)</x:f>
        <x:v>2</x:v>
      </x:c>
      <x:c r="X42" s="3"/>
      <x:c r="Y42" s="3"/>
      <x:c r="Z42" s="3"/>
    </x:row>
    <x:row r="43" ht="15" customHeight="1">
      <x:c r="A43" s="10" t="n">
        <x:f>IF(25&lt;='Сводка'!$B$3,'Сводка'!$B$4+25,"")</x:f>
        <x:v>46260</x:v>
      </x:c>
      <x:c r="B43" s="18" t="n">
        <x:f>IF($A43="","",(A43-$T$405+1)/1000)</x:f>
        <x:v>9.004</x:v>
      </x:c>
      <x:c r="C43" s="18" t="n">
        <x:f>IF($A43="","",2*(A43-$T$405)/$T$406-1)</x:f>
        <x:v>1.005569169079973</x:v>
      </x:c>
      <x:c r="D43" s="8" t="n">
        <x:f>IF($A43="","",$B$4+$B$5*C43^1+$B$6*C43^2)</x:f>
        <x:v>118.42714742270222</x:v>
      </x:c>
      <x:c r="E43" s="8" t="n">
        <x:f>IF($A43="","",SQRT($T$403^2+H43^2))</x:f>
        <x:v>162.0052280196317</x:v>
      </x:c>
      <x:c r="F43" s="8" t="n">
        <x:f>IF($A43="","",D43-$T$404*E43)</x:f>
        <x:v>-199.14200101880584</x:v>
      </x:c>
      <x:c r="G43" s="8" t="n">
        <x:f>IF($A43="","",D43+$T$404*E43)</x:f>
        <x:v>435.99629586421025</x:v>
      </x:c>
      <x:c r="H43" s="8" t="n">
        <x:f>IF($A43="","",SQRT(MAX(0,(1)*$S$409*(1)+(1)*$T$409*(C43^1)+(1)*$U$409*(C43^2)+(C43^1)*$S$410*(1)+(C43^1)*$T$410*(C43^1)+(C43^1)*$U$410*(C43^2)+(C43^2)*$S$411*(1)+(C43^2)*$T$411*(C43^1)+(C43^2)*$U$411*(C43^2))))</x:f>
        <x:v>5.388368266580424</x:v>
      </x:c>
      <x:c r="I43" s="3"/>
      <x:c r="J43" s="10" t="n">
        <x:v>45894</x:v>
      </x:c>
      <x:c r="K43" s="8" t="n">
        <x:f>INDEX('Сводка'!$S$3:$S$397,U43)</x:f>
        <x:v>235</x:v>
      </x:c>
      <x:c r="L43" s="8" t="n">
        <x:f>INDEX('Сводка'!$S$3:$S$397,V43)</x:f>
        <x:v>245</x:v>
      </x:c>
      <x:c r="M43" s="8" t="n">
        <x:f>INDEX($K$388:$N$400,W43,1)+INDEX($K$388:$N$400,W43,2)*(2*(J43-$T$405)/(T43-$T$405)-1)^1+INDEX($K$388:$N$400,W43,3)*(2*(J43-$T$405)/(T43-$T$405)-1)^2</x:f>
        <x:v>140.86990882850228</x:v>
      </x:c>
      <x:c r="N43" s="8" t="n">
        <x:f>K43-M43</x:f>
        <x:v>94.13009117149772</x:v>
      </x:c>
      <x:c r="O43" s="8" t="n">
        <x:f>ABS(N43)</x:f>
        <x:v>94.13009117149772</x:v>
      </x:c>
      <x:c r="P43" s="8" t="n">
        <x:f>N43^2</x:f>
        <x:v>8860.474063954474</x:v>
      </x:c>
      <x:c r="Q43" s="8" t="n">
        <x:f>K43-L43</x:f>
        <x:v>-10</x:v>
      </x:c>
      <x:c r="R43" s="9" t="n">
        <x:f>IF(AND(INDEX('Сводка'!$T$3:$T$397,U43)=0,INDEX('Сводка'!$T$3:$T$397,V43)=0),1,0)</x:f>
        <x:v>1</x:v>
      </x:c>
      <x:c r="S43" s="9" t="n">
        <x:f>IF(AND(R43=1,O43&lt;=$G$13),1,0)</x:f>
        <x:v>0</x:v>
      </x:c>
      <x:c r="T43" s="10" t="n">
        <x:f>EOMONTH(J43-'Сводка'!$B$11,-1)</x:f>
        <x:v>45869</x:v>
      </x:c>
      <x:c r="U43" s="4" t="n">
        <x:f>MATCH(J43,'Сводка'!$R$3:$R$397,0)</x:f>
        <x:v>54</x:v>
      </x:c>
      <x:c r="V43" s="4" t="n">
        <x:f>MATCH(J43-'Сводка'!$B$11,'Сводка'!$R$3:$R$397,0)</x:f>
        <x:v>53</x:v>
      </x:c>
      <x:c r="W43" s="4" t="n">
        <x:f>MATCH(T43,$J$388:$J$400,0)</x:f>
        <x:v>2</x:v>
      </x:c>
      <x:c r="X43" s="3"/>
      <x:c r="Y43" s="3"/>
      <x:c r="Z43" s="3"/>
    </x:row>
    <x:row r="44" ht="15" customHeight="1">
      <x:c r="A44" s="10" t="n">
        <x:f>IF(26&lt;='Сводка'!$B$3,'Сводка'!$B$4+26,"")</x:f>
        <x:v>46261</x:v>
      </x:c>
      <x:c r="B44" s="18" t="n">
        <x:f>IF($A44="","",(A44-$T$405+1)/1000)</x:f>
        <x:v>9.005</x:v>
      </x:c>
      <x:c r="C44" s="18" t="n">
        <x:f>IF($A44="","",2*(A44-$T$405)/$T$406-1)</x:f>
        <x:v>1.0057919358431722</x:v>
      </x:c>
      <x:c r="D44" s="8" t="n">
        <x:f>IF($A44="","",$B$4+$B$5*C44^1+$B$6*C44^2)</x:f>
        <x:v>118.41786867833873</x:v>
      </x:c>
      <x:c r="E44" s="8" t="n">
        <x:f>IF($A44="","",SQRT($T$403^2+H44^2))</x:f>
        <x:v>162.00530615345366</x:v>
      </x:c>
      <x:c r="F44" s="8" t="n">
        <x:f>IF($A44="","",D44-$T$404*E44)</x:f>
        <x:v>-199.15143292422226</x:v>
      </x:c>
      <x:c r="G44" s="8" t="n">
        <x:f>IF($A44="","",D44+$T$404*E44)</x:f>
        <x:v>435.9871702808997</x:v>
      </x:c>
      <x:c r="H44" s="8" t="n">
        <x:f>IF($A44="","",SQRT(MAX(0,(1)*$S$409*(1)+(1)*$T$409*(C44^1)+(1)*$U$409*(C44^2)+(C44^1)*$S$410*(1)+(C44^1)*$T$410*(C44^1)+(C44^1)*$U$410*(C44^2)+(C44^2)*$S$411*(1)+(C44^2)*$T$411*(C44^1)+(C44^2)*$U$411*(C44^2))))</x:f>
        <x:v>5.390716905725876</x:v>
      </x:c>
      <x:c r="I44" s="3"/>
      <x:c r="J44" s="10" t="n">
        <x:v>45895</x:v>
      </x:c>
      <x:c r="K44" s="8" t="n">
        <x:f>INDEX('Сводка'!$S$3:$S$397,U44)</x:f>
        <x:v>227</x:v>
      </x:c>
      <x:c r="L44" s="8" t="n">
        <x:f>INDEX('Сводка'!$S$3:$S$397,V44)</x:f>
        <x:v>235</x:v>
      </x:c>
      <x:c r="M44" s="8" t="n">
        <x:f>INDEX($K$388:$N$400,W44,1)+INDEX($K$388:$N$400,W44,2)*(2*(J44-$T$405)/(T44-$T$405)-1)^1+INDEX($K$388:$N$400,W44,3)*(2*(J44-$T$405)/(T44-$T$405)-1)^2</x:f>
        <x:v>140.8721665666736</x:v>
      </x:c>
      <x:c r="N44" s="8" t="n">
        <x:f>K44-M44</x:f>
        <x:v>86.1278334333264</x:v>
      </x:c>
      <x:c r="O44" s="8" t="n">
        <x:f>ABS(N44)</x:f>
        <x:v>86.1278334333264</x:v>
      </x:c>
      <x:c r="P44" s="8" t="n">
        <x:f>N44^2</x:f>
        <x:v>7418.003691918817</x:v>
      </x:c>
      <x:c r="Q44" s="8" t="n">
        <x:f>K44-L44</x:f>
        <x:v>-8</x:v>
      </x:c>
      <x:c r="R44" s="9" t="n">
        <x:f>IF(AND(INDEX('Сводка'!$T$3:$T$397,U44)=0,INDEX('Сводка'!$T$3:$T$397,V44)=0),1,0)</x:f>
        <x:v>1</x:v>
      </x:c>
      <x:c r="S44" s="9" t="n">
        <x:f>IF(AND(R44=1,O44&lt;=$G$13),1,0)</x:f>
        <x:v>0</x:v>
      </x:c>
      <x:c r="T44" s="10" t="n">
        <x:f>EOMONTH(J44-'Сводка'!$B$11,-1)</x:f>
        <x:v>45869</x:v>
      </x:c>
      <x:c r="U44" s="4" t="n">
        <x:f>MATCH(J44,'Сводка'!$R$3:$R$397,0)</x:f>
        <x:v>55</x:v>
      </x:c>
      <x:c r="V44" s="4" t="n">
        <x:f>MATCH(J44-'Сводка'!$B$11,'Сводка'!$R$3:$R$397,0)</x:f>
        <x:v>54</x:v>
      </x:c>
      <x:c r="W44" s="4" t="n">
        <x:f>MATCH(T44,$J$388:$J$400,0)</x:f>
        <x:v>2</x:v>
      </x:c>
      <x:c r="X44" s="3"/>
      <x:c r="Y44" s="3"/>
      <x:c r="Z44" s="3"/>
    </x:row>
    <x:row r="45" ht="15" customHeight="1">
      <x:c r="A45" s="10" t="n">
        <x:f>IF(27&lt;='Сводка'!$B$3,'Сводка'!$B$4+27,"")</x:f>
        <x:v>46262</x:v>
      </x:c>
      <x:c r="B45" s="18" t="n">
        <x:f>IF($A45="","",(A45-$T$405+1)/1000)</x:f>
        <x:v>9.006</x:v>
      </x:c>
      <x:c r="C45" s="18" t="n">
        <x:f>IF($A45="","",2*(A45-$T$405)/$T$406-1)</x:f>
        <x:v>1.0060147026063713</x:v>
      </x:c>
      <x:c r="D45" s="8" t="n">
        <x:f>IF($A45="","",$B$4+$B$5*C45^1+$B$6*C45^2)</x:f>
        <x:v>118.40858318292985</x:v>
      </x:c>
      <x:c r="E45" s="8" t="n">
        <x:f>IF($A45="","",SQRT($T$403^2+H45^2))</x:f>
        <x:v>162.00538434666703</x:v>
      </x:c>
      <x:c r="F45" s="8" t="n">
        <x:f>IF($A45="","",D45-$T$404*E45)</x:f>
        <x:v>-199.16087169710548</x:v>
      </x:c>
      <x:c r="G45" s="8" t="n">
        <x:f>IF($A45="","",D45+$T$404*E45)</x:f>
        <x:v>435.9780380629652</x:v>
      </x:c>
      <x:c r="H45" s="8" t="n">
        <x:f>IF($A45="","",SQRT(MAX(0,(1)*$S$409*(1)+(1)*$T$409*(C45^1)+(1)*$U$409*(C45^2)+(C45^1)*$S$410*(1)+(C45^1)*$T$410*(C45^1)+(C45^1)*$U$410*(C45^2)+(C45^2)*$S$411*(1)+(C45^2)*$T$411*(C45^1)+(C45^2)*$U$411*(C45^2))))</x:f>
        <x:v>5.393066307281252</x:v>
      </x:c>
      <x:c r="I45" s="3"/>
      <x:c r="J45" s="10" t="n">
        <x:v>45896</x:v>
      </x:c>
      <x:c r="K45" s="8" t="n">
        <x:f>INDEX('Сводка'!$S$3:$S$397,U45)</x:f>
        <x:v>226</x:v>
      </x:c>
      <x:c r="L45" s="8" t="n">
        <x:f>INDEX('Сводка'!$S$3:$S$397,V45)</x:f>
        <x:v>227</x:v>
      </x:c>
      <x:c r="M45" s="8" t="n">
        <x:f>INDEX($K$388:$N$400,W45,1)+INDEX($K$388:$N$400,W45,2)*(2*(J45-$T$405)/(T45-$T$405)-1)^1+INDEX($K$388:$N$400,W45,3)*(2*(J45-$T$405)/(T45-$T$405)-1)^2</x:f>
        <x:v>140.87441930873396</x:v>
      </x:c>
      <x:c r="N45" s="8" t="n">
        <x:f>K45-M45</x:f>
        <x:v>85.12558069126604</x:v>
      </x:c>
      <x:c r="O45" s="8" t="n">
        <x:f>ABS(N45)</x:f>
        <x:v>85.12558069126604</x:v>
      </x:c>
      <x:c r="P45" s="8" t="n">
        <x:f>N45^2</x:f>
        <x:v>7246.364488025245</x:v>
      </x:c>
      <x:c r="Q45" s="8" t="n">
        <x:f>K45-L45</x:f>
        <x:v>-1</x:v>
      </x:c>
      <x:c r="R45" s="9" t="n">
        <x:f>IF(AND(INDEX('Сводка'!$T$3:$T$397,U45)=0,INDEX('Сводка'!$T$3:$T$397,V45)=0),1,0)</x:f>
        <x:v>1</x:v>
      </x:c>
      <x:c r="S45" s="9" t="n">
        <x:f>IF(AND(R45=1,O45&lt;=$G$13),1,0)</x:f>
        <x:v>0</x:v>
      </x:c>
      <x:c r="T45" s="10" t="n">
        <x:f>EOMONTH(J45-'Сводка'!$B$11,-1)</x:f>
        <x:v>45869</x:v>
      </x:c>
      <x:c r="U45" s="4" t="n">
        <x:f>MATCH(J45,'Сводка'!$R$3:$R$397,0)</x:f>
        <x:v>56</x:v>
      </x:c>
      <x:c r="V45" s="4" t="n">
        <x:f>MATCH(J45-'Сводка'!$B$11,'Сводка'!$R$3:$R$397,0)</x:f>
        <x:v>55</x:v>
      </x:c>
      <x:c r="W45" s="4" t="n">
        <x:f>MATCH(T45,$J$388:$J$400,0)</x:f>
        <x:v>2</x:v>
      </x:c>
      <x:c r="X45" s="3"/>
      <x:c r="Y45" s="3"/>
      <x:c r="Z45" s="3"/>
    </x:row>
    <x:row r="46" ht="15" customHeight="1">
      <x:c r="A46" s="10" t="n">
        <x:f>IF(28&lt;='Сводка'!$B$3,'Сводка'!$B$4+28,"")</x:f>
        <x:v>46263</x:v>
      </x:c>
      <x:c r="B46" s="18" t="n">
        <x:f>IF($A46="","",(A46-$T$405+1)/1000)</x:f>
        <x:v>9.007</x:v>
      </x:c>
      <x:c r="C46" s="18" t="n">
        <x:f>IF($A46="","",2*(A46-$T$405)/$T$406-1)</x:f>
        <x:v>1.00623746936957</x:v>
      </x:c>
      <x:c r="D46" s="8" t="n">
        <x:f>IF($A46="","",$B$4+$B$5*C46^1+$B$6*C46^2)</x:f>
        <x:v>118.3992909364756</x:v>
      </x:c>
      <x:c r="E46" s="8" t="n">
        <x:f>IF($A46="","",SQRT($T$403^2+H46^2))</x:f>
        <x:v>162.00546259929968</x:v>
      </x:c>
      <x:c r="F46" s="8" t="n">
        <x:f>IF($A46="","",D46-$T$404*E46)</x:f>
        <x:v>-199.17031733751014</x:v>
      </x:c>
      <x:c r="G46" s="8" t="n">
        <x:f>IF($A46="","",D46+$T$404*E46)</x:f>
        <x:v>435.96889921046136</x:v>
      </x:c>
      <x:c r="H46" s="8" t="n">
        <x:f>IF($A46="","",SQRT(MAX(0,(1)*$S$409*(1)+(1)*$T$409*(C46^1)+(1)*$U$409*(C46^2)+(C46^1)*$S$410*(1)+(C46^1)*$T$410*(C46^1)+(C46^1)*$U$410*(C46^2)+(C46^2)*$S$411*(1)+(C46^2)*$T$411*(C46^1)+(C46^2)*$U$411*(C46^2))))</x:f>
        <x:v>5.3954164710901455</x:v>
      </x:c>
      <x:c r="I46" s="3"/>
      <x:c r="J46" s="10" t="n">
        <x:v>45897</x:v>
      </x:c>
      <x:c r="K46" s="8" t="n">
        <x:f>INDEX('Сводка'!$S$3:$S$397,U46)</x:f>
        <x:v>229</x:v>
      </x:c>
      <x:c r="L46" s="8" t="n">
        <x:f>INDEX('Сводка'!$S$3:$S$397,V46)</x:f>
        <x:v>226</x:v>
      </x:c>
      <x:c r="M46" s="8" t="n">
        <x:f>INDEX($K$388:$N$400,W46,1)+INDEX($K$388:$N$400,W46,2)*(2*(J46-$T$405)/(T46-$T$405)-1)^1+INDEX($K$388:$N$400,W46,3)*(2*(J46-$T$405)/(T46-$T$405)-1)^2</x:f>
        <x:v>140.87666705468334</x:v>
      </x:c>
      <x:c r="N46" s="8" t="n">
        <x:f>K46-M46</x:f>
        <x:v>88.12333294531666</x:v>
      </x:c>
      <x:c r="O46" s="8" t="n">
        <x:f>ABS(N46)</x:f>
        <x:v>88.12333294531666</x:v>
      </x:c>
      <x:c r="P46" s="8" t="n">
        <x:f>N46^2</x:f>
        <x:v>7765.721809391133</x:v>
      </x:c>
      <x:c r="Q46" s="8" t="n">
        <x:f>K46-L46</x:f>
        <x:v>3</x:v>
      </x:c>
      <x:c r="R46" s="9" t="n">
        <x:f>IF(AND(INDEX('Сводка'!$T$3:$T$397,U46)=0,INDEX('Сводка'!$T$3:$T$397,V46)=0),1,0)</x:f>
        <x:v>1</x:v>
      </x:c>
      <x:c r="S46" s="9" t="n">
        <x:f>IF(AND(R46=1,O46&lt;=$G$13),1,0)</x:f>
        <x:v>0</x:v>
      </x:c>
      <x:c r="T46" s="10" t="n">
        <x:f>EOMONTH(J46-'Сводка'!$B$11,-1)</x:f>
        <x:v>45869</x:v>
      </x:c>
      <x:c r="U46" s="4" t="n">
        <x:f>MATCH(J46,'Сводка'!$R$3:$R$397,0)</x:f>
        <x:v>57</x:v>
      </x:c>
      <x:c r="V46" s="4" t="n">
        <x:f>MATCH(J46-'Сводка'!$B$11,'Сводка'!$R$3:$R$397,0)</x:f>
        <x:v>56</x:v>
      </x:c>
      <x:c r="W46" s="4" t="n">
        <x:f>MATCH(T46,$J$388:$J$400,0)</x:f>
        <x:v>2</x:v>
      </x:c>
      <x:c r="X46" s="3"/>
      <x:c r="Y46" s="3"/>
      <x:c r="Z46" s="3"/>
    </x:row>
    <x:row r="47" ht="15" customHeight="1">
      <x:c r="A47" s="10" t="n">
        <x:f>IF(29&lt;='Сводка'!$B$3,'Сводка'!$B$4+29,"")</x:f>
        <x:v>46264</x:v>
      </x:c>
      <x:c r="B47" s="18" t="n">
        <x:f>IF($A47="","",(A47-$T$405+1)/1000)</x:f>
        <x:v>9.008</x:v>
      </x:c>
      <x:c r="C47" s="18" t="n">
        <x:f>IF($A47="","",2*(A47-$T$405)/$T$406-1)</x:f>
        <x:v>1.006460236132769</x:v>
      </x:c>
      <x:c r="D47" s="8" t="n">
        <x:f>IF($A47="","",$B$4+$B$5*C47^1+$B$6*C47^2)</x:f>
        <x:v>118.38999193897597</x:v>
      </x:c>
      <x:c r="E47" s="8" t="n">
        <x:f>IF($A47="","",SQRT($T$403^2+H47^2))</x:f>
        <x:v>162.00554091137946</x:v>
      </x:c>
      <x:c r="F47" s="8" t="n">
        <x:f>IF($A47="","",D47-$T$404*E47)</x:f>
        <x:v>-199.17976984549085</x:v>
      </x:c>
      <x:c r="G47" s="8" t="n">
        <x:f>IF($A47="","",D47+$T$404*E47)</x:f>
        <x:v>435.9597537234428</x:v>
      </x:c>
      <x:c r="H47" s="8" t="n">
        <x:f>IF($A47="","",SQRT(MAX(0,(1)*$S$409*(1)+(1)*$T$409*(C47^1)+(1)*$U$409*(C47^2)+(C47^1)*$S$410*(1)+(C47^1)*$T$410*(C47^1)+(C47^1)*$U$410*(C47^2)+(C47^2)*$S$411*(1)+(C47^2)*$T$411*(C47^1)+(C47^2)*$U$411*(C47^2))))</x:f>
        <x:v>5.3977673969963</x:v>
      </x:c>
      <x:c r="I47" s="3"/>
      <x:c r="J47" s="10" t="n">
        <x:v>45898</x:v>
      </x:c>
      <x:c r="K47" s="8" t="n">
        <x:f>INDEX('Сводка'!$S$3:$S$397,U47)</x:f>
        <x:v>233</x:v>
      </x:c>
      <x:c r="L47" s="8" t="n">
        <x:f>INDEX('Сводка'!$S$3:$S$397,V47)</x:f>
        <x:v>229</x:v>
      </x:c>
      <x:c r="M47" s="8" t="n">
        <x:f>INDEX($K$388:$N$400,W47,1)+INDEX($K$388:$N$400,W47,2)*(2*(J47-$T$405)/(T47-$T$405)-1)^1+INDEX($K$388:$N$400,W47,3)*(2*(J47-$T$405)/(T47-$T$405)-1)^2</x:f>
        <x:v>140.87890980452175</x:v>
      </x:c>
      <x:c r="N47" s="8" t="n">
        <x:f>K47-M47</x:f>
        <x:v>92.12109019547825</x:v>
      </x:c>
      <x:c r="O47" s="8" t="n">
        <x:f>ABS(N47)</x:f>
        <x:v>92.12109019547825</x:v>
      </x:c>
      <x:c r="P47" s="8" t="n">
        <x:f>N47^2</x:f>
        <x:v>8486.295258803439</x:v>
      </x:c>
      <x:c r="Q47" s="8" t="n">
        <x:f>K47-L47</x:f>
        <x:v>4</x:v>
      </x:c>
      <x:c r="R47" s="9" t="n">
        <x:f>IF(AND(INDEX('Сводка'!$T$3:$T$397,U47)=0,INDEX('Сводка'!$T$3:$T$397,V47)=0),1,0)</x:f>
        <x:v>1</x:v>
      </x:c>
      <x:c r="S47" s="9" t="n">
        <x:f>IF(AND(R47=1,O47&lt;=$G$13),1,0)</x:f>
        <x:v>0</x:v>
      </x:c>
      <x:c r="T47" s="10" t="n">
        <x:f>EOMONTH(J47-'Сводка'!$B$11,-1)</x:f>
        <x:v>45869</x:v>
      </x:c>
      <x:c r="U47" s="4" t="n">
        <x:f>MATCH(J47,'Сводка'!$R$3:$R$397,0)</x:f>
        <x:v>58</x:v>
      </x:c>
      <x:c r="V47" s="4" t="n">
        <x:f>MATCH(J47-'Сводка'!$B$11,'Сводка'!$R$3:$R$397,0)</x:f>
        <x:v>57</x:v>
      </x:c>
      <x:c r="W47" s="4" t="n">
        <x:f>MATCH(T47,$J$388:$J$400,0)</x:f>
        <x:v>2</x:v>
      </x:c>
      <x:c r="X47" s="3"/>
      <x:c r="Y47" s="3"/>
      <x:c r="Z47" s="3"/>
    </x:row>
    <x:row r="48" ht="15" customHeight="1">
      <x:c r="A48" s="10" t="n">
        <x:f>IF(30&lt;='Сводка'!$B$3,'Сводка'!$B$4+30,"")</x:f>
        <x:v>46265</x:v>
      </x:c>
      <x:c r="B48" s="18" t="n">
        <x:f>IF($A48="","",(A48-$T$405+1)/1000)</x:f>
        <x:v>9.009</x:v>
      </x:c>
      <x:c r="C48" s="18" t="n">
        <x:f>IF($A48="","",2*(A48-$T$405)/$T$406-1)</x:f>
        <x:v>1.0066830028959681</x:v>
      </x:c>
      <x:c r="D48" s="8" t="n">
        <x:f>IF($A48="","",$B$4+$B$5*C48^1+$B$6*C48^2)</x:f>
        <x:v>118.38068619043094</x:v>
      </x:c>
      <x:c r="E48" s="8" t="n">
        <x:f>IF($A48="","",SQRT($T$403^2+H48^2))</x:f>
        <x:v>162.00561928293433</x:v>
      </x:c>
      <x:c r="F48" s="8" t="n">
        <x:f>IF($A48="","",D48-$T$404*E48)</x:f>
        <x:v>-199.18922922110244</x:v>
      </x:c>
      <x:c r="G48" s="8" t="n">
        <x:f>IF($A48="","",D48+$T$404*E48)</x:f>
        <x:v>435.9506016019643</x:v>
      </x:c>
      <x:c r="H48" s="8" t="n">
        <x:f>IF($A48="","",SQRT(MAX(0,(1)*$S$409*(1)+(1)*$T$409*(C48^1)+(1)*$U$409*(C48^2)+(C48^1)*$S$410*(1)+(C48^1)*$T$410*(C48^1)+(C48^1)*$U$410*(C48^2)+(C48^2)*$S$411*(1)+(C48^2)*$T$411*(C48^1)+(C48^2)*$U$411*(C48^2))))</x:f>
        <x:v>5.400119084843578</x:v>
      </x:c>
      <x:c r="I48" s="3"/>
      <x:c r="J48" s="10" t="n">
        <x:v>45899</x:v>
      </x:c>
      <x:c r="K48" s="8" t="n">
        <x:f>INDEX('Сводка'!$S$3:$S$397,U48)</x:f>
        <x:v>238</x:v>
      </x:c>
      <x:c r="L48" s="8" t="n">
        <x:f>INDEX('Сводка'!$S$3:$S$397,V48)</x:f>
        <x:v>233</x:v>
      </x:c>
      <x:c r="M48" s="8" t="n">
        <x:f>INDEX($K$388:$N$400,W48,1)+INDEX($K$388:$N$400,W48,2)*(2*(J48-$T$405)/(T48-$T$405)-1)^1+INDEX($K$388:$N$400,W48,3)*(2*(J48-$T$405)/(T48-$T$405)-1)^2</x:f>
        <x:v>140.8811475582492</x:v>
      </x:c>
      <x:c r="N48" s="8" t="n">
        <x:f>K48-M48</x:f>
        <x:v>97.11885244175079</x:v>
      </x:c>
      <x:c r="O48" s="8" t="n">
        <x:f>ABS(N48)</x:f>
        <x:v>97.11885244175079</x:v>
      </x:c>
      <x:c r="P48" s="8" t="n">
        <x:f>N48^2</x:f>
        <x:v>9432.071499602564</x:v>
      </x:c>
      <x:c r="Q48" s="8" t="n">
        <x:f>K48-L48</x:f>
        <x:v>5</x:v>
      </x:c>
      <x:c r="R48" s="9" t="n">
        <x:f>IF(AND(INDEX('Сводка'!$T$3:$T$397,U48)=0,INDEX('Сводка'!$T$3:$T$397,V48)=0),1,0)</x:f>
        <x:v>1</x:v>
      </x:c>
      <x:c r="S48" s="9" t="n">
        <x:f>IF(AND(R48=1,O48&lt;=$G$13),1,0)</x:f>
        <x:v>0</x:v>
      </x:c>
      <x:c r="T48" s="10" t="n">
        <x:f>EOMONTH(J48-'Сводка'!$B$11,-1)</x:f>
        <x:v>45869</x:v>
      </x:c>
      <x:c r="U48" s="4" t="n">
        <x:f>MATCH(J48,'Сводка'!$R$3:$R$397,0)</x:f>
        <x:v>59</x:v>
      </x:c>
      <x:c r="V48" s="4" t="n">
        <x:f>MATCH(J48-'Сводка'!$B$11,'Сводка'!$R$3:$R$397,0)</x:f>
        <x:v>58</x:v>
      </x:c>
      <x:c r="W48" s="4" t="n">
        <x:f>MATCH(T48,$J$388:$J$400,0)</x:f>
        <x:v>2</x:v>
      </x:c>
      <x:c r="X48" s="3"/>
      <x:c r="Y48" s="3"/>
      <x:c r="Z48" s="3"/>
    </x:row>
    <x:row r="49" ht="15" customHeight="1">
      <x:c r="A49" s="7" t="str">
        <x:f>IF(31&lt;='Сводка'!$B$3,'Сводка'!$B$4+31,"")</x:f>
      </x:c>
      <x:c r="B49" s="19" t="str">
        <x:f>IF($A49="","",(A49-$T$405+1)/1000)</x:f>
      </x:c>
      <x:c r="C49" s="19" t="str">
        <x:f>IF($A49="","",2*(A49-$T$405)/$T$406-1)</x:f>
      </x:c>
      <x:c r="D49" s="3" t="str">
        <x:f>IF($A49="","",$B$4+$B$5*C49^1+$B$6*C49^2)</x:f>
      </x:c>
      <x:c r="E49" s="3" t="str">
        <x:f>IF($A49="","",SQRT($T$403^2+H49^2))</x:f>
      </x:c>
      <x:c r="F49" s="3" t="str">
        <x:f>IF($A49="","",D49-$T$404*E49)</x:f>
      </x:c>
      <x:c r="G49" s="3" t="str">
        <x:f>IF($A49="","",D49+$T$404*E49)</x:f>
      </x:c>
      <x:c r="H49" s="3" t="str">
        <x:f>IF($A49="","",SQRT(MAX(0,(1)*$S$409*(1)+(1)*$T$409*(C49^1)+(1)*$U$409*(C49^2)+(C49^1)*$S$410*(1)+(C49^1)*$T$410*(C49^1)+(C49^1)*$U$410*(C49^2)+(C49^2)*$S$411*(1)+(C49^2)*$T$411*(C49^1)+(C49^2)*$U$411*(C49^2))))</x:f>
      </x:c>
      <x:c r="I49" s="3"/>
      <x:c r="J49" s="10" t="n">
        <x:v>45900</x:v>
      </x:c>
      <x:c r="K49" s="8" t="n">
        <x:f>INDEX('Сводка'!$S$3:$S$397,U49)</x:f>
        <x:v>238</x:v>
      </x:c>
      <x:c r="L49" s="8" t="n">
        <x:f>INDEX('Сводка'!$S$3:$S$397,V49)</x:f>
        <x:v>238</x:v>
      </x:c>
      <x:c r="M49" s="8" t="n">
        <x:f>INDEX($K$388:$N$400,W49,1)+INDEX($K$388:$N$400,W49,2)*(2*(J49-$T$405)/(T49-$T$405)-1)^1+INDEX($K$388:$N$400,W49,3)*(2*(J49-$T$405)/(T49-$T$405)-1)^2</x:f>
        <x:v>140.8833803158657</x:v>
      </x:c>
      <x:c r="N49" s="8" t="n">
        <x:f>K49-M49</x:f>
        <x:v>97.11661968413429</x:v>
      </x:c>
      <x:c r="O49" s="8" t="n">
        <x:f>ABS(N49)</x:f>
        <x:v>97.11661968413429</x:v>
      </x:c>
      <x:c r="P49" s="8" t="n">
        <x:f>N49^2</x:f>
        <x:v>9431.63781887278</x:v>
      </x:c>
      <x:c r="Q49" s="8" t="n">
        <x:f>K49-L49</x:f>
        <x:v>0</x:v>
      </x:c>
      <x:c r="R49" s="9" t="n">
        <x:f>IF(AND(INDEX('Сводка'!$T$3:$T$397,U49)=0,INDEX('Сводка'!$T$3:$T$397,V49)=0),1,0)</x:f>
        <x:v>1</x:v>
      </x:c>
      <x:c r="S49" s="9" t="n">
        <x:f>IF(AND(R49=1,O49&lt;=$G$13),1,0)</x:f>
        <x:v>0</x:v>
      </x:c>
      <x:c r="T49" s="10" t="n">
        <x:f>EOMONTH(J49-'Сводка'!$B$11,-1)</x:f>
        <x:v>45869</x:v>
      </x:c>
      <x:c r="U49" s="4" t="n">
        <x:f>MATCH(J49,'Сводка'!$R$3:$R$397,0)</x:f>
        <x:v>60</x:v>
      </x:c>
      <x:c r="V49" s="4" t="n">
        <x:f>MATCH(J49-'Сводка'!$B$11,'Сводка'!$R$3:$R$397,0)</x:f>
        <x:v>59</x:v>
      </x:c>
      <x:c r="W49" s="4" t="n">
        <x:f>MATCH(T49,$J$388:$J$400,0)</x:f>
        <x:v>2</x:v>
      </x:c>
      <x:c r="X49" s="3"/>
      <x:c r="Y49" s="3"/>
      <x:c r="Z49" s="3"/>
    </x:row>
    <x:row r="50" ht="15" customHeight="1">
      <x:c r="A50" s="7" t="str">
        <x:f>IF(32&lt;='Сводка'!$B$3,'Сводка'!$B$4+32,"")</x:f>
      </x:c>
      <x:c r="B50" s="19" t="str">
        <x:f>IF($A50="","",(A50-$T$405+1)/1000)</x:f>
      </x:c>
      <x:c r="C50" s="19" t="str">
        <x:f>IF($A50="","",2*(A50-$T$405)/$T$406-1)</x:f>
      </x:c>
      <x:c r="D50" s="3" t="str">
        <x:f>IF($A50="","",$B$4+$B$5*C50^1+$B$6*C50^2)</x:f>
      </x:c>
      <x:c r="E50" s="3" t="str">
        <x:f>IF($A50="","",SQRT($T$403^2+H50^2))</x:f>
      </x:c>
      <x:c r="F50" s="3" t="str">
        <x:f>IF($A50="","",D50-$T$404*E50)</x:f>
      </x:c>
      <x:c r="G50" s="3" t="str">
        <x:f>IF($A50="","",D50+$T$404*E50)</x:f>
      </x:c>
      <x:c r="H50" s="3" t="str">
        <x:f>IF($A50="","",SQRT(MAX(0,(1)*$S$409*(1)+(1)*$T$409*(C50^1)+(1)*$U$409*(C50^2)+(C50^1)*$S$410*(1)+(C50^1)*$T$410*(C50^1)+(C50^1)*$U$410*(C50^2)+(C50^2)*$S$411*(1)+(C50^2)*$T$411*(C50^1)+(C50^2)*$U$411*(C50^2))))</x:f>
      </x:c>
      <x:c r="I50" s="3"/>
      <x:c r="J50" s="10" t="n">
        <x:v>45901</x:v>
      </x:c>
      <x:c r="K50" s="8" t="n">
        <x:f>INDEX('Сводка'!$S$3:$S$397,U50)</x:f>
        <x:v>238</x:v>
      </x:c>
      <x:c r="L50" s="8" t="n">
        <x:f>INDEX('Сводка'!$S$3:$S$397,V50)</x:f>
        <x:v>238</x:v>
      </x:c>
      <x:c r="M50" s="8" t="n">
        <x:f>INDEX($K$388:$N$400,W50,1)+INDEX($K$388:$N$400,W50,2)*(2*(J50-$T$405)/(T50-$T$405)-1)^1+INDEX($K$388:$N$400,W50,3)*(2*(J50-$T$405)/(T50-$T$405)-1)^2</x:f>
        <x:v>140.88560807737124</x:v>
      </x:c>
      <x:c r="N50" s="8" t="n">
        <x:f>K50-M50</x:f>
        <x:v>97.11439192262876</x:v>
      </x:c>
      <x:c r="O50" s="8" t="n">
        <x:f>ABS(N50)</x:f>
        <x:v>97.11439192262876</x:v>
      </x:c>
      <x:c r="P50" s="8" t="n">
        <x:f>N50^2</x:f>
        <x:v>9431.20511850194</x:v>
      </x:c>
      <x:c r="Q50" s="8" t="n">
        <x:f>K50-L50</x:f>
        <x:v>0</x:v>
      </x:c>
      <x:c r="R50" s="9" t="n">
        <x:f>IF(AND(INDEX('Сводка'!$T$3:$T$397,U50)=0,INDEX('Сводка'!$T$3:$T$397,V50)=0),1,0)</x:f>
        <x:v>1</x:v>
      </x:c>
      <x:c r="S50" s="9" t="n">
        <x:f>IF(AND(R50=1,O50&lt;=$G$13),1,0)</x:f>
        <x:v>0</x:v>
      </x:c>
      <x:c r="T50" s="10" t="n">
        <x:f>EOMONTH(J50-'Сводка'!$B$11,-1)</x:f>
        <x:v>45869</x:v>
      </x:c>
      <x:c r="U50" s="4" t="n">
        <x:f>MATCH(J50,'Сводка'!$R$3:$R$397,0)</x:f>
        <x:v>61</x:v>
      </x:c>
      <x:c r="V50" s="4" t="n">
        <x:f>MATCH(J50-'Сводка'!$B$11,'Сводка'!$R$3:$R$397,0)</x:f>
        <x:v>60</x:v>
      </x:c>
      <x:c r="W50" s="4" t="n">
        <x:f>MATCH(T50,$J$388:$J$400,0)</x:f>
        <x:v>2</x:v>
      </x:c>
      <x:c r="X50" s="3"/>
      <x:c r="Y50" s="3"/>
      <x:c r="Z50" s="3"/>
    </x:row>
    <x:row r="51" ht="15" customHeight="1">
      <x:c r="A51" s="7" t="str">
        <x:f>IF(33&lt;='Сводка'!$B$3,'Сводка'!$B$4+33,"")</x:f>
      </x:c>
      <x:c r="B51" s="19" t="str">
        <x:f>IF($A51="","",(A51-$T$405+1)/1000)</x:f>
      </x:c>
      <x:c r="C51" s="19" t="str">
        <x:f>IF($A51="","",2*(A51-$T$405)/$T$406-1)</x:f>
      </x:c>
      <x:c r="D51" s="3" t="str">
        <x:f>IF($A51="","",$B$4+$B$5*C51^1+$B$6*C51^2)</x:f>
      </x:c>
      <x:c r="E51" s="3" t="str">
        <x:f>IF($A51="","",SQRT($T$403^2+H51^2))</x:f>
      </x:c>
      <x:c r="F51" s="3" t="str">
        <x:f>IF($A51="","",D51-$T$404*E51)</x:f>
      </x:c>
      <x:c r="G51" s="3" t="str">
        <x:f>IF($A51="","",D51+$T$404*E51)</x:f>
      </x:c>
      <x:c r="H51" s="3" t="str">
        <x:f>IF($A51="","",SQRT(MAX(0,(1)*$S$409*(1)+(1)*$T$409*(C51^1)+(1)*$U$409*(C51^2)+(C51^1)*$S$410*(1)+(C51^1)*$T$410*(C51^1)+(C51^1)*$U$410*(C51^2)+(C51^2)*$S$411*(1)+(C51^2)*$T$411*(C51^1)+(C51^2)*$U$411*(C51^2))))</x:f>
      </x:c>
      <x:c r="I51" s="3"/>
      <x:c r="J51" s="10" t="n">
        <x:v>45902</x:v>
      </x:c>
      <x:c r="K51" s="8" t="n">
        <x:f>INDEX('Сводка'!$S$3:$S$397,U51)</x:f>
        <x:v>233</x:v>
      </x:c>
      <x:c r="L51" s="8" t="n">
        <x:f>INDEX('Сводка'!$S$3:$S$397,V51)</x:f>
        <x:v>238</x:v>
      </x:c>
      <x:c r="M51" s="8" t="n">
        <x:f>INDEX($K$388:$N$400,W51,1)+INDEX($K$388:$N$400,W51,2)*(2*(J51-$T$405)/(T51-$T$405)-1)^1+INDEX($K$388:$N$400,W51,3)*(2*(J51-$T$405)/(T51-$T$405)-1)^2</x:f>
        <x:v>145.46356893435376</x:v>
      </x:c>
      <x:c r="N51" s="8" t="n">
        <x:f>K51-M51</x:f>
        <x:v>87.53643106564624</x:v>
      </x:c>
      <x:c r="O51" s="8" t="n">
        <x:f>ABS(N51)</x:f>
        <x:v>87.53643106564624</x:v>
      </x:c>
      <x:c r="P51" s="8" t="n">
        <x:f>N51^2</x:f>
        <x:v>7662.626763710637</x:v>
      </x:c>
      <x:c r="Q51" s="8" t="n">
        <x:f>K51-L51</x:f>
        <x:v>-5</x:v>
      </x:c>
      <x:c r="R51" s="9" t="n">
        <x:f>IF(AND(INDEX('Сводка'!$T$3:$T$397,U51)=0,INDEX('Сводка'!$T$3:$T$397,V51)=0),1,0)</x:f>
        <x:v>1</x:v>
      </x:c>
      <x:c r="S51" s="9" t="n">
        <x:f>IF(AND(R51=1,O51&lt;=$G$13),1,0)</x:f>
        <x:v>0</x:v>
      </x:c>
      <x:c r="T51" s="10" t="n">
        <x:f>EOMONTH(J51-'Сводка'!$B$11,-1)</x:f>
        <x:v>45900</x:v>
      </x:c>
      <x:c r="U51" s="4" t="n">
        <x:f>MATCH(J51,'Сводка'!$R$3:$R$397,0)</x:f>
        <x:v>62</x:v>
      </x:c>
      <x:c r="V51" s="4" t="n">
        <x:f>MATCH(J51-'Сводка'!$B$11,'Сводка'!$R$3:$R$397,0)</x:f>
        <x:v>61</x:v>
      </x:c>
      <x:c r="W51" s="4" t="n">
        <x:f>MATCH(T51,$J$388:$J$400,0)</x:f>
        <x:v>3</x:v>
      </x:c>
      <x:c r="X51" s="3"/>
      <x:c r="Y51" s="3"/>
      <x:c r="Z51" s="3"/>
    </x:row>
    <x:row r="52" ht="15" customHeight="1">
      <x:c r="A52" s="7" t="str">
        <x:f>IF(34&lt;='Сводка'!$B$3,'Сводка'!$B$4+34,"")</x:f>
      </x:c>
      <x:c r="B52" s="19" t="str">
        <x:f>IF($A52="","",(A52-$T$405+1)/1000)</x:f>
      </x:c>
      <x:c r="C52" s="19" t="str">
        <x:f>IF($A52="","",2*(A52-$T$405)/$T$406-1)</x:f>
      </x:c>
      <x:c r="D52" s="3" t="str">
        <x:f>IF($A52="","",$B$4+$B$5*C52^1+$B$6*C52^2)</x:f>
      </x:c>
      <x:c r="E52" s="3" t="str">
        <x:f>IF($A52="","",SQRT($T$403^2+H52^2))</x:f>
      </x:c>
      <x:c r="F52" s="3" t="str">
        <x:f>IF($A52="","",D52-$T$404*E52)</x:f>
      </x:c>
      <x:c r="G52" s="3" t="str">
        <x:f>IF($A52="","",D52+$T$404*E52)</x:f>
      </x:c>
      <x:c r="H52" s="3" t="str">
        <x:f>IF($A52="","",SQRT(MAX(0,(1)*$S$409*(1)+(1)*$T$409*(C52^1)+(1)*$U$409*(C52^2)+(C52^1)*$S$410*(1)+(C52^1)*$T$410*(C52^1)+(C52^1)*$U$410*(C52^2)+(C52^2)*$S$411*(1)+(C52^2)*$T$411*(C52^1)+(C52^2)*$U$411*(C52^2))))</x:f>
      </x:c>
      <x:c r="I52" s="3"/>
      <x:c r="J52" s="10" t="n">
        <x:v>45903</x:v>
      </x:c>
      <x:c r="K52" s="8" t="n">
        <x:f>INDEX('Сводка'!$S$3:$S$397,U52)</x:f>
        <x:v>228</x:v>
      </x:c>
      <x:c r="L52" s="8" t="n">
        <x:f>INDEX('Сводка'!$S$3:$S$397,V52)</x:f>
        <x:v>233</x:v>
      </x:c>
      <x:c r="M52" s="8" t="n">
        <x:f>INDEX($K$388:$N$400,W52,1)+INDEX($K$388:$N$400,W52,2)*(2*(J52-$T$405)/(T52-$T$405)-1)^1+INDEX($K$388:$N$400,W52,3)*(2*(J52-$T$405)/(T52-$T$405)-1)^2</x:f>
        <x:v>145.46785787760737</x:v>
      </x:c>
      <x:c r="N52" s="8" t="n">
        <x:f>K52-M52</x:f>
        <x:v>82.53214212239263</x:v>
      </x:c>
      <x:c r="O52" s="8" t="n">
        <x:f>ABS(N52)</x:f>
        <x:v>82.53214212239263</x:v>
      </x:c>
      <x:c r="P52" s="8" t="n">
        <x:f>N52^2</x:f>
        <x:v>6811.554483310815</x:v>
      </x:c>
      <x:c r="Q52" s="8" t="n">
        <x:f>K52-L52</x:f>
        <x:v>-5</x:v>
      </x:c>
      <x:c r="R52" s="9" t="n">
        <x:f>IF(AND(INDEX('Сводка'!$T$3:$T$397,U52)=0,INDEX('Сводка'!$T$3:$T$397,V52)=0),1,0)</x:f>
        <x:v>1</x:v>
      </x:c>
      <x:c r="S52" s="9" t="n">
        <x:f>IF(AND(R52=1,O52&lt;=$G$13),1,0)</x:f>
        <x:v>0</x:v>
      </x:c>
      <x:c r="T52" s="10" t="n">
        <x:f>EOMONTH(J52-'Сводка'!$B$11,-1)</x:f>
        <x:v>45900</x:v>
      </x:c>
      <x:c r="U52" s="4" t="n">
        <x:f>MATCH(J52,'Сводка'!$R$3:$R$397,0)</x:f>
        <x:v>63</x:v>
      </x:c>
      <x:c r="V52" s="4" t="n">
        <x:f>MATCH(J52-'Сводка'!$B$11,'Сводка'!$R$3:$R$397,0)</x:f>
        <x:v>62</x:v>
      </x:c>
      <x:c r="W52" s="4" t="n">
        <x:f>MATCH(T52,$J$388:$J$400,0)</x:f>
        <x:v>3</x:v>
      </x:c>
      <x:c r="X52" s="3"/>
      <x:c r="Y52" s="3"/>
      <x:c r="Z52" s="3"/>
    </x:row>
    <x:row r="53" ht="15" customHeight="1">
      <x:c r="A53" s="7" t="str">
        <x:f>IF(35&lt;='Сводка'!$B$3,'Сводка'!$B$4+35,"")</x:f>
      </x:c>
      <x:c r="B53" s="19" t="str">
        <x:f>IF($A53="","",(A53-$T$405+1)/1000)</x:f>
      </x:c>
      <x:c r="C53" s="19" t="str">
        <x:f>IF($A53="","",2*(A53-$T$405)/$T$406-1)</x:f>
      </x:c>
      <x:c r="D53" s="3" t="str">
        <x:f>IF($A53="","",$B$4+$B$5*C53^1+$B$6*C53^2)</x:f>
      </x:c>
      <x:c r="E53" s="3" t="str">
        <x:f>IF($A53="","",SQRT($T$403^2+H53^2))</x:f>
      </x:c>
      <x:c r="F53" s="3" t="str">
        <x:f>IF($A53="","",D53-$T$404*E53)</x:f>
      </x:c>
      <x:c r="G53" s="3" t="str">
        <x:f>IF($A53="","",D53+$T$404*E53)</x:f>
      </x:c>
      <x:c r="H53" s="3" t="str">
        <x:f>IF($A53="","",SQRT(MAX(0,(1)*$S$409*(1)+(1)*$T$409*(C53^1)+(1)*$U$409*(C53^2)+(C53^1)*$S$410*(1)+(C53^1)*$T$410*(C53^1)+(C53^1)*$U$410*(C53^2)+(C53^2)*$S$411*(1)+(C53^2)*$T$411*(C53^1)+(C53^2)*$U$411*(C53^2))))</x:f>
      </x:c>
      <x:c r="I53" s="3"/>
      <x:c r="J53" s="10" t="n">
        <x:v>45904</x:v>
      </x:c>
      <x:c r="K53" s="8" t="n">
        <x:f>INDEX('Сводка'!$S$3:$S$397,U53)</x:f>
        <x:v>226</x:v>
      </x:c>
      <x:c r="L53" s="8" t="n">
        <x:f>INDEX('Сводка'!$S$3:$S$397,V53)</x:f>
        <x:v>228</x:v>
      </x:c>
      <x:c r="M53" s="8" t="n">
        <x:f>INDEX($K$388:$N$400,W53,1)+INDEX($K$388:$N$400,W53,2)*(2*(J53-$T$405)/(T53-$T$405)-1)^1+INDEX($K$388:$N$400,W53,3)*(2*(J53-$T$405)/(T53-$T$405)-1)^2</x:f>
        <x:v>145.47214222009222</x:v>
      </x:c>
      <x:c r="N53" s="8" t="n">
        <x:f>K53-M53</x:f>
        <x:v>80.52785777990778</x:v>
      </x:c>
      <x:c r="O53" s="8" t="n">
        <x:f>ABS(N53)</x:f>
        <x:v>80.52785777990778</x:v>
      </x:c>
      <x:c r="P53" s="8" t="n">
        <x:f>N53^2</x:f>
        <x:v>6484.735878621053</x:v>
      </x:c>
      <x:c r="Q53" s="8" t="n">
        <x:f>K53-L53</x:f>
        <x:v>-2</x:v>
      </x:c>
      <x:c r="R53" s="9" t="n">
        <x:f>IF(AND(INDEX('Сводка'!$T$3:$T$397,U53)=0,INDEX('Сводка'!$T$3:$T$397,V53)=0),1,0)</x:f>
        <x:v>1</x:v>
      </x:c>
      <x:c r="S53" s="9" t="n">
        <x:f>IF(AND(R53=1,O53&lt;=$G$13),1,0)</x:f>
        <x:v>0</x:v>
      </x:c>
      <x:c r="T53" s="10" t="n">
        <x:f>EOMONTH(J53-'Сводка'!$B$11,-1)</x:f>
        <x:v>45900</x:v>
      </x:c>
      <x:c r="U53" s="4" t="n">
        <x:f>MATCH(J53,'Сводка'!$R$3:$R$397,0)</x:f>
        <x:v>64</x:v>
      </x:c>
      <x:c r="V53" s="4" t="n">
        <x:f>MATCH(J53-'Сводка'!$B$11,'Сводка'!$R$3:$R$397,0)</x:f>
        <x:v>63</x:v>
      </x:c>
      <x:c r="W53" s="4" t="n">
        <x:f>MATCH(T53,$J$388:$J$400,0)</x:f>
        <x:v>3</x:v>
      </x:c>
      <x:c r="X53" s="3"/>
      <x:c r="Y53" s="3"/>
      <x:c r="Z53" s="3"/>
    </x:row>
    <x:row r="54" ht="15" customHeight="1">
      <x:c r="A54" s="7" t="str">
        <x:f>IF(36&lt;='Сводка'!$B$3,'Сводка'!$B$4+36,"")</x:f>
      </x:c>
      <x:c r="B54" s="19" t="str">
        <x:f>IF($A54="","",(A54-$T$405+1)/1000)</x:f>
      </x:c>
      <x:c r="C54" s="19" t="str">
        <x:f>IF($A54="","",2*(A54-$T$405)/$T$406-1)</x:f>
      </x:c>
      <x:c r="D54" s="3" t="str">
        <x:f>IF($A54="","",$B$4+$B$5*C54^1+$B$6*C54^2)</x:f>
      </x:c>
      <x:c r="E54" s="3" t="str">
        <x:f>IF($A54="","",SQRT($T$403^2+H54^2))</x:f>
      </x:c>
      <x:c r="F54" s="3" t="str">
        <x:f>IF($A54="","",D54-$T$404*E54)</x:f>
      </x:c>
      <x:c r="G54" s="3" t="str">
        <x:f>IF($A54="","",D54+$T$404*E54)</x:f>
      </x:c>
      <x:c r="H54" s="3" t="str">
        <x:f>IF($A54="","",SQRT(MAX(0,(1)*$S$409*(1)+(1)*$T$409*(C54^1)+(1)*$U$409*(C54^2)+(C54^1)*$S$410*(1)+(C54^1)*$T$410*(C54^1)+(C54^1)*$U$410*(C54^2)+(C54^2)*$S$411*(1)+(C54^2)*$T$411*(C54^1)+(C54^2)*$U$411*(C54^2))))</x:f>
      </x:c>
      <x:c r="I54" s="3"/>
      <x:c r="J54" s="10" t="n">
        <x:v>45905</x:v>
      </x:c>
      <x:c r="K54" s="8" t="n">
        <x:f>INDEX('Сводка'!$S$3:$S$397,U54)</x:f>
        <x:v>226</x:v>
      </x:c>
      <x:c r="L54" s="8" t="n">
        <x:f>INDEX('Сводка'!$S$3:$S$397,V54)</x:f>
        <x:v>226</x:v>
      </x:c>
      <x:c r="M54" s="8" t="n">
        <x:f>INDEX($K$388:$N$400,W54,1)+INDEX($K$388:$N$400,W54,2)*(2*(J54-$T$405)/(T54-$T$405)-1)^1+INDEX($K$388:$N$400,W54,3)*(2*(J54-$T$405)/(T54-$T$405)-1)^2</x:f>
        <x:v>145.4764219618083</x:v>
      </x:c>
      <x:c r="N54" s="8" t="n">
        <x:f>K54-M54</x:f>
        <x:v>80.52357803819169</x:v>
      </x:c>
      <x:c r="O54" s="8" t="n">
        <x:f>ABS(N54)</x:f>
        <x:v>80.52357803819169</x:v>
      </x:c>
      <x:c r="P54" s="8" t="n">
        <x:f>N54^2</x:f>
        <x:v>6484.046620072747</x:v>
      </x:c>
      <x:c r="Q54" s="8" t="n">
        <x:f>K54-L54</x:f>
        <x:v>0</x:v>
      </x:c>
      <x:c r="R54" s="9" t="n">
        <x:f>IF(AND(INDEX('Сводка'!$T$3:$T$397,U54)=0,INDEX('Сводка'!$T$3:$T$397,V54)=0),1,0)</x:f>
        <x:v>1</x:v>
      </x:c>
      <x:c r="S54" s="9" t="n">
        <x:f>IF(AND(R54=1,O54&lt;=$G$13),1,0)</x:f>
        <x:v>0</x:v>
      </x:c>
      <x:c r="T54" s="10" t="n">
        <x:f>EOMONTH(J54-'Сводка'!$B$11,-1)</x:f>
        <x:v>45900</x:v>
      </x:c>
      <x:c r="U54" s="4" t="n">
        <x:f>MATCH(J54,'Сводка'!$R$3:$R$397,0)</x:f>
        <x:v>65</x:v>
      </x:c>
      <x:c r="V54" s="4" t="n">
        <x:f>MATCH(J54-'Сводка'!$B$11,'Сводка'!$R$3:$R$397,0)</x:f>
        <x:v>64</x:v>
      </x:c>
      <x:c r="W54" s="4" t="n">
        <x:f>MATCH(T54,$J$388:$J$400,0)</x:f>
        <x:v>3</x:v>
      </x:c>
      <x:c r="X54" s="3"/>
      <x:c r="Y54" s="3"/>
      <x:c r="Z54" s="3"/>
    </x:row>
    <x:row r="55" ht="15" customHeight="1">
      <x:c r="A55" s="7" t="str">
        <x:f>IF(37&lt;='Сводка'!$B$3,'Сводка'!$B$4+37,"")</x:f>
      </x:c>
      <x:c r="B55" s="19" t="str">
        <x:f>IF($A55="","",(A55-$T$405+1)/1000)</x:f>
      </x:c>
      <x:c r="C55" s="19" t="str">
        <x:f>IF($A55="","",2*(A55-$T$405)/$T$406-1)</x:f>
      </x:c>
      <x:c r="D55" s="3" t="str">
        <x:f>IF($A55="","",$B$4+$B$5*C55^1+$B$6*C55^2)</x:f>
      </x:c>
      <x:c r="E55" s="3" t="str">
        <x:f>IF($A55="","",SQRT($T$403^2+H55^2))</x:f>
      </x:c>
      <x:c r="F55" s="3" t="str">
        <x:f>IF($A55="","",D55-$T$404*E55)</x:f>
      </x:c>
      <x:c r="G55" s="3" t="str">
        <x:f>IF($A55="","",D55+$T$404*E55)</x:f>
      </x:c>
      <x:c r="H55" s="3" t="str">
        <x:f>IF($A55="","",SQRT(MAX(0,(1)*$S$409*(1)+(1)*$T$409*(C55^1)+(1)*$U$409*(C55^2)+(C55^1)*$S$410*(1)+(C55^1)*$T$410*(C55^1)+(C55^1)*$U$410*(C55^2)+(C55^2)*$S$411*(1)+(C55^2)*$T$411*(C55^1)+(C55^2)*$U$411*(C55^2))))</x:f>
      </x:c>
      <x:c r="I55" s="3"/>
      <x:c r="J55" s="10" t="n">
        <x:v>45906</x:v>
      </x:c>
      <x:c r="K55" s="8" t="n">
        <x:f>INDEX('Сводка'!$S$3:$S$397,U55)</x:f>
        <x:v>226</x:v>
      </x:c>
      <x:c r="L55" s="8" t="n">
        <x:f>INDEX('Сводка'!$S$3:$S$397,V55)</x:f>
        <x:v>226</x:v>
      </x:c>
      <x:c r="M55" s="8" t="n">
        <x:f>INDEX($K$388:$N$400,W55,1)+INDEX($K$388:$N$400,W55,2)*(2*(J55-$T$405)/(T55-$T$405)-1)^1+INDEX($K$388:$N$400,W55,3)*(2*(J55-$T$405)/(T55-$T$405)-1)^2</x:f>
        <x:v>145.48069710275558</x:v>
      </x:c>
      <x:c r="N55" s="8" t="n">
        <x:f>K55-M55</x:f>
        <x:v>80.51930289724442</x:v>
      </x:c>
      <x:c r="O55" s="8" t="n">
        <x:f>ABS(N55)</x:f>
        <x:v>80.51930289724442</x:v>
      </x:c>
      <x:c r="P55" s="8" t="n">
        <x:f>N55^2</x:f>
        <x:v>6483.358139058193</x:v>
      </x:c>
      <x:c r="Q55" s="8" t="n">
        <x:f>K55-L55</x:f>
        <x:v>0</x:v>
      </x:c>
      <x:c r="R55" s="9" t="n">
        <x:f>IF(AND(INDEX('Сводка'!$T$3:$T$397,U55)=0,INDEX('Сводка'!$T$3:$T$397,V55)=0),1,0)</x:f>
        <x:v>1</x:v>
      </x:c>
      <x:c r="S55" s="9" t="n">
        <x:f>IF(AND(R55=1,O55&lt;=$G$13),1,0)</x:f>
        <x:v>0</x:v>
      </x:c>
      <x:c r="T55" s="10" t="n">
        <x:f>EOMONTH(J55-'Сводка'!$B$11,-1)</x:f>
        <x:v>45900</x:v>
      </x:c>
      <x:c r="U55" s="4" t="n">
        <x:f>MATCH(J55,'Сводка'!$R$3:$R$397,0)</x:f>
        <x:v>66</x:v>
      </x:c>
      <x:c r="V55" s="4" t="n">
        <x:f>MATCH(J55-'Сводка'!$B$11,'Сводка'!$R$3:$R$397,0)</x:f>
        <x:v>65</x:v>
      </x:c>
      <x:c r="W55" s="4" t="n">
        <x:f>MATCH(T55,$J$388:$J$400,0)</x:f>
        <x:v>3</x:v>
      </x:c>
      <x:c r="X55" s="3"/>
      <x:c r="Y55" s="3"/>
      <x:c r="Z55" s="3"/>
    </x:row>
    <x:row r="56" ht="15" customHeight="1">
      <x:c r="A56" s="7" t="str">
        <x:f>IF(38&lt;='Сводка'!$B$3,'Сводка'!$B$4+38,"")</x:f>
      </x:c>
      <x:c r="B56" s="19" t="str">
        <x:f>IF($A56="","",(A56-$T$405+1)/1000)</x:f>
      </x:c>
      <x:c r="C56" s="19" t="str">
        <x:f>IF($A56="","",2*(A56-$T$405)/$T$406-1)</x:f>
      </x:c>
      <x:c r="D56" s="3" t="str">
        <x:f>IF($A56="","",$B$4+$B$5*C56^1+$B$6*C56^2)</x:f>
      </x:c>
      <x:c r="E56" s="3" t="str">
        <x:f>IF($A56="","",SQRT($T$403^2+H56^2))</x:f>
      </x:c>
      <x:c r="F56" s="3" t="str">
        <x:f>IF($A56="","",D56-$T$404*E56)</x:f>
      </x:c>
      <x:c r="G56" s="3" t="str">
        <x:f>IF($A56="","",D56+$T$404*E56)</x:f>
      </x:c>
      <x:c r="H56" s="3" t="str">
        <x:f>IF($A56="","",SQRT(MAX(0,(1)*$S$409*(1)+(1)*$T$409*(C56^1)+(1)*$U$409*(C56^2)+(C56^1)*$S$410*(1)+(C56^1)*$T$410*(C56^1)+(C56^1)*$U$410*(C56^2)+(C56^2)*$S$411*(1)+(C56^2)*$T$411*(C56^1)+(C56^2)*$U$411*(C56^2))))</x:f>
      </x:c>
      <x:c r="I56" s="3"/>
      <x:c r="J56" s="10" t="n">
        <x:v>45907</x:v>
      </x:c>
      <x:c r="K56" s="8" t="n">
        <x:f>INDEX('Сводка'!$S$3:$S$397,U56)</x:f>
        <x:v>226</x:v>
      </x:c>
      <x:c r="L56" s="8" t="n">
        <x:f>INDEX('Сводка'!$S$3:$S$397,V56)</x:f>
        <x:v>226</x:v>
      </x:c>
      <x:c r="M56" s="8" t="n">
        <x:f>INDEX($K$388:$N$400,W56,1)+INDEX($K$388:$N$400,W56,2)*(2*(J56-$T$405)/(T56-$T$405)-1)^1+INDEX($K$388:$N$400,W56,3)*(2*(J56-$T$405)/(T56-$T$405)-1)^2</x:f>
        <x:v>145.48496764293407</x:v>
      </x:c>
      <x:c r="N56" s="8" t="n">
        <x:f>K56-M56</x:f>
        <x:v>80.51503235706593</x:v>
      </x:c>
      <x:c r="O56" s="8" t="n">
        <x:f>ABS(N56)</x:f>
        <x:v>80.51503235706593</x:v>
      </x:c>
      <x:c r="P56" s="8" t="n">
        <x:f>N56^2</x:f>
        <x:v>6482.670435459374</x:v>
      </x:c>
      <x:c r="Q56" s="8" t="n">
        <x:f>K56-L56</x:f>
        <x:v>0</x:v>
      </x:c>
      <x:c r="R56" s="9" t="n">
        <x:f>IF(AND(INDEX('Сводка'!$T$3:$T$397,U56)=0,INDEX('Сводка'!$T$3:$T$397,V56)=0),1,0)</x:f>
        <x:v>1</x:v>
      </x:c>
      <x:c r="S56" s="9" t="n">
        <x:f>IF(AND(R56=1,O56&lt;=$G$13),1,0)</x:f>
        <x:v>0</x:v>
      </x:c>
      <x:c r="T56" s="10" t="n">
        <x:f>EOMONTH(J56-'Сводка'!$B$11,-1)</x:f>
        <x:v>45900</x:v>
      </x:c>
      <x:c r="U56" s="4" t="n">
        <x:f>MATCH(J56,'Сводка'!$R$3:$R$397,0)</x:f>
        <x:v>67</x:v>
      </x:c>
      <x:c r="V56" s="4" t="n">
        <x:f>MATCH(J56-'Сводка'!$B$11,'Сводка'!$R$3:$R$397,0)</x:f>
        <x:v>66</x:v>
      </x:c>
      <x:c r="W56" s="4" t="n">
        <x:f>MATCH(T56,$J$388:$J$400,0)</x:f>
        <x:v>3</x:v>
      </x:c>
      <x:c r="X56" s="3"/>
      <x:c r="Y56" s="3"/>
      <x:c r="Z56" s="3"/>
    </x:row>
    <x:row r="57" ht="15" customHeight="1">
      <x:c r="A57" s="7" t="str">
        <x:f>IF(39&lt;='Сводка'!$B$3,'Сводка'!$B$4+39,"")</x:f>
      </x:c>
      <x:c r="B57" s="19" t="str">
        <x:f>IF($A57="","",(A57-$T$405+1)/1000)</x:f>
      </x:c>
      <x:c r="C57" s="19" t="str">
        <x:f>IF($A57="","",2*(A57-$T$405)/$T$406-1)</x:f>
      </x:c>
      <x:c r="D57" s="3" t="str">
        <x:f>IF($A57="","",$B$4+$B$5*C57^1+$B$6*C57^2)</x:f>
      </x:c>
      <x:c r="E57" s="3" t="str">
        <x:f>IF($A57="","",SQRT($T$403^2+H57^2))</x:f>
      </x:c>
      <x:c r="F57" s="3" t="str">
        <x:f>IF($A57="","",D57-$T$404*E57)</x:f>
      </x:c>
      <x:c r="G57" s="3" t="str">
        <x:f>IF($A57="","",D57+$T$404*E57)</x:f>
      </x:c>
      <x:c r="H57" s="3" t="str">
        <x:f>IF($A57="","",SQRT(MAX(0,(1)*$S$409*(1)+(1)*$T$409*(C57^1)+(1)*$U$409*(C57^2)+(C57^1)*$S$410*(1)+(C57^1)*$T$410*(C57^1)+(C57^1)*$U$410*(C57^2)+(C57^2)*$S$411*(1)+(C57^2)*$T$411*(C57^1)+(C57^2)*$U$411*(C57^2))))</x:f>
      </x:c>
      <x:c r="I57" s="3"/>
      <x:c r="J57" s="10" t="n">
        <x:v>45908</x:v>
      </x:c>
      <x:c r="K57" s="8" t="n">
        <x:f>INDEX('Сводка'!$S$3:$S$397,U57)</x:f>
        <x:v>222</x:v>
      </x:c>
      <x:c r="L57" s="8" t="n">
        <x:f>INDEX('Сводка'!$S$3:$S$397,V57)</x:f>
        <x:v>226</x:v>
      </x:c>
      <x:c r="M57" s="8" t="n">
        <x:f>INDEX($K$388:$N$400,W57,1)+INDEX($K$388:$N$400,W57,2)*(2*(J57-$T$405)/(T57-$T$405)-1)^1+INDEX($K$388:$N$400,W57,3)*(2*(J57-$T$405)/(T57-$T$405)-1)^2</x:f>
        <x:v>145.48923358234381</x:v>
      </x:c>
      <x:c r="N57" s="8" t="n">
        <x:f>K57-M57</x:f>
        <x:v>76.51076641765619</x:v>
      </x:c>
      <x:c r="O57" s="8" t="n">
        <x:f>ABS(N57)</x:f>
        <x:v>76.51076641765619</x:v>
      </x:c>
      <x:c r="P57" s="8" t="n">
        <x:f>N57^2</x:f>
        <x:v>5853.897377817146</x:v>
      </x:c>
      <x:c r="Q57" s="8" t="n">
        <x:f>K57-L57</x:f>
        <x:v>-4</x:v>
      </x:c>
      <x:c r="R57" s="9" t="n">
        <x:f>IF(AND(INDEX('Сводка'!$T$3:$T$397,U57)=0,INDEX('Сводка'!$T$3:$T$397,V57)=0),1,0)</x:f>
        <x:v>1</x:v>
      </x:c>
      <x:c r="S57" s="9" t="n">
        <x:f>IF(AND(R57=1,O57&lt;=$G$13),1,0)</x:f>
        <x:v>0</x:v>
      </x:c>
      <x:c r="T57" s="10" t="n">
        <x:f>EOMONTH(J57-'Сводка'!$B$11,-1)</x:f>
        <x:v>45900</x:v>
      </x:c>
      <x:c r="U57" s="4" t="n">
        <x:f>MATCH(J57,'Сводка'!$R$3:$R$397,0)</x:f>
        <x:v>68</x:v>
      </x:c>
      <x:c r="V57" s="4" t="n">
        <x:f>MATCH(J57-'Сводка'!$B$11,'Сводка'!$R$3:$R$397,0)</x:f>
        <x:v>67</x:v>
      </x:c>
      <x:c r="W57" s="4" t="n">
        <x:f>MATCH(T57,$J$388:$J$400,0)</x:f>
        <x:v>3</x:v>
      </x:c>
      <x:c r="X57" s="3"/>
      <x:c r="Y57" s="3"/>
      <x:c r="Z57" s="3"/>
    </x:row>
    <x:row r="58" ht="15" customHeight="1">
      <x:c r="A58" s="7" t="str">
        <x:f>IF(40&lt;='Сводка'!$B$3,'Сводка'!$B$4+40,"")</x:f>
      </x:c>
      <x:c r="B58" s="19" t="str">
        <x:f>IF($A58="","",(A58-$T$405+1)/1000)</x:f>
      </x:c>
      <x:c r="C58" s="19" t="str">
        <x:f>IF($A58="","",2*(A58-$T$405)/$T$406-1)</x:f>
      </x:c>
      <x:c r="D58" s="3" t="str">
        <x:f>IF($A58="","",$B$4+$B$5*C58^1+$B$6*C58^2)</x:f>
      </x:c>
      <x:c r="E58" s="3" t="str">
        <x:f>IF($A58="","",SQRT($T$403^2+H58^2))</x:f>
      </x:c>
      <x:c r="F58" s="3" t="str">
        <x:f>IF($A58="","",D58-$T$404*E58)</x:f>
      </x:c>
      <x:c r="G58" s="3" t="str">
        <x:f>IF($A58="","",D58+$T$404*E58)</x:f>
      </x:c>
      <x:c r="H58" s="3" t="str">
        <x:f>IF($A58="","",SQRT(MAX(0,(1)*$S$409*(1)+(1)*$T$409*(C58^1)+(1)*$U$409*(C58^2)+(C58^1)*$S$410*(1)+(C58^1)*$T$410*(C58^1)+(C58^1)*$U$410*(C58^2)+(C58^2)*$S$411*(1)+(C58^2)*$T$411*(C58^1)+(C58^2)*$U$411*(C58^2))))</x:f>
      </x:c>
      <x:c r="I58" s="3"/>
      <x:c r="J58" s="10" t="n">
        <x:v>45909</x:v>
      </x:c>
      <x:c r="K58" s="8" t="n">
        <x:f>INDEX('Сводка'!$S$3:$S$397,U58)</x:f>
        <x:v>218</x:v>
      </x:c>
      <x:c r="L58" s="8" t="n">
        <x:f>INDEX('Сводка'!$S$3:$S$397,V58)</x:f>
        <x:v>222</x:v>
      </x:c>
      <x:c r="M58" s="8" t="n">
        <x:f>INDEX($K$388:$N$400,W58,1)+INDEX($K$388:$N$400,W58,2)*(2*(J58-$T$405)/(T58-$T$405)-1)^1+INDEX($K$388:$N$400,W58,3)*(2*(J58-$T$405)/(T58-$T$405)-1)^2</x:f>
        <x:v>145.49349492098477</x:v>
      </x:c>
      <x:c r="N58" s="8" t="n">
        <x:f>K58-M58</x:f>
        <x:v>72.50650507901523</x:v>
      </x:c>
      <x:c r="O58" s="8" t="n">
        <x:f>ABS(N58)</x:f>
        <x:v>72.50650507901523</x:v>
      </x:c>
      <x:c r="P58" s="8" t="n">
        <x:f>N58^2</x:f>
        <x:v>5257.193278773261</x:v>
      </x:c>
      <x:c r="Q58" s="8" t="n">
        <x:f>K58-L58</x:f>
        <x:v>-4</x:v>
      </x:c>
      <x:c r="R58" s="9" t="n">
        <x:f>IF(AND(INDEX('Сводка'!$T$3:$T$397,U58)=0,INDEX('Сводка'!$T$3:$T$397,V58)=0),1,0)</x:f>
        <x:v>1</x:v>
      </x:c>
      <x:c r="S58" s="9" t="n">
        <x:f>IF(AND(R58=1,O58&lt;=$G$13),1,0)</x:f>
        <x:v>0</x:v>
      </x:c>
      <x:c r="T58" s="10" t="n">
        <x:f>EOMONTH(J58-'Сводка'!$B$11,-1)</x:f>
        <x:v>45900</x:v>
      </x:c>
      <x:c r="U58" s="4" t="n">
        <x:f>MATCH(J58,'Сводка'!$R$3:$R$397,0)</x:f>
        <x:v>69</x:v>
      </x:c>
      <x:c r="V58" s="4" t="n">
        <x:f>MATCH(J58-'Сводка'!$B$11,'Сводка'!$R$3:$R$397,0)</x:f>
        <x:v>68</x:v>
      </x:c>
      <x:c r="W58" s="4" t="n">
        <x:f>MATCH(T58,$J$388:$J$400,0)</x:f>
        <x:v>3</x:v>
      </x:c>
      <x:c r="X58" s="3"/>
      <x:c r="Y58" s="3"/>
      <x:c r="Z58" s="3"/>
    </x:row>
    <x:row r="59" ht="15" customHeight="1">
      <x:c r="A59" s="7" t="str">
        <x:f>IF(41&lt;='Сводка'!$B$3,'Сводка'!$B$4+41,"")</x:f>
      </x:c>
      <x:c r="B59" s="19" t="str">
        <x:f>IF($A59="","",(A59-$T$405+1)/1000)</x:f>
      </x:c>
      <x:c r="C59" s="19" t="str">
        <x:f>IF($A59="","",2*(A59-$T$405)/$T$406-1)</x:f>
      </x:c>
      <x:c r="D59" s="3" t="str">
        <x:f>IF($A59="","",$B$4+$B$5*C59^1+$B$6*C59^2)</x:f>
      </x:c>
      <x:c r="E59" s="3" t="str">
        <x:f>IF($A59="","",SQRT($T$403^2+H59^2))</x:f>
      </x:c>
      <x:c r="F59" s="3" t="str">
        <x:f>IF($A59="","",D59-$T$404*E59)</x:f>
      </x:c>
      <x:c r="G59" s="3" t="str">
        <x:f>IF($A59="","",D59+$T$404*E59)</x:f>
      </x:c>
      <x:c r="H59" s="3" t="str">
        <x:f>IF($A59="","",SQRT(MAX(0,(1)*$S$409*(1)+(1)*$T$409*(C59^1)+(1)*$U$409*(C59^2)+(C59^1)*$S$410*(1)+(C59^1)*$T$410*(C59^1)+(C59^1)*$U$410*(C59^2)+(C59^2)*$S$411*(1)+(C59^2)*$T$411*(C59^1)+(C59^2)*$U$411*(C59^2))))</x:f>
      </x:c>
      <x:c r="I59" s="3"/>
      <x:c r="J59" s="10" t="n">
        <x:v>45910</x:v>
      </x:c>
      <x:c r="K59" s="8" t="n">
        <x:f>INDEX('Сводка'!$S$3:$S$397,U59)</x:f>
        <x:v>209</x:v>
      </x:c>
      <x:c r="L59" s="8" t="n">
        <x:f>INDEX('Сводка'!$S$3:$S$397,V59)</x:f>
        <x:v>218</x:v>
      </x:c>
      <x:c r="M59" s="8" t="n">
        <x:f>INDEX($K$388:$N$400,W59,1)+INDEX($K$388:$N$400,W59,2)*(2*(J59-$T$405)/(T59-$T$405)-1)^1+INDEX($K$388:$N$400,W59,3)*(2*(J59-$T$405)/(T59-$T$405)-1)^2</x:f>
        <x:v>145.49775165885697</x:v>
      </x:c>
      <x:c r="N59" s="8" t="n">
        <x:f>K59-M59</x:f>
        <x:v>63.50224834114303</x:v>
      </x:c>
      <x:c r="O59" s="8" t="n">
        <x:f>ABS(N59)</x:f>
        <x:v>63.50224834114303</x:v>
      </x:c>
      <x:c r="P59" s="8" t="n">
        <x:f>N59^2</x:f>
        <x:v>4032.5355443802027</x:v>
      </x:c>
      <x:c r="Q59" s="8" t="n">
        <x:f>K59-L59</x:f>
        <x:v>-9</x:v>
      </x:c>
      <x:c r="R59" s="9" t="n">
        <x:f>IF(AND(INDEX('Сводка'!$T$3:$T$397,U59)=0,INDEX('Сводка'!$T$3:$T$397,V59)=0),1,0)</x:f>
        <x:v>1</x:v>
      </x:c>
      <x:c r="S59" s="9" t="n">
        <x:f>IF(AND(R59=1,O59&lt;=$G$13),1,0)</x:f>
        <x:v>0</x:v>
      </x:c>
      <x:c r="T59" s="10" t="n">
        <x:f>EOMONTH(J59-'Сводка'!$B$11,-1)</x:f>
        <x:v>45900</x:v>
      </x:c>
      <x:c r="U59" s="4" t="n">
        <x:f>MATCH(J59,'Сводка'!$R$3:$R$397,0)</x:f>
        <x:v>70</x:v>
      </x:c>
      <x:c r="V59" s="4" t="n">
        <x:f>MATCH(J59-'Сводка'!$B$11,'Сводка'!$R$3:$R$397,0)</x:f>
        <x:v>69</x:v>
      </x:c>
      <x:c r="W59" s="4" t="n">
        <x:f>MATCH(T59,$J$388:$J$400,0)</x:f>
        <x:v>3</x:v>
      </x:c>
      <x:c r="X59" s="3"/>
      <x:c r="Y59" s="3"/>
      <x:c r="Z59" s="3"/>
    </x:row>
    <x:row r="60" ht="15" customHeight="1">
      <x:c r="A60" s="7" t="str">
        <x:f>IF(42&lt;='Сводка'!$B$3,'Сводка'!$B$4+42,"")</x:f>
      </x:c>
      <x:c r="B60" s="19" t="str">
        <x:f>IF($A60="","",(A60-$T$405+1)/1000)</x:f>
      </x:c>
      <x:c r="C60" s="19" t="str">
        <x:f>IF($A60="","",2*(A60-$T$405)/$T$406-1)</x:f>
      </x:c>
      <x:c r="D60" s="3" t="str">
        <x:f>IF($A60="","",$B$4+$B$5*C60^1+$B$6*C60^2)</x:f>
      </x:c>
      <x:c r="E60" s="3" t="str">
        <x:f>IF($A60="","",SQRT($T$403^2+H60^2))</x:f>
      </x:c>
      <x:c r="F60" s="3" t="str">
        <x:f>IF($A60="","",D60-$T$404*E60)</x:f>
      </x:c>
      <x:c r="G60" s="3" t="str">
        <x:f>IF($A60="","",D60+$T$404*E60)</x:f>
      </x:c>
      <x:c r="H60" s="3" t="str">
        <x:f>IF($A60="","",SQRT(MAX(0,(1)*$S$409*(1)+(1)*$T$409*(C60^1)+(1)*$U$409*(C60^2)+(C60^1)*$S$410*(1)+(C60^1)*$T$410*(C60^1)+(C60^1)*$U$410*(C60^2)+(C60^2)*$S$411*(1)+(C60^2)*$T$411*(C60^1)+(C60^2)*$U$411*(C60^2))))</x:f>
      </x:c>
      <x:c r="I60" s="3"/>
      <x:c r="J60" s="10" t="n">
        <x:v>45911</x:v>
      </x:c>
      <x:c r="K60" s="8" t="n">
        <x:f>INDEX('Сводка'!$S$3:$S$397,U60)</x:f>
        <x:v>207</x:v>
      </x:c>
      <x:c r="L60" s="8" t="n">
        <x:f>INDEX('Сводка'!$S$3:$S$397,V60)</x:f>
        <x:v>209</x:v>
      </x:c>
      <x:c r="M60" s="8" t="n">
        <x:f>INDEX($K$388:$N$400,W60,1)+INDEX($K$388:$N$400,W60,2)*(2*(J60-$T$405)/(T60-$T$405)-1)^1+INDEX($K$388:$N$400,W60,3)*(2*(J60-$T$405)/(T60-$T$405)-1)^2</x:f>
        <x:v>145.50200379596035</x:v>
      </x:c>
      <x:c r="N60" s="8" t="n">
        <x:f>K60-M60</x:f>
        <x:v>61.49799620403965</x:v>
      </x:c>
      <x:c r="O60" s="8" t="n">
        <x:f>ABS(N60)</x:f>
        <x:v>61.49799620403965</x:v>
      </x:c>
      <x:c r="P60" s="8" t="n">
        <x:f>N60^2</x:f>
        <x:v>3782.0035371120753</x:v>
      </x:c>
      <x:c r="Q60" s="8" t="n">
        <x:f>K60-L60</x:f>
        <x:v>-2</x:v>
      </x:c>
      <x:c r="R60" s="9" t="n">
        <x:f>IF(AND(INDEX('Сводка'!$T$3:$T$397,U60)=0,INDEX('Сводка'!$T$3:$T$397,V60)=0),1,0)</x:f>
        <x:v>1</x:v>
      </x:c>
      <x:c r="S60" s="9" t="n">
        <x:f>IF(AND(R60=1,O60&lt;=$G$13),1,0)</x:f>
        <x:v>0</x:v>
      </x:c>
      <x:c r="T60" s="10" t="n">
        <x:f>EOMONTH(J60-'Сводка'!$B$11,-1)</x:f>
        <x:v>45900</x:v>
      </x:c>
      <x:c r="U60" s="4" t="n">
        <x:f>MATCH(J60,'Сводка'!$R$3:$R$397,0)</x:f>
        <x:v>71</x:v>
      </x:c>
      <x:c r="V60" s="4" t="n">
        <x:f>MATCH(J60-'Сводка'!$B$11,'Сводка'!$R$3:$R$397,0)</x:f>
        <x:v>70</x:v>
      </x:c>
      <x:c r="W60" s="4" t="n">
        <x:f>MATCH(T60,$J$388:$J$400,0)</x:f>
        <x:v>3</x:v>
      </x:c>
      <x:c r="X60" s="3"/>
      <x:c r="Y60" s="3"/>
      <x:c r="Z60" s="3"/>
    </x:row>
    <x:row r="61" ht="15" customHeight="1">
      <x:c r="A61" s="7" t="str">
        <x:f>IF(43&lt;='Сводка'!$B$3,'Сводка'!$B$4+43,"")</x:f>
      </x:c>
      <x:c r="B61" s="19" t="str">
        <x:f>IF($A61="","",(A61-$T$405+1)/1000)</x:f>
      </x:c>
      <x:c r="C61" s="19" t="str">
        <x:f>IF($A61="","",2*(A61-$T$405)/$T$406-1)</x:f>
      </x:c>
      <x:c r="D61" s="3" t="str">
        <x:f>IF($A61="","",$B$4+$B$5*C61^1+$B$6*C61^2)</x:f>
      </x:c>
      <x:c r="E61" s="3" t="str">
        <x:f>IF($A61="","",SQRT($T$403^2+H61^2))</x:f>
      </x:c>
      <x:c r="F61" s="3" t="str">
        <x:f>IF($A61="","",D61-$T$404*E61)</x:f>
      </x:c>
      <x:c r="G61" s="3" t="str">
        <x:f>IF($A61="","",D61+$T$404*E61)</x:f>
      </x:c>
      <x:c r="H61" s="3" t="str">
        <x:f>IF($A61="","",SQRT(MAX(0,(1)*$S$409*(1)+(1)*$T$409*(C61^1)+(1)*$U$409*(C61^2)+(C61^1)*$S$410*(1)+(C61^1)*$T$410*(C61^1)+(C61^1)*$U$410*(C61^2)+(C61^2)*$S$411*(1)+(C61^2)*$T$411*(C61^1)+(C61^2)*$U$411*(C61^2))))</x:f>
      </x:c>
      <x:c r="I61" s="3"/>
      <x:c r="J61" s="10" t="n">
        <x:v>45912</x:v>
      </x:c>
      <x:c r="K61" s="8" t="n">
        <x:f>INDEX('Сводка'!$S$3:$S$397,U61)</x:f>
        <x:v>204</x:v>
      </x:c>
      <x:c r="L61" s="8" t="n">
        <x:f>INDEX('Сводка'!$S$3:$S$397,V61)</x:f>
        <x:v>207</x:v>
      </x:c>
      <x:c r="M61" s="8" t="n">
        <x:f>INDEX($K$388:$N$400,W61,1)+INDEX($K$388:$N$400,W61,2)*(2*(J61-$T$405)/(T61-$T$405)-1)^1+INDEX($K$388:$N$400,W61,3)*(2*(J61-$T$405)/(T61-$T$405)-1)^2</x:f>
        <x:v>145.50625133229497</x:v>
      </x:c>
      <x:c r="N61" s="8" t="n">
        <x:f>K61-M61</x:f>
        <x:v>58.493748667705034</x:v>
      </x:c>
      <x:c r="O61" s="8" t="n">
        <x:f>ABS(N61)</x:f>
        <x:v>58.493748667705034</x:v>
      </x:c>
      <x:c r="P61" s="8" t="n">
        <x:f>N61^2</x:f>
        <x:v>3421.5186332006447</x:v>
      </x:c>
      <x:c r="Q61" s="8" t="n">
        <x:f>K61-L61</x:f>
        <x:v>-3</x:v>
      </x:c>
      <x:c r="R61" s="9" t="n">
        <x:f>IF(AND(INDEX('Сводка'!$T$3:$T$397,U61)=0,INDEX('Сводка'!$T$3:$T$397,V61)=0),1,0)</x:f>
        <x:v>1</x:v>
      </x:c>
      <x:c r="S61" s="9" t="n">
        <x:f>IF(AND(R61=1,O61&lt;=$G$13),1,0)</x:f>
        <x:v>0</x:v>
      </x:c>
      <x:c r="T61" s="10" t="n">
        <x:f>EOMONTH(J61-'Сводка'!$B$11,-1)</x:f>
        <x:v>45900</x:v>
      </x:c>
      <x:c r="U61" s="4" t="n">
        <x:f>MATCH(J61,'Сводка'!$R$3:$R$397,0)</x:f>
        <x:v>72</x:v>
      </x:c>
      <x:c r="V61" s="4" t="n">
        <x:f>MATCH(J61-'Сводка'!$B$11,'Сводка'!$R$3:$R$397,0)</x:f>
        <x:v>71</x:v>
      </x:c>
      <x:c r="W61" s="4" t="n">
        <x:f>MATCH(T61,$J$388:$J$400,0)</x:f>
        <x:v>3</x:v>
      </x:c>
      <x:c r="X61" s="3"/>
      <x:c r="Y61" s="3"/>
      <x:c r="Z61" s="3"/>
    </x:row>
    <x:row r="62" ht="15" customHeight="1">
      <x:c r="A62" s="7" t="str">
        <x:f>IF(44&lt;='Сводка'!$B$3,'Сводка'!$B$4+44,"")</x:f>
      </x:c>
      <x:c r="B62" s="19" t="str">
        <x:f>IF($A62="","",(A62-$T$405+1)/1000)</x:f>
      </x:c>
      <x:c r="C62" s="19" t="str">
        <x:f>IF($A62="","",2*(A62-$T$405)/$T$406-1)</x:f>
      </x:c>
      <x:c r="D62" s="3" t="str">
        <x:f>IF($A62="","",$B$4+$B$5*C62^1+$B$6*C62^2)</x:f>
      </x:c>
      <x:c r="E62" s="3" t="str">
        <x:f>IF($A62="","",SQRT($T$403^2+H62^2))</x:f>
      </x:c>
      <x:c r="F62" s="3" t="str">
        <x:f>IF($A62="","",D62-$T$404*E62)</x:f>
      </x:c>
      <x:c r="G62" s="3" t="str">
        <x:f>IF($A62="","",D62+$T$404*E62)</x:f>
      </x:c>
      <x:c r="H62" s="3" t="str">
        <x:f>IF($A62="","",SQRT(MAX(0,(1)*$S$409*(1)+(1)*$T$409*(C62^1)+(1)*$U$409*(C62^2)+(C62^1)*$S$410*(1)+(C62^1)*$T$410*(C62^1)+(C62^1)*$U$410*(C62^2)+(C62^2)*$S$411*(1)+(C62^2)*$T$411*(C62^1)+(C62^2)*$U$411*(C62^2))))</x:f>
      </x:c>
      <x:c r="I62" s="3"/>
      <x:c r="J62" s="10" t="n">
        <x:v>45913</x:v>
      </x:c>
      <x:c r="K62" s="8" t="n">
        <x:f>INDEX('Сводка'!$S$3:$S$397,U62)</x:f>
        <x:v>201</x:v>
      </x:c>
      <x:c r="L62" s="8" t="n">
        <x:f>INDEX('Сводка'!$S$3:$S$397,V62)</x:f>
        <x:v>204</x:v>
      </x:c>
      <x:c r="M62" s="8" t="n">
        <x:f>INDEX($K$388:$N$400,W62,1)+INDEX($K$388:$N$400,W62,2)*(2*(J62-$T$405)/(T62-$T$405)-1)^1+INDEX($K$388:$N$400,W62,3)*(2*(J62-$T$405)/(T62-$T$405)-1)^2</x:f>
        <x:v>145.5104942678608</x:v>
      </x:c>
      <x:c r="N62" s="8" t="n">
        <x:f>K62-M62</x:f>
        <x:v>55.48950573213921</x:v>
      </x:c>
      <x:c r="O62" s="8" t="n">
        <x:f>ABS(N62)</x:f>
        <x:v>55.48950573213921</x:v>
      </x:c>
      <x:c r="P62" s="8" t="n">
        <x:f>N62^2</x:f>
        <x:v>3079.08524639711</x:v>
      </x:c>
      <x:c r="Q62" s="8" t="n">
        <x:f>K62-L62</x:f>
        <x:v>-3</x:v>
      </x:c>
      <x:c r="R62" s="9" t="n">
        <x:f>IF(AND(INDEX('Сводка'!$T$3:$T$397,U62)=0,INDEX('Сводка'!$T$3:$T$397,V62)=0),1,0)</x:f>
        <x:v>1</x:v>
      </x:c>
      <x:c r="S62" s="9" t="n">
        <x:f>IF(AND(R62=1,O62&lt;=$G$13),1,0)</x:f>
        <x:v>0</x:v>
      </x:c>
      <x:c r="T62" s="10" t="n">
        <x:f>EOMONTH(J62-'Сводка'!$B$11,-1)</x:f>
        <x:v>45900</x:v>
      </x:c>
      <x:c r="U62" s="4" t="n">
        <x:f>MATCH(J62,'Сводка'!$R$3:$R$397,0)</x:f>
        <x:v>73</x:v>
      </x:c>
      <x:c r="V62" s="4" t="n">
        <x:f>MATCH(J62-'Сводка'!$B$11,'Сводка'!$R$3:$R$397,0)</x:f>
        <x:v>72</x:v>
      </x:c>
      <x:c r="W62" s="4" t="n">
        <x:f>MATCH(T62,$J$388:$J$400,0)</x:f>
        <x:v>3</x:v>
      </x:c>
      <x:c r="X62" s="3"/>
      <x:c r="Y62" s="3"/>
      <x:c r="Z62" s="3"/>
    </x:row>
    <x:row r="63" ht="15" customHeight="1">
      <x:c r="A63" s="7" t="str">
        <x:f>IF(45&lt;='Сводка'!$B$3,'Сводка'!$B$4+45,"")</x:f>
      </x:c>
      <x:c r="B63" s="19" t="str">
        <x:f>IF($A63="","",(A63-$T$405+1)/1000)</x:f>
      </x:c>
      <x:c r="C63" s="19" t="str">
        <x:f>IF($A63="","",2*(A63-$T$405)/$T$406-1)</x:f>
      </x:c>
      <x:c r="D63" s="3" t="str">
        <x:f>IF($A63="","",$B$4+$B$5*C63^1+$B$6*C63^2)</x:f>
      </x:c>
      <x:c r="E63" s="3" t="str">
        <x:f>IF($A63="","",SQRT($T$403^2+H63^2))</x:f>
      </x:c>
      <x:c r="F63" s="3" t="str">
        <x:f>IF($A63="","",D63-$T$404*E63)</x:f>
      </x:c>
      <x:c r="G63" s="3" t="str">
        <x:f>IF($A63="","",D63+$T$404*E63)</x:f>
      </x:c>
      <x:c r="H63" s="3" t="str">
        <x:f>IF($A63="","",SQRT(MAX(0,(1)*$S$409*(1)+(1)*$T$409*(C63^1)+(1)*$U$409*(C63^2)+(C63^1)*$S$410*(1)+(C63^1)*$T$410*(C63^1)+(C63^1)*$U$410*(C63^2)+(C63^2)*$S$411*(1)+(C63^2)*$T$411*(C63^1)+(C63^2)*$U$411*(C63^2))))</x:f>
      </x:c>
      <x:c r="I63" s="3"/>
      <x:c r="J63" s="10" t="n">
        <x:v>45914</x:v>
      </x:c>
      <x:c r="K63" s="8" t="n">
        <x:f>INDEX('Сводка'!$S$3:$S$397,U63)</x:f>
        <x:v>202</x:v>
      </x:c>
      <x:c r="L63" s="8" t="n">
        <x:f>INDEX('Сводка'!$S$3:$S$397,V63)</x:f>
        <x:v>201</x:v>
      </x:c>
      <x:c r="M63" s="8" t="n">
        <x:f>INDEX($K$388:$N$400,W63,1)+INDEX($K$388:$N$400,W63,2)*(2*(J63-$T$405)/(T63-$T$405)-1)^1+INDEX($K$388:$N$400,W63,3)*(2*(J63-$T$405)/(T63-$T$405)-1)^2</x:f>
        <x:v>145.5147326026579</x:v>
      </x:c>
      <x:c r="N63" s="8" t="n">
        <x:f>K63-M63</x:f>
        <x:v>56.48526739734211</x:v>
      </x:c>
      <x:c r="O63" s="8" t="n">
        <x:f>ABS(N63)</x:f>
        <x:v>56.48526739734211</x:v>
      </x:c>
      <x:c r="P63" s="8" t="n">
        <x:f>N63^2</x:f>
        <x:v>3190.58543294924</x:v>
      </x:c>
      <x:c r="Q63" s="8" t="n">
        <x:f>K63-L63</x:f>
        <x:v>1</x:v>
      </x:c>
      <x:c r="R63" s="9" t="n">
        <x:f>IF(AND(INDEX('Сводка'!$T$3:$T$397,U63)=0,INDEX('Сводка'!$T$3:$T$397,V63)=0),1,0)</x:f>
        <x:v>1</x:v>
      </x:c>
      <x:c r="S63" s="9" t="n">
        <x:f>IF(AND(R63=1,O63&lt;=$G$13),1,0)</x:f>
        <x:v>0</x:v>
      </x:c>
      <x:c r="T63" s="10" t="n">
        <x:f>EOMONTH(J63-'Сводка'!$B$11,-1)</x:f>
        <x:v>45900</x:v>
      </x:c>
      <x:c r="U63" s="4" t="n">
        <x:f>MATCH(J63,'Сводка'!$R$3:$R$397,0)</x:f>
        <x:v>74</x:v>
      </x:c>
      <x:c r="V63" s="4" t="n">
        <x:f>MATCH(J63-'Сводка'!$B$11,'Сводка'!$R$3:$R$397,0)</x:f>
        <x:v>73</x:v>
      </x:c>
      <x:c r="W63" s="4" t="n">
        <x:f>MATCH(T63,$J$388:$J$400,0)</x:f>
        <x:v>3</x:v>
      </x:c>
      <x:c r="X63" s="3"/>
      <x:c r="Y63" s="3"/>
      <x:c r="Z63" s="3"/>
    </x:row>
    <x:row r="64" ht="15" customHeight="1">
      <x:c r="A64" s="7" t="str">
        <x:f>IF(46&lt;='Сводка'!$B$3,'Сводка'!$B$4+46,"")</x:f>
      </x:c>
      <x:c r="B64" s="19" t="str">
        <x:f>IF($A64="","",(A64-$T$405+1)/1000)</x:f>
      </x:c>
      <x:c r="C64" s="19" t="str">
        <x:f>IF($A64="","",2*(A64-$T$405)/$T$406-1)</x:f>
      </x:c>
      <x:c r="D64" s="3" t="str">
        <x:f>IF($A64="","",$B$4+$B$5*C64^1+$B$6*C64^2)</x:f>
      </x:c>
      <x:c r="E64" s="3" t="str">
        <x:f>IF($A64="","",SQRT($T$403^2+H64^2))</x:f>
      </x:c>
      <x:c r="F64" s="3" t="str">
        <x:f>IF($A64="","",D64-$T$404*E64)</x:f>
      </x:c>
      <x:c r="G64" s="3" t="str">
        <x:f>IF($A64="","",D64+$T$404*E64)</x:f>
      </x:c>
      <x:c r="H64" s="3" t="str">
        <x:f>IF($A64="","",SQRT(MAX(0,(1)*$S$409*(1)+(1)*$T$409*(C64^1)+(1)*$U$409*(C64^2)+(C64^1)*$S$410*(1)+(C64^1)*$T$410*(C64^1)+(C64^1)*$U$410*(C64^2)+(C64^2)*$S$411*(1)+(C64^2)*$T$411*(C64^1)+(C64^2)*$U$411*(C64^2))))</x:f>
      </x:c>
      <x:c r="I64" s="3"/>
      <x:c r="J64" s="10" t="n">
        <x:v>45915</x:v>
      </x:c>
      <x:c r="K64" s="8" t="n">
        <x:f>INDEX('Сводка'!$S$3:$S$397,U64)</x:f>
        <x:v>204</x:v>
      </x:c>
      <x:c r="L64" s="8" t="n">
        <x:f>INDEX('Сводка'!$S$3:$S$397,V64)</x:f>
        <x:v>202</x:v>
      </x:c>
      <x:c r="M64" s="8" t="n">
        <x:f>INDEX($K$388:$N$400,W64,1)+INDEX($K$388:$N$400,W64,2)*(2*(J64-$T$405)/(T64-$T$405)-1)^1+INDEX($K$388:$N$400,W64,3)*(2*(J64-$T$405)/(T64-$T$405)-1)^2</x:f>
        <x:v>145.51896633668616</x:v>
      </x:c>
      <x:c r="N64" s="8" t="n">
        <x:f>K64-M64</x:f>
        <x:v>58.48103366331384</x:v>
      </x:c>
      <x:c r="O64" s="8" t="n">
        <x:f>ABS(N64)</x:f>
        <x:v>58.48103366331384</x:v>
      </x:c>
      <x:c r="P64" s="8" t="n">
        <x:f>N64^2</x:f>
        <x:v>3420.0312983296462</x:v>
      </x:c>
      <x:c r="Q64" s="8" t="n">
        <x:f>K64-L64</x:f>
        <x:v>2</x:v>
      </x:c>
      <x:c r="R64" s="9" t="n">
        <x:f>IF(AND(INDEX('Сводка'!$T$3:$T$397,U64)=0,INDEX('Сводка'!$T$3:$T$397,V64)=0),1,0)</x:f>
        <x:v>1</x:v>
      </x:c>
      <x:c r="S64" s="9" t="n">
        <x:f>IF(AND(R64=1,O64&lt;=$G$13),1,0)</x:f>
        <x:v>0</x:v>
      </x:c>
      <x:c r="T64" s="10" t="n">
        <x:f>EOMONTH(J64-'Сводка'!$B$11,-1)</x:f>
        <x:v>45900</x:v>
      </x:c>
      <x:c r="U64" s="4" t="n">
        <x:f>MATCH(J64,'Сводка'!$R$3:$R$397,0)</x:f>
        <x:v>75</x:v>
      </x:c>
      <x:c r="V64" s="4" t="n">
        <x:f>MATCH(J64-'Сводка'!$B$11,'Сводка'!$R$3:$R$397,0)</x:f>
        <x:v>74</x:v>
      </x:c>
      <x:c r="W64" s="4" t="n">
        <x:f>MATCH(T64,$J$388:$J$400,0)</x:f>
        <x:v>3</x:v>
      </x:c>
      <x:c r="X64" s="3"/>
      <x:c r="Y64" s="3"/>
      <x:c r="Z64" s="3"/>
    </x:row>
    <x:row r="65" ht="15" customHeight="1">
      <x:c r="A65" s="7" t="str">
        <x:f>IF(47&lt;='Сводка'!$B$3,'Сводка'!$B$4+47,"")</x:f>
      </x:c>
      <x:c r="B65" s="19" t="str">
        <x:f>IF($A65="","",(A65-$T$405+1)/1000)</x:f>
      </x:c>
      <x:c r="C65" s="19" t="str">
        <x:f>IF($A65="","",2*(A65-$T$405)/$T$406-1)</x:f>
      </x:c>
      <x:c r="D65" s="3" t="str">
        <x:f>IF($A65="","",$B$4+$B$5*C65^1+$B$6*C65^2)</x:f>
      </x:c>
      <x:c r="E65" s="3" t="str">
        <x:f>IF($A65="","",SQRT($T$403^2+H65^2))</x:f>
      </x:c>
      <x:c r="F65" s="3" t="str">
        <x:f>IF($A65="","",D65-$T$404*E65)</x:f>
      </x:c>
      <x:c r="G65" s="3" t="str">
        <x:f>IF($A65="","",D65+$T$404*E65)</x:f>
      </x:c>
      <x:c r="H65" s="3" t="str">
        <x:f>IF($A65="","",SQRT(MAX(0,(1)*$S$409*(1)+(1)*$T$409*(C65^1)+(1)*$U$409*(C65^2)+(C65^1)*$S$410*(1)+(C65^1)*$T$410*(C65^1)+(C65^1)*$U$410*(C65^2)+(C65^2)*$S$411*(1)+(C65^2)*$T$411*(C65^1)+(C65^2)*$U$411*(C65^2))))</x:f>
      </x:c>
      <x:c r="I65" s="3"/>
      <x:c r="J65" s="10" t="n">
        <x:v>45916</x:v>
      </x:c>
      <x:c r="K65" s="8" t="n">
        <x:f>INDEX('Сводка'!$S$3:$S$397,U65)</x:f>
        <x:v>213</x:v>
      </x:c>
      <x:c r="L65" s="8" t="n">
        <x:f>INDEX('Сводка'!$S$3:$S$397,V65)</x:f>
        <x:v>204</x:v>
      </x:c>
      <x:c r="M65" s="8" t="n">
        <x:f>INDEX($K$388:$N$400,W65,1)+INDEX($K$388:$N$400,W65,2)*(2*(J65-$T$405)/(T65-$T$405)-1)^1+INDEX($K$388:$N$400,W65,3)*(2*(J65-$T$405)/(T65-$T$405)-1)^2</x:f>
        <x:v>145.52319546994565</x:v>
      </x:c>
      <x:c r="N65" s="8" t="n">
        <x:f>K65-M65</x:f>
        <x:v>67.47680453005435</x:v>
      </x:c>
      <x:c r="O65" s="8" t="n">
        <x:f>ABS(N65)</x:f>
        <x:v>67.47680453005435</x:v>
      </x:c>
      <x:c r="P65" s="8" t="n">
        <x:f>N65^2</x:f>
        <x:v>4553.1191495871635</x:v>
      </x:c>
      <x:c r="Q65" s="8" t="n">
        <x:f>K65-L65</x:f>
        <x:v>9</x:v>
      </x:c>
      <x:c r="R65" s="9" t="n">
        <x:f>IF(AND(INDEX('Сводка'!$T$3:$T$397,U65)=0,INDEX('Сводка'!$T$3:$T$397,V65)=0),1,0)</x:f>
        <x:v>1</x:v>
      </x:c>
      <x:c r="S65" s="9" t="n">
        <x:f>IF(AND(R65=1,O65&lt;=$G$13),1,0)</x:f>
        <x:v>0</x:v>
      </x:c>
      <x:c r="T65" s="10" t="n">
        <x:f>EOMONTH(J65-'Сводка'!$B$11,-1)</x:f>
        <x:v>45900</x:v>
      </x:c>
      <x:c r="U65" s="4" t="n">
        <x:f>MATCH(J65,'Сводка'!$R$3:$R$397,0)</x:f>
        <x:v>76</x:v>
      </x:c>
      <x:c r="V65" s="4" t="n">
        <x:f>MATCH(J65-'Сводка'!$B$11,'Сводка'!$R$3:$R$397,0)</x:f>
        <x:v>75</x:v>
      </x:c>
      <x:c r="W65" s="4" t="n">
        <x:f>MATCH(T65,$J$388:$J$400,0)</x:f>
        <x:v>3</x:v>
      </x:c>
      <x:c r="X65" s="3"/>
      <x:c r="Y65" s="3"/>
      <x:c r="Z65" s="3"/>
    </x:row>
    <x:row r="66" ht="15" customHeight="1">
      <x:c r="A66" s="7" t="str">
        <x:f>IF(48&lt;='Сводка'!$B$3,'Сводка'!$B$4+48,"")</x:f>
      </x:c>
      <x:c r="B66" s="19" t="str">
        <x:f>IF($A66="","",(A66-$T$405+1)/1000)</x:f>
      </x:c>
      <x:c r="C66" s="19" t="str">
        <x:f>IF($A66="","",2*(A66-$T$405)/$T$406-1)</x:f>
      </x:c>
      <x:c r="D66" s="3" t="str">
        <x:f>IF($A66="","",$B$4+$B$5*C66^1+$B$6*C66^2)</x:f>
      </x:c>
      <x:c r="E66" s="3" t="str">
        <x:f>IF($A66="","",SQRT($T$403^2+H66^2))</x:f>
      </x:c>
      <x:c r="F66" s="3" t="str">
        <x:f>IF($A66="","",D66-$T$404*E66)</x:f>
      </x:c>
      <x:c r="G66" s="3" t="str">
        <x:f>IF($A66="","",D66+$T$404*E66)</x:f>
      </x:c>
      <x:c r="H66" s="3" t="str">
        <x:f>IF($A66="","",SQRT(MAX(0,(1)*$S$409*(1)+(1)*$T$409*(C66^1)+(1)*$U$409*(C66^2)+(C66^1)*$S$410*(1)+(C66^1)*$T$410*(C66^1)+(C66^1)*$U$410*(C66^2)+(C66^2)*$S$411*(1)+(C66^2)*$T$411*(C66^1)+(C66^2)*$U$411*(C66^2))))</x:f>
      </x:c>
      <x:c r="I66" s="3"/>
      <x:c r="J66" s="10" t="n">
        <x:v>45917</x:v>
      </x:c>
      <x:c r="K66" s="8" t="n">
        <x:f>INDEX('Сводка'!$S$3:$S$397,U66)</x:f>
        <x:v>219</x:v>
      </x:c>
      <x:c r="L66" s="8" t="n">
        <x:f>INDEX('Сводка'!$S$3:$S$397,V66)</x:f>
        <x:v>213</x:v>
      </x:c>
      <x:c r="M66" s="8" t="n">
        <x:f>INDEX($K$388:$N$400,W66,1)+INDEX($K$388:$N$400,W66,2)*(2*(J66-$T$405)/(T66-$T$405)-1)^1+INDEX($K$388:$N$400,W66,3)*(2*(J66-$T$405)/(T66-$T$405)-1)^2</x:f>
        <x:v>145.5274200024364</x:v>
      </x:c>
      <x:c r="N66" s="8" t="n">
        <x:f>K66-M66</x:f>
        <x:v>73.4725799975636</x:v>
      </x:c>
      <x:c r="O66" s="8" t="n">
        <x:f>ABS(N66)</x:f>
        <x:v>73.4725799975636</x:v>
      </x:c>
      <x:c r="P66" s="8" t="n">
        <x:f>N66^2</x:f>
        <x:v>5398.2200114983825</x:v>
      </x:c>
      <x:c r="Q66" s="8" t="n">
        <x:f>K66-L66</x:f>
        <x:v>6</x:v>
      </x:c>
      <x:c r="R66" s="9" t="n">
        <x:f>IF(AND(INDEX('Сводка'!$T$3:$T$397,U66)=0,INDEX('Сводка'!$T$3:$T$397,V66)=0),1,0)</x:f>
        <x:v>1</x:v>
      </x:c>
      <x:c r="S66" s="9" t="n">
        <x:f>IF(AND(R66=1,O66&lt;=$G$13),1,0)</x:f>
        <x:v>0</x:v>
      </x:c>
      <x:c r="T66" s="10" t="n">
        <x:f>EOMONTH(J66-'Сводка'!$B$11,-1)</x:f>
        <x:v>45900</x:v>
      </x:c>
      <x:c r="U66" s="4" t="n">
        <x:f>MATCH(J66,'Сводка'!$R$3:$R$397,0)</x:f>
        <x:v>77</x:v>
      </x:c>
      <x:c r="V66" s="4" t="n">
        <x:f>MATCH(J66-'Сводка'!$B$11,'Сводка'!$R$3:$R$397,0)</x:f>
        <x:v>76</x:v>
      </x:c>
      <x:c r="W66" s="4" t="n">
        <x:f>MATCH(T66,$J$388:$J$400,0)</x:f>
        <x:v>3</x:v>
      </x:c>
      <x:c r="X66" s="3"/>
      <x:c r="Y66" s="3"/>
      <x:c r="Z66" s="3"/>
    </x:row>
    <x:row r="67" ht="15" customHeight="1">
      <x:c r="A67" s="7" t="str">
        <x:f>IF(49&lt;='Сводка'!$B$3,'Сводка'!$B$4+49,"")</x:f>
      </x:c>
      <x:c r="B67" s="19" t="str">
        <x:f>IF($A67="","",(A67-$T$405+1)/1000)</x:f>
      </x:c>
      <x:c r="C67" s="19" t="str">
        <x:f>IF($A67="","",2*(A67-$T$405)/$T$406-1)</x:f>
      </x:c>
      <x:c r="D67" s="3" t="str">
        <x:f>IF($A67="","",$B$4+$B$5*C67^1+$B$6*C67^2)</x:f>
      </x:c>
      <x:c r="E67" s="3" t="str">
        <x:f>IF($A67="","",SQRT($T$403^2+H67^2))</x:f>
      </x:c>
      <x:c r="F67" s="3" t="str">
        <x:f>IF($A67="","",D67-$T$404*E67)</x:f>
      </x:c>
      <x:c r="G67" s="3" t="str">
        <x:f>IF($A67="","",D67+$T$404*E67)</x:f>
      </x:c>
      <x:c r="H67" s="3" t="str">
        <x:f>IF($A67="","",SQRT(MAX(0,(1)*$S$409*(1)+(1)*$T$409*(C67^1)+(1)*$U$409*(C67^2)+(C67^1)*$S$410*(1)+(C67^1)*$T$410*(C67^1)+(C67^1)*$U$410*(C67^2)+(C67^2)*$S$411*(1)+(C67^2)*$T$411*(C67^1)+(C67^2)*$U$411*(C67^2))))</x:f>
      </x:c>
      <x:c r="I67" s="3"/>
      <x:c r="J67" s="10" t="n">
        <x:v>45918</x:v>
      </x:c>
      <x:c r="K67" s="8" t="n">
        <x:f>INDEX('Сводка'!$S$3:$S$397,U67)</x:f>
        <x:v>227</x:v>
      </x:c>
      <x:c r="L67" s="8" t="n">
        <x:f>INDEX('Сводка'!$S$3:$S$397,V67)</x:f>
        <x:v>219</x:v>
      </x:c>
      <x:c r="M67" s="8" t="n">
        <x:f>INDEX($K$388:$N$400,W67,1)+INDEX($K$388:$N$400,W67,2)*(2*(J67-$T$405)/(T67-$T$405)-1)^1+INDEX($K$388:$N$400,W67,3)*(2*(J67-$T$405)/(T67-$T$405)-1)^2</x:f>
        <x:v>145.53163993415836</x:v>
      </x:c>
      <x:c r="N67" s="8" t="n">
        <x:f>K67-M67</x:f>
        <x:v>81.46836006584164</x:v>
      </x:c>
      <x:c r="O67" s="8" t="n">
        <x:f>ABS(N67)</x:f>
        <x:v>81.46836006584164</x:v>
      </x:c>
      <x:c r="P67" s="8" t="n">
        <x:f>N67^2</x:f>
        <x:v>6637.09369181762</x:v>
      </x:c>
      <x:c r="Q67" s="8" t="n">
        <x:f>K67-L67</x:f>
        <x:v>8</x:v>
      </x:c>
      <x:c r="R67" s="9" t="n">
        <x:f>IF(AND(INDEX('Сводка'!$T$3:$T$397,U67)=0,INDEX('Сводка'!$T$3:$T$397,V67)=0),1,0)</x:f>
        <x:v>1</x:v>
      </x:c>
      <x:c r="S67" s="9" t="n">
        <x:f>IF(AND(R67=1,O67&lt;=$G$13),1,0)</x:f>
        <x:v>0</x:v>
      </x:c>
      <x:c r="T67" s="10" t="n">
        <x:f>EOMONTH(J67-'Сводка'!$B$11,-1)</x:f>
        <x:v>45900</x:v>
      </x:c>
      <x:c r="U67" s="4" t="n">
        <x:f>MATCH(J67,'Сводка'!$R$3:$R$397,0)</x:f>
        <x:v>78</x:v>
      </x:c>
      <x:c r="V67" s="4" t="n">
        <x:f>MATCH(J67-'Сводка'!$B$11,'Сводка'!$R$3:$R$397,0)</x:f>
        <x:v>77</x:v>
      </x:c>
      <x:c r="W67" s="4" t="n">
        <x:f>MATCH(T67,$J$388:$J$400,0)</x:f>
        <x:v>3</x:v>
      </x:c>
      <x:c r="X67" s="3"/>
      <x:c r="Y67" s="3"/>
      <x:c r="Z67" s="3"/>
    </x:row>
    <x:row r="68" ht="15" customHeight="1">
      <x:c r="A68" s="7" t="str">
        <x:f>IF(50&lt;='Сводка'!$B$3,'Сводка'!$B$4+50,"")</x:f>
      </x:c>
      <x:c r="B68" s="19" t="str">
        <x:f>IF($A68="","",(A68-$T$405+1)/1000)</x:f>
      </x:c>
      <x:c r="C68" s="19" t="str">
        <x:f>IF($A68="","",2*(A68-$T$405)/$T$406-1)</x:f>
      </x:c>
      <x:c r="D68" s="3" t="str">
        <x:f>IF($A68="","",$B$4+$B$5*C68^1+$B$6*C68^2)</x:f>
      </x:c>
      <x:c r="E68" s="3" t="str">
        <x:f>IF($A68="","",SQRT($T$403^2+H68^2))</x:f>
      </x:c>
      <x:c r="F68" s="3" t="str">
        <x:f>IF($A68="","",D68-$T$404*E68)</x:f>
      </x:c>
      <x:c r="G68" s="3" t="str">
        <x:f>IF($A68="","",D68+$T$404*E68)</x:f>
      </x:c>
      <x:c r="H68" s="3" t="str">
        <x:f>IF($A68="","",SQRT(MAX(0,(1)*$S$409*(1)+(1)*$T$409*(C68^1)+(1)*$U$409*(C68^2)+(C68^1)*$S$410*(1)+(C68^1)*$T$410*(C68^1)+(C68^1)*$U$410*(C68^2)+(C68^2)*$S$411*(1)+(C68^2)*$T$411*(C68^1)+(C68^2)*$U$411*(C68^2))))</x:f>
      </x:c>
      <x:c r="I68" s="3"/>
      <x:c r="J68" s="10" t="n">
        <x:v>45919</x:v>
      </x:c>
      <x:c r="K68" s="8" t="n">
        <x:f>INDEX('Сводка'!$S$3:$S$397,U68)</x:f>
        <x:v>241</x:v>
      </x:c>
      <x:c r="L68" s="8" t="n">
        <x:f>INDEX('Сводка'!$S$3:$S$397,V68)</x:f>
        <x:v>227</x:v>
      </x:c>
      <x:c r="M68" s="8" t="n">
        <x:f>INDEX($K$388:$N$400,W68,1)+INDEX($K$388:$N$400,W68,2)*(2*(J68-$T$405)/(T68-$T$405)-1)^1+INDEX($K$388:$N$400,W68,3)*(2*(J68-$T$405)/(T68-$T$405)-1)^2</x:f>
        <x:v>145.5358552651115</x:v>
      </x:c>
      <x:c r="N68" s="8" t="n">
        <x:f>K68-M68</x:f>
        <x:v>95.46414473488849</x:v>
      </x:c>
      <x:c r="O68" s="8" t="n">
        <x:f>ABS(N68)</x:f>
        <x:v>95.46414473488849</x:v>
      </x:c>
      <x:c r="P68" s="8" t="n">
        <x:f>N68^2</x:f>
        <x:v>9113.402929963739</x:v>
      </x:c>
      <x:c r="Q68" s="8" t="n">
        <x:f>K68-L68</x:f>
        <x:v>14</x:v>
      </x:c>
      <x:c r="R68" s="9" t="n">
        <x:f>IF(AND(INDEX('Сводка'!$T$3:$T$397,U68)=0,INDEX('Сводка'!$T$3:$T$397,V68)=0),1,0)</x:f>
        <x:v>1</x:v>
      </x:c>
      <x:c r="S68" s="9" t="n">
        <x:f>IF(AND(R68=1,O68&lt;=$G$13),1,0)</x:f>
        <x:v>0</x:v>
      </x:c>
      <x:c r="T68" s="10" t="n">
        <x:f>EOMONTH(J68-'Сводка'!$B$11,-1)</x:f>
        <x:v>45900</x:v>
      </x:c>
      <x:c r="U68" s="4" t="n">
        <x:f>MATCH(J68,'Сводка'!$R$3:$R$397,0)</x:f>
        <x:v>79</x:v>
      </x:c>
      <x:c r="V68" s="4" t="n">
        <x:f>MATCH(J68-'Сводка'!$B$11,'Сводка'!$R$3:$R$397,0)</x:f>
        <x:v>78</x:v>
      </x:c>
      <x:c r="W68" s="4" t="n">
        <x:f>MATCH(T68,$J$388:$J$400,0)</x:f>
        <x:v>3</x:v>
      </x:c>
      <x:c r="X68" s="3"/>
      <x:c r="Y68" s="3"/>
      <x:c r="Z68" s="3"/>
    </x:row>
    <x:row r="69" ht="15" customHeight="1">
      <x:c r="A69" s="7" t="str">
        <x:f>IF(51&lt;='Сводка'!$B$3,'Сводка'!$B$4+51,"")</x:f>
      </x:c>
      <x:c r="B69" s="19" t="str">
        <x:f>IF($A69="","",(A69-$T$405+1)/1000)</x:f>
      </x:c>
      <x:c r="C69" s="19" t="str">
        <x:f>IF($A69="","",2*(A69-$T$405)/$T$406-1)</x:f>
      </x:c>
      <x:c r="D69" s="3" t="str">
        <x:f>IF($A69="","",$B$4+$B$5*C69^1+$B$6*C69^2)</x:f>
      </x:c>
      <x:c r="E69" s="3" t="str">
        <x:f>IF($A69="","",SQRT($T$403^2+H69^2))</x:f>
      </x:c>
      <x:c r="F69" s="3" t="str">
        <x:f>IF($A69="","",D69-$T$404*E69)</x:f>
      </x:c>
      <x:c r="G69" s="3" t="str">
        <x:f>IF($A69="","",D69+$T$404*E69)</x:f>
      </x:c>
      <x:c r="H69" s="3" t="str">
        <x:f>IF($A69="","",SQRT(MAX(0,(1)*$S$409*(1)+(1)*$T$409*(C69^1)+(1)*$U$409*(C69^2)+(C69^1)*$S$410*(1)+(C69^1)*$T$410*(C69^1)+(C69^1)*$U$410*(C69^2)+(C69^2)*$S$411*(1)+(C69^2)*$T$411*(C69^1)+(C69^2)*$U$411*(C69^2))))</x:f>
      </x:c>
      <x:c r="I69" s="3"/>
      <x:c r="J69" s="10" t="n">
        <x:v>45920</x:v>
      </x:c>
      <x:c r="K69" s="8" t="n">
        <x:f>INDEX('Сводка'!$S$3:$S$397,U69)</x:f>
        <x:v>249</x:v>
      </x:c>
      <x:c r="L69" s="8" t="n">
        <x:f>INDEX('Сводка'!$S$3:$S$397,V69)</x:f>
        <x:v>241</x:v>
      </x:c>
      <x:c r="M69" s="8" t="n">
        <x:f>INDEX($K$388:$N$400,W69,1)+INDEX($K$388:$N$400,W69,2)*(2*(J69-$T$405)/(T69-$T$405)-1)^1+INDEX($K$388:$N$400,W69,3)*(2*(J69-$T$405)/(T69-$T$405)-1)^2</x:f>
        <x:v>145.5400659952959</x:v>
      </x:c>
      <x:c r="N69" s="8" t="n">
        <x:f>K69-M69</x:f>
        <x:v>103.45993400470411</x:v>
      </x:c>
      <x:c r="O69" s="8" t="n">
        <x:f>ABS(N69)</x:f>
        <x:v>103.45993400470411</x:v>
      </x:c>
      <x:c r="P69" s="8" t="n">
        <x:f>N69^2</x:f>
        <x:v>10703.95794425773</x:v>
      </x:c>
      <x:c r="Q69" s="8" t="n">
        <x:f>K69-L69</x:f>
        <x:v>8</x:v>
      </x:c>
      <x:c r="R69" s="9" t="n">
        <x:f>IF(AND(INDEX('Сводка'!$T$3:$T$397,U69)=0,INDEX('Сводка'!$T$3:$T$397,V69)=0),1,0)</x:f>
        <x:v>1</x:v>
      </x:c>
      <x:c r="S69" s="9" t="n">
        <x:f>IF(AND(R69=1,O69&lt;=$G$13),1,0)</x:f>
        <x:v>0</x:v>
      </x:c>
      <x:c r="T69" s="10" t="n">
        <x:f>EOMONTH(J69-'Сводка'!$B$11,-1)</x:f>
        <x:v>45900</x:v>
      </x:c>
      <x:c r="U69" s="4" t="n">
        <x:f>MATCH(J69,'Сводка'!$R$3:$R$397,0)</x:f>
        <x:v>80</x:v>
      </x:c>
      <x:c r="V69" s="4" t="n">
        <x:f>MATCH(J69-'Сводка'!$B$11,'Сводка'!$R$3:$R$397,0)</x:f>
        <x:v>79</x:v>
      </x:c>
      <x:c r="W69" s="4" t="n">
        <x:f>MATCH(T69,$J$388:$J$400,0)</x:f>
        <x:v>3</x:v>
      </x:c>
      <x:c r="X69" s="3"/>
      <x:c r="Y69" s="3"/>
      <x:c r="Z69" s="3"/>
    </x:row>
    <x:row r="70" ht="15" customHeight="1">
      <x:c r="A70" s="7" t="str">
        <x:f>IF(52&lt;='Сводка'!$B$3,'Сводка'!$B$4+52,"")</x:f>
      </x:c>
      <x:c r="B70" s="19" t="str">
        <x:f>IF($A70="","",(A70-$T$405+1)/1000)</x:f>
      </x:c>
      <x:c r="C70" s="19" t="str">
        <x:f>IF($A70="","",2*(A70-$T$405)/$T$406-1)</x:f>
      </x:c>
      <x:c r="D70" s="3" t="str">
        <x:f>IF($A70="","",$B$4+$B$5*C70^1+$B$6*C70^2)</x:f>
      </x:c>
      <x:c r="E70" s="3" t="str">
        <x:f>IF($A70="","",SQRT($T$403^2+H70^2))</x:f>
      </x:c>
      <x:c r="F70" s="3" t="str">
        <x:f>IF($A70="","",D70-$T$404*E70)</x:f>
      </x:c>
      <x:c r="G70" s="3" t="str">
        <x:f>IF($A70="","",D70+$T$404*E70)</x:f>
      </x:c>
      <x:c r="H70" s="3" t="str">
        <x:f>IF($A70="","",SQRT(MAX(0,(1)*$S$409*(1)+(1)*$T$409*(C70^1)+(1)*$U$409*(C70^2)+(C70^1)*$S$410*(1)+(C70^1)*$T$410*(C70^1)+(C70^1)*$U$410*(C70^2)+(C70^2)*$S$411*(1)+(C70^2)*$T$411*(C70^1)+(C70^2)*$U$411*(C70^2))))</x:f>
      </x:c>
      <x:c r="I70" s="3"/>
      <x:c r="J70" s="10" t="n">
        <x:v>45921</x:v>
      </x:c>
      <x:c r="K70" s="8" t="n">
        <x:f>INDEX('Сводка'!$S$3:$S$397,U70)</x:f>
        <x:v>260</x:v>
      </x:c>
      <x:c r="L70" s="8" t="n">
        <x:f>INDEX('Сводка'!$S$3:$S$397,V70)</x:f>
        <x:v>249</x:v>
      </x:c>
      <x:c r="M70" s="8" t="n">
        <x:f>INDEX($K$388:$N$400,W70,1)+INDEX($K$388:$N$400,W70,2)*(2*(J70-$T$405)/(T70-$T$405)-1)^1+INDEX($K$388:$N$400,W70,3)*(2*(J70-$T$405)/(T70-$T$405)-1)^2</x:f>
        <x:v>145.5442721247115</x:v>
      </x:c>
      <x:c r="N70" s="8" t="n">
        <x:f>K70-M70</x:f>
        <x:v>114.45572787528849</x:v>
      </x:c>
      <x:c r="O70" s="8" t="n">
        <x:f>ABS(N70)</x:f>
        <x:v>114.45572787528849</x:v>
      </x:c>
      <x:c r="P70" s="8" t="n">
        <x:f>N70^2</x:f>
        <x:v>13100.113643462091</x:v>
      </x:c>
      <x:c r="Q70" s="8" t="n">
        <x:f>K70-L70</x:f>
        <x:v>11</x:v>
      </x:c>
      <x:c r="R70" s="9" t="n">
        <x:f>IF(AND(INDEX('Сводка'!$T$3:$T$397,U70)=0,INDEX('Сводка'!$T$3:$T$397,V70)=0),1,0)</x:f>
        <x:v>1</x:v>
      </x:c>
      <x:c r="S70" s="9" t="n">
        <x:f>IF(AND(R70=1,O70&lt;=$G$13),1,0)</x:f>
        <x:v>0</x:v>
      </x:c>
      <x:c r="T70" s="10" t="n">
        <x:f>EOMONTH(J70-'Сводка'!$B$11,-1)</x:f>
        <x:v>45900</x:v>
      </x:c>
      <x:c r="U70" s="4" t="n">
        <x:f>MATCH(J70,'Сводка'!$R$3:$R$397,0)</x:f>
        <x:v>81</x:v>
      </x:c>
      <x:c r="V70" s="4" t="n">
        <x:f>MATCH(J70-'Сводка'!$B$11,'Сводка'!$R$3:$R$397,0)</x:f>
        <x:v>80</x:v>
      </x:c>
      <x:c r="W70" s="4" t="n">
        <x:f>MATCH(T70,$J$388:$J$400,0)</x:f>
        <x:v>3</x:v>
      </x:c>
      <x:c r="X70" s="3"/>
      <x:c r="Y70" s="3"/>
      <x:c r="Z70" s="3"/>
    </x:row>
    <x:row r="71" ht="15" customHeight="1">
      <x:c r="A71" s="7" t="str">
        <x:f>IF(53&lt;='Сводка'!$B$3,'Сводка'!$B$4+53,"")</x:f>
      </x:c>
      <x:c r="B71" s="19" t="str">
        <x:f>IF($A71="","",(A71-$T$405+1)/1000)</x:f>
      </x:c>
      <x:c r="C71" s="19" t="str">
        <x:f>IF($A71="","",2*(A71-$T$405)/$T$406-1)</x:f>
      </x:c>
      <x:c r="D71" s="3" t="str">
        <x:f>IF($A71="","",$B$4+$B$5*C71^1+$B$6*C71^2)</x:f>
      </x:c>
      <x:c r="E71" s="3" t="str">
        <x:f>IF($A71="","",SQRT($T$403^2+H71^2))</x:f>
      </x:c>
      <x:c r="F71" s="3" t="str">
        <x:f>IF($A71="","",D71-$T$404*E71)</x:f>
      </x:c>
      <x:c r="G71" s="3" t="str">
        <x:f>IF($A71="","",D71+$T$404*E71)</x:f>
      </x:c>
      <x:c r="H71" s="3" t="str">
        <x:f>IF($A71="","",SQRT(MAX(0,(1)*$S$409*(1)+(1)*$T$409*(C71^1)+(1)*$U$409*(C71^2)+(C71^1)*$S$410*(1)+(C71^1)*$T$410*(C71^1)+(C71^1)*$U$410*(C71^2)+(C71^2)*$S$411*(1)+(C71^2)*$T$411*(C71^1)+(C71^2)*$U$411*(C71^2))))</x:f>
      </x:c>
      <x:c r="I71" s="3"/>
      <x:c r="J71" s="10" t="n">
        <x:v>45922</x:v>
      </x:c>
      <x:c r="K71" s="8" t="n">
        <x:f>INDEX('Сводка'!$S$3:$S$397,U71)</x:f>
        <x:v>272</x:v>
      </x:c>
      <x:c r="L71" s="8" t="n">
        <x:f>INDEX('Сводка'!$S$3:$S$397,V71)</x:f>
        <x:v>260</x:v>
      </x:c>
      <x:c r="M71" s="8" t="n">
        <x:f>INDEX($K$388:$N$400,W71,1)+INDEX($K$388:$N$400,W71,2)*(2*(J71-$T$405)/(T71-$T$405)-1)^1+INDEX($K$388:$N$400,W71,3)*(2*(J71-$T$405)/(T71-$T$405)-1)^2</x:f>
        <x:v>145.54847365335834</x:v>
      </x:c>
      <x:c r="N71" s="8" t="n">
        <x:f>K71-M71</x:f>
        <x:v>126.45152634664166</x:v>
      </x:c>
      <x:c r="O71" s="8" t="n">
        <x:f>ABS(N71)</x:f>
        <x:v>126.45152634664166</x:v>
      </x:c>
      <x:c r="P71" s="8" t="n">
        <x:f>N71^2</x:f>
        <x:v>15989.98851539541</x:v>
      </x:c>
      <x:c r="Q71" s="8" t="n">
        <x:f>K71-L71</x:f>
        <x:v>12</x:v>
      </x:c>
      <x:c r="R71" s="9" t="n">
        <x:f>IF(AND(INDEX('Сводка'!$T$3:$T$397,U71)=0,INDEX('Сводка'!$T$3:$T$397,V71)=0),1,0)</x:f>
        <x:v>1</x:v>
      </x:c>
      <x:c r="S71" s="9" t="n">
        <x:f>IF(AND(R71=1,O71&lt;=$G$13),1,0)</x:f>
        <x:v>0</x:v>
      </x:c>
      <x:c r="T71" s="10" t="n">
        <x:f>EOMONTH(J71-'Сводка'!$B$11,-1)</x:f>
        <x:v>45900</x:v>
      </x:c>
      <x:c r="U71" s="4" t="n">
        <x:f>MATCH(J71,'Сводка'!$R$3:$R$397,0)</x:f>
        <x:v>82</x:v>
      </x:c>
      <x:c r="V71" s="4" t="n">
        <x:f>MATCH(J71-'Сводка'!$B$11,'Сводка'!$R$3:$R$397,0)</x:f>
        <x:v>81</x:v>
      </x:c>
      <x:c r="W71" s="4" t="n">
        <x:f>MATCH(T71,$J$388:$J$400,0)</x:f>
        <x:v>3</x:v>
      </x:c>
      <x:c r="X71" s="3"/>
      <x:c r="Y71" s="3"/>
      <x:c r="Z71" s="3"/>
    </x:row>
    <x:row r="72" ht="15" customHeight="1">
      <x:c r="A72" s="7" t="str">
        <x:f>IF(54&lt;='Сводка'!$B$3,'Сводка'!$B$4+54,"")</x:f>
      </x:c>
      <x:c r="B72" s="19" t="str">
        <x:f>IF($A72="","",(A72-$T$405+1)/1000)</x:f>
      </x:c>
      <x:c r="C72" s="19" t="str">
        <x:f>IF($A72="","",2*(A72-$T$405)/$T$406-1)</x:f>
      </x:c>
      <x:c r="D72" s="3" t="str">
        <x:f>IF($A72="","",$B$4+$B$5*C72^1+$B$6*C72^2)</x:f>
      </x:c>
      <x:c r="E72" s="3" t="str">
        <x:f>IF($A72="","",SQRT($T$403^2+H72^2))</x:f>
      </x:c>
      <x:c r="F72" s="3" t="str">
        <x:f>IF($A72="","",D72-$T$404*E72)</x:f>
      </x:c>
      <x:c r="G72" s="3" t="str">
        <x:f>IF($A72="","",D72+$T$404*E72)</x:f>
      </x:c>
      <x:c r="H72" s="3" t="str">
        <x:f>IF($A72="","",SQRT(MAX(0,(1)*$S$409*(1)+(1)*$T$409*(C72^1)+(1)*$U$409*(C72^2)+(C72^1)*$S$410*(1)+(C72^1)*$T$410*(C72^1)+(C72^1)*$U$410*(C72^2)+(C72^2)*$S$411*(1)+(C72^2)*$T$411*(C72^1)+(C72^2)*$U$411*(C72^2))))</x:f>
      </x:c>
      <x:c r="I72" s="3"/>
      <x:c r="J72" s="10" t="n">
        <x:v>45923</x:v>
      </x:c>
      <x:c r="K72" s="8" t="n">
        <x:f>INDEX('Сводка'!$S$3:$S$397,U72)</x:f>
        <x:v>279</x:v>
      </x:c>
      <x:c r="L72" s="8" t="n">
        <x:f>INDEX('Сводка'!$S$3:$S$397,V72)</x:f>
        <x:v>272</x:v>
      </x:c>
      <x:c r="M72" s="8" t="n">
        <x:f>INDEX($K$388:$N$400,W72,1)+INDEX($K$388:$N$400,W72,2)*(2*(J72-$T$405)/(T72-$T$405)-1)^1+INDEX($K$388:$N$400,W72,3)*(2*(J72-$T$405)/(T72-$T$405)-1)^2</x:f>
        <x:v>145.5526705812364</x:v>
      </x:c>
      <x:c r="N72" s="8" t="n">
        <x:f>K72-M72</x:f>
        <x:v>133.4473294187636</x:v>
      </x:c>
      <x:c r="O72" s="8" t="n">
        <x:f>ABS(N72)</x:f>
        <x:v>133.4473294187636</x:v>
      </x:c>
      <x:c r="P72" s="8" t="n">
        <x:f>N72^2</x:f>
        <x:v>17808.189729000005</x:v>
      </x:c>
      <x:c r="Q72" s="8" t="n">
        <x:f>K72-L72</x:f>
        <x:v>7</x:v>
      </x:c>
      <x:c r="R72" s="9" t="n">
        <x:f>IF(AND(INDEX('Сводка'!$T$3:$T$397,U72)=0,INDEX('Сводка'!$T$3:$T$397,V72)=0),1,0)</x:f>
        <x:v>1</x:v>
      </x:c>
      <x:c r="S72" s="9" t="n">
        <x:f>IF(AND(R72=1,O72&lt;=$G$13),1,0)</x:f>
        <x:v>0</x:v>
      </x:c>
      <x:c r="T72" s="10" t="n">
        <x:f>EOMONTH(J72-'Сводка'!$B$11,-1)</x:f>
        <x:v>45900</x:v>
      </x:c>
      <x:c r="U72" s="4" t="n">
        <x:f>MATCH(J72,'Сводка'!$R$3:$R$397,0)</x:f>
        <x:v>83</x:v>
      </x:c>
      <x:c r="V72" s="4" t="n">
        <x:f>MATCH(J72-'Сводка'!$B$11,'Сводка'!$R$3:$R$397,0)</x:f>
        <x:v>82</x:v>
      </x:c>
      <x:c r="W72" s="4" t="n">
        <x:f>MATCH(T72,$J$388:$J$400,0)</x:f>
        <x:v>3</x:v>
      </x:c>
      <x:c r="X72" s="3"/>
      <x:c r="Y72" s="3"/>
      <x:c r="Z72" s="3"/>
    </x:row>
    <x:row r="73" ht="15" customHeight="1">
      <x:c r="A73" s="7" t="str">
        <x:f>IF(55&lt;='Сводка'!$B$3,'Сводка'!$B$4+55,"")</x:f>
      </x:c>
      <x:c r="B73" s="19" t="str">
        <x:f>IF($A73="","",(A73-$T$405+1)/1000)</x:f>
      </x:c>
      <x:c r="C73" s="19" t="str">
        <x:f>IF($A73="","",2*(A73-$T$405)/$T$406-1)</x:f>
      </x:c>
      <x:c r="D73" s="3" t="str">
        <x:f>IF($A73="","",$B$4+$B$5*C73^1+$B$6*C73^2)</x:f>
      </x:c>
      <x:c r="E73" s="3" t="str">
        <x:f>IF($A73="","",SQRT($T$403^2+H73^2))</x:f>
      </x:c>
      <x:c r="F73" s="3" t="str">
        <x:f>IF($A73="","",D73-$T$404*E73)</x:f>
      </x:c>
      <x:c r="G73" s="3" t="str">
        <x:f>IF($A73="","",D73+$T$404*E73)</x:f>
      </x:c>
      <x:c r="H73" s="3" t="str">
        <x:f>IF($A73="","",SQRT(MAX(0,(1)*$S$409*(1)+(1)*$T$409*(C73^1)+(1)*$U$409*(C73^2)+(C73^1)*$S$410*(1)+(C73^1)*$T$410*(C73^1)+(C73^1)*$U$410*(C73^2)+(C73^2)*$S$411*(1)+(C73^2)*$T$411*(C73^1)+(C73^2)*$U$411*(C73^2))))</x:f>
      </x:c>
      <x:c r="I73" s="3"/>
      <x:c r="J73" s="10" t="n">
        <x:v>45924</x:v>
      </x:c>
      <x:c r="K73" s="8" t="n">
        <x:f>INDEX('Сводка'!$S$3:$S$397,U73)</x:f>
        <x:v>284</x:v>
      </x:c>
      <x:c r="L73" s="8" t="n">
        <x:f>INDEX('Сводка'!$S$3:$S$397,V73)</x:f>
        <x:v>279</x:v>
      </x:c>
      <x:c r="M73" s="8" t="n">
        <x:f>INDEX($K$388:$N$400,W73,1)+INDEX($K$388:$N$400,W73,2)*(2*(J73-$T$405)/(T73-$T$405)-1)^1+INDEX($K$388:$N$400,W73,3)*(2*(J73-$T$405)/(T73-$T$405)-1)^2</x:f>
        <x:v>145.5568629083457</x:v>
      </x:c>
      <x:c r="N73" s="8" t="n">
        <x:f>K73-M73</x:f>
        <x:v>138.4431370916543</x:v>
      </x:c>
      <x:c r="O73" s="8" t="n">
        <x:f>ABS(N73)</x:f>
        <x:v>138.4431370916543</x:v>
      </x:c>
      <x:c r="P73" s="8" t="n">
        <x:f>N73^2</x:f>
        <x:v>19166.502207778587</x:v>
      </x:c>
      <x:c r="Q73" s="8" t="n">
        <x:f>K73-L73</x:f>
        <x:v>5</x:v>
      </x:c>
      <x:c r="R73" s="9" t="n">
        <x:f>IF(AND(INDEX('Сводка'!$T$3:$T$397,U73)=0,INDEX('Сводка'!$T$3:$T$397,V73)=0),1,0)</x:f>
        <x:v>1</x:v>
      </x:c>
      <x:c r="S73" s="9" t="n">
        <x:f>IF(AND(R73=1,O73&lt;=$G$13),1,0)</x:f>
        <x:v>0</x:v>
      </x:c>
      <x:c r="T73" s="10" t="n">
        <x:f>EOMONTH(J73-'Сводка'!$B$11,-1)</x:f>
        <x:v>45900</x:v>
      </x:c>
      <x:c r="U73" s="4" t="n">
        <x:f>MATCH(J73,'Сводка'!$R$3:$R$397,0)</x:f>
        <x:v>84</x:v>
      </x:c>
      <x:c r="V73" s="4" t="n">
        <x:f>MATCH(J73-'Сводка'!$B$11,'Сводка'!$R$3:$R$397,0)</x:f>
        <x:v>83</x:v>
      </x:c>
      <x:c r="W73" s="4" t="n">
        <x:f>MATCH(T73,$J$388:$J$400,0)</x:f>
        <x:v>3</x:v>
      </x:c>
      <x:c r="X73" s="3"/>
      <x:c r="Y73" s="3"/>
      <x:c r="Z73" s="3"/>
    </x:row>
    <x:row r="74" ht="15" customHeight="1">
      <x:c r="A74" s="7" t="str">
        <x:f>IF(56&lt;='Сводка'!$B$3,'Сводка'!$B$4+56,"")</x:f>
      </x:c>
      <x:c r="B74" s="19" t="str">
        <x:f>IF($A74="","",(A74-$T$405+1)/1000)</x:f>
      </x:c>
      <x:c r="C74" s="19" t="str">
        <x:f>IF($A74="","",2*(A74-$T$405)/$T$406-1)</x:f>
      </x:c>
      <x:c r="D74" s="3" t="str">
        <x:f>IF($A74="","",$B$4+$B$5*C74^1+$B$6*C74^2)</x:f>
      </x:c>
      <x:c r="E74" s="3" t="str">
        <x:f>IF($A74="","",SQRT($T$403^2+H74^2))</x:f>
      </x:c>
      <x:c r="F74" s="3" t="str">
        <x:f>IF($A74="","",D74-$T$404*E74)</x:f>
      </x:c>
      <x:c r="G74" s="3" t="str">
        <x:f>IF($A74="","",D74+$T$404*E74)</x:f>
      </x:c>
      <x:c r="H74" s="3" t="str">
        <x:f>IF($A74="","",SQRT(MAX(0,(1)*$S$409*(1)+(1)*$T$409*(C74^1)+(1)*$U$409*(C74^2)+(C74^1)*$S$410*(1)+(C74^1)*$T$410*(C74^1)+(C74^1)*$U$410*(C74^2)+(C74^2)*$S$411*(1)+(C74^2)*$T$411*(C74^1)+(C74^2)*$U$411*(C74^2))))</x:f>
      </x:c>
      <x:c r="I74" s="3"/>
      <x:c r="J74" s="10" t="n">
        <x:v>45925</x:v>
      </x:c>
      <x:c r="K74" s="8" t="n">
        <x:f>INDEX('Сводка'!$S$3:$S$397,U74)</x:f>
        <x:v>288</x:v>
      </x:c>
      <x:c r="L74" s="8" t="n">
        <x:f>INDEX('Сводка'!$S$3:$S$397,V74)</x:f>
        <x:v>284</x:v>
      </x:c>
      <x:c r="M74" s="8" t="n">
        <x:f>INDEX($K$388:$N$400,W74,1)+INDEX($K$388:$N$400,W74,2)*(2*(J74-$T$405)/(T74-$T$405)-1)^1+INDEX($K$388:$N$400,W74,3)*(2*(J74-$T$405)/(T74-$T$405)-1)^2</x:f>
        <x:v>145.56105063468618</x:v>
      </x:c>
      <x:c r="N74" s="8" t="n">
        <x:f>K74-M74</x:f>
        <x:v>142.43894936531382</x:v>
      </x:c>
      <x:c r="O74" s="8" t="n">
        <x:f>ABS(N74)</x:f>
        <x:v>142.43894936531382</x:v>
      </x:c>
      <x:c r="P74" s="8" t="n">
        <x:f>N74^2</x:f>
        <x:v>20288.854296294434</x:v>
      </x:c>
      <x:c r="Q74" s="8" t="n">
        <x:f>K74-L74</x:f>
        <x:v>4</x:v>
      </x:c>
      <x:c r="R74" s="9" t="n">
        <x:f>IF(AND(INDEX('Сводка'!$T$3:$T$397,U74)=0,INDEX('Сводка'!$T$3:$T$397,V74)=0),1,0)</x:f>
        <x:v>1</x:v>
      </x:c>
      <x:c r="S74" s="9" t="n">
        <x:f>IF(AND(R74=1,O74&lt;=$G$13),1,0)</x:f>
        <x:v>0</x:v>
      </x:c>
      <x:c r="T74" s="10" t="n">
        <x:f>EOMONTH(J74-'Сводка'!$B$11,-1)</x:f>
        <x:v>45900</x:v>
      </x:c>
      <x:c r="U74" s="4" t="n">
        <x:f>MATCH(J74,'Сводка'!$R$3:$R$397,0)</x:f>
        <x:v>85</x:v>
      </x:c>
      <x:c r="V74" s="4" t="n">
        <x:f>MATCH(J74-'Сводка'!$B$11,'Сводка'!$R$3:$R$397,0)</x:f>
        <x:v>84</x:v>
      </x:c>
      <x:c r="W74" s="4" t="n">
        <x:f>MATCH(T74,$J$388:$J$400,0)</x:f>
        <x:v>3</x:v>
      </x:c>
      <x:c r="X74" s="3"/>
      <x:c r="Y74" s="3"/>
      <x:c r="Z74" s="3"/>
    </x:row>
    <x:row r="75" ht="15" customHeight="1">
      <x:c r="A75" s="7" t="str">
        <x:f>IF(57&lt;='Сводка'!$B$3,'Сводка'!$B$4+57,"")</x:f>
      </x:c>
      <x:c r="B75" s="19" t="str">
        <x:f>IF($A75="","",(A75-$T$405+1)/1000)</x:f>
      </x:c>
      <x:c r="C75" s="19" t="str">
        <x:f>IF($A75="","",2*(A75-$T$405)/$T$406-1)</x:f>
      </x:c>
      <x:c r="D75" s="3" t="str">
        <x:f>IF($A75="","",$B$4+$B$5*C75^1+$B$6*C75^2)</x:f>
      </x:c>
      <x:c r="E75" s="3" t="str">
        <x:f>IF($A75="","",SQRT($T$403^2+H75^2))</x:f>
      </x:c>
      <x:c r="F75" s="3" t="str">
        <x:f>IF($A75="","",D75-$T$404*E75)</x:f>
      </x:c>
      <x:c r="G75" s="3" t="str">
        <x:f>IF($A75="","",D75+$T$404*E75)</x:f>
      </x:c>
      <x:c r="H75" s="3" t="str">
        <x:f>IF($A75="","",SQRT(MAX(0,(1)*$S$409*(1)+(1)*$T$409*(C75^1)+(1)*$U$409*(C75^2)+(C75^1)*$S$410*(1)+(C75^1)*$T$410*(C75^1)+(C75^1)*$U$410*(C75^2)+(C75^2)*$S$411*(1)+(C75^2)*$T$411*(C75^1)+(C75^2)*$U$411*(C75^2))))</x:f>
      </x:c>
      <x:c r="I75" s="3"/>
      <x:c r="J75" s="10" t="n">
        <x:v>45926</x:v>
      </x:c>
      <x:c r="K75" s="8" t="n">
        <x:f>INDEX('Сводка'!$S$3:$S$397,U75)</x:f>
        <x:v>290</x:v>
      </x:c>
      <x:c r="L75" s="8" t="n">
        <x:f>INDEX('Сводка'!$S$3:$S$397,V75)</x:f>
        <x:v>288</x:v>
      </x:c>
      <x:c r="M75" s="8" t="n">
        <x:f>INDEX($K$388:$N$400,W75,1)+INDEX($K$388:$N$400,W75,2)*(2*(J75-$T$405)/(T75-$T$405)-1)^1+INDEX($K$388:$N$400,W75,3)*(2*(J75-$T$405)/(T75-$T$405)-1)^2</x:f>
        <x:v>145.5652337602579</x:v>
      </x:c>
      <x:c r="N75" s="8" t="n">
        <x:f>K75-M75</x:f>
        <x:v>144.4347662397421</x:v>
      </x:c>
      <x:c r="O75" s="8" t="n">
        <x:f>ABS(N75)</x:f>
        <x:v>144.4347662397421</x:v>
      </x:c>
      <x:c r="P75" s="8" t="n">
        <x:f>N75^2</x:f>
        <x:v>20861.40169872894</x:v>
      </x:c>
      <x:c r="Q75" s="8" t="n">
        <x:f>K75-L75</x:f>
        <x:v>2</x:v>
      </x:c>
      <x:c r="R75" s="9" t="n">
        <x:f>IF(AND(INDEX('Сводка'!$T$3:$T$397,U75)=0,INDEX('Сводка'!$T$3:$T$397,V75)=0),1,0)</x:f>
        <x:v>1</x:v>
      </x:c>
      <x:c r="S75" s="9" t="n">
        <x:f>IF(AND(R75=1,O75&lt;=$G$13),1,0)</x:f>
        <x:v>0</x:v>
      </x:c>
      <x:c r="T75" s="10" t="n">
        <x:f>EOMONTH(J75-'Сводка'!$B$11,-1)</x:f>
        <x:v>45900</x:v>
      </x:c>
      <x:c r="U75" s="4" t="n">
        <x:f>MATCH(J75,'Сводка'!$R$3:$R$397,0)</x:f>
        <x:v>86</x:v>
      </x:c>
      <x:c r="V75" s="4" t="n">
        <x:f>MATCH(J75-'Сводка'!$B$11,'Сводка'!$R$3:$R$397,0)</x:f>
        <x:v>85</x:v>
      </x:c>
      <x:c r="W75" s="4" t="n">
        <x:f>MATCH(T75,$J$388:$J$400,0)</x:f>
        <x:v>3</x:v>
      </x:c>
      <x:c r="X75" s="3"/>
      <x:c r="Y75" s="3"/>
      <x:c r="Z75" s="3"/>
    </x:row>
    <x:row r="76" ht="15" customHeight="1">
      <x:c r="A76" s="7" t="str">
        <x:f>IF(58&lt;='Сводка'!$B$3,'Сводка'!$B$4+58,"")</x:f>
      </x:c>
      <x:c r="B76" s="19" t="str">
        <x:f>IF($A76="","",(A76-$T$405+1)/1000)</x:f>
      </x:c>
      <x:c r="C76" s="19" t="str">
        <x:f>IF($A76="","",2*(A76-$T$405)/$T$406-1)</x:f>
      </x:c>
      <x:c r="D76" s="3" t="str">
        <x:f>IF($A76="","",$B$4+$B$5*C76^1+$B$6*C76^2)</x:f>
      </x:c>
      <x:c r="E76" s="3" t="str">
        <x:f>IF($A76="","",SQRT($T$403^2+H76^2))</x:f>
      </x:c>
      <x:c r="F76" s="3" t="str">
        <x:f>IF($A76="","",D76-$T$404*E76)</x:f>
      </x:c>
      <x:c r="G76" s="3" t="str">
        <x:f>IF($A76="","",D76+$T$404*E76)</x:f>
      </x:c>
      <x:c r="H76" s="3" t="str">
        <x:f>IF($A76="","",SQRT(MAX(0,(1)*$S$409*(1)+(1)*$T$409*(C76^1)+(1)*$U$409*(C76^2)+(C76^1)*$S$410*(1)+(C76^1)*$T$410*(C76^1)+(C76^1)*$U$410*(C76^2)+(C76^2)*$S$411*(1)+(C76^2)*$T$411*(C76^1)+(C76^2)*$U$411*(C76^2))))</x:f>
      </x:c>
      <x:c r="I76" s="3"/>
      <x:c r="J76" s="10" t="n">
        <x:v>45927</x:v>
      </x:c>
      <x:c r="K76" s="8" t="n">
        <x:f>INDEX('Сводка'!$S$3:$S$397,U76)</x:f>
        <x:v>291</x:v>
      </x:c>
      <x:c r="L76" s="8" t="n">
        <x:f>INDEX('Сводка'!$S$3:$S$397,V76)</x:f>
        <x:v>290</x:v>
      </x:c>
      <x:c r="M76" s="8" t="n">
        <x:f>INDEX($K$388:$N$400,W76,1)+INDEX($K$388:$N$400,W76,2)*(2*(J76-$T$405)/(T76-$T$405)-1)^1+INDEX($K$388:$N$400,W76,3)*(2*(J76-$T$405)/(T76-$T$405)-1)^2</x:f>
        <x:v>145.56941228506088</x:v>
      </x:c>
      <x:c r="N76" s="8" t="n">
        <x:f>K76-M76</x:f>
        <x:v>145.43058771493912</x:v>
      </x:c>
      <x:c r="O76" s="8" t="n">
        <x:f>ABS(N76)</x:f>
        <x:v>145.43058771493912</x:v>
      </x:c>
      <x:c r="P76" s="8" t="n">
        <x:f>N76^2</x:f>
        <x:v>21150.0558431126</x:v>
      </x:c>
      <x:c r="Q76" s="8" t="n">
        <x:f>K76-L76</x:f>
        <x:v>1</x:v>
      </x:c>
      <x:c r="R76" s="9" t="n">
        <x:f>IF(AND(INDEX('Сводка'!$T$3:$T$397,U76)=0,INDEX('Сводка'!$T$3:$T$397,V76)=0),1,0)</x:f>
        <x:v>1</x:v>
      </x:c>
      <x:c r="S76" s="9" t="n">
        <x:f>IF(AND(R76=1,O76&lt;=$G$13),1,0)</x:f>
        <x:v>0</x:v>
      </x:c>
      <x:c r="T76" s="10" t="n">
        <x:f>EOMONTH(J76-'Сводка'!$B$11,-1)</x:f>
        <x:v>45900</x:v>
      </x:c>
      <x:c r="U76" s="4" t="n">
        <x:f>MATCH(J76,'Сводка'!$R$3:$R$397,0)</x:f>
        <x:v>87</x:v>
      </x:c>
      <x:c r="V76" s="4" t="n">
        <x:f>MATCH(J76-'Сводка'!$B$11,'Сводка'!$R$3:$R$397,0)</x:f>
        <x:v>86</x:v>
      </x:c>
      <x:c r="W76" s="4" t="n">
        <x:f>MATCH(T76,$J$388:$J$400,0)</x:f>
        <x:v>3</x:v>
      </x:c>
      <x:c r="X76" s="3"/>
      <x:c r="Y76" s="3"/>
      <x:c r="Z76" s="3"/>
    </x:row>
    <x:row r="77" ht="15" customHeight="1">
      <x:c r="A77" s="7" t="str">
        <x:f>IF(59&lt;='Сводка'!$B$3,'Сводка'!$B$4+59,"")</x:f>
      </x:c>
      <x:c r="B77" s="19" t="str">
        <x:f>IF($A77="","",(A77-$T$405+1)/1000)</x:f>
      </x:c>
      <x:c r="C77" s="19" t="str">
        <x:f>IF($A77="","",2*(A77-$T$405)/$T$406-1)</x:f>
      </x:c>
      <x:c r="D77" s="3" t="str">
        <x:f>IF($A77="","",$B$4+$B$5*C77^1+$B$6*C77^2)</x:f>
      </x:c>
      <x:c r="E77" s="3" t="str">
        <x:f>IF($A77="","",SQRT($T$403^2+H77^2))</x:f>
      </x:c>
      <x:c r="F77" s="3" t="str">
        <x:f>IF($A77="","",D77-$T$404*E77)</x:f>
      </x:c>
      <x:c r="G77" s="3" t="str">
        <x:f>IF($A77="","",D77+$T$404*E77)</x:f>
      </x:c>
      <x:c r="H77" s="3" t="str">
        <x:f>IF($A77="","",SQRT(MAX(0,(1)*$S$409*(1)+(1)*$T$409*(C77^1)+(1)*$U$409*(C77^2)+(C77^1)*$S$410*(1)+(C77^1)*$T$410*(C77^1)+(C77^1)*$U$410*(C77^2)+(C77^2)*$S$411*(1)+(C77^2)*$T$411*(C77^1)+(C77^2)*$U$411*(C77^2))))</x:f>
      </x:c>
      <x:c r="I77" s="3"/>
      <x:c r="J77" s="10" t="n">
        <x:v>45928</x:v>
      </x:c>
      <x:c r="K77" s="8" t="n">
        <x:f>INDEX('Сводка'!$S$3:$S$397,U77)</x:f>
        <x:v>290</x:v>
      </x:c>
      <x:c r="L77" s="8" t="n">
        <x:f>INDEX('Сводка'!$S$3:$S$397,V77)</x:f>
        <x:v>291</x:v>
      </x:c>
      <x:c r="M77" s="8" t="n">
        <x:f>INDEX($K$388:$N$400,W77,1)+INDEX($K$388:$N$400,W77,2)*(2*(J77-$T$405)/(T77-$T$405)-1)^1+INDEX($K$388:$N$400,W77,3)*(2*(J77-$T$405)/(T77-$T$405)-1)^2</x:f>
        <x:v>145.57358620909503</x:v>
      </x:c>
      <x:c r="N77" s="8" t="n">
        <x:f>K77-M77</x:f>
        <x:v>144.42641379090497</x:v>
      </x:c>
      <x:c r="O77" s="8" t="n">
        <x:f>ABS(N77)</x:f>
        <x:v>144.42641379090497</x:v>
      </x:c>
      <x:c r="P77" s="8" t="n">
        <x:f>N77^2</x:f>
        <x:v>20858.989000501708</x:v>
      </x:c>
      <x:c r="Q77" s="8" t="n">
        <x:f>K77-L77</x:f>
        <x:v>-1</x:v>
      </x:c>
      <x:c r="R77" s="9" t="n">
        <x:f>IF(AND(INDEX('Сводка'!$T$3:$T$397,U77)=0,INDEX('Сводка'!$T$3:$T$397,V77)=0),1,0)</x:f>
        <x:v>1</x:v>
      </x:c>
      <x:c r="S77" s="9" t="n">
        <x:f>IF(AND(R77=1,O77&lt;=$G$13),1,0)</x:f>
        <x:v>0</x:v>
      </x:c>
      <x:c r="T77" s="10" t="n">
        <x:f>EOMONTH(J77-'Сводка'!$B$11,-1)</x:f>
        <x:v>45900</x:v>
      </x:c>
      <x:c r="U77" s="4" t="n">
        <x:f>MATCH(J77,'Сводка'!$R$3:$R$397,0)</x:f>
        <x:v>88</x:v>
      </x:c>
      <x:c r="V77" s="4" t="n">
        <x:f>MATCH(J77-'Сводка'!$B$11,'Сводка'!$R$3:$R$397,0)</x:f>
        <x:v>87</x:v>
      </x:c>
      <x:c r="W77" s="4" t="n">
        <x:f>MATCH(T77,$J$388:$J$400,0)</x:f>
        <x:v>3</x:v>
      </x:c>
      <x:c r="X77" s="3"/>
      <x:c r="Y77" s="3"/>
      <x:c r="Z77" s="3"/>
    </x:row>
    <x:row r="78" ht="15" customHeight="1">
      <x:c r="A78" s="7" t="str">
        <x:f>IF(60&lt;='Сводка'!$B$3,'Сводка'!$B$4+60,"")</x:f>
      </x:c>
      <x:c r="B78" s="19" t="str">
        <x:f>IF($A78="","",(A78-$T$405+1)/1000)</x:f>
      </x:c>
      <x:c r="C78" s="19" t="str">
        <x:f>IF($A78="","",2*(A78-$T$405)/$T$406-1)</x:f>
      </x:c>
      <x:c r="D78" s="3" t="str">
        <x:f>IF($A78="","",$B$4+$B$5*C78^1+$B$6*C78^2)</x:f>
      </x:c>
      <x:c r="E78" s="3" t="str">
        <x:f>IF($A78="","",SQRT($T$403^2+H78^2))</x:f>
      </x:c>
      <x:c r="F78" s="3" t="str">
        <x:f>IF($A78="","",D78-$T$404*E78)</x:f>
      </x:c>
      <x:c r="G78" s="3" t="str">
        <x:f>IF($A78="","",D78+$T$404*E78)</x:f>
      </x:c>
      <x:c r="H78" s="3" t="str">
        <x:f>IF($A78="","",SQRT(MAX(0,(1)*$S$409*(1)+(1)*$T$409*(C78^1)+(1)*$U$409*(C78^2)+(C78^1)*$S$410*(1)+(C78^1)*$T$410*(C78^1)+(C78^1)*$U$410*(C78^2)+(C78^2)*$S$411*(1)+(C78^2)*$T$411*(C78^1)+(C78^2)*$U$411*(C78^2))))</x:f>
      </x:c>
      <x:c r="I78" s="3"/>
      <x:c r="J78" s="10" t="n">
        <x:v>45929</x:v>
      </x:c>
      <x:c r="K78" s="8" t="n">
        <x:f>INDEX('Сводка'!$S$3:$S$397,U78)</x:f>
        <x:v>290</x:v>
      </x:c>
      <x:c r="L78" s="8" t="n">
        <x:f>INDEX('Сводка'!$S$3:$S$397,V78)</x:f>
        <x:v>290</x:v>
      </x:c>
      <x:c r="M78" s="8" t="n">
        <x:f>INDEX($K$388:$N$400,W78,1)+INDEX($K$388:$N$400,W78,2)*(2*(J78-$T$405)/(T78-$T$405)-1)^1+INDEX($K$388:$N$400,W78,3)*(2*(J78-$T$405)/(T78-$T$405)-1)^2</x:f>
        <x:v>145.57775553236038</x:v>
      </x:c>
      <x:c r="N78" s="8" t="n">
        <x:f>K78-M78</x:f>
        <x:v>144.42224446763962</x:v>
      </x:c>
      <x:c r="O78" s="8" t="n">
        <x:f>ABS(N78)</x:f>
        <x:v>144.42224446763962</x:v>
      </x:c>
      <x:c r="P78" s="8" t="n">
        <x:f>N78^2</x:f>
        <x:v>20857.78469707066</x:v>
      </x:c>
      <x:c r="Q78" s="8" t="n">
        <x:f>K78-L78</x:f>
        <x:v>0</x:v>
      </x:c>
      <x:c r="R78" s="9" t="n">
        <x:f>IF(AND(INDEX('Сводка'!$T$3:$T$397,U78)=0,INDEX('Сводка'!$T$3:$T$397,V78)=0),1,0)</x:f>
        <x:v>1</x:v>
      </x:c>
      <x:c r="S78" s="9" t="n">
        <x:f>IF(AND(R78=1,O78&lt;=$G$13),1,0)</x:f>
        <x:v>0</x:v>
      </x:c>
      <x:c r="T78" s="10" t="n">
        <x:f>EOMONTH(J78-'Сводка'!$B$11,-1)</x:f>
        <x:v>45900</x:v>
      </x:c>
      <x:c r="U78" s="4" t="n">
        <x:f>MATCH(J78,'Сводка'!$R$3:$R$397,0)</x:f>
        <x:v>89</x:v>
      </x:c>
      <x:c r="V78" s="4" t="n">
        <x:f>MATCH(J78-'Сводка'!$B$11,'Сводка'!$R$3:$R$397,0)</x:f>
        <x:v>88</x:v>
      </x:c>
      <x:c r="W78" s="4" t="n">
        <x:f>MATCH(T78,$J$388:$J$400,0)</x:f>
        <x:v>3</x:v>
      </x:c>
      <x:c r="X78" s="3"/>
      <x:c r="Y78" s="3"/>
      <x:c r="Z78" s="3"/>
    </x:row>
    <x:row r="79" ht="15" customHeight="1">
      <x:c r="A79" s="7" t="str">
        <x:f>IF(61&lt;='Сводка'!$B$3,'Сводка'!$B$4+61,"")</x:f>
      </x:c>
      <x:c r="B79" s="19" t="str">
        <x:f>IF($A79="","",(A79-$T$405+1)/1000)</x:f>
      </x:c>
      <x:c r="C79" s="19" t="str">
        <x:f>IF($A79="","",2*(A79-$T$405)/$T$406-1)</x:f>
      </x:c>
      <x:c r="D79" s="3" t="str">
        <x:f>IF($A79="","",$B$4+$B$5*C79^1+$B$6*C79^2)</x:f>
      </x:c>
      <x:c r="E79" s="3" t="str">
        <x:f>IF($A79="","",SQRT($T$403^2+H79^2))</x:f>
      </x:c>
      <x:c r="F79" s="3" t="str">
        <x:f>IF($A79="","",D79-$T$404*E79)</x:f>
      </x:c>
      <x:c r="G79" s="3" t="str">
        <x:f>IF($A79="","",D79+$T$404*E79)</x:f>
      </x:c>
      <x:c r="H79" s="3" t="str">
        <x:f>IF($A79="","",SQRT(MAX(0,(1)*$S$409*(1)+(1)*$T$409*(C79^1)+(1)*$U$409*(C79^2)+(C79^1)*$S$410*(1)+(C79^1)*$T$410*(C79^1)+(C79^1)*$U$410*(C79^2)+(C79^2)*$S$411*(1)+(C79^2)*$T$411*(C79^1)+(C79^2)*$U$411*(C79^2))))</x:f>
      </x:c>
      <x:c r="I79" s="3"/>
      <x:c r="J79" s="10" t="n">
        <x:v>45930</x:v>
      </x:c>
      <x:c r="K79" s="8" t="n">
        <x:f>INDEX('Сводка'!$S$3:$S$397,U79)</x:f>
        <x:v>293</x:v>
      </x:c>
      <x:c r="L79" s="8" t="n">
        <x:f>INDEX('Сводка'!$S$3:$S$397,V79)</x:f>
        <x:v>290</x:v>
      </x:c>
      <x:c r="M79" s="8" t="n">
        <x:f>INDEX($K$388:$N$400,W79,1)+INDEX($K$388:$N$400,W79,2)*(2*(J79-$T$405)/(T79-$T$405)-1)^1+INDEX($K$388:$N$400,W79,3)*(2*(J79-$T$405)/(T79-$T$405)-1)^2</x:f>
        <x:v>145.581920254857</x:v>
      </x:c>
      <x:c r="N79" s="8" t="n">
        <x:f>K79-M79</x:f>
        <x:v>147.418079745143</x:v>
      </x:c>
      <x:c r="O79" s="8" t="n">
        <x:f>ABS(N79)</x:f>
        <x:v>147.418079745143</x:v>
      </x:c>
      <x:c r="P79" s="8" t="n">
        <x:f>N79^2</x:f>
        <x:v>21732.090235745338</x:v>
      </x:c>
      <x:c r="Q79" s="8" t="n">
        <x:f>K79-L79</x:f>
        <x:v>3</x:v>
      </x:c>
      <x:c r="R79" s="9" t="n">
        <x:f>IF(AND(INDEX('Сводка'!$T$3:$T$397,U79)=0,INDEX('Сводка'!$T$3:$T$397,V79)=0),1,0)</x:f>
        <x:v>1</x:v>
      </x:c>
      <x:c r="S79" s="9" t="n">
        <x:f>IF(AND(R79=1,O79&lt;=$G$13),1,0)</x:f>
        <x:v>0</x:v>
      </x:c>
      <x:c r="T79" s="10" t="n">
        <x:f>EOMONTH(J79-'Сводка'!$B$11,-1)</x:f>
        <x:v>45900</x:v>
      </x:c>
      <x:c r="U79" s="4" t="n">
        <x:f>MATCH(J79,'Сводка'!$R$3:$R$397,0)</x:f>
        <x:v>90</x:v>
      </x:c>
      <x:c r="V79" s="4" t="n">
        <x:f>MATCH(J79-'Сводка'!$B$11,'Сводка'!$R$3:$R$397,0)</x:f>
        <x:v>89</x:v>
      </x:c>
      <x:c r="W79" s="4" t="n">
        <x:f>MATCH(T79,$J$388:$J$400,0)</x:f>
        <x:v>3</x:v>
      </x:c>
      <x:c r="X79" s="3"/>
      <x:c r="Y79" s="3"/>
      <x:c r="Z79" s="3"/>
    </x:row>
    <x:row r="80" ht="15" customHeight="1">
      <x:c r="A80" s="7" t="str">
        <x:f>IF(62&lt;='Сводка'!$B$3,'Сводка'!$B$4+62,"")</x:f>
      </x:c>
      <x:c r="B80" s="19" t="str">
        <x:f>IF($A80="","",(A80-$T$405+1)/1000)</x:f>
      </x:c>
      <x:c r="C80" s="19" t="str">
        <x:f>IF($A80="","",2*(A80-$T$405)/$T$406-1)</x:f>
      </x:c>
      <x:c r="D80" s="3" t="str">
        <x:f>IF($A80="","",$B$4+$B$5*C80^1+$B$6*C80^2)</x:f>
      </x:c>
      <x:c r="E80" s="3" t="str">
        <x:f>IF($A80="","",SQRT($T$403^2+H80^2))</x:f>
      </x:c>
      <x:c r="F80" s="3" t="str">
        <x:f>IF($A80="","",D80-$T$404*E80)</x:f>
      </x:c>
      <x:c r="G80" s="3" t="str">
        <x:f>IF($A80="","",D80+$T$404*E80)</x:f>
      </x:c>
      <x:c r="H80" s="3" t="str">
        <x:f>IF($A80="","",SQRT(MAX(0,(1)*$S$409*(1)+(1)*$T$409*(C80^1)+(1)*$U$409*(C80^2)+(C80^1)*$S$410*(1)+(C80^1)*$T$410*(C80^1)+(C80^1)*$U$410*(C80^2)+(C80^2)*$S$411*(1)+(C80^2)*$T$411*(C80^1)+(C80^2)*$U$411*(C80^2))))</x:f>
      </x:c>
      <x:c r="I80" s="3"/>
      <x:c r="J80" s="10" t="n">
        <x:v>45931</x:v>
      </x:c>
      <x:c r="K80" s="8" t="n">
        <x:f>INDEX('Сводка'!$S$3:$S$397,U80)</x:f>
        <x:v>292</x:v>
      </x:c>
      <x:c r="L80" s="8" t="n">
        <x:f>INDEX('Сводка'!$S$3:$S$397,V80)</x:f>
        <x:v>293</x:v>
      </x:c>
      <x:c r="M80" s="8" t="n">
        <x:f>INDEX($K$388:$N$400,W80,1)+INDEX($K$388:$N$400,W80,2)*(2*(J80-$T$405)/(T80-$T$405)-1)^1+INDEX($K$388:$N$400,W80,3)*(2*(J80-$T$405)/(T80-$T$405)-1)^2</x:f>
        <x:v>145.58608037658485</x:v>
      </x:c>
      <x:c r="N80" s="8" t="n">
        <x:f>K80-M80</x:f>
        <x:v>146.41391962341515</x:v>
      </x:c>
      <x:c r="O80" s="8" t="n">
        <x:f>ABS(N80)</x:f>
        <x:v>146.41391962341515</x:v>
      </x:c>
      <x:c r="P80" s="8" t="n">
        <x:f>N80^2</x:f>
        <x:v>21437.035859491873</x:v>
      </x:c>
      <x:c r="Q80" s="8" t="n">
        <x:f>K80-L80</x:f>
        <x:v>-1</x:v>
      </x:c>
      <x:c r="R80" s="9" t="n">
        <x:f>IF(AND(INDEX('Сводка'!$T$3:$T$397,U80)=0,INDEX('Сводка'!$T$3:$T$397,V80)=0),1,0)</x:f>
        <x:v>1</x:v>
      </x:c>
      <x:c r="S80" s="9" t="n">
        <x:f>IF(AND(R80=1,O80&lt;=$G$13),1,0)</x:f>
        <x:v>0</x:v>
      </x:c>
      <x:c r="T80" s="10" t="n">
        <x:f>EOMONTH(J80-'Сводка'!$B$11,-1)</x:f>
        <x:v>45900</x:v>
      </x:c>
      <x:c r="U80" s="4" t="n">
        <x:f>MATCH(J80,'Сводка'!$R$3:$R$397,0)</x:f>
        <x:v>91</x:v>
      </x:c>
      <x:c r="V80" s="4" t="n">
        <x:f>MATCH(J80-'Сводка'!$B$11,'Сводка'!$R$3:$R$397,0)</x:f>
        <x:v>90</x:v>
      </x:c>
      <x:c r="W80" s="4" t="n">
        <x:f>MATCH(T80,$J$388:$J$400,0)</x:f>
        <x:v>3</x:v>
      </x:c>
      <x:c r="X80" s="3"/>
      <x:c r="Y80" s="3"/>
      <x:c r="Z80" s="3"/>
    </x:row>
    <x:row r="81" ht="15" customHeight="1">
      <x:c r="A81" s="7" t="str">
        <x:f>IF(63&lt;='Сводка'!$B$3,'Сводка'!$B$4+63,"")</x:f>
      </x:c>
      <x:c r="B81" s="19" t="str">
        <x:f>IF($A81="","",(A81-$T$405+1)/1000)</x:f>
      </x:c>
      <x:c r="C81" s="19" t="str">
        <x:f>IF($A81="","",2*(A81-$T$405)/$T$406-1)</x:f>
      </x:c>
      <x:c r="D81" s="3" t="str">
        <x:f>IF($A81="","",$B$4+$B$5*C81^1+$B$6*C81^2)</x:f>
      </x:c>
      <x:c r="E81" s="3" t="str">
        <x:f>IF($A81="","",SQRT($T$403^2+H81^2))</x:f>
      </x:c>
      <x:c r="F81" s="3" t="str">
        <x:f>IF($A81="","",D81-$T$404*E81)</x:f>
      </x:c>
      <x:c r="G81" s="3" t="str">
        <x:f>IF($A81="","",D81+$T$404*E81)</x:f>
      </x:c>
      <x:c r="H81" s="3" t="str">
        <x:f>IF($A81="","",SQRT(MAX(0,(1)*$S$409*(1)+(1)*$T$409*(C81^1)+(1)*$U$409*(C81^2)+(C81^1)*$S$410*(1)+(C81^1)*$T$410*(C81^1)+(C81^1)*$U$410*(C81^2)+(C81^2)*$S$411*(1)+(C81^2)*$T$411*(C81^1)+(C81^2)*$U$411*(C81^2))))</x:f>
      </x:c>
      <x:c r="I81" s="3"/>
      <x:c r="J81" s="10" t="n">
        <x:v>45932</x:v>
      </x:c>
      <x:c r="K81" s="8" t="n">
        <x:f>INDEX('Сводка'!$S$3:$S$397,U81)</x:f>
        <x:v>284</x:v>
      </x:c>
      <x:c r="L81" s="8" t="n">
        <x:f>INDEX('Сводка'!$S$3:$S$397,V81)</x:f>
        <x:v>292</x:v>
      </x:c>
      <x:c r="M81" s="8" t="n">
        <x:f>INDEX($K$388:$N$400,W81,1)+INDEX($K$388:$N$400,W81,2)*(2*(J81-$T$405)/(T81-$T$405)-1)^1+INDEX($K$388:$N$400,W81,3)*(2*(J81-$T$405)/(T81-$T$405)-1)^2</x:f>
        <x:v>148.91262472403457</x:v>
      </x:c>
      <x:c r="N81" s="8" t="n">
        <x:f>K81-M81</x:f>
        <x:v>135.08737527596543</x:v>
      </x:c>
      <x:c r="O81" s="8" t="n">
        <x:f>ABS(N81)</x:f>
        <x:v>135.08737527596543</x:v>
      </x:c>
      <x:c r="P81" s="8" t="n">
        <x:f>N81^2</x:f>
        <x:v>18248.598958949515</x:v>
      </x:c>
      <x:c r="Q81" s="8" t="n">
        <x:f>K81-L81</x:f>
        <x:v>-8</x:v>
      </x:c>
      <x:c r="R81" s="9" t="n">
        <x:f>IF(AND(INDEX('Сводка'!$T$3:$T$397,U81)=0,INDEX('Сводка'!$T$3:$T$397,V81)=0),1,0)</x:f>
        <x:v>1</x:v>
      </x:c>
      <x:c r="S81" s="9" t="n">
        <x:f>IF(AND(R81=1,O81&lt;=$G$13),1,0)</x:f>
        <x:v>0</x:v>
      </x:c>
      <x:c r="T81" s="10" t="n">
        <x:f>EOMONTH(J81-'Сводка'!$B$11,-1)</x:f>
        <x:v>45930</x:v>
      </x:c>
      <x:c r="U81" s="4" t="n">
        <x:f>MATCH(J81,'Сводка'!$R$3:$R$397,0)</x:f>
        <x:v>92</x:v>
      </x:c>
      <x:c r="V81" s="4" t="n">
        <x:f>MATCH(J81-'Сводка'!$B$11,'Сводка'!$R$3:$R$397,0)</x:f>
        <x:v>91</x:v>
      </x:c>
      <x:c r="W81" s="4" t="n">
        <x:f>MATCH(T81,$J$388:$J$400,0)</x:f>
        <x:v>4</x:v>
      </x:c>
      <x:c r="X81" s="3"/>
      <x:c r="Y81" s="3"/>
      <x:c r="Z81" s="3"/>
    </x:row>
    <x:row r="82" ht="15" customHeight="1">
      <x:c r="A82" s="7" t="str">
        <x:f>IF(64&lt;='Сводка'!$B$3,'Сводка'!$B$4+64,"")</x:f>
      </x:c>
      <x:c r="B82" s="19" t="str">
        <x:f>IF($A82="","",(A82-$T$405+1)/1000)</x:f>
      </x:c>
      <x:c r="C82" s="19" t="str">
        <x:f>IF($A82="","",2*(A82-$T$405)/$T$406-1)</x:f>
      </x:c>
      <x:c r="D82" s="3" t="str">
        <x:f>IF($A82="","",$B$4+$B$5*C82^1+$B$6*C82^2)</x:f>
      </x:c>
      <x:c r="E82" s="3" t="str">
        <x:f>IF($A82="","",SQRT($T$403^2+H82^2))</x:f>
      </x:c>
      <x:c r="F82" s="3" t="str">
        <x:f>IF($A82="","",D82-$T$404*E82)</x:f>
      </x:c>
      <x:c r="G82" s="3" t="str">
        <x:f>IF($A82="","",D82+$T$404*E82)</x:f>
      </x:c>
      <x:c r="H82" s="3" t="str">
        <x:f>IF($A82="","",SQRT(MAX(0,(1)*$S$409*(1)+(1)*$T$409*(C82^1)+(1)*$U$409*(C82^2)+(C82^1)*$S$410*(1)+(C82^1)*$T$410*(C82^1)+(C82^1)*$U$410*(C82^2)+(C82^2)*$S$411*(1)+(C82^2)*$T$411*(C82^1)+(C82^2)*$U$411*(C82^2))))</x:f>
      </x:c>
      <x:c r="I82" s="3"/>
      <x:c r="J82" s="10" t="n">
        <x:v>45933</x:v>
      </x:c>
      <x:c r="K82" s="8" t="n">
        <x:f>INDEX('Сводка'!$S$3:$S$397,U82)</x:f>
        <x:v>274</x:v>
      </x:c>
      <x:c r="L82" s="8" t="n">
        <x:f>INDEX('Сводка'!$S$3:$S$397,V82)</x:f>
        <x:v>284</x:v>
      </x:c>
      <x:c r="M82" s="8" t="n">
        <x:f>INDEX($K$388:$N$400,W82,1)+INDEX($K$388:$N$400,W82,2)*(2*(J82-$T$405)/(T82-$T$405)-1)^1+INDEX($K$388:$N$400,W82,3)*(2*(J82-$T$405)/(T82-$T$405)-1)^2</x:f>
        <x:v>148.9182748263601</x:v>
      </x:c>
      <x:c r="N82" s="8" t="n">
        <x:f>K82-M82</x:f>
        <x:v>125.08172517363991</x:v>
      </x:c>
      <x:c r="O82" s="8" t="n">
        <x:f>ABS(N82)</x:f>
        <x:v>125.08172517363991</x:v>
      </x:c>
      <x:c r="P82" s="8" t="n">
        <x:f>N82^2</x:f>
        <x:v>15645.437972413984</x:v>
      </x:c>
      <x:c r="Q82" s="8" t="n">
        <x:f>K82-L82</x:f>
        <x:v>-10</x:v>
      </x:c>
      <x:c r="R82" s="9" t="n">
        <x:f>IF(AND(INDEX('Сводка'!$T$3:$T$397,U82)=0,INDEX('Сводка'!$T$3:$T$397,V82)=0),1,0)</x:f>
        <x:v>1</x:v>
      </x:c>
      <x:c r="S82" s="9" t="n">
        <x:f>IF(AND(R82=1,O82&lt;=$G$13),1,0)</x:f>
        <x:v>0</x:v>
      </x:c>
      <x:c r="T82" s="10" t="n">
        <x:f>EOMONTH(J82-'Сводка'!$B$11,-1)</x:f>
        <x:v>45930</x:v>
      </x:c>
      <x:c r="U82" s="4" t="n">
        <x:f>MATCH(J82,'Сводка'!$R$3:$R$397,0)</x:f>
        <x:v>93</x:v>
      </x:c>
      <x:c r="V82" s="4" t="n">
        <x:f>MATCH(J82-'Сводка'!$B$11,'Сводка'!$R$3:$R$397,0)</x:f>
        <x:v>92</x:v>
      </x:c>
      <x:c r="W82" s="4" t="n">
        <x:f>MATCH(T82,$J$388:$J$400,0)</x:f>
        <x:v>4</x:v>
      </x:c>
      <x:c r="X82" s="3"/>
      <x:c r="Y82" s="3"/>
      <x:c r="Z82" s="3"/>
    </x:row>
    <x:row r="83" ht="15" customHeight="1">
      <x:c r="A83" s="7" t="str">
        <x:f>IF(65&lt;='Сводка'!$B$3,'Сводка'!$B$4+65,"")</x:f>
      </x:c>
      <x:c r="B83" s="19" t="str">
        <x:f>IF($A83="","",(A83-$T$405+1)/1000)</x:f>
      </x:c>
      <x:c r="C83" s="19" t="str">
        <x:f>IF($A83="","",2*(A83-$T$405)/$T$406-1)</x:f>
      </x:c>
      <x:c r="D83" s="3" t="str">
        <x:f>IF($A83="","",$B$4+$B$5*C83^1+$B$6*C83^2)</x:f>
      </x:c>
      <x:c r="E83" s="3" t="str">
        <x:f>IF($A83="","",SQRT($T$403^2+H83^2))</x:f>
      </x:c>
      <x:c r="F83" s="3" t="str">
        <x:f>IF($A83="","",D83-$T$404*E83)</x:f>
      </x:c>
      <x:c r="G83" s="3" t="str">
        <x:f>IF($A83="","",D83+$T$404*E83)</x:f>
      </x:c>
      <x:c r="H83" s="3" t="str">
        <x:f>IF($A83="","",SQRT(MAX(0,(1)*$S$409*(1)+(1)*$T$409*(C83^1)+(1)*$U$409*(C83^2)+(C83^1)*$S$410*(1)+(C83^1)*$T$410*(C83^1)+(C83^1)*$U$410*(C83^2)+(C83^2)*$S$411*(1)+(C83^2)*$T$411*(C83^1)+(C83^2)*$U$411*(C83^2))))</x:f>
      </x:c>
      <x:c r="I83" s="3"/>
      <x:c r="J83" s="10" t="n">
        <x:v>45934</x:v>
      </x:c>
      <x:c r="K83" s="8" t="n">
        <x:f>INDEX('Сводка'!$S$3:$S$397,U83)</x:f>
        <x:v>258</x:v>
      </x:c>
      <x:c r="L83" s="8" t="n">
        <x:f>INDEX('Сводка'!$S$3:$S$397,V83)</x:f>
        <x:v>274</x:v>
      </x:c>
      <x:c r="M83" s="8" t="n">
        <x:f>INDEX($K$388:$N$400,W83,1)+INDEX($K$388:$N$400,W83,2)*(2*(J83-$T$405)/(T83-$T$405)-1)^1+INDEX($K$388:$N$400,W83,3)*(2*(J83-$T$405)/(T83-$T$405)-1)^2</x:f>
        <x:v>148.9239206131444</x:v>
      </x:c>
      <x:c r="N83" s="8" t="n">
        <x:f>K83-M83</x:f>
        <x:v>109.07607938685561</x:v>
      </x:c>
      <x:c r="O83" s="8" t="n">
        <x:f>ABS(N83)</x:f>
        <x:v>109.07607938685561</x:v>
      </x:c>
      <x:c r="P83" s="8" t="n">
        <x:f>N83^2</x:f>
        <x:v>11897.591094407628</x:v>
      </x:c>
      <x:c r="Q83" s="8" t="n">
        <x:f>K83-L83</x:f>
        <x:v>-16</x:v>
      </x:c>
      <x:c r="R83" s="9" t="n">
        <x:f>IF(AND(INDEX('Сводка'!$T$3:$T$397,U83)=0,INDEX('Сводка'!$T$3:$T$397,V83)=0),1,0)</x:f>
        <x:v>1</x:v>
      </x:c>
      <x:c r="S83" s="9" t="n">
        <x:f>IF(AND(R83=1,O83&lt;=$G$13),1,0)</x:f>
        <x:v>0</x:v>
      </x:c>
      <x:c r="T83" s="10" t="n">
        <x:f>EOMONTH(J83-'Сводка'!$B$11,-1)</x:f>
        <x:v>45930</x:v>
      </x:c>
      <x:c r="U83" s="4" t="n">
        <x:f>MATCH(J83,'Сводка'!$R$3:$R$397,0)</x:f>
        <x:v>94</x:v>
      </x:c>
      <x:c r="V83" s="4" t="n">
        <x:f>MATCH(J83-'Сводка'!$B$11,'Сводка'!$R$3:$R$397,0)</x:f>
        <x:v>93</x:v>
      </x:c>
      <x:c r="W83" s="4" t="n">
        <x:f>MATCH(T83,$J$388:$J$400,0)</x:f>
        <x:v>4</x:v>
      </x:c>
      <x:c r="X83" s="3"/>
      <x:c r="Y83" s="3"/>
      <x:c r="Z83" s="3"/>
    </x:row>
    <x:row r="84" ht="15" customHeight="1">
      <x:c r="A84" s="7" t="str">
        <x:f>IF(66&lt;='Сводка'!$B$3,'Сводка'!$B$4+66,"")</x:f>
      </x:c>
      <x:c r="B84" s="19" t="str">
        <x:f>IF($A84="","",(A84-$T$405+1)/1000)</x:f>
      </x:c>
      <x:c r="C84" s="19" t="str">
        <x:f>IF($A84="","",2*(A84-$T$405)/$T$406-1)</x:f>
      </x:c>
      <x:c r="D84" s="3" t="str">
        <x:f>IF($A84="","",$B$4+$B$5*C84^1+$B$6*C84^2)</x:f>
      </x:c>
      <x:c r="E84" s="3" t="str">
        <x:f>IF($A84="","",SQRT($T$403^2+H84^2))</x:f>
      </x:c>
      <x:c r="F84" s="3" t="str">
        <x:f>IF($A84="","",D84-$T$404*E84)</x:f>
      </x:c>
      <x:c r="G84" s="3" t="str">
        <x:f>IF($A84="","",D84+$T$404*E84)</x:f>
      </x:c>
      <x:c r="H84" s="3" t="str">
        <x:f>IF($A84="","",SQRT(MAX(0,(1)*$S$409*(1)+(1)*$T$409*(C84^1)+(1)*$U$409*(C84^2)+(C84^1)*$S$410*(1)+(C84^1)*$T$410*(C84^1)+(C84^1)*$U$410*(C84^2)+(C84^2)*$S$411*(1)+(C84^2)*$T$411*(C84^1)+(C84^2)*$U$411*(C84^2))))</x:f>
      </x:c>
      <x:c r="I84" s="3"/>
      <x:c r="J84" s="10" t="n">
        <x:v>45935</x:v>
      </x:c>
      <x:c r="K84" s="8" t="n">
        <x:f>INDEX('Сводка'!$S$3:$S$397,U84)</x:f>
        <x:v>240</x:v>
      </x:c>
      <x:c r="L84" s="8" t="n">
        <x:f>INDEX('Сводка'!$S$3:$S$397,V84)</x:f>
        <x:v>258</x:v>
      </x:c>
      <x:c r="M84" s="8" t="n">
        <x:f>INDEX($K$388:$N$400,W84,1)+INDEX($K$388:$N$400,W84,2)*(2*(J84-$T$405)/(T84-$T$405)-1)^1+INDEX($K$388:$N$400,W84,3)*(2*(J84-$T$405)/(T84-$T$405)-1)^2</x:f>
        <x:v>148.9295620843875</x:v>
      </x:c>
      <x:c r="N84" s="8" t="n">
        <x:f>K84-M84</x:f>
        <x:v>91.0704379156125</x:v>
      </x:c>
      <x:c r="O84" s="8" t="n">
        <x:f>ABS(N84)</x:f>
        <x:v>91.0704379156125</x:v>
      </x:c>
      <x:c r="P84" s="8" t="n">
        <x:f>N84^2</x:f>
        <x:v>8293.824662141431</x:v>
      </x:c>
      <x:c r="Q84" s="8" t="n">
        <x:f>K84-L84</x:f>
        <x:v>-18</x:v>
      </x:c>
      <x:c r="R84" s="9" t="n">
        <x:f>IF(AND(INDEX('Сводка'!$T$3:$T$397,U84)=0,INDEX('Сводка'!$T$3:$T$397,V84)=0),1,0)</x:f>
        <x:v>1</x:v>
      </x:c>
      <x:c r="S84" s="9" t="n">
        <x:f>IF(AND(R84=1,O84&lt;=$G$13),1,0)</x:f>
        <x:v>0</x:v>
      </x:c>
      <x:c r="T84" s="10" t="n">
        <x:f>EOMONTH(J84-'Сводка'!$B$11,-1)</x:f>
        <x:v>45930</x:v>
      </x:c>
      <x:c r="U84" s="4" t="n">
        <x:f>MATCH(J84,'Сводка'!$R$3:$R$397,0)</x:f>
        <x:v>95</x:v>
      </x:c>
      <x:c r="V84" s="4" t="n">
        <x:f>MATCH(J84-'Сводка'!$B$11,'Сводка'!$R$3:$R$397,0)</x:f>
        <x:v>94</x:v>
      </x:c>
      <x:c r="W84" s="4" t="n">
        <x:f>MATCH(T84,$J$388:$J$400,0)</x:f>
        <x:v>4</x:v>
      </x:c>
      <x:c r="X84" s="3"/>
      <x:c r="Y84" s="3"/>
      <x:c r="Z84" s="3"/>
    </x:row>
    <x:row r="85" ht="15" customHeight="1">
      <x:c r="A85" s="7" t="str">
        <x:f>IF(67&lt;='Сводка'!$B$3,'Сводка'!$B$4+67,"")</x:f>
      </x:c>
      <x:c r="B85" s="19" t="str">
        <x:f>IF($A85="","",(A85-$T$405+1)/1000)</x:f>
      </x:c>
      <x:c r="C85" s="19" t="str">
        <x:f>IF($A85="","",2*(A85-$T$405)/$T$406-1)</x:f>
      </x:c>
      <x:c r="D85" s="3" t="str">
        <x:f>IF($A85="","",$B$4+$B$5*C85^1+$B$6*C85^2)</x:f>
      </x:c>
      <x:c r="E85" s="3" t="str">
        <x:f>IF($A85="","",SQRT($T$403^2+H85^2))</x:f>
      </x:c>
      <x:c r="F85" s="3" t="str">
        <x:f>IF($A85="","",D85-$T$404*E85)</x:f>
      </x:c>
      <x:c r="G85" s="3" t="str">
        <x:f>IF($A85="","",D85+$T$404*E85)</x:f>
      </x:c>
      <x:c r="H85" s="3" t="str">
        <x:f>IF($A85="","",SQRT(MAX(0,(1)*$S$409*(1)+(1)*$T$409*(C85^1)+(1)*$U$409*(C85^2)+(C85^1)*$S$410*(1)+(C85^1)*$T$410*(C85^1)+(C85^1)*$U$410*(C85^2)+(C85^2)*$S$411*(1)+(C85^2)*$T$411*(C85^1)+(C85^2)*$U$411*(C85^2))))</x:f>
      </x:c>
      <x:c r="I85" s="3"/>
      <x:c r="J85" s="10" t="n">
        <x:v>45936</x:v>
      </x:c>
      <x:c r="K85" s="8" t="n">
        <x:f>INDEX('Сводка'!$S$3:$S$397,U85)</x:f>
        <x:v>224</x:v>
      </x:c>
      <x:c r="L85" s="8" t="n">
        <x:f>INDEX('Сводка'!$S$3:$S$397,V85)</x:f>
        <x:v>240</x:v>
      </x:c>
      <x:c r="M85" s="8" t="n">
        <x:f>INDEX($K$388:$N$400,W85,1)+INDEX($K$388:$N$400,W85,2)*(2*(J85-$T$405)/(T85-$T$405)-1)^1+INDEX($K$388:$N$400,W85,3)*(2*(J85-$T$405)/(T85-$T$405)-1)^2</x:f>
        <x:v>148.93519924008933</x:v>
      </x:c>
      <x:c r="N85" s="8" t="n">
        <x:f>K85-M85</x:f>
        <x:v>75.06480075991067</x:v>
      </x:c>
      <x:c r="O85" s="8" t="n">
        <x:f>ABS(N85)</x:f>
        <x:v>75.06480075991067</x:v>
      </x:c>
      <x:c r="P85" s="8" t="n">
        <x:f>N85^2</x:f>
        <x:v>5634.724313125085</x:v>
      </x:c>
      <x:c r="Q85" s="8" t="n">
        <x:f>K85-L85</x:f>
        <x:v>-16</x:v>
      </x:c>
      <x:c r="R85" s="9" t="n">
        <x:f>IF(AND(INDEX('Сводка'!$T$3:$T$397,U85)=0,INDEX('Сводка'!$T$3:$T$397,V85)=0),1,0)</x:f>
        <x:v>1</x:v>
      </x:c>
      <x:c r="S85" s="9" t="n">
        <x:f>IF(AND(R85=1,O85&lt;=$G$13),1,0)</x:f>
        <x:v>0</x:v>
      </x:c>
      <x:c r="T85" s="10" t="n">
        <x:f>EOMONTH(J85-'Сводка'!$B$11,-1)</x:f>
        <x:v>45930</x:v>
      </x:c>
      <x:c r="U85" s="4" t="n">
        <x:f>MATCH(J85,'Сводка'!$R$3:$R$397,0)</x:f>
        <x:v>96</x:v>
      </x:c>
      <x:c r="V85" s="4" t="n">
        <x:f>MATCH(J85-'Сводка'!$B$11,'Сводка'!$R$3:$R$397,0)</x:f>
        <x:v>95</x:v>
      </x:c>
      <x:c r="W85" s="4" t="n">
        <x:f>MATCH(T85,$J$388:$J$400,0)</x:f>
        <x:v>4</x:v>
      </x:c>
      <x:c r="X85" s="3"/>
      <x:c r="Y85" s="3"/>
      <x:c r="Z85" s="3"/>
    </x:row>
    <x:row r="86" ht="15" customHeight="1">
      <x:c r="A86" s="7" t="str">
        <x:f>IF(68&lt;='Сводка'!$B$3,'Сводка'!$B$4+68,"")</x:f>
      </x:c>
      <x:c r="B86" s="19" t="str">
        <x:f>IF($A86="","",(A86-$T$405+1)/1000)</x:f>
      </x:c>
      <x:c r="C86" s="19" t="str">
        <x:f>IF($A86="","",2*(A86-$T$405)/$T$406-1)</x:f>
      </x:c>
      <x:c r="D86" s="3" t="str">
        <x:f>IF($A86="","",$B$4+$B$5*C86^1+$B$6*C86^2)</x:f>
      </x:c>
      <x:c r="E86" s="3" t="str">
        <x:f>IF($A86="","",SQRT($T$403^2+H86^2))</x:f>
      </x:c>
      <x:c r="F86" s="3" t="str">
        <x:f>IF($A86="","",D86-$T$404*E86)</x:f>
      </x:c>
      <x:c r="G86" s="3" t="str">
        <x:f>IF($A86="","",D86+$T$404*E86)</x:f>
      </x:c>
      <x:c r="H86" s="3" t="str">
        <x:f>IF($A86="","",SQRT(MAX(0,(1)*$S$409*(1)+(1)*$T$409*(C86^1)+(1)*$U$409*(C86^2)+(C86^1)*$S$410*(1)+(C86^1)*$T$410*(C86^1)+(C86^1)*$U$410*(C86^2)+(C86^2)*$S$411*(1)+(C86^2)*$T$411*(C86^1)+(C86^2)*$U$411*(C86^2))))</x:f>
      </x:c>
      <x:c r="I86" s="3"/>
      <x:c r="J86" s="10" t="n">
        <x:v>45937</x:v>
      </x:c>
      <x:c r="K86" s="8" t="n">
        <x:f>INDEX('Сводка'!$S$3:$S$397,U86)</x:f>
        <x:v>210</x:v>
      </x:c>
      <x:c r="L86" s="8" t="n">
        <x:f>INDEX('Сводка'!$S$3:$S$397,V86)</x:f>
        <x:v>224</x:v>
      </x:c>
      <x:c r="M86" s="8" t="n">
        <x:f>INDEX($K$388:$N$400,W86,1)+INDEX($K$388:$N$400,W86,2)*(2*(J86-$T$405)/(T86-$T$405)-1)^1+INDEX($K$388:$N$400,W86,3)*(2*(J86-$T$405)/(T86-$T$405)-1)^2</x:f>
        <x:v>148.94083208024992</x:v>
      </x:c>
      <x:c r="N86" s="8" t="n">
        <x:f>K86-M86</x:f>
        <x:v>61.05916791975008</x:v>
      </x:c>
      <x:c r="O86" s="8" t="n">
        <x:f>ABS(N86)</x:f>
        <x:v>61.05916791975008</x:v>
      </x:c>
      <x:c r="P86" s="8" t="n">
        <x:f>N86^2</x:f>
        <x:v>3728.2219870522376</x:v>
      </x:c>
      <x:c r="Q86" s="8" t="n">
        <x:f>K86-L86</x:f>
        <x:v>-14</x:v>
      </x:c>
      <x:c r="R86" s="9" t="n">
        <x:f>IF(AND(INDEX('Сводка'!$T$3:$T$397,U86)=0,INDEX('Сводка'!$T$3:$T$397,V86)=0),1,0)</x:f>
        <x:v>1</x:v>
      </x:c>
      <x:c r="S86" s="9" t="n">
        <x:f>IF(AND(R86=1,O86&lt;=$G$13),1,0)</x:f>
        <x:v>0</x:v>
      </x:c>
      <x:c r="T86" s="10" t="n">
        <x:f>EOMONTH(J86-'Сводка'!$B$11,-1)</x:f>
        <x:v>45930</x:v>
      </x:c>
      <x:c r="U86" s="4" t="n">
        <x:f>MATCH(J86,'Сводка'!$R$3:$R$397,0)</x:f>
        <x:v>97</x:v>
      </x:c>
      <x:c r="V86" s="4" t="n">
        <x:f>MATCH(J86-'Сводка'!$B$11,'Сводка'!$R$3:$R$397,0)</x:f>
        <x:v>96</x:v>
      </x:c>
      <x:c r="W86" s="4" t="n">
        <x:f>MATCH(T86,$J$388:$J$400,0)</x:f>
        <x:v>4</x:v>
      </x:c>
      <x:c r="X86" s="3"/>
      <x:c r="Y86" s="3"/>
      <x:c r="Z86" s="3"/>
    </x:row>
    <x:row r="87" ht="15" customHeight="1">
      <x:c r="A87" s="7" t="str">
        <x:f>IF(69&lt;='Сводка'!$B$3,'Сводка'!$B$4+69,"")</x:f>
      </x:c>
      <x:c r="B87" s="19" t="str">
        <x:f>IF($A87="","",(A87-$T$405+1)/1000)</x:f>
      </x:c>
      <x:c r="C87" s="19" t="str">
        <x:f>IF($A87="","",2*(A87-$T$405)/$T$406-1)</x:f>
      </x:c>
      <x:c r="D87" s="3" t="str">
        <x:f>IF($A87="","",$B$4+$B$5*C87^1+$B$6*C87^2)</x:f>
      </x:c>
      <x:c r="E87" s="3" t="str">
        <x:f>IF($A87="","",SQRT($T$403^2+H87^2))</x:f>
      </x:c>
      <x:c r="F87" s="3" t="str">
        <x:f>IF($A87="","",D87-$T$404*E87)</x:f>
      </x:c>
      <x:c r="G87" s="3" t="str">
        <x:f>IF($A87="","",D87+$T$404*E87)</x:f>
      </x:c>
      <x:c r="H87" s="3" t="str">
        <x:f>IF($A87="","",SQRT(MAX(0,(1)*$S$409*(1)+(1)*$T$409*(C87^1)+(1)*$U$409*(C87^2)+(C87^1)*$S$410*(1)+(C87^1)*$T$410*(C87^1)+(C87^1)*$U$410*(C87^2)+(C87^2)*$S$411*(1)+(C87^2)*$T$411*(C87^1)+(C87^2)*$U$411*(C87^2))))</x:f>
      </x:c>
      <x:c r="I87" s="3"/>
      <x:c r="J87" s="10" t="n">
        <x:v>45938</x:v>
      </x:c>
      <x:c r="K87" s="8" t="n">
        <x:f>INDEX('Сводка'!$S$3:$S$397,U87)</x:f>
        <x:v>198</x:v>
      </x:c>
      <x:c r="L87" s="8" t="n">
        <x:f>INDEX('Сводка'!$S$3:$S$397,V87)</x:f>
        <x:v>210</x:v>
      </x:c>
      <x:c r="M87" s="8" t="n">
        <x:f>INDEX($K$388:$N$400,W87,1)+INDEX($K$388:$N$400,W87,2)*(2*(J87-$T$405)/(T87-$T$405)-1)^1+INDEX($K$388:$N$400,W87,3)*(2*(J87-$T$405)/(T87-$T$405)-1)^2</x:f>
        <x:v>148.94646060486932</x:v>
      </x:c>
      <x:c r="N87" s="8" t="n">
        <x:f>K87-M87</x:f>
        <x:v>49.053539395130684</x:v>
      </x:c>
      <x:c r="O87" s="8" t="n">
        <x:f>ABS(N87)</x:f>
        <x:v>49.053539395130684</x:v>
      </x:c>
      <x:c r="P87" s="8" t="n">
        <x:f>N87^2</x:f>
        <x:v>2406.249727189638</x:v>
      </x:c>
      <x:c r="Q87" s="8" t="n">
        <x:f>K87-L87</x:f>
        <x:v>-12</x:v>
      </x:c>
      <x:c r="R87" s="9" t="n">
        <x:f>IF(AND(INDEX('Сводка'!$T$3:$T$397,U87)=0,INDEX('Сводка'!$T$3:$T$397,V87)=0),1,0)</x:f>
        <x:v>1</x:v>
      </x:c>
      <x:c r="S87" s="9" t="n">
        <x:f>IF(AND(R87=1,O87&lt;=$G$13),1,0)</x:f>
        <x:v>0</x:v>
      </x:c>
      <x:c r="T87" s="10" t="n">
        <x:f>EOMONTH(J87-'Сводка'!$B$11,-1)</x:f>
        <x:v>45930</x:v>
      </x:c>
      <x:c r="U87" s="4" t="n">
        <x:f>MATCH(J87,'Сводка'!$R$3:$R$397,0)</x:f>
        <x:v>98</x:v>
      </x:c>
      <x:c r="V87" s="4" t="n">
        <x:f>MATCH(J87-'Сводка'!$B$11,'Сводка'!$R$3:$R$397,0)</x:f>
        <x:v>97</x:v>
      </x:c>
      <x:c r="W87" s="4" t="n">
        <x:f>MATCH(T87,$J$388:$J$400,0)</x:f>
        <x:v>4</x:v>
      </x:c>
      <x:c r="X87" s="3"/>
      <x:c r="Y87" s="3"/>
      <x:c r="Z87" s="3"/>
    </x:row>
    <x:row r="88" ht="15" customHeight="1">
      <x:c r="A88" s="7" t="str">
        <x:f>IF(70&lt;='Сводка'!$B$3,'Сводка'!$B$4+70,"")</x:f>
      </x:c>
      <x:c r="B88" s="19" t="str">
        <x:f>IF($A88="","",(A88-$T$405+1)/1000)</x:f>
      </x:c>
      <x:c r="C88" s="19" t="str">
        <x:f>IF($A88="","",2*(A88-$T$405)/$T$406-1)</x:f>
      </x:c>
      <x:c r="D88" s="3" t="str">
        <x:f>IF($A88="","",$B$4+$B$5*C88^1+$B$6*C88^2)</x:f>
      </x:c>
      <x:c r="E88" s="3" t="str">
        <x:f>IF($A88="","",SQRT($T$403^2+H88^2))</x:f>
      </x:c>
      <x:c r="F88" s="3" t="str">
        <x:f>IF($A88="","",D88-$T$404*E88)</x:f>
      </x:c>
      <x:c r="G88" s="3" t="str">
        <x:f>IF($A88="","",D88+$T$404*E88)</x:f>
      </x:c>
      <x:c r="H88" s="3" t="str">
        <x:f>IF($A88="","",SQRT(MAX(0,(1)*$S$409*(1)+(1)*$T$409*(C88^1)+(1)*$U$409*(C88^2)+(C88^1)*$S$410*(1)+(C88^1)*$T$410*(C88^1)+(C88^1)*$U$410*(C88^2)+(C88^2)*$S$411*(1)+(C88^2)*$T$411*(C88^1)+(C88^2)*$U$411*(C88^2))))</x:f>
      </x:c>
      <x:c r="I88" s="3"/>
      <x:c r="J88" s="10" t="n">
        <x:v>45939</x:v>
      </x:c>
      <x:c r="K88" s="8" t="n">
        <x:f>INDEX('Сводка'!$S$3:$S$397,U88)</x:f>
        <x:v>178</x:v>
      </x:c>
      <x:c r="L88" s="8" t="n">
        <x:f>INDEX('Сводка'!$S$3:$S$397,V88)</x:f>
        <x:v>198</x:v>
      </x:c>
      <x:c r="M88" s="8" t="n">
        <x:f>INDEX($K$388:$N$400,W88,1)+INDEX($K$388:$N$400,W88,2)*(2*(J88-$T$405)/(T88-$T$405)-1)^1+INDEX($K$388:$N$400,W88,3)*(2*(J88-$T$405)/(T88-$T$405)-1)^2</x:f>
        <x:v>148.95208481394747</x:v>
      </x:c>
      <x:c r="N88" s="8" t="n">
        <x:f>K88-M88</x:f>
        <x:v>29.047915186052535</x:v>
      </x:c>
      <x:c r="O88" s="8" t="n">
        <x:f>ABS(N88)</x:f>
        <x:v>29.047915186052535</x:v>
      </x:c>
      <x:c r="P88" s="8" t="n">
        <x:f>N88^2</x:f>
        <x:v>843.7813766561014</x:v>
      </x:c>
      <x:c r="Q88" s="8" t="n">
        <x:f>K88-L88</x:f>
        <x:v>-20</x:v>
      </x:c>
      <x:c r="R88" s="9" t="n">
        <x:f>IF(AND(INDEX('Сводка'!$T$3:$T$397,U88)=0,INDEX('Сводка'!$T$3:$T$397,V88)=0),1,0)</x:f>
        <x:v>1</x:v>
      </x:c>
      <x:c r="S88" s="9" t="n">
        <x:f>IF(AND(R88=1,O88&lt;=$G$13),1,0)</x:f>
        <x:v>0</x:v>
      </x:c>
      <x:c r="T88" s="10" t="n">
        <x:f>EOMONTH(J88-'Сводка'!$B$11,-1)</x:f>
        <x:v>45930</x:v>
      </x:c>
      <x:c r="U88" s="4" t="n">
        <x:f>MATCH(J88,'Сводка'!$R$3:$R$397,0)</x:f>
        <x:v>99</x:v>
      </x:c>
      <x:c r="V88" s="4" t="n">
        <x:f>MATCH(J88-'Сводка'!$B$11,'Сводка'!$R$3:$R$397,0)</x:f>
        <x:v>98</x:v>
      </x:c>
      <x:c r="W88" s="4" t="n">
        <x:f>MATCH(T88,$J$388:$J$400,0)</x:f>
        <x:v>4</x:v>
      </x:c>
      <x:c r="X88" s="3"/>
      <x:c r="Y88" s="3"/>
      <x:c r="Z88" s="3"/>
    </x:row>
    <x:row r="89" ht="15" customHeight="1">
      <x:c r="A89" s="7" t="str">
        <x:f>IF(71&lt;='Сводка'!$B$3,'Сводка'!$B$4+71,"")</x:f>
      </x:c>
      <x:c r="B89" s="19" t="str">
        <x:f>IF($A89="","",(A89-$T$405+1)/1000)</x:f>
      </x:c>
      <x:c r="C89" s="19" t="str">
        <x:f>IF($A89="","",2*(A89-$T$405)/$T$406-1)</x:f>
      </x:c>
      <x:c r="D89" s="3" t="str">
        <x:f>IF($A89="","",$B$4+$B$5*C89^1+$B$6*C89^2)</x:f>
      </x:c>
      <x:c r="E89" s="3" t="str">
        <x:f>IF($A89="","",SQRT($T$403^2+H89^2))</x:f>
      </x:c>
      <x:c r="F89" s="3" t="str">
        <x:f>IF($A89="","",D89-$T$404*E89)</x:f>
      </x:c>
      <x:c r="G89" s="3" t="str">
        <x:f>IF($A89="","",D89+$T$404*E89)</x:f>
      </x:c>
      <x:c r="H89" s="3" t="str">
        <x:f>IF($A89="","",SQRT(MAX(0,(1)*$S$409*(1)+(1)*$T$409*(C89^1)+(1)*$U$409*(C89^2)+(C89^1)*$S$410*(1)+(C89^1)*$T$410*(C89^1)+(C89^1)*$U$410*(C89^2)+(C89^2)*$S$411*(1)+(C89^2)*$T$411*(C89^1)+(C89^2)*$U$411*(C89^2))))</x:f>
      </x:c>
      <x:c r="I89" s="3"/>
      <x:c r="J89" s="10" t="n">
        <x:v>45940</x:v>
      </x:c>
      <x:c r="K89" s="8" t="n">
        <x:f>INDEX('Сводка'!$S$3:$S$397,U89)</x:f>
        <x:v>163</x:v>
      </x:c>
      <x:c r="L89" s="8" t="n">
        <x:f>INDEX('Сводка'!$S$3:$S$397,V89)</x:f>
        <x:v>178</x:v>
      </x:c>
      <x:c r="M89" s="8" t="n">
        <x:f>INDEX($K$388:$N$400,W89,1)+INDEX($K$388:$N$400,W89,2)*(2*(J89-$T$405)/(T89-$T$405)-1)^1+INDEX($K$388:$N$400,W89,3)*(2*(J89-$T$405)/(T89-$T$405)-1)^2</x:f>
        <x:v>148.95770470748437</x:v>
      </x:c>
      <x:c r="N89" s="8" t="n">
        <x:f>K89-M89</x:f>
        <x:v>14.042295292515632</x:v>
      </x:c>
      <x:c r="O89" s="8" t="n">
        <x:f>ABS(N89)</x:f>
        <x:v>14.042295292515632</x:v>
      </x:c>
      <x:c r="P89" s="8" t="n">
        <x:f>N89^2</x:f>
        <x:v>197.1860570822067</x:v>
      </x:c>
      <x:c r="Q89" s="8" t="n">
        <x:f>K89-L89</x:f>
        <x:v>-15</x:v>
      </x:c>
      <x:c r="R89" s="9" t="n">
        <x:f>IF(AND(INDEX('Сводка'!$T$3:$T$397,U89)=0,INDEX('Сводка'!$T$3:$T$397,V89)=0),1,0)</x:f>
        <x:v>1</x:v>
      </x:c>
      <x:c r="S89" s="9" t="n">
        <x:f>IF(AND(R89=1,O89&lt;=$G$13),1,0)</x:f>
        <x:v>0</x:v>
      </x:c>
      <x:c r="T89" s="10" t="n">
        <x:f>EOMONTH(J89-'Сводка'!$B$11,-1)</x:f>
        <x:v>45930</x:v>
      </x:c>
      <x:c r="U89" s="4" t="n">
        <x:f>MATCH(J89,'Сводка'!$R$3:$R$397,0)</x:f>
        <x:v>100</x:v>
      </x:c>
      <x:c r="V89" s="4" t="n">
        <x:f>MATCH(J89-'Сводка'!$B$11,'Сводка'!$R$3:$R$397,0)</x:f>
        <x:v>99</x:v>
      </x:c>
      <x:c r="W89" s="4" t="n">
        <x:f>MATCH(T89,$J$388:$J$400,0)</x:f>
        <x:v>4</x:v>
      </x:c>
      <x:c r="X89" s="3"/>
      <x:c r="Y89" s="3"/>
      <x:c r="Z89" s="3"/>
    </x:row>
    <x:row r="90" ht="15" customHeight="1">
      <x:c r="A90" s="7" t="str">
        <x:f>IF(72&lt;='Сводка'!$B$3,'Сводка'!$B$4+72,"")</x:f>
      </x:c>
      <x:c r="B90" s="19" t="str">
        <x:f>IF($A90="","",(A90-$T$405+1)/1000)</x:f>
      </x:c>
      <x:c r="C90" s="19" t="str">
        <x:f>IF($A90="","",2*(A90-$T$405)/$T$406-1)</x:f>
      </x:c>
      <x:c r="D90" s="3" t="str">
        <x:f>IF($A90="","",$B$4+$B$5*C90^1+$B$6*C90^2)</x:f>
      </x:c>
      <x:c r="E90" s="3" t="str">
        <x:f>IF($A90="","",SQRT($T$403^2+H90^2))</x:f>
      </x:c>
      <x:c r="F90" s="3" t="str">
        <x:f>IF($A90="","",D90-$T$404*E90)</x:f>
      </x:c>
      <x:c r="G90" s="3" t="str">
        <x:f>IF($A90="","",D90+$T$404*E90)</x:f>
      </x:c>
      <x:c r="H90" s="3" t="str">
        <x:f>IF($A90="","",SQRT(MAX(0,(1)*$S$409*(1)+(1)*$T$409*(C90^1)+(1)*$U$409*(C90^2)+(C90^1)*$S$410*(1)+(C90^1)*$T$410*(C90^1)+(C90^1)*$U$410*(C90^2)+(C90^2)*$S$411*(1)+(C90^2)*$T$411*(C90^1)+(C90^2)*$U$411*(C90^2))))</x:f>
      </x:c>
      <x:c r="I90" s="3"/>
      <x:c r="J90" s="10" t="n">
        <x:v>45941</x:v>
      </x:c>
      <x:c r="K90" s="8" t="n">
        <x:f>INDEX('Сводка'!$S$3:$S$397,U90)</x:f>
        <x:v>152</x:v>
      </x:c>
      <x:c r="L90" s="8" t="n">
        <x:f>INDEX('Сводка'!$S$3:$S$397,V90)</x:f>
        <x:v>163</x:v>
      </x:c>
      <x:c r="M90" s="8" t="n">
        <x:f>INDEX($K$388:$N$400,W90,1)+INDEX($K$388:$N$400,W90,2)*(2*(J90-$T$405)/(T90-$T$405)-1)^1+INDEX($K$388:$N$400,W90,3)*(2*(J90-$T$405)/(T90-$T$405)-1)^2</x:f>
        <x:v>148.96332028548005</x:v>
      </x:c>
      <x:c r="N90" s="8" t="n">
        <x:f>K90-M90</x:f>
        <x:v>3.0366797145199484</x:v>
      </x:c>
      <x:c r="O90" s="8" t="n">
        <x:f>ABS(N90)</x:f>
        <x:v>3.0366797145199484</x:v>
      </x:c>
      <x:c r="P90" s="8" t="n">
        <x:f>N90^2</x:f>
        <x:v>9.221423688576955</x:v>
      </x:c>
      <x:c r="Q90" s="8" t="n">
        <x:f>K90-L90</x:f>
        <x:v>-11</x:v>
      </x:c>
      <x:c r="R90" s="9" t="n">
        <x:f>IF(AND(INDEX('Сводка'!$T$3:$T$397,U90)=0,INDEX('Сводка'!$T$3:$T$397,V90)=0),1,0)</x:f>
        <x:v>1</x:v>
      </x:c>
      <x:c r="S90" s="9" t="n">
        <x:f>IF(AND(R90=1,O90&lt;=$G$13),1,0)</x:f>
        <x:v>1</x:v>
      </x:c>
      <x:c r="T90" s="10" t="n">
        <x:f>EOMONTH(J90-'Сводка'!$B$11,-1)</x:f>
        <x:v>45930</x:v>
      </x:c>
      <x:c r="U90" s="4" t="n">
        <x:f>MATCH(J90,'Сводка'!$R$3:$R$397,0)</x:f>
        <x:v>101</x:v>
      </x:c>
      <x:c r="V90" s="4" t="n">
        <x:f>MATCH(J90-'Сводка'!$B$11,'Сводка'!$R$3:$R$397,0)</x:f>
        <x:v>100</x:v>
      </x:c>
      <x:c r="W90" s="4" t="n">
        <x:f>MATCH(T90,$J$388:$J$400,0)</x:f>
        <x:v>4</x:v>
      </x:c>
      <x:c r="X90" s="3"/>
      <x:c r="Y90" s="3"/>
      <x:c r="Z90" s="3"/>
    </x:row>
    <x:row r="91" ht="15" customHeight="1">
      <x:c r="A91" s="7" t="str">
        <x:f>IF(73&lt;='Сводка'!$B$3,'Сводка'!$B$4+73,"")</x:f>
      </x:c>
      <x:c r="B91" s="19" t="str">
        <x:f>IF($A91="","",(A91-$T$405+1)/1000)</x:f>
      </x:c>
      <x:c r="C91" s="19" t="str">
        <x:f>IF($A91="","",2*(A91-$T$405)/$T$406-1)</x:f>
      </x:c>
      <x:c r="D91" s="3" t="str">
        <x:f>IF($A91="","",$B$4+$B$5*C91^1+$B$6*C91^2)</x:f>
      </x:c>
      <x:c r="E91" s="3" t="str">
        <x:f>IF($A91="","",SQRT($T$403^2+H91^2))</x:f>
      </x:c>
      <x:c r="F91" s="3" t="str">
        <x:f>IF($A91="","",D91-$T$404*E91)</x:f>
      </x:c>
      <x:c r="G91" s="3" t="str">
        <x:f>IF($A91="","",D91+$T$404*E91)</x:f>
      </x:c>
      <x:c r="H91" s="3" t="str">
        <x:f>IF($A91="","",SQRT(MAX(0,(1)*$S$409*(1)+(1)*$T$409*(C91^1)+(1)*$U$409*(C91^2)+(C91^1)*$S$410*(1)+(C91^1)*$T$410*(C91^1)+(C91^1)*$U$410*(C91^2)+(C91^2)*$S$411*(1)+(C91^2)*$T$411*(C91^1)+(C91^2)*$U$411*(C91^2))))</x:f>
      </x:c>
      <x:c r="I91" s="3"/>
      <x:c r="J91" s="10" t="n">
        <x:v>45942</x:v>
      </x:c>
      <x:c r="K91" s="8" t="n">
        <x:f>INDEX('Сводка'!$S$3:$S$397,U91)</x:f>
        <x:v>138</x:v>
      </x:c>
      <x:c r="L91" s="8" t="n">
        <x:f>INDEX('Сводка'!$S$3:$S$397,V91)</x:f>
        <x:v>152</x:v>
      </x:c>
      <x:c r="M91" s="8" t="n">
        <x:f>INDEX($K$388:$N$400,W91,1)+INDEX($K$388:$N$400,W91,2)*(2*(J91-$T$405)/(T91-$T$405)-1)^1+INDEX($K$388:$N$400,W91,3)*(2*(J91-$T$405)/(T91-$T$405)-1)^2</x:f>
        <x:v>148.9689315479345</x:v>
      </x:c>
      <x:c r="N91" s="8" t="n">
        <x:f>K91-M91</x:f>
        <x:v>-10.968931547934488</x:v>
      </x:c>
      <x:c r="O91" s="8" t="n">
        <x:f>ABS(N91)</x:f>
        <x:v>10.968931547934488</x:v>
      </x:c>
      <x:c r="P91" s="8" t="n">
        <x:f>N91^2</x:f>
        <x:v>120.31745930327249</x:v>
      </x:c>
      <x:c r="Q91" s="8" t="n">
        <x:f>K91-L91</x:f>
        <x:v>-14</x:v>
      </x:c>
      <x:c r="R91" s="9" t="n">
        <x:f>IF(AND(INDEX('Сводка'!$T$3:$T$397,U91)=0,INDEX('Сводка'!$T$3:$T$397,V91)=0),1,0)</x:f>
        <x:v>1</x:v>
      </x:c>
      <x:c r="S91" s="9" t="n">
        <x:f>IF(AND(R91=1,O91&lt;=$G$13),1,0)</x:f>
        <x:v>0</x:v>
      </x:c>
      <x:c r="T91" s="10" t="n">
        <x:f>EOMONTH(J91-'Сводка'!$B$11,-1)</x:f>
        <x:v>45930</x:v>
      </x:c>
      <x:c r="U91" s="4" t="n">
        <x:f>MATCH(J91,'Сводка'!$R$3:$R$397,0)</x:f>
        <x:v>102</x:v>
      </x:c>
      <x:c r="V91" s="4" t="n">
        <x:f>MATCH(J91-'Сводка'!$B$11,'Сводка'!$R$3:$R$397,0)</x:f>
        <x:v>101</x:v>
      </x:c>
      <x:c r="W91" s="4" t="n">
        <x:f>MATCH(T91,$J$388:$J$400,0)</x:f>
        <x:v>4</x:v>
      </x:c>
      <x:c r="X91" s="3"/>
      <x:c r="Y91" s="3"/>
      <x:c r="Z91" s="3"/>
    </x:row>
    <x:row r="92" ht="15" customHeight="1">
      <x:c r="A92" s="7" t="str">
        <x:f>IF(74&lt;='Сводка'!$B$3,'Сводка'!$B$4+74,"")</x:f>
      </x:c>
      <x:c r="B92" s="19" t="str">
        <x:f>IF($A92="","",(A92-$T$405+1)/1000)</x:f>
      </x:c>
      <x:c r="C92" s="19" t="str">
        <x:f>IF($A92="","",2*(A92-$T$405)/$T$406-1)</x:f>
      </x:c>
      <x:c r="D92" s="3" t="str">
        <x:f>IF($A92="","",$B$4+$B$5*C92^1+$B$6*C92^2)</x:f>
      </x:c>
      <x:c r="E92" s="3" t="str">
        <x:f>IF($A92="","",SQRT($T$403^2+H92^2))</x:f>
      </x:c>
      <x:c r="F92" s="3" t="str">
        <x:f>IF($A92="","",D92-$T$404*E92)</x:f>
      </x:c>
      <x:c r="G92" s="3" t="str">
        <x:f>IF($A92="","",D92+$T$404*E92)</x:f>
      </x:c>
      <x:c r="H92" s="3" t="str">
        <x:f>IF($A92="","",SQRT(MAX(0,(1)*$S$409*(1)+(1)*$T$409*(C92^1)+(1)*$U$409*(C92^2)+(C92^1)*$S$410*(1)+(C92^1)*$T$410*(C92^1)+(C92^1)*$U$410*(C92^2)+(C92^2)*$S$411*(1)+(C92^2)*$T$411*(C92^1)+(C92^2)*$U$411*(C92^2))))</x:f>
      </x:c>
      <x:c r="I92" s="3"/>
      <x:c r="J92" s="10" t="n">
        <x:v>45943</x:v>
      </x:c>
      <x:c r="K92" s="8" t="n">
        <x:f>INDEX('Сводка'!$S$3:$S$397,U92)</x:f>
        <x:v>123</x:v>
      </x:c>
      <x:c r="L92" s="8" t="n">
        <x:f>INDEX('Сводка'!$S$3:$S$397,V92)</x:f>
        <x:v>138</x:v>
      </x:c>
      <x:c r="M92" s="8" t="n">
        <x:f>INDEX($K$388:$N$400,W92,1)+INDEX($K$388:$N$400,W92,2)*(2*(J92-$T$405)/(T92-$T$405)-1)^1+INDEX($K$388:$N$400,W92,3)*(2*(J92-$T$405)/(T92-$T$405)-1)^2</x:f>
        <x:v>148.97453849484774</x:v>
      </x:c>
      <x:c r="N92" s="8" t="n">
        <x:f>K92-M92</x:f>
        <x:v>-25.974538494847735</x:v>
      </x:c>
      <x:c r="O92" s="8" t="n">
        <x:f>ABS(N92)</x:f>
        <x:v>25.974538494847735</x:v>
      </x:c>
      <x:c r="P92" s="8" t="n">
        <x:f>N92^2</x:f>
        <x:v>674.6766500203269</x:v>
      </x:c>
      <x:c r="Q92" s="8" t="n">
        <x:f>K92-L92</x:f>
        <x:v>-15</x:v>
      </x:c>
      <x:c r="R92" s="9" t="n">
        <x:f>IF(AND(INDEX('Сводка'!$T$3:$T$397,U92)=0,INDEX('Сводка'!$T$3:$T$397,V92)=0),1,0)</x:f>
        <x:v>1</x:v>
      </x:c>
      <x:c r="S92" s="9" t="n">
        <x:f>IF(AND(R92=1,O92&lt;=$G$13),1,0)</x:f>
        <x:v>0</x:v>
      </x:c>
      <x:c r="T92" s="10" t="n">
        <x:f>EOMONTH(J92-'Сводка'!$B$11,-1)</x:f>
        <x:v>45930</x:v>
      </x:c>
      <x:c r="U92" s="4" t="n">
        <x:f>MATCH(J92,'Сводка'!$R$3:$R$397,0)</x:f>
        <x:v>103</x:v>
      </x:c>
      <x:c r="V92" s="4" t="n">
        <x:f>MATCH(J92-'Сводка'!$B$11,'Сводка'!$R$3:$R$397,0)</x:f>
        <x:v>102</x:v>
      </x:c>
      <x:c r="W92" s="4" t="n">
        <x:f>MATCH(T92,$J$388:$J$400,0)</x:f>
        <x:v>4</x:v>
      </x:c>
      <x:c r="X92" s="3"/>
      <x:c r="Y92" s="3"/>
      <x:c r="Z92" s="3"/>
    </x:row>
    <x:row r="93" ht="15" customHeight="1">
      <x:c r="A93" s="7" t="str">
        <x:f>IF(75&lt;='Сводка'!$B$3,'Сводка'!$B$4+75,"")</x:f>
      </x:c>
      <x:c r="B93" s="19" t="str">
        <x:f>IF($A93="","",(A93-$T$405+1)/1000)</x:f>
      </x:c>
      <x:c r="C93" s="19" t="str">
        <x:f>IF($A93="","",2*(A93-$T$405)/$T$406-1)</x:f>
      </x:c>
      <x:c r="D93" s="3" t="str">
        <x:f>IF($A93="","",$B$4+$B$5*C93^1+$B$6*C93^2)</x:f>
      </x:c>
      <x:c r="E93" s="3" t="str">
        <x:f>IF($A93="","",SQRT($T$403^2+H93^2))</x:f>
      </x:c>
      <x:c r="F93" s="3" t="str">
        <x:f>IF($A93="","",D93-$T$404*E93)</x:f>
      </x:c>
      <x:c r="G93" s="3" t="str">
        <x:f>IF($A93="","",D93+$T$404*E93)</x:f>
      </x:c>
      <x:c r="H93" s="3" t="str">
        <x:f>IF($A93="","",SQRT(MAX(0,(1)*$S$409*(1)+(1)*$T$409*(C93^1)+(1)*$U$409*(C93^2)+(C93^1)*$S$410*(1)+(C93^1)*$T$410*(C93^1)+(C93^1)*$U$410*(C93^2)+(C93^2)*$S$411*(1)+(C93^2)*$T$411*(C93^1)+(C93^2)*$U$411*(C93^2))))</x:f>
      </x:c>
      <x:c r="I93" s="3"/>
      <x:c r="J93" s="10" t="n">
        <x:v>45944</x:v>
      </x:c>
      <x:c r="K93" s="8" t="n">
        <x:f>INDEX('Сводка'!$S$3:$S$397,U93)</x:f>
        <x:v>111</x:v>
      </x:c>
      <x:c r="L93" s="8" t="n">
        <x:f>INDEX('Сводка'!$S$3:$S$397,V93)</x:f>
        <x:v>123</x:v>
      </x:c>
      <x:c r="M93" s="8" t="n">
        <x:f>INDEX($K$388:$N$400,W93,1)+INDEX($K$388:$N$400,W93,2)*(2*(J93-$T$405)/(T93-$T$405)-1)^1+INDEX($K$388:$N$400,W93,3)*(2*(J93-$T$405)/(T93-$T$405)-1)^2</x:f>
        <x:v>148.98014112621973</x:v>
      </x:c>
      <x:c r="N93" s="8" t="n">
        <x:f>K93-M93</x:f>
        <x:v>-37.980141126219735</x:v>
      </x:c>
      <x:c r="O93" s="8" t="n">
        <x:f>ABS(N93)</x:f>
        <x:v>37.980141126219735</x:v>
      </x:c>
      <x:c r="P93" s="8" t="n">
        <x:f>N93^2</x:f>
        <x:v>1442.4911199675676</x:v>
      </x:c>
      <x:c r="Q93" s="8" t="n">
        <x:f>K93-L93</x:f>
        <x:v>-12</x:v>
      </x:c>
      <x:c r="R93" s="9" t="n">
        <x:f>IF(AND(INDEX('Сводка'!$T$3:$T$397,U93)=0,INDEX('Сводка'!$T$3:$T$397,V93)=0),1,0)</x:f>
        <x:v>1</x:v>
      </x:c>
      <x:c r="S93" s="9" t="n">
        <x:f>IF(AND(R93=1,O93&lt;=$G$13),1,0)</x:f>
        <x:v>0</x:v>
      </x:c>
      <x:c r="T93" s="10" t="n">
        <x:f>EOMONTH(J93-'Сводка'!$B$11,-1)</x:f>
        <x:v>45930</x:v>
      </x:c>
      <x:c r="U93" s="4" t="n">
        <x:f>MATCH(J93,'Сводка'!$R$3:$R$397,0)</x:f>
        <x:v>104</x:v>
      </x:c>
      <x:c r="V93" s="4" t="n">
        <x:f>MATCH(J93-'Сводка'!$B$11,'Сводка'!$R$3:$R$397,0)</x:f>
        <x:v>103</x:v>
      </x:c>
      <x:c r="W93" s="4" t="n">
        <x:f>MATCH(T93,$J$388:$J$400,0)</x:f>
        <x:v>4</x:v>
      </x:c>
      <x:c r="X93" s="3"/>
      <x:c r="Y93" s="3"/>
      <x:c r="Z93" s="3"/>
    </x:row>
    <x:row r="94" ht="15" customHeight="1">
      <x:c r="A94" s="7" t="str">
        <x:f>IF(76&lt;='Сводка'!$B$3,'Сводка'!$B$4+76,"")</x:f>
      </x:c>
      <x:c r="B94" s="19" t="str">
        <x:f>IF($A94="","",(A94-$T$405+1)/1000)</x:f>
      </x:c>
      <x:c r="C94" s="19" t="str">
        <x:f>IF($A94="","",2*(A94-$T$405)/$T$406-1)</x:f>
      </x:c>
      <x:c r="D94" s="3" t="str">
        <x:f>IF($A94="","",$B$4+$B$5*C94^1+$B$6*C94^2)</x:f>
      </x:c>
      <x:c r="E94" s="3" t="str">
        <x:f>IF($A94="","",SQRT($T$403^2+H94^2))</x:f>
      </x:c>
      <x:c r="F94" s="3" t="str">
        <x:f>IF($A94="","",D94-$T$404*E94)</x:f>
      </x:c>
      <x:c r="G94" s="3" t="str">
        <x:f>IF($A94="","",D94+$T$404*E94)</x:f>
      </x:c>
      <x:c r="H94" s="3" t="str">
        <x:f>IF($A94="","",SQRT(MAX(0,(1)*$S$409*(1)+(1)*$T$409*(C94^1)+(1)*$U$409*(C94^2)+(C94^1)*$S$410*(1)+(C94^1)*$T$410*(C94^1)+(C94^1)*$U$410*(C94^2)+(C94^2)*$S$411*(1)+(C94^2)*$T$411*(C94^1)+(C94^2)*$U$411*(C94^2))))</x:f>
      </x:c>
      <x:c r="I94" s="3"/>
      <x:c r="J94" s="10" t="n">
        <x:v>45945</x:v>
      </x:c>
      <x:c r="K94" s="8" t="n">
        <x:f>INDEX('Сводка'!$S$3:$S$397,U94)</x:f>
        <x:v>100</x:v>
      </x:c>
      <x:c r="L94" s="8" t="n">
        <x:f>INDEX('Сводка'!$S$3:$S$397,V94)</x:f>
        <x:v>111</x:v>
      </x:c>
      <x:c r="M94" s="8" t="n">
        <x:f>INDEX($K$388:$N$400,W94,1)+INDEX($K$388:$N$400,W94,2)*(2*(J94-$T$405)/(T94-$T$405)-1)^1+INDEX($K$388:$N$400,W94,3)*(2*(J94-$T$405)/(T94-$T$405)-1)^2</x:f>
        <x:v>148.9857394420505</x:v>
      </x:c>
      <x:c r="N94" s="8" t="n">
        <x:f>K94-M94</x:f>
        <x:v>-48.98573944205049</x:v>
      </x:c>
      <x:c r="O94" s="8" t="n">
        <x:f>ABS(N94)</x:f>
        <x:v>48.98573944205049</x:v>
      </x:c>
      <x:c r="P94" s="8" t="n">
        <x:f>N94^2</x:f>
        <x:v>2399.6026686844607</x:v>
      </x:c>
      <x:c r="Q94" s="8" t="n">
        <x:f>K94-L94</x:f>
        <x:v>-11</x:v>
      </x:c>
      <x:c r="R94" s="9" t="n">
        <x:f>IF(AND(INDEX('Сводка'!$T$3:$T$397,U94)=0,INDEX('Сводка'!$T$3:$T$397,V94)=0),1,0)</x:f>
        <x:v>1</x:v>
      </x:c>
      <x:c r="S94" s="9" t="n">
        <x:f>IF(AND(R94=1,O94&lt;=$G$13),1,0)</x:f>
        <x:v>0</x:v>
      </x:c>
      <x:c r="T94" s="10" t="n">
        <x:f>EOMONTH(J94-'Сводка'!$B$11,-1)</x:f>
        <x:v>45930</x:v>
      </x:c>
      <x:c r="U94" s="4" t="n">
        <x:f>MATCH(J94,'Сводка'!$R$3:$R$397,0)</x:f>
        <x:v>105</x:v>
      </x:c>
      <x:c r="V94" s="4" t="n">
        <x:f>MATCH(J94-'Сводка'!$B$11,'Сводка'!$R$3:$R$397,0)</x:f>
        <x:v>104</x:v>
      </x:c>
      <x:c r="W94" s="4" t="n">
        <x:f>MATCH(T94,$J$388:$J$400,0)</x:f>
        <x:v>4</x:v>
      </x:c>
      <x:c r="X94" s="3"/>
      <x:c r="Y94" s="3"/>
      <x:c r="Z94" s="3"/>
    </x:row>
    <x:row r="95" ht="15" customHeight="1">
      <x:c r="A95" s="7" t="str">
        <x:f>IF(77&lt;='Сводка'!$B$3,'Сводка'!$B$4+77,"")</x:f>
      </x:c>
      <x:c r="B95" s="19" t="str">
        <x:f>IF($A95="","",(A95-$T$405+1)/1000)</x:f>
      </x:c>
      <x:c r="C95" s="19" t="str">
        <x:f>IF($A95="","",2*(A95-$T$405)/$T$406-1)</x:f>
      </x:c>
      <x:c r="D95" s="3" t="str">
        <x:f>IF($A95="","",$B$4+$B$5*C95^1+$B$6*C95^2)</x:f>
      </x:c>
      <x:c r="E95" s="3" t="str">
        <x:f>IF($A95="","",SQRT($T$403^2+H95^2))</x:f>
      </x:c>
      <x:c r="F95" s="3" t="str">
        <x:f>IF($A95="","",D95-$T$404*E95)</x:f>
      </x:c>
      <x:c r="G95" s="3" t="str">
        <x:f>IF($A95="","",D95+$T$404*E95)</x:f>
      </x:c>
      <x:c r="H95" s="3" t="str">
        <x:f>IF($A95="","",SQRT(MAX(0,(1)*$S$409*(1)+(1)*$T$409*(C95^1)+(1)*$U$409*(C95^2)+(C95^1)*$S$410*(1)+(C95^1)*$T$410*(C95^1)+(C95^1)*$U$410*(C95^2)+(C95^2)*$S$411*(1)+(C95^2)*$T$411*(C95^1)+(C95^2)*$U$411*(C95^2))))</x:f>
      </x:c>
      <x:c r="I95" s="3"/>
      <x:c r="J95" s="10" t="n">
        <x:v>45946</x:v>
      </x:c>
      <x:c r="K95" s="8" t="n">
        <x:f>INDEX('Сводка'!$S$3:$S$397,U95)</x:f>
        <x:v>89</x:v>
      </x:c>
      <x:c r="L95" s="8" t="n">
        <x:f>INDEX('Сводка'!$S$3:$S$397,V95)</x:f>
        <x:v>100</x:v>
      </x:c>
      <x:c r="M95" s="8" t="n">
        <x:f>INDEX($K$388:$N$400,W95,1)+INDEX($K$388:$N$400,W95,2)*(2*(J95-$T$405)/(T95-$T$405)-1)^1+INDEX($K$388:$N$400,W95,3)*(2*(J95-$T$405)/(T95-$T$405)-1)^2</x:f>
        <x:v>148.99133344234002</x:v>
      </x:c>
      <x:c r="N95" s="8" t="n">
        <x:f>K95-M95</x:f>
        <x:v>-59.99133344234002</x:v>
      </x:c>
      <x:c r="O95" s="8" t="n">
        <x:f>ABS(N95)</x:f>
        <x:v>59.99133344234002</x:v>
      </x:c>
      <x:c r="P95" s="8" t="n">
        <x:f>N95^2</x:f>
        <x:v>3598.960088190024</x:v>
      </x:c>
      <x:c r="Q95" s="8" t="n">
        <x:f>K95-L95</x:f>
        <x:v>-11</x:v>
      </x:c>
      <x:c r="R95" s="9" t="n">
        <x:f>IF(AND(INDEX('Сводка'!$T$3:$T$397,U95)=0,INDEX('Сводка'!$T$3:$T$397,V95)=0),1,0)</x:f>
        <x:v>1</x:v>
      </x:c>
      <x:c r="S95" s="9" t="n">
        <x:f>IF(AND(R95=1,O95&lt;=$G$13),1,0)</x:f>
        <x:v>0</x:v>
      </x:c>
      <x:c r="T95" s="10" t="n">
        <x:f>EOMONTH(J95-'Сводка'!$B$11,-1)</x:f>
        <x:v>45930</x:v>
      </x:c>
      <x:c r="U95" s="4" t="n">
        <x:f>MATCH(J95,'Сводка'!$R$3:$R$397,0)</x:f>
        <x:v>106</x:v>
      </x:c>
      <x:c r="V95" s="4" t="n">
        <x:f>MATCH(J95-'Сводка'!$B$11,'Сводка'!$R$3:$R$397,0)</x:f>
        <x:v>105</x:v>
      </x:c>
      <x:c r="W95" s="4" t="n">
        <x:f>MATCH(T95,$J$388:$J$400,0)</x:f>
        <x:v>4</x:v>
      </x:c>
      <x:c r="X95" s="3"/>
      <x:c r="Y95" s="3"/>
      <x:c r="Z95" s="3"/>
    </x:row>
    <x:row r="96" ht="15" customHeight="1">
      <x:c r="A96" s="7" t="str">
        <x:f>IF(78&lt;='Сводка'!$B$3,'Сводка'!$B$4+78,"")</x:f>
      </x:c>
      <x:c r="B96" s="19" t="str">
        <x:f>IF($A96="","",(A96-$T$405+1)/1000)</x:f>
      </x:c>
      <x:c r="C96" s="19" t="str">
        <x:f>IF($A96="","",2*(A96-$T$405)/$T$406-1)</x:f>
      </x:c>
      <x:c r="D96" s="3" t="str">
        <x:f>IF($A96="","",$B$4+$B$5*C96^1+$B$6*C96^2)</x:f>
      </x:c>
      <x:c r="E96" s="3" t="str">
        <x:f>IF($A96="","",SQRT($T$403^2+H96^2))</x:f>
      </x:c>
      <x:c r="F96" s="3" t="str">
        <x:f>IF($A96="","",D96-$T$404*E96)</x:f>
      </x:c>
      <x:c r="G96" s="3" t="str">
        <x:f>IF($A96="","",D96+$T$404*E96)</x:f>
      </x:c>
      <x:c r="H96" s="3" t="str">
        <x:f>IF($A96="","",SQRT(MAX(0,(1)*$S$409*(1)+(1)*$T$409*(C96^1)+(1)*$U$409*(C96^2)+(C96^1)*$S$410*(1)+(C96^1)*$T$410*(C96^1)+(C96^1)*$U$410*(C96^2)+(C96^2)*$S$411*(1)+(C96^2)*$T$411*(C96^1)+(C96^2)*$U$411*(C96^2))))</x:f>
      </x:c>
      <x:c r="I96" s="3"/>
      <x:c r="J96" s="10" t="n">
        <x:v>45947</x:v>
      </x:c>
      <x:c r="K96" s="8" t="n">
        <x:f>INDEX('Сводка'!$S$3:$S$397,U96)</x:f>
        <x:v>79</x:v>
      </x:c>
      <x:c r="L96" s="8" t="n">
        <x:f>INDEX('Сводка'!$S$3:$S$397,V96)</x:f>
        <x:v>89</x:v>
      </x:c>
      <x:c r="M96" s="8" t="n">
        <x:f>INDEX($K$388:$N$400,W96,1)+INDEX($K$388:$N$400,W96,2)*(2*(J96-$T$405)/(T96-$T$405)-1)^1+INDEX($K$388:$N$400,W96,3)*(2*(J96-$T$405)/(T96-$T$405)-1)^2</x:f>
        <x:v>148.9969231270883</x:v>
      </x:c>
      <x:c r="N96" s="8" t="n">
        <x:f>K96-M96</x:f>
        <x:v>-69.99692312708831</x:v>
      </x:c>
      <x:c r="O96" s="8" t="n">
        <x:f>ABS(N96)</x:f>
        <x:v>69.99692312708831</x:v>
      </x:c>
      <x:c r="P96" s="8" t="n">
        <x:f>N96^2</x:f>
        <x:v>4899.56924725951</x:v>
      </x:c>
      <x:c r="Q96" s="8" t="n">
        <x:f>K96-L96</x:f>
        <x:v>-10</x:v>
      </x:c>
      <x:c r="R96" s="9" t="n">
        <x:f>IF(AND(INDEX('Сводка'!$T$3:$T$397,U96)=0,INDEX('Сводка'!$T$3:$T$397,V96)=0),1,0)</x:f>
        <x:v>1</x:v>
      </x:c>
      <x:c r="S96" s="9" t="n">
        <x:f>IF(AND(R96=1,O96&lt;=$G$13),1,0)</x:f>
        <x:v>0</x:v>
      </x:c>
      <x:c r="T96" s="10" t="n">
        <x:f>EOMONTH(J96-'Сводка'!$B$11,-1)</x:f>
        <x:v>45930</x:v>
      </x:c>
      <x:c r="U96" s="4" t="n">
        <x:f>MATCH(J96,'Сводка'!$R$3:$R$397,0)</x:f>
        <x:v>107</x:v>
      </x:c>
      <x:c r="V96" s="4" t="n">
        <x:f>MATCH(J96-'Сводка'!$B$11,'Сводка'!$R$3:$R$397,0)</x:f>
        <x:v>106</x:v>
      </x:c>
      <x:c r="W96" s="4" t="n">
        <x:f>MATCH(T96,$J$388:$J$400,0)</x:f>
        <x:v>4</x:v>
      </x:c>
      <x:c r="X96" s="3"/>
      <x:c r="Y96" s="3"/>
      <x:c r="Z96" s="3"/>
    </x:row>
    <x:row r="97" ht="15" customHeight="1">
      <x:c r="A97" s="7" t="str">
        <x:f>IF(79&lt;='Сводка'!$B$3,'Сводка'!$B$4+79,"")</x:f>
      </x:c>
      <x:c r="B97" s="19" t="str">
        <x:f>IF($A97="","",(A97-$T$405+1)/1000)</x:f>
      </x:c>
      <x:c r="C97" s="19" t="str">
        <x:f>IF($A97="","",2*(A97-$T$405)/$T$406-1)</x:f>
      </x:c>
      <x:c r="D97" s="3" t="str">
        <x:f>IF($A97="","",$B$4+$B$5*C97^1+$B$6*C97^2)</x:f>
      </x:c>
      <x:c r="E97" s="3" t="str">
        <x:f>IF($A97="","",SQRT($T$403^2+H97^2))</x:f>
      </x:c>
      <x:c r="F97" s="3" t="str">
        <x:f>IF($A97="","",D97-$T$404*E97)</x:f>
      </x:c>
      <x:c r="G97" s="3" t="str">
        <x:f>IF($A97="","",D97+$T$404*E97)</x:f>
      </x:c>
      <x:c r="H97" s="3" t="str">
        <x:f>IF($A97="","",SQRT(MAX(0,(1)*$S$409*(1)+(1)*$T$409*(C97^1)+(1)*$U$409*(C97^2)+(C97^1)*$S$410*(1)+(C97^1)*$T$410*(C97^1)+(C97^1)*$U$410*(C97^2)+(C97^2)*$S$411*(1)+(C97^2)*$T$411*(C97^1)+(C97^2)*$U$411*(C97^2))))</x:f>
      </x:c>
      <x:c r="I97" s="3"/>
      <x:c r="J97" s="10" t="n">
        <x:v>45948</x:v>
      </x:c>
      <x:c r="K97" s="8" t="n">
        <x:f>INDEX('Сводка'!$S$3:$S$397,U97)</x:f>
        <x:v>66</x:v>
      </x:c>
      <x:c r="L97" s="8" t="n">
        <x:f>INDEX('Сводка'!$S$3:$S$397,V97)</x:f>
        <x:v>79</x:v>
      </x:c>
      <x:c r="M97" s="8" t="n">
        <x:f>INDEX($K$388:$N$400,W97,1)+INDEX($K$388:$N$400,W97,2)*(2*(J97-$T$405)/(T97-$T$405)-1)^1+INDEX($K$388:$N$400,W97,3)*(2*(J97-$T$405)/(T97-$T$405)-1)^2</x:f>
        <x:v>149.00250849629538</x:v>
      </x:c>
      <x:c r="N97" s="8" t="n">
        <x:f>K97-M97</x:f>
        <x:v>-83.00250849629538</x:v>
      </x:c>
      <x:c r="O97" s="8" t="n">
        <x:f>ABS(N97)</x:f>
        <x:v>83.00250849629538</x:v>
      </x:c>
      <x:c r="P97" s="8" t="n">
        <x:f>N97^2</x:f>
        <x:v>6889.416416677586</x:v>
      </x:c>
      <x:c r="Q97" s="8" t="n">
        <x:f>K97-L97</x:f>
        <x:v>-13</x:v>
      </x:c>
      <x:c r="R97" s="9" t="n">
        <x:f>IF(AND(INDEX('Сводка'!$T$3:$T$397,U97)=0,INDEX('Сводка'!$T$3:$T$397,V97)=0),1,0)</x:f>
        <x:v>1</x:v>
      </x:c>
      <x:c r="S97" s="9" t="n">
        <x:f>IF(AND(R97=1,O97&lt;=$G$13),1,0)</x:f>
        <x:v>0</x:v>
      </x:c>
      <x:c r="T97" s="10" t="n">
        <x:f>EOMONTH(J97-'Сводка'!$B$11,-1)</x:f>
        <x:v>45930</x:v>
      </x:c>
      <x:c r="U97" s="4" t="n">
        <x:f>MATCH(J97,'Сводка'!$R$3:$R$397,0)</x:f>
        <x:v>108</x:v>
      </x:c>
      <x:c r="V97" s="4" t="n">
        <x:f>MATCH(J97-'Сводка'!$B$11,'Сводка'!$R$3:$R$397,0)</x:f>
        <x:v>107</x:v>
      </x:c>
      <x:c r="W97" s="4" t="n">
        <x:f>MATCH(T97,$J$388:$J$400,0)</x:f>
        <x:v>4</x:v>
      </x:c>
      <x:c r="X97" s="3"/>
      <x:c r="Y97" s="3"/>
      <x:c r="Z97" s="3"/>
    </x:row>
    <x:row r="98" ht="15" customHeight="1">
      <x:c r="A98" s="7" t="str">
        <x:f>IF(80&lt;='Сводка'!$B$3,'Сводка'!$B$4+80,"")</x:f>
      </x:c>
      <x:c r="B98" s="19" t="str">
        <x:f>IF($A98="","",(A98-$T$405+1)/1000)</x:f>
      </x:c>
      <x:c r="C98" s="19" t="str">
        <x:f>IF($A98="","",2*(A98-$T$405)/$T$406-1)</x:f>
      </x:c>
      <x:c r="D98" s="3" t="str">
        <x:f>IF($A98="","",$B$4+$B$5*C98^1+$B$6*C98^2)</x:f>
      </x:c>
      <x:c r="E98" s="3" t="str">
        <x:f>IF($A98="","",SQRT($T$403^2+H98^2))</x:f>
      </x:c>
      <x:c r="F98" s="3" t="str">
        <x:f>IF($A98="","",D98-$T$404*E98)</x:f>
      </x:c>
      <x:c r="G98" s="3" t="str">
        <x:f>IF($A98="","",D98+$T$404*E98)</x:f>
      </x:c>
      <x:c r="H98" s="3" t="str">
        <x:f>IF($A98="","",SQRT(MAX(0,(1)*$S$409*(1)+(1)*$T$409*(C98^1)+(1)*$U$409*(C98^2)+(C98^1)*$S$410*(1)+(C98^1)*$T$410*(C98^1)+(C98^1)*$U$410*(C98^2)+(C98^2)*$S$411*(1)+(C98^2)*$T$411*(C98^1)+(C98^2)*$U$411*(C98^2))))</x:f>
      </x:c>
      <x:c r="I98" s="3"/>
      <x:c r="J98" s="10" t="n">
        <x:v>45949</x:v>
      </x:c>
      <x:c r="K98" s="8" t="n">
        <x:f>INDEX('Сводка'!$S$3:$S$397,U98)</x:f>
        <x:v>56</x:v>
      </x:c>
      <x:c r="L98" s="8" t="n">
        <x:f>INDEX('Сводка'!$S$3:$S$397,V98)</x:f>
        <x:v>66</x:v>
      </x:c>
      <x:c r="M98" s="8" t="n">
        <x:f>INDEX($K$388:$N$400,W98,1)+INDEX($K$388:$N$400,W98,2)*(2*(J98-$T$405)/(T98-$T$405)-1)^1+INDEX($K$388:$N$400,W98,3)*(2*(J98-$T$405)/(T98-$T$405)-1)^2</x:f>
        <x:v>149.0080895499612</x:v>
      </x:c>
      <x:c r="N98" s="8" t="n">
        <x:f>K98-M98</x:f>
        <x:v>-93.0080895499612</x:v>
      </x:c>
      <x:c r="O98" s="8" t="n">
        <x:f>ABS(N98)</x:f>
        <x:v>93.0080895499612</x:v>
      </x:c>
      <x:c r="P98" s="8" t="n">
        <x:f>N98^2</x:f>
        <x:v>8650.504721733601</x:v>
      </x:c>
      <x:c r="Q98" s="8" t="n">
        <x:f>K98-L98</x:f>
        <x:v>-10</x:v>
      </x:c>
      <x:c r="R98" s="9" t="n">
        <x:f>IF(AND(INDEX('Сводка'!$T$3:$T$397,U98)=0,INDEX('Сводка'!$T$3:$T$397,V98)=0),1,0)</x:f>
        <x:v>1</x:v>
      </x:c>
      <x:c r="S98" s="9" t="n">
        <x:f>IF(AND(R98=1,O98&lt;=$G$13),1,0)</x:f>
        <x:v>0</x:v>
      </x:c>
      <x:c r="T98" s="10" t="n">
        <x:f>EOMONTH(J98-'Сводка'!$B$11,-1)</x:f>
        <x:v>45930</x:v>
      </x:c>
      <x:c r="U98" s="4" t="n">
        <x:f>MATCH(J98,'Сводка'!$R$3:$R$397,0)</x:f>
        <x:v>109</x:v>
      </x:c>
      <x:c r="V98" s="4" t="n">
        <x:f>MATCH(J98-'Сводка'!$B$11,'Сводка'!$R$3:$R$397,0)</x:f>
        <x:v>108</x:v>
      </x:c>
      <x:c r="W98" s="4" t="n">
        <x:f>MATCH(T98,$J$388:$J$400,0)</x:f>
        <x:v>4</x:v>
      </x:c>
      <x:c r="X98" s="3"/>
      <x:c r="Y98" s="3"/>
      <x:c r="Z98" s="3"/>
    </x:row>
    <x:row r="99" ht="15" customHeight="1">
      <x:c r="A99" s="7" t="str">
        <x:f>IF(81&lt;='Сводка'!$B$3,'Сводка'!$B$4+81,"")</x:f>
      </x:c>
      <x:c r="B99" s="19" t="str">
        <x:f>IF($A99="","",(A99-$T$405+1)/1000)</x:f>
      </x:c>
      <x:c r="C99" s="19" t="str">
        <x:f>IF($A99="","",2*(A99-$T$405)/$T$406-1)</x:f>
      </x:c>
      <x:c r="D99" s="3" t="str">
        <x:f>IF($A99="","",$B$4+$B$5*C99^1+$B$6*C99^2)</x:f>
      </x:c>
      <x:c r="E99" s="3" t="str">
        <x:f>IF($A99="","",SQRT($T$403^2+H99^2))</x:f>
      </x:c>
      <x:c r="F99" s="3" t="str">
        <x:f>IF($A99="","",D99-$T$404*E99)</x:f>
      </x:c>
      <x:c r="G99" s="3" t="str">
        <x:f>IF($A99="","",D99+$T$404*E99)</x:f>
      </x:c>
      <x:c r="H99" s="3" t="str">
        <x:f>IF($A99="","",SQRT(MAX(0,(1)*$S$409*(1)+(1)*$T$409*(C99^1)+(1)*$U$409*(C99^2)+(C99^1)*$S$410*(1)+(C99^1)*$T$410*(C99^1)+(C99^1)*$U$410*(C99^2)+(C99^2)*$S$411*(1)+(C99^2)*$T$411*(C99^1)+(C99^2)*$U$411*(C99^2))))</x:f>
      </x:c>
      <x:c r="I99" s="3"/>
      <x:c r="J99" s="10" t="n">
        <x:v>45950</x:v>
      </x:c>
      <x:c r="K99" s="8" t="n">
        <x:f>INDEX('Сводка'!$S$3:$S$397,U99)</x:f>
        <x:v>46</x:v>
      </x:c>
      <x:c r="L99" s="8" t="n">
        <x:f>INDEX('Сводка'!$S$3:$S$397,V99)</x:f>
        <x:v>56</x:v>
      </x:c>
      <x:c r="M99" s="8" t="n">
        <x:f>INDEX($K$388:$N$400,W99,1)+INDEX($K$388:$N$400,W99,2)*(2*(J99-$T$405)/(T99-$T$405)-1)^1+INDEX($K$388:$N$400,W99,3)*(2*(J99-$T$405)/(T99-$T$405)-1)^2</x:f>
        <x:v>149.01366628808577</x:v>
      </x:c>
      <x:c r="N99" s="8" t="n">
        <x:f>K99-M99</x:f>
        <x:v>-103.01366628808577</x:v>
      </x:c>
      <x:c r="O99" s="8" t="n">
        <x:f>ABS(N99)</x:f>
        <x:v>103.01366628808577</x:v>
      </x:c>
      <x:c r="P99" s="8" t="n">
        <x:f>N99^2</x:f>
        <x:v>10611.815442113098</x:v>
      </x:c>
      <x:c r="Q99" s="8" t="n">
        <x:f>K99-L99</x:f>
        <x:v>-10</x:v>
      </x:c>
      <x:c r="R99" s="9" t="n">
        <x:f>IF(AND(INDEX('Сводка'!$T$3:$T$397,U99)=0,INDEX('Сводка'!$T$3:$T$397,V99)=0),1,0)</x:f>
        <x:v>1</x:v>
      </x:c>
      <x:c r="S99" s="9" t="n">
        <x:f>IF(AND(R99=1,O99&lt;=$G$13),1,0)</x:f>
        <x:v>0</x:v>
      </x:c>
      <x:c r="T99" s="10" t="n">
        <x:f>EOMONTH(J99-'Сводка'!$B$11,-1)</x:f>
        <x:v>45930</x:v>
      </x:c>
      <x:c r="U99" s="4" t="n">
        <x:f>MATCH(J99,'Сводка'!$R$3:$R$397,0)</x:f>
        <x:v>110</x:v>
      </x:c>
      <x:c r="V99" s="4" t="n">
        <x:f>MATCH(J99-'Сводка'!$B$11,'Сводка'!$R$3:$R$397,0)</x:f>
        <x:v>109</x:v>
      </x:c>
      <x:c r="W99" s="4" t="n">
        <x:f>MATCH(T99,$J$388:$J$400,0)</x:f>
        <x:v>4</x:v>
      </x:c>
      <x:c r="X99" s="3"/>
      <x:c r="Y99" s="3"/>
      <x:c r="Z99" s="3"/>
    </x:row>
    <x:row r="100" ht="15" customHeight="1">
      <x:c r="A100" s="7" t="str">
        <x:f>IF(82&lt;='Сводка'!$B$3,'Сводка'!$B$4+82,"")</x:f>
      </x:c>
      <x:c r="B100" s="19" t="str">
        <x:f>IF($A100="","",(A100-$T$405+1)/1000)</x:f>
      </x:c>
      <x:c r="C100" s="19" t="str">
        <x:f>IF($A100="","",2*(A100-$T$405)/$T$406-1)</x:f>
      </x:c>
      <x:c r="D100" s="3" t="str">
        <x:f>IF($A100="","",$B$4+$B$5*C100^1+$B$6*C100^2)</x:f>
      </x:c>
      <x:c r="E100" s="3" t="str">
        <x:f>IF($A100="","",SQRT($T$403^2+H100^2))</x:f>
      </x:c>
      <x:c r="F100" s="3" t="str">
        <x:f>IF($A100="","",D100-$T$404*E100)</x:f>
      </x:c>
      <x:c r="G100" s="3" t="str">
        <x:f>IF($A100="","",D100+$T$404*E100)</x:f>
      </x:c>
      <x:c r="H100" s="3" t="str">
        <x:f>IF($A100="","",SQRT(MAX(0,(1)*$S$409*(1)+(1)*$T$409*(C100^1)+(1)*$U$409*(C100^2)+(C100^1)*$S$410*(1)+(C100^1)*$T$410*(C100^1)+(C100^1)*$U$410*(C100^2)+(C100^2)*$S$411*(1)+(C100^2)*$T$411*(C100^1)+(C100^2)*$U$411*(C100^2))))</x:f>
      </x:c>
      <x:c r="I100" s="3"/>
      <x:c r="J100" s="10" t="n">
        <x:v>45951</x:v>
      </x:c>
      <x:c r="K100" s="8" t="n">
        <x:f>INDEX('Сводка'!$S$3:$S$397,U100)</x:f>
        <x:v>36</x:v>
      </x:c>
      <x:c r="L100" s="8" t="n">
        <x:f>INDEX('Сводка'!$S$3:$S$397,V100)</x:f>
        <x:v>46</x:v>
      </x:c>
      <x:c r="M100" s="8" t="n">
        <x:f>INDEX($K$388:$N$400,W100,1)+INDEX($K$388:$N$400,W100,2)*(2*(J100-$T$405)/(T100-$T$405)-1)^1+INDEX($K$388:$N$400,W100,3)*(2*(J100-$T$405)/(T100-$T$405)-1)^2</x:f>
        <x:v>149.01923871066916</x:v>
      </x:c>
      <x:c r="N100" s="8" t="n">
        <x:f>K100-M100</x:f>
        <x:v>-113.01923871066916</x:v>
      </x:c>
      <x:c r="O100" s="8" t="n">
        <x:f>ABS(N100)</x:f>
        <x:v>113.01923871066916</x:v>
      </x:c>
      <x:c r="P100" s="8" t="n">
        <x:f>N100^2</x:f>
        <x:v>12773.348318739218</x:v>
      </x:c>
      <x:c r="Q100" s="8" t="n">
        <x:f>K100-L100</x:f>
        <x:v>-10</x:v>
      </x:c>
      <x:c r="R100" s="9" t="n">
        <x:f>IF(AND(INDEX('Сводка'!$T$3:$T$397,U100)=0,INDEX('Сводка'!$T$3:$T$397,V100)=0),1,0)</x:f>
        <x:v>1</x:v>
      </x:c>
      <x:c r="S100" s="9" t="n">
        <x:f>IF(AND(R100=1,O100&lt;=$G$13),1,0)</x:f>
        <x:v>0</x:v>
      </x:c>
      <x:c r="T100" s="10" t="n">
        <x:f>EOMONTH(J100-'Сводка'!$B$11,-1)</x:f>
        <x:v>45930</x:v>
      </x:c>
      <x:c r="U100" s="4" t="n">
        <x:f>MATCH(J100,'Сводка'!$R$3:$R$397,0)</x:f>
        <x:v>111</x:v>
      </x:c>
      <x:c r="V100" s="4" t="n">
        <x:f>MATCH(J100-'Сводка'!$B$11,'Сводка'!$R$3:$R$397,0)</x:f>
        <x:v>110</x:v>
      </x:c>
      <x:c r="W100" s="4" t="n">
        <x:f>MATCH(T100,$J$388:$J$400,0)</x:f>
        <x:v>4</x:v>
      </x:c>
      <x:c r="X100" s="3"/>
      <x:c r="Y100" s="3"/>
      <x:c r="Z100" s="3"/>
    </x:row>
    <x:row r="101" ht="15" customHeight="1">
      <x:c r="A101" s="7" t="str">
        <x:f>IF(83&lt;='Сводка'!$B$3,'Сводка'!$B$4+83,"")</x:f>
      </x:c>
      <x:c r="B101" s="19" t="str">
        <x:f>IF($A101="","",(A101-$T$405+1)/1000)</x:f>
      </x:c>
      <x:c r="C101" s="19" t="str">
        <x:f>IF($A101="","",2*(A101-$T$405)/$T$406-1)</x:f>
      </x:c>
      <x:c r="D101" s="3" t="str">
        <x:f>IF($A101="","",$B$4+$B$5*C101^1+$B$6*C101^2)</x:f>
      </x:c>
      <x:c r="E101" s="3" t="str">
        <x:f>IF($A101="","",SQRT($T$403^2+H101^2))</x:f>
      </x:c>
      <x:c r="F101" s="3" t="str">
        <x:f>IF($A101="","",D101-$T$404*E101)</x:f>
      </x:c>
      <x:c r="G101" s="3" t="str">
        <x:f>IF($A101="","",D101+$T$404*E101)</x:f>
      </x:c>
      <x:c r="H101" s="3" t="str">
        <x:f>IF($A101="","",SQRT(MAX(0,(1)*$S$409*(1)+(1)*$T$409*(C101^1)+(1)*$U$409*(C101^2)+(C101^1)*$S$410*(1)+(C101^1)*$T$410*(C101^1)+(C101^1)*$U$410*(C101^2)+(C101^2)*$S$411*(1)+(C101^2)*$T$411*(C101^1)+(C101^2)*$U$411*(C101^2))))</x:f>
      </x:c>
      <x:c r="I101" s="3"/>
      <x:c r="J101" s="10" t="n">
        <x:v>45952</x:v>
      </x:c>
      <x:c r="K101" s="8" t="n">
        <x:f>INDEX('Сводка'!$S$3:$S$397,U101)</x:f>
        <x:v>30</x:v>
      </x:c>
      <x:c r="L101" s="8" t="n">
        <x:f>INDEX('Сводка'!$S$3:$S$397,V101)</x:f>
        <x:v>36</x:v>
      </x:c>
      <x:c r="M101" s="8" t="n">
        <x:f>INDEX($K$388:$N$400,W101,1)+INDEX($K$388:$N$400,W101,2)*(2*(J101-$T$405)/(T101-$T$405)-1)^1+INDEX($K$388:$N$400,W101,3)*(2*(J101-$T$405)/(T101-$T$405)-1)^2</x:f>
        <x:v>149.0248068177113</x:v>
      </x:c>
      <x:c r="N101" s="8" t="n">
        <x:f>K101-M101</x:f>
        <x:v>-119.0248068177113</x:v>
      </x:c>
      <x:c r="O101" s="8" t="n">
        <x:f>ABS(N101)</x:f>
        <x:v>119.0248068177113</x:v>
      </x:c>
      <x:c r="P101" s="8" t="n">
        <x:f>N101^2</x:f>
        <x:v>14166.904637993493</x:v>
      </x:c>
      <x:c r="Q101" s="8" t="n">
        <x:f>K101-L101</x:f>
        <x:v>-6</x:v>
      </x:c>
      <x:c r="R101" s="9" t="n">
        <x:f>IF(AND(INDEX('Сводка'!$T$3:$T$397,U101)=0,INDEX('Сводка'!$T$3:$T$397,V101)=0),1,0)</x:f>
        <x:v>1</x:v>
      </x:c>
      <x:c r="S101" s="9" t="n">
        <x:f>IF(AND(R101=1,O101&lt;=$G$13),1,0)</x:f>
        <x:v>0</x:v>
      </x:c>
      <x:c r="T101" s="10" t="n">
        <x:f>EOMONTH(J101-'Сводка'!$B$11,-1)</x:f>
        <x:v>45930</x:v>
      </x:c>
      <x:c r="U101" s="4" t="n">
        <x:f>MATCH(J101,'Сводка'!$R$3:$R$397,0)</x:f>
        <x:v>112</x:v>
      </x:c>
      <x:c r="V101" s="4" t="n">
        <x:f>MATCH(J101-'Сводка'!$B$11,'Сводка'!$R$3:$R$397,0)</x:f>
        <x:v>111</x:v>
      </x:c>
      <x:c r="W101" s="4" t="n">
        <x:f>MATCH(T101,$J$388:$J$400,0)</x:f>
        <x:v>4</x:v>
      </x:c>
      <x:c r="X101" s="3"/>
      <x:c r="Y101" s="3"/>
      <x:c r="Z101" s="3"/>
    </x:row>
    <x:row r="102" ht="15" customHeight="1">
      <x:c r="A102" s="7" t="str">
        <x:f>IF(84&lt;='Сводка'!$B$3,'Сводка'!$B$4+84,"")</x:f>
      </x:c>
      <x:c r="B102" s="19" t="str">
        <x:f>IF($A102="","",(A102-$T$405+1)/1000)</x:f>
      </x:c>
      <x:c r="C102" s="19" t="str">
        <x:f>IF($A102="","",2*(A102-$T$405)/$T$406-1)</x:f>
      </x:c>
      <x:c r="D102" s="3" t="str">
        <x:f>IF($A102="","",$B$4+$B$5*C102^1+$B$6*C102^2)</x:f>
      </x:c>
      <x:c r="E102" s="3" t="str">
        <x:f>IF($A102="","",SQRT($T$403^2+H102^2))</x:f>
      </x:c>
      <x:c r="F102" s="3" t="str">
        <x:f>IF($A102="","",D102-$T$404*E102)</x:f>
      </x:c>
      <x:c r="G102" s="3" t="str">
        <x:f>IF($A102="","",D102+$T$404*E102)</x:f>
      </x:c>
      <x:c r="H102" s="3" t="str">
        <x:f>IF($A102="","",SQRT(MAX(0,(1)*$S$409*(1)+(1)*$T$409*(C102^1)+(1)*$U$409*(C102^2)+(C102^1)*$S$410*(1)+(C102^1)*$T$410*(C102^1)+(C102^1)*$U$410*(C102^2)+(C102^2)*$S$411*(1)+(C102^2)*$T$411*(C102^1)+(C102^2)*$U$411*(C102^2))))</x:f>
      </x:c>
      <x:c r="I102" s="3"/>
      <x:c r="J102" s="10" t="n">
        <x:v>45953</x:v>
      </x:c>
      <x:c r="K102" s="8" t="n">
        <x:f>INDEX('Сводка'!$S$3:$S$397,U102)</x:f>
        <x:v>19</x:v>
      </x:c>
      <x:c r="L102" s="8" t="n">
        <x:f>INDEX('Сводка'!$S$3:$S$397,V102)</x:f>
        <x:v>30</x:v>
      </x:c>
      <x:c r="M102" s="8" t="n">
        <x:f>INDEX($K$388:$N$400,W102,1)+INDEX($K$388:$N$400,W102,2)*(2*(J102-$T$405)/(T102-$T$405)-1)^1+INDEX($K$388:$N$400,W102,3)*(2*(J102-$T$405)/(T102-$T$405)-1)^2</x:f>
        <x:v>149.0303706092122</x:v>
      </x:c>
      <x:c r="N102" s="8" t="n">
        <x:f>K102-M102</x:f>
        <x:v>-130.0303706092122</x:v>
      </x:c>
      <x:c r="O102" s="8" t="n">
        <x:f>ABS(N102)</x:f>
        <x:v>130.0303706092122</x:v>
      </x:c>
      <x:c r="P102" s="8" t="n">
        <x:f>N102^2</x:f>
        <x:v>16907.89728076908</x:v>
      </x:c>
      <x:c r="Q102" s="8" t="n">
        <x:f>K102-L102</x:f>
        <x:v>-11</x:v>
      </x:c>
      <x:c r="R102" s="9" t="n">
        <x:f>IF(AND(INDEX('Сводка'!$T$3:$T$397,U102)=0,INDEX('Сводка'!$T$3:$T$397,V102)=0),1,0)</x:f>
        <x:v>1</x:v>
      </x:c>
      <x:c r="S102" s="9" t="n">
        <x:f>IF(AND(R102=1,O102&lt;=$G$13),1,0)</x:f>
        <x:v>0</x:v>
      </x:c>
      <x:c r="T102" s="10" t="n">
        <x:f>EOMONTH(J102-'Сводка'!$B$11,-1)</x:f>
        <x:v>45930</x:v>
      </x:c>
      <x:c r="U102" s="4" t="n">
        <x:f>MATCH(J102,'Сводка'!$R$3:$R$397,0)</x:f>
        <x:v>113</x:v>
      </x:c>
      <x:c r="V102" s="4" t="n">
        <x:f>MATCH(J102-'Сводка'!$B$11,'Сводка'!$R$3:$R$397,0)</x:f>
        <x:v>112</x:v>
      </x:c>
      <x:c r="W102" s="4" t="n">
        <x:f>MATCH(T102,$J$388:$J$400,0)</x:f>
        <x:v>4</x:v>
      </x:c>
      <x:c r="X102" s="3"/>
      <x:c r="Y102" s="3"/>
      <x:c r="Z102" s="3"/>
    </x:row>
    <x:row r="103" ht="15" customHeight="1">
      <x:c r="A103" s="7" t="str">
        <x:f>IF(85&lt;='Сводка'!$B$3,'Сводка'!$B$4+85,"")</x:f>
      </x:c>
      <x:c r="B103" s="19" t="str">
        <x:f>IF($A103="","",(A103-$T$405+1)/1000)</x:f>
      </x:c>
      <x:c r="C103" s="19" t="str">
        <x:f>IF($A103="","",2*(A103-$T$405)/$T$406-1)</x:f>
      </x:c>
      <x:c r="D103" s="3" t="str">
        <x:f>IF($A103="","",$B$4+$B$5*C103^1+$B$6*C103^2)</x:f>
      </x:c>
      <x:c r="E103" s="3" t="str">
        <x:f>IF($A103="","",SQRT($T$403^2+H103^2))</x:f>
      </x:c>
      <x:c r="F103" s="3" t="str">
        <x:f>IF($A103="","",D103-$T$404*E103)</x:f>
      </x:c>
      <x:c r="G103" s="3" t="str">
        <x:f>IF($A103="","",D103+$T$404*E103)</x:f>
      </x:c>
      <x:c r="H103" s="3" t="str">
        <x:f>IF($A103="","",SQRT(MAX(0,(1)*$S$409*(1)+(1)*$T$409*(C103^1)+(1)*$U$409*(C103^2)+(C103^1)*$S$410*(1)+(C103^1)*$T$410*(C103^1)+(C103^1)*$U$410*(C103^2)+(C103^2)*$S$411*(1)+(C103^2)*$T$411*(C103^1)+(C103^2)*$U$411*(C103^2))))</x:f>
      </x:c>
      <x:c r="I103" s="3"/>
      <x:c r="J103" s="10" t="n">
        <x:v>45954</x:v>
      </x:c>
      <x:c r="K103" s="8" t="n">
        <x:f>INDEX('Сводка'!$S$3:$S$397,U103)</x:f>
        <x:v>12</x:v>
      </x:c>
      <x:c r="L103" s="8" t="n">
        <x:f>INDEX('Сводка'!$S$3:$S$397,V103)</x:f>
        <x:v>19</x:v>
      </x:c>
      <x:c r="M103" s="8" t="n">
        <x:f>INDEX($K$388:$N$400,W103,1)+INDEX($K$388:$N$400,W103,2)*(2*(J103-$T$405)/(T103-$T$405)-1)^1+INDEX($K$388:$N$400,W103,3)*(2*(J103-$T$405)/(T103-$T$405)-1)^2</x:f>
        <x:v>149.03593008517188</x:v>
      </x:c>
      <x:c r="N103" s="8" t="n">
        <x:f>K103-M103</x:f>
        <x:v>-137.03593008517188</x:v>
      </x:c>
      <x:c r="O103" s="8" t="n">
        <x:f>ABS(N103)</x:f>
        <x:v>137.03593008517188</x:v>
      </x:c>
      <x:c r="P103" s="8" t="n">
        <x:f>N103^2</x:f>
        <x:v>18778.846134308118</x:v>
      </x:c>
      <x:c r="Q103" s="8" t="n">
        <x:f>K103-L103</x:f>
        <x:v>-7</x:v>
      </x:c>
      <x:c r="R103" s="9" t="n">
        <x:f>IF(AND(INDEX('Сводка'!$T$3:$T$397,U103)=0,INDEX('Сводка'!$T$3:$T$397,V103)=0),1,0)</x:f>
        <x:v>1</x:v>
      </x:c>
      <x:c r="S103" s="9" t="n">
        <x:f>IF(AND(R103=1,O103&lt;=$G$13),1,0)</x:f>
        <x:v>0</x:v>
      </x:c>
      <x:c r="T103" s="10" t="n">
        <x:f>EOMONTH(J103-'Сводка'!$B$11,-1)</x:f>
        <x:v>45930</x:v>
      </x:c>
      <x:c r="U103" s="4" t="n">
        <x:f>MATCH(J103,'Сводка'!$R$3:$R$397,0)</x:f>
        <x:v>114</x:v>
      </x:c>
      <x:c r="V103" s="4" t="n">
        <x:f>MATCH(J103-'Сводка'!$B$11,'Сводка'!$R$3:$R$397,0)</x:f>
        <x:v>113</x:v>
      </x:c>
      <x:c r="W103" s="4" t="n">
        <x:f>MATCH(T103,$J$388:$J$400,0)</x:f>
        <x:v>4</x:v>
      </x:c>
      <x:c r="X103" s="3"/>
      <x:c r="Y103" s="3"/>
      <x:c r="Z103" s="3"/>
    </x:row>
    <x:row r="104" ht="15" customHeight="1">
      <x:c r="A104" s="7" t="str">
        <x:f>IF(86&lt;='Сводка'!$B$3,'Сводка'!$B$4+86,"")</x:f>
      </x:c>
      <x:c r="B104" s="19" t="str">
        <x:f>IF($A104="","",(A104-$T$405+1)/1000)</x:f>
      </x:c>
      <x:c r="C104" s="19" t="str">
        <x:f>IF($A104="","",2*(A104-$T$405)/$T$406-1)</x:f>
      </x:c>
      <x:c r="D104" s="3" t="str">
        <x:f>IF($A104="","",$B$4+$B$5*C104^1+$B$6*C104^2)</x:f>
      </x:c>
      <x:c r="E104" s="3" t="str">
        <x:f>IF($A104="","",SQRT($T$403^2+H104^2))</x:f>
      </x:c>
      <x:c r="F104" s="3" t="str">
        <x:f>IF($A104="","",D104-$T$404*E104)</x:f>
      </x:c>
      <x:c r="G104" s="3" t="str">
        <x:f>IF($A104="","",D104+$T$404*E104)</x:f>
      </x:c>
      <x:c r="H104" s="3" t="str">
        <x:f>IF($A104="","",SQRT(MAX(0,(1)*$S$409*(1)+(1)*$T$409*(C104^1)+(1)*$U$409*(C104^2)+(C104^1)*$S$410*(1)+(C104^1)*$T$410*(C104^1)+(C104^1)*$U$410*(C104^2)+(C104^2)*$S$411*(1)+(C104^2)*$T$411*(C104^1)+(C104^2)*$U$411*(C104^2))))</x:f>
      </x:c>
      <x:c r="I104" s="3"/>
      <x:c r="J104" s="10" t="n">
        <x:v>45955</x:v>
      </x:c>
      <x:c r="K104" s="8" t="n">
        <x:f>INDEX('Сводка'!$S$3:$S$397,U104)</x:f>
        <x:v>5</x:v>
      </x:c>
      <x:c r="L104" s="8" t="n">
        <x:f>INDEX('Сводка'!$S$3:$S$397,V104)</x:f>
        <x:v>12</x:v>
      </x:c>
      <x:c r="M104" s="8" t="n">
        <x:f>INDEX($K$388:$N$400,W104,1)+INDEX($K$388:$N$400,W104,2)*(2*(J104-$T$405)/(T104-$T$405)-1)^1+INDEX($K$388:$N$400,W104,3)*(2*(J104-$T$405)/(T104-$T$405)-1)^2</x:f>
        <x:v>149.04148524559034</x:v>
      </x:c>
      <x:c r="N104" s="8" t="n">
        <x:f>K104-M104</x:f>
        <x:v>-144.04148524559034</x:v>
      </x:c>
      <x:c r="O104" s="8" t="n">
        <x:f>ABS(N104)</x:f>
        <x:v>144.04148524559034</x:v>
      </x:c>
      <x:c r="P104" s="8" t="n">
        <x:f>N104^2</x:f>
        <x:v>20747.94947175562</x:v>
      </x:c>
      <x:c r="Q104" s="8" t="n">
        <x:f>K104-L104</x:f>
        <x:v>-7</x:v>
      </x:c>
      <x:c r="R104" s="9" t="n">
        <x:f>IF(AND(INDEX('Сводка'!$T$3:$T$397,U104)=0,INDEX('Сводка'!$T$3:$T$397,V104)=0),1,0)</x:f>
        <x:v>1</x:v>
      </x:c>
      <x:c r="S104" s="9" t="n">
        <x:f>IF(AND(R104=1,O104&lt;=$G$13),1,0)</x:f>
        <x:v>0</x:v>
      </x:c>
      <x:c r="T104" s="10" t="n">
        <x:f>EOMONTH(J104-'Сводка'!$B$11,-1)</x:f>
        <x:v>45930</x:v>
      </x:c>
      <x:c r="U104" s="4" t="n">
        <x:f>MATCH(J104,'Сводка'!$R$3:$R$397,0)</x:f>
        <x:v>115</x:v>
      </x:c>
      <x:c r="V104" s="4" t="n">
        <x:f>MATCH(J104-'Сводка'!$B$11,'Сводка'!$R$3:$R$397,0)</x:f>
        <x:v>114</x:v>
      </x:c>
      <x:c r="W104" s="4" t="n">
        <x:f>MATCH(T104,$J$388:$J$400,0)</x:f>
        <x:v>4</x:v>
      </x:c>
      <x:c r="X104" s="3"/>
      <x:c r="Y104" s="3"/>
      <x:c r="Z104" s="3"/>
    </x:row>
    <x:row r="105" ht="15" customHeight="1">
      <x:c r="A105" s="7" t="str">
        <x:f>IF(87&lt;='Сводка'!$B$3,'Сводка'!$B$4+87,"")</x:f>
      </x:c>
      <x:c r="B105" s="19" t="str">
        <x:f>IF($A105="","",(A105-$T$405+1)/1000)</x:f>
      </x:c>
      <x:c r="C105" s="19" t="str">
        <x:f>IF($A105="","",2*(A105-$T$405)/$T$406-1)</x:f>
      </x:c>
      <x:c r="D105" s="3" t="str">
        <x:f>IF($A105="","",$B$4+$B$5*C105^1+$B$6*C105^2)</x:f>
      </x:c>
      <x:c r="E105" s="3" t="str">
        <x:f>IF($A105="","",SQRT($T$403^2+H105^2))</x:f>
      </x:c>
      <x:c r="F105" s="3" t="str">
        <x:f>IF($A105="","",D105-$T$404*E105)</x:f>
      </x:c>
      <x:c r="G105" s="3" t="str">
        <x:f>IF($A105="","",D105+$T$404*E105)</x:f>
      </x:c>
      <x:c r="H105" s="3" t="str">
        <x:f>IF($A105="","",SQRT(MAX(0,(1)*$S$409*(1)+(1)*$T$409*(C105^1)+(1)*$U$409*(C105^2)+(C105^1)*$S$410*(1)+(C105^1)*$T$410*(C105^1)+(C105^1)*$U$410*(C105^2)+(C105^2)*$S$411*(1)+(C105^2)*$T$411*(C105^1)+(C105^2)*$U$411*(C105^2))))</x:f>
      </x:c>
      <x:c r="I105" s="3"/>
      <x:c r="J105" s="10" t="n">
        <x:v>45956</x:v>
      </x:c>
      <x:c r="K105" s="8" t="n">
        <x:f>INDEX('Сводка'!$S$3:$S$397,U105)</x:f>
        <x:v>-1</x:v>
      </x:c>
      <x:c r="L105" s="8" t="n">
        <x:f>INDEX('Сводка'!$S$3:$S$397,V105)</x:f>
        <x:v>5</x:v>
      </x:c>
      <x:c r="M105" s="8" t="n">
        <x:f>INDEX($K$388:$N$400,W105,1)+INDEX($K$388:$N$400,W105,2)*(2*(J105-$T$405)/(T105-$T$405)-1)^1+INDEX($K$388:$N$400,W105,3)*(2*(J105-$T$405)/(T105-$T$405)-1)^2</x:f>
        <x:v>149.04703609046754</x:v>
      </x:c>
      <x:c r="N105" s="8" t="n">
        <x:f>K105-M105</x:f>
        <x:v>-150.04703609046754</x:v>
      </x:c>
      <x:c r="O105" s="8" t="n">
        <x:f>ABS(N105)</x:f>
        <x:v>150.04703609046754</x:v>
      </x:c>
      <x:c r="P105" s="8" t="n">
        <x:f>N105^2</x:f>
        <x:v>22514.11303953407</x:v>
      </x:c>
      <x:c r="Q105" s="8" t="n">
        <x:f>K105-L105</x:f>
        <x:v>-6</x:v>
      </x:c>
      <x:c r="R105" s="9" t="n">
        <x:f>IF(AND(INDEX('Сводка'!$T$3:$T$397,U105)=0,INDEX('Сводка'!$T$3:$T$397,V105)=0),1,0)</x:f>
        <x:v>1</x:v>
      </x:c>
      <x:c r="S105" s="9" t="n">
        <x:f>IF(AND(R105=1,O105&lt;=$G$13),1,0)</x:f>
        <x:v>0</x:v>
      </x:c>
      <x:c r="T105" s="10" t="n">
        <x:f>EOMONTH(J105-'Сводка'!$B$11,-1)</x:f>
        <x:v>45930</x:v>
      </x:c>
      <x:c r="U105" s="4" t="n">
        <x:f>MATCH(J105,'Сводка'!$R$3:$R$397,0)</x:f>
        <x:v>116</x:v>
      </x:c>
      <x:c r="V105" s="4" t="n">
        <x:f>MATCH(J105-'Сводка'!$B$11,'Сводка'!$R$3:$R$397,0)</x:f>
        <x:v>115</x:v>
      </x:c>
      <x:c r="W105" s="4" t="n">
        <x:f>MATCH(T105,$J$388:$J$400,0)</x:f>
        <x:v>4</x:v>
      </x:c>
      <x:c r="X105" s="3"/>
      <x:c r="Y105" s="3"/>
      <x:c r="Z105" s="3"/>
    </x:row>
    <x:row r="106" ht="15" customHeight="1">
      <x:c r="A106" s="7" t="str">
        <x:f>IF(88&lt;='Сводка'!$B$3,'Сводка'!$B$4+88,"")</x:f>
      </x:c>
      <x:c r="B106" s="19" t="str">
        <x:f>IF($A106="","",(A106-$T$405+1)/1000)</x:f>
      </x:c>
      <x:c r="C106" s="19" t="str">
        <x:f>IF($A106="","",2*(A106-$T$405)/$T$406-1)</x:f>
      </x:c>
      <x:c r="D106" s="3" t="str">
        <x:f>IF($A106="","",$B$4+$B$5*C106^1+$B$6*C106^2)</x:f>
      </x:c>
      <x:c r="E106" s="3" t="str">
        <x:f>IF($A106="","",SQRT($T$403^2+H106^2))</x:f>
      </x:c>
      <x:c r="F106" s="3" t="str">
        <x:f>IF($A106="","",D106-$T$404*E106)</x:f>
      </x:c>
      <x:c r="G106" s="3" t="str">
        <x:f>IF($A106="","",D106+$T$404*E106)</x:f>
      </x:c>
      <x:c r="H106" s="3" t="str">
        <x:f>IF($A106="","",SQRT(MAX(0,(1)*$S$409*(1)+(1)*$T$409*(C106^1)+(1)*$U$409*(C106^2)+(C106^1)*$S$410*(1)+(C106^1)*$T$410*(C106^1)+(C106^1)*$U$410*(C106^2)+(C106^2)*$S$411*(1)+(C106^2)*$T$411*(C106^1)+(C106^2)*$U$411*(C106^2))))</x:f>
      </x:c>
      <x:c r="I106" s="3"/>
      <x:c r="J106" s="10" t="n">
        <x:v>45957</x:v>
      </x:c>
      <x:c r="K106" s="8" t="n">
        <x:f>INDEX('Сводка'!$S$3:$S$397,U106)</x:f>
        <x:v>-11</x:v>
      </x:c>
      <x:c r="L106" s="8" t="n">
        <x:f>INDEX('Сводка'!$S$3:$S$397,V106)</x:f>
        <x:v>-1</x:v>
      </x:c>
      <x:c r="M106" s="8" t="n">
        <x:f>INDEX($K$388:$N$400,W106,1)+INDEX($K$388:$N$400,W106,2)*(2*(J106-$T$405)/(T106-$T$405)-1)^1+INDEX($K$388:$N$400,W106,3)*(2*(J106-$T$405)/(T106-$T$405)-1)^2</x:f>
        <x:v>149.0525826198035</x:v>
      </x:c>
      <x:c r="N106" s="8" t="n">
        <x:f>K106-M106</x:f>
        <x:v>-160.0525826198035</x:v>
      </x:c>
      <x:c r="O106" s="8" t="n">
        <x:f>ABS(N106)</x:f>
        <x:v>160.0525826198035</x:v>
      </x:c>
      <x:c r="P106" s="8" t="n">
        <x:f>N106^2</x:f>
        <x:v>25616.829203269026</x:v>
      </x:c>
      <x:c r="Q106" s="8" t="n">
        <x:f>K106-L106</x:f>
        <x:v>-10</x:v>
      </x:c>
      <x:c r="R106" s="9" t="n">
        <x:f>IF(AND(INDEX('Сводка'!$T$3:$T$397,U106)=0,INDEX('Сводка'!$T$3:$T$397,V106)=0),1,0)</x:f>
        <x:v>1</x:v>
      </x:c>
      <x:c r="S106" s="9" t="n">
        <x:f>IF(AND(R106=1,O106&lt;=$G$13),1,0)</x:f>
        <x:v>0</x:v>
      </x:c>
      <x:c r="T106" s="10" t="n">
        <x:f>EOMONTH(J106-'Сводка'!$B$11,-1)</x:f>
        <x:v>45930</x:v>
      </x:c>
      <x:c r="U106" s="4" t="n">
        <x:f>MATCH(J106,'Сводка'!$R$3:$R$397,0)</x:f>
        <x:v>117</x:v>
      </x:c>
      <x:c r="V106" s="4" t="n">
        <x:f>MATCH(J106-'Сводка'!$B$11,'Сводка'!$R$3:$R$397,0)</x:f>
        <x:v>116</x:v>
      </x:c>
      <x:c r="W106" s="4" t="n">
        <x:f>MATCH(T106,$J$388:$J$400,0)</x:f>
        <x:v>4</x:v>
      </x:c>
      <x:c r="X106" s="3"/>
      <x:c r="Y106" s="3"/>
      <x:c r="Z106" s="3"/>
    </x:row>
    <x:row r="107" ht="15" customHeight="1">
      <x:c r="A107" s="7" t="str">
        <x:f>IF(89&lt;='Сводка'!$B$3,'Сводка'!$B$4+89,"")</x:f>
      </x:c>
      <x:c r="B107" s="19" t="str">
        <x:f>IF($A107="","",(A107-$T$405+1)/1000)</x:f>
      </x:c>
      <x:c r="C107" s="19" t="str">
        <x:f>IF($A107="","",2*(A107-$T$405)/$T$406-1)</x:f>
      </x:c>
      <x:c r="D107" s="3" t="str">
        <x:f>IF($A107="","",$B$4+$B$5*C107^1+$B$6*C107^2)</x:f>
      </x:c>
      <x:c r="E107" s="3" t="str">
        <x:f>IF($A107="","",SQRT($T$403^2+H107^2))</x:f>
      </x:c>
      <x:c r="F107" s="3" t="str">
        <x:f>IF($A107="","",D107-$T$404*E107)</x:f>
      </x:c>
      <x:c r="G107" s="3" t="str">
        <x:f>IF($A107="","",D107+$T$404*E107)</x:f>
      </x:c>
      <x:c r="H107" s="3" t="str">
        <x:f>IF($A107="","",SQRT(MAX(0,(1)*$S$409*(1)+(1)*$T$409*(C107^1)+(1)*$U$409*(C107^2)+(C107^1)*$S$410*(1)+(C107^1)*$T$410*(C107^1)+(C107^1)*$U$410*(C107^2)+(C107^2)*$S$411*(1)+(C107^2)*$T$411*(C107^1)+(C107^2)*$U$411*(C107^2))))</x:f>
      </x:c>
      <x:c r="I107" s="3"/>
      <x:c r="J107" s="10" t="n">
        <x:v>45958</x:v>
      </x:c>
      <x:c r="K107" s="8" t="n">
        <x:f>INDEX('Сводка'!$S$3:$S$397,U107)</x:f>
        <x:v>-20</x:v>
      </x:c>
      <x:c r="L107" s="8" t="n">
        <x:f>INDEX('Сводка'!$S$3:$S$397,V107)</x:f>
        <x:v>-11</x:v>
      </x:c>
      <x:c r="M107" s="8" t="n">
        <x:f>INDEX($K$388:$N$400,W107,1)+INDEX($K$388:$N$400,W107,2)*(2*(J107-$T$405)/(T107-$T$405)-1)^1+INDEX($K$388:$N$400,W107,3)*(2*(J107-$T$405)/(T107-$T$405)-1)^2</x:f>
        <x:v>149.05812483359824</x:v>
      </x:c>
      <x:c r="N107" s="8" t="n">
        <x:f>K107-M107</x:f>
        <x:v>-169.05812483359824</x:v>
      </x:c>
      <x:c r="O107" s="8" t="n">
        <x:f>ABS(N107)</x:f>
        <x:v>169.05812483359824</x:v>
      </x:c>
      <x:c r="P107" s="8" t="n">
        <x:f>N107^2</x:f>
        <x:v>28580.649572252485</x:v>
      </x:c>
      <x:c r="Q107" s="8" t="n">
        <x:f>K107-L107</x:f>
        <x:v>-9</x:v>
      </x:c>
      <x:c r="R107" s="9" t="n">
        <x:f>IF(AND(INDEX('Сводка'!$T$3:$T$397,U107)=0,INDEX('Сводка'!$T$3:$T$397,V107)=0),1,0)</x:f>
        <x:v>1</x:v>
      </x:c>
      <x:c r="S107" s="9" t="n">
        <x:f>IF(AND(R107=1,O107&lt;=$G$13),1,0)</x:f>
        <x:v>0</x:v>
      </x:c>
      <x:c r="T107" s="10" t="n">
        <x:f>EOMONTH(J107-'Сводка'!$B$11,-1)</x:f>
        <x:v>45930</x:v>
      </x:c>
      <x:c r="U107" s="4" t="n">
        <x:f>MATCH(J107,'Сводка'!$R$3:$R$397,0)</x:f>
        <x:v>118</x:v>
      </x:c>
      <x:c r="V107" s="4" t="n">
        <x:f>MATCH(J107-'Сводка'!$B$11,'Сводка'!$R$3:$R$397,0)</x:f>
        <x:v>117</x:v>
      </x:c>
      <x:c r="W107" s="4" t="n">
        <x:f>MATCH(T107,$J$388:$J$400,0)</x:f>
        <x:v>4</x:v>
      </x:c>
      <x:c r="X107" s="3"/>
      <x:c r="Y107" s="3"/>
      <x:c r="Z107" s="3"/>
    </x:row>
    <x:row r="108" ht="15" customHeight="1">
      <x:c r="A108" s="7" t="str">
        <x:f>IF(90&lt;='Сводка'!$B$3,'Сводка'!$B$4+90,"")</x:f>
      </x:c>
      <x:c r="B108" s="19" t="str">
        <x:f>IF($A108="","",(A108-$T$405+1)/1000)</x:f>
      </x:c>
      <x:c r="C108" s="19" t="str">
        <x:f>IF($A108="","",2*(A108-$T$405)/$T$406-1)</x:f>
      </x:c>
      <x:c r="D108" s="3" t="str">
        <x:f>IF($A108="","",$B$4+$B$5*C108^1+$B$6*C108^2)</x:f>
      </x:c>
      <x:c r="E108" s="3" t="str">
        <x:f>IF($A108="","",SQRT($T$403^2+H108^2))</x:f>
      </x:c>
      <x:c r="F108" s="3" t="str">
        <x:f>IF($A108="","",D108-$T$404*E108)</x:f>
      </x:c>
      <x:c r="G108" s="3" t="str">
        <x:f>IF($A108="","",D108+$T$404*E108)</x:f>
      </x:c>
      <x:c r="H108" s="3" t="str">
        <x:f>IF($A108="","",SQRT(MAX(0,(1)*$S$409*(1)+(1)*$T$409*(C108^1)+(1)*$U$409*(C108^2)+(C108^1)*$S$410*(1)+(C108^1)*$T$410*(C108^1)+(C108^1)*$U$410*(C108^2)+(C108^2)*$S$411*(1)+(C108^2)*$T$411*(C108^1)+(C108^2)*$U$411*(C108^2))))</x:f>
      </x:c>
      <x:c r="I108" s="3"/>
      <x:c r="J108" s="10" t="n">
        <x:v>45959</x:v>
      </x:c>
      <x:c r="K108" s="8" t="n">
        <x:f>INDEX('Сводка'!$S$3:$S$397,U108)</x:f>
        <x:v>-27</x:v>
      </x:c>
      <x:c r="L108" s="8" t="n">
        <x:f>INDEX('Сводка'!$S$3:$S$397,V108)</x:f>
        <x:v>-20</x:v>
      </x:c>
      <x:c r="M108" s="8" t="n">
        <x:f>INDEX($K$388:$N$400,W108,1)+INDEX($K$388:$N$400,W108,2)*(2*(J108-$T$405)/(T108-$T$405)-1)^1+INDEX($K$388:$N$400,W108,3)*(2*(J108-$T$405)/(T108-$T$405)-1)^2</x:f>
        <x:v>149.06366273185176</x:v>
      </x:c>
      <x:c r="N108" s="8" t="n">
        <x:f>K108-M108</x:f>
        <x:v>-176.06366273185176</x:v>
      </x:c>
      <x:c r="O108" s="8" t="n">
        <x:f>ABS(N108)</x:f>
        <x:v>176.06366273185176</x:v>
      </x:c>
      <x:c r="P108" s="8" t="n">
        <x:f>N108^2</x:f>
        <x:v>30998.413334555247</x:v>
      </x:c>
      <x:c r="Q108" s="8" t="n">
        <x:f>K108-L108</x:f>
        <x:v>-7</x:v>
      </x:c>
      <x:c r="R108" s="9" t="n">
        <x:f>IF(AND(INDEX('Сводка'!$T$3:$T$397,U108)=0,INDEX('Сводка'!$T$3:$T$397,V108)=0),1,0)</x:f>
        <x:v>1</x:v>
      </x:c>
      <x:c r="S108" s="9" t="n">
        <x:f>IF(AND(R108=1,O108&lt;=$G$13),1,0)</x:f>
        <x:v>0</x:v>
      </x:c>
      <x:c r="T108" s="10" t="n">
        <x:f>EOMONTH(J108-'Сводка'!$B$11,-1)</x:f>
        <x:v>45930</x:v>
      </x:c>
      <x:c r="U108" s="4" t="n">
        <x:f>MATCH(J108,'Сводка'!$R$3:$R$397,0)</x:f>
        <x:v>119</x:v>
      </x:c>
      <x:c r="V108" s="4" t="n">
        <x:f>MATCH(J108-'Сводка'!$B$11,'Сводка'!$R$3:$R$397,0)</x:f>
        <x:v>118</x:v>
      </x:c>
      <x:c r="W108" s="4" t="n">
        <x:f>MATCH(T108,$J$388:$J$400,0)</x:f>
        <x:v>4</x:v>
      </x:c>
      <x:c r="X108" s="3"/>
      <x:c r="Y108" s="3"/>
      <x:c r="Z108" s="3"/>
    </x:row>
    <x:row r="109" ht="15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10" t="n">
        <x:v>45960</x:v>
      </x:c>
      <x:c r="K109" s="8" t="n">
        <x:f>INDEX('Сводка'!$S$3:$S$397,U109)</x:f>
        <x:v>-33</x:v>
      </x:c>
      <x:c r="L109" s="8" t="n">
        <x:f>INDEX('Сводка'!$S$3:$S$397,V109)</x:f>
        <x:v>-27</x:v>
      </x:c>
      <x:c r="M109" s="8" t="n">
        <x:f>INDEX($K$388:$N$400,W109,1)+INDEX($K$388:$N$400,W109,2)*(2*(J109-$T$405)/(T109-$T$405)-1)^1+INDEX($K$388:$N$400,W109,3)*(2*(J109-$T$405)/(T109-$T$405)-1)^2</x:f>
        <x:v>149.06919631456404</x:v>
      </x:c>
      <x:c r="N109" s="8" t="n">
        <x:f>K109-M109</x:f>
        <x:v>-182.06919631456404</x:v>
      </x:c>
      <x:c r="O109" s="8" t="n">
        <x:f>ABS(N109)</x:f>
        <x:v>182.06919631456404</x:v>
      </x:c>
      <x:c r="P109" s="8" t="n">
        <x:f>N109^2</x:f>
        <x:v>33149.19224663126</x:v>
      </x:c>
      <x:c r="Q109" s="8" t="n">
        <x:f>K109-L109</x:f>
        <x:v>-6</x:v>
      </x:c>
      <x:c r="R109" s="9" t="n">
        <x:f>IF(AND(INDEX('Сводка'!$T$3:$T$397,U109)=0,INDEX('Сводка'!$T$3:$T$397,V109)=0),1,0)</x:f>
        <x:v>1</x:v>
      </x:c>
      <x:c r="S109" s="9" t="n">
        <x:f>IF(AND(R109=1,O109&lt;=$G$13),1,0)</x:f>
        <x:v>0</x:v>
      </x:c>
      <x:c r="T109" s="10" t="n">
        <x:f>EOMONTH(J109-'Сводка'!$B$11,-1)</x:f>
        <x:v>45930</x:v>
      </x:c>
      <x:c r="U109" s="4" t="n">
        <x:f>MATCH(J109,'Сводка'!$R$3:$R$397,0)</x:f>
        <x:v>120</x:v>
      </x:c>
      <x:c r="V109" s="4" t="n">
        <x:f>MATCH(J109-'Сводка'!$B$11,'Сводка'!$R$3:$R$397,0)</x:f>
        <x:v>119</x:v>
      </x:c>
      <x:c r="W109" s="4" t="n">
        <x:f>MATCH(T109,$J$388:$J$400,0)</x:f>
        <x:v>4</x:v>
      </x:c>
      <x:c r="X109" s="3"/>
      <x:c r="Y109" s="3"/>
      <x:c r="Z109" s="3"/>
    </x:row>
    <x:row r="110" ht="15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10" t="n">
        <x:v>45961</x:v>
      </x:c>
      <x:c r="K110" s="8" t="n">
        <x:f>INDEX('Сводка'!$S$3:$S$397,U110)</x:f>
        <x:v>-36</x:v>
      </x:c>
      <x:c r="L110" s="8" t="n">
        <x:f>INDEX('Сводка'!$S$3:$S$397,V110)</x:f>
        <x:v>-33</x:v>
      </x:c>
      <x:c r="M110" s="8" t="n">
        <x:f>INDEX($K$388:$N$400,W110,1)+INDEX($K$388:$N$400,W110,2)*(2*(J110-$T$405)/(T110-$T$405)-1)^1+INDEX($K$388:$N$400,W110,3)*(2*(J110-$T$405)/(T110-$T$405)-1)^2</x:f>
        <x:v>149.0747255817351</x:v>
      </x:c>
      <x:c r="N110" s="8" t="n">
        <x:f>K110-M110</x:f>
        <x:v>-185.0747255817351</x:v>
      </x:c>
      <x:c r="O110" s="8" t="n">
        <x:f>ABS(N110)</x:f>
        <x:v>185.0747255817351</x:v>
      </x:c>
      <x:c r="P110" s="8" t="n">
        <x:f>N110^2</x:f>
        <x:v>34252.65404915455</x:v>
      </x:c>
      <x:c r="Q110" s="8" t="n">
        <x:f>K110-L110</x:f>
        <x:v>-3</x:v>
      </x:c>
      <x:c r="R110" s="9" t="n">
        <x:f>IF(AND(INDEX('Сводка'!$T$3:$T$397,U110)=0,INDEX('Сводка'!$T$3:$T$397,V110)=0),1,0)</x:f>
        <x:v>1</x:v>
      </x:c>
      <x:c r="S110" s="9" t="n">
        <x:f>IF(AND(R110=1,O110&lt;=$G$13),1,0)</x:f>
        <x:v>0</x:v>
      </x:c>
      <x:c r="T110" s="10" t="n">
        <x:f>EOMONTH(J110-'Сводка'!$B$11,-1)</x:f>
        <x:v>45930</x:v>
      </x:c>
      <x:c r="U110" s="4" t="n">
        <x:f>MATCH(J110,'Сводка'!$R$3:$R$397,0)</x:f>
        <x:v>121</x:v>
      </x:c>
      <x:c r="V110" s="4" t="n">
        <x:f>MATCH(J110-'Сводка'!$B$11,'Сводка'!$R$3:$R$397,0)</x:f>
        <x:v>120</x:v>
      </x:c>
      <x:c r="W110" s="4" t="n">
        <x:f>MATCH(T110,$J$388:$J$400,0)</x:f>
        <x:v>4</x:v>
      </x:c>
      <x:c r="X110" s="3"/>
      <x:c r="Y110" s="3"/>
      <x:c r="Z110" s="3"/>
    </x:row>
    <x:row r="111" ht="15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10" t="n">
        <x:v>45962</x:v>
      </x:c>
      <x:c r="K111" s="8" t="n">
        <x:f>INDEX('Сводка'!$S$3:$S$397,U111)</x:f>
        <x:v>-37</x:v>
      </x:c>
      <x:c r="L111" s="8" t="n">
        <x:f>INDEX('Сводка'!$S$3:$S$397,V111)</x:f>
        <x:v>-36</x:v>
      </x:c>
      <x:c r="M111" s="8" t="n">
        <x:f>INDEX($K$388:$N$400,W111,1)+INDEX($K$388:$N$400,W111,2)*(2*(J111-$T$405)/(T111-$T$405)-1)^1+INDEX($K$388:$N$400,W111,3)*(2*(J111-$T$405)/(T111-$T$405)-1)^2</x:f>
        <x:v>149.08025053336493</x:v>
      </x:c>
      <x:c r="N111" s="8" t="n">
        <x:f>K111-M111</x:f>
        <x:v>-186.08025053336493</x:v>
      </x:c>
      <x:c r="O111" s="8" t="n">
        <x:f>ABS(N111)</x:f>
        <x:v>186.08025053336493</x:v>
      </x:c>
      <x:c r="P111" s="8" t="n">
        <x:f>N111^2</x:f>
        <x:v>34625.85963855986</x:v>
      </x:c>
      <x:c r="Q111" s="8" t="n">
        <x:f>K111-L111</x:f>
        <x:v>-1</x:v>
      </x:c>
      <x:c r="R111" s="9" t="n">
        <x:f>IF(AND(INDEX('Сводка'!$T$3:$T$397,U111)=0,INDEX('Сводка'!$T$3:$T$397,V111)=0),1,0)</x:f>
        <x:v>1</x:v>
      </x:c>
      <x:c r="S111" s="9" t="n">
        <x:f>IF(AND(R111=1,O111&lt;=$G$13),1,0)</x:f>
        <x:v>0</x:v>
      </x:c>
      <x:c r="T111" s="10" t="n">
        <x:f>EOMONTH(J111-'Сводка'!$B$11,-1)</x:f>
        <x:v>45930</x:v>
      </x:c>
      <x:c r="U111" s="4" t="n">
        <x:f>MATCH(J111,'Сводка'!$R$3:$R$397,0)</x:f>
        <x:v>122</x:v>
      </x:c>
      <x:c r="V111" s="4" t="n">
        <x:f>MATCH(J111-'Сводка'!$B$11,'Сводка'!$R$3:$R$397,0)</x:f>
        <x:v>121</x:v>
      </x:c>
      <x:c r="W111" s="4" t="n">
        <x:f>MATCH(T111,$J$388:$J$400,0)</x:f>
        <x:v>4</x:v>
      </x:c>
      <x:c r="X111" s="3"/>
      <x:c r="Y111" s="3"/>
      <x:c r="Z111" s="3"/>
    </x:row>
    <x:row r="112" ht="15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10" t="n">
        <x:v>45963</x:v>
      </x:c>
      <x:c r="K112" s="8" t="n">
        <x:f>INDEX('Сводка'!$S$3:$S$397,U112)</x:f>
        <x:v>-40</x:v>
      </x:c>
      <x:c r="L112" s="8" t="n">
        <x:f>INDEX('Сводка'!$S$3:$S$397,V112)</x:f>
        <x:v>-37</x:v>
      </x:c>
      <x:c r="M112" s="8" t="n">
        <x:f>INDEX($K$388:$N$400,W112,1)+INDEX($K$388:$N$400,W112,2)*(2*(J112-$T$405)/(T112-$T$405)-1)^1+INDEX($K$388:$N$400,W112,3)*(2*(J112-$T$405)/(T112-$T$405)-1)^2</x:f>
        <x:v>147.51757783905492</x:v>
      </x:c>
      <x:c r="N112" s="8" t="n">
        <x:f>K112-M112</x:f>
        <x:v>-187.51757783905492</x:v>
      </x:c>
      <x:c r="O112" s="8" t="n">
        <x:f>ABS(N112)</x:f>
        <x:v>187.51757783905492</x:v>
      </x:c>
      <x:c r="P112" s="8" t="n">
        <x:f>N112^2</x:f>
        <x:v>35162.84199862602</x:v>
      </x:c>
      <x:c r="Q112" s="8" t="n">
        <x:f>K112-L112</x:f>
        <x:v>-3</x:v>
      </x:c>
      <x:c r="R112" s="9" t="n">
        <x:f>IF(AND(INDEX('Сводка'!$T$3:$T$397,U112)=0,INDEX('Сводка'!$T$3:$T$397,V112)=0),1,0)</x:f>
        <x:v>1</x:v>
      </x:c>
      <x:c r="S112" s="9" t="n">
        <x:f>IF(AND(R112=1,O112&lt;=$G$13),1,0)</x:f>
        <x:v>0</x:v>
      </x:c>
      <x:c r="T112" s="10" t="n">
        <x:f>EOMONTH(J112-'Сводка'!$B$11,-1)</x:f>
        <x:v>45961</x:v>
      </x:c>
      <x:c r="U112" s="4" t="n">
        <x:f>MATCH(J112,'Сводка'!$R$3:$R$397,0)</x:f>
        <x:v>123</x:v>
      </x:c>
      <x:c r="V112" s="4" t="n">
        <x:f>MATCH(J112-'Сводка'!$B$11,'Сводка'!$R$3:$R$397,0)</x:f>
        <x:v>122</x:v>
      </x:c>
      <x:c r="W112" s="4" t="n">
        <x:f>MATCH(T112,$J$388:$J$400,0)</x:f>
        <x:v>5</x:v>
      </x:c>
      <x:c r="X112" s="3"/>
      <x:c r="Y112" s="3"/>
      <x:c r="Z112" s="3"/>
    </x:row>
    <x:row r="113" ht="15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10" t="n">
        <x:v>45964</x:v>
      </x:c>
      <x:c r="K113" s="8" t="n">
        <x:f>INDEX('Сводка'!$S$3:$S$397,U113)</x:f>
        <x:v>-46</x:v>
      </x:c>
      <x:c r="L113" s="8" t="n">
        <x:f>INDEX('Сводка'!$S$3:$S$397,V113)</x:f>
        <x:v>-40</x:v>
      </x:c>
      <x:c r="M113" s="8" t="n">
        <x:f>INDEX($K$388:$N$400,W113,1)+INDEX($K$388:$N$400,W113,2)*(2*(J113-$T$405)/(T113-$T$405)-1)^1+INDEX($K$388:$N$400,W113,3)*(2*(J113-$T$405)/(T113-$T$405)-1)^2</x:f>
        <x:v>147.52238724327998</x:v>
      </x:c>
      <x:c r="N113" s="8" t="n">
        <x:f>K113-M113</x:f>
        <x:v>-193.52238724327998</x:v>
      </x:c>
      <x:c r="O113" s="8" t="n">
        <x:f>ABS(N113)</x:f>
        <x:v>193.52238724327998</x:v>
      </x:c>
      <x:c r="P113" s="8" t="n">
        <x:f>N113^2</x:f>
        <x:v>37450.914364338016</x:v>
      </x:c>
      <x:c r="Q113" s="8" t="n">
        <x:f>K113-L113</x:f>
        <x:v>-6</x:v>
      </x:c>
      <x:c r="R113" s="9" t="n">
        <x:f>IF(AND(INDEX('Сводка'!$T$3:$T$397,U113)=0,INDEX('Сводка'!$T$3:$T$397,V113)=0),1,0)</x:f>
        <x:v>1</x:v>
      </x:c>
      <x:c r="S113" s="9" t="n">
        <x:f>IF(AND(R113=1,O113&lt;=$G$13),1,0)</x:f>
        <x:v>0</x:v>
      </x:c>
      <x:c r="T113" s="10" t="n">
        <x:f>EOMONTH(J113-'Сводка'!$B$11,-1)</x:f>
        <x:v>45961</x:v>
      </x:c>
      <x:c r="U113" s="4" t="n">
        <x:f>MATCH(J113,'Сводка'!$R$3:$R$397,0)</x:f>
        <x:v>124</x:v>
      </x:c>
      <x:c r="V113" s="4" t="n">
        <x:f>MATCH(J113-'Сводка'!$B$11,'Сводка'!$R$3:$R$397,0)</x:f>
        <x:v>123</x:v>
      </x:c>
      <x:c r="W113" s="4" t="n">
        <x:f>MATCH(T113,$J$388:$J$400,0)</x:f>
        <x:v>5</x:v>
      </x:c>
      <x:c r="X113" s="3"/>
      <x:c r="Y113" s="3"/>
      <x:c r="Z113" s="3"/>
    </x:row>
    <x:row r="114" ht="15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10" t="n">
        <x:v>45965</x:v>
      </x:c>
      <x:c r="K114" s="8" t="n">
        <x:f>INDEX('Сводка'!$S$3:$S$397,U114)</x:f>
        <x:v>-49</x:v>
      </x:c>
      <x:c r="L114" s="8" t="n">
        <x:f>INDEX('Сводка'!$S$3:$S$397,V114)</x:f>
        <x:v>-46</x:v>
      </x:c>
      <x:c r="M114" s="8" t="n">
        <x:f>INDEX($K$388:$N$400,W114,1)+INDEX($K$388:$N$400,W114,2)*(2*(J114-$T$405)/(T114-$T$405)-1)^1+INDEX($K$388:$N$400,W114,3)*(2*(J114-$T$405)/(T114-$T$405)-1)^2</x:f>
        <x:v>147.5271921977686</x:v>
      </x:c>
      <x:c r="N114" s="8" t="n">
        <x:f>K114-M114</x:f>
        <x:v>-196.5271921977686</x:v>
      </x:c>
      <x:c r="O114" s="8" t="n">
        <x:f>ABS(N114)</x:f>
        <x:v>196.5271921977686</x:v>
      </x:c>
      <x:c r="P114" s="8" t="n">
        <x:f>N114^2</x:f>
        <x:v>38622.93727313868</x:v>
      </x:c>
      <x:c r="Q114" s="8" t="n">
        <x:f>K114-L114</x:f>
        <x:v>-3</x:v>
      </x:c>
      <x:c r="R114" s="9" t="n">
        <x:f>IF(AND(INDEX('Сводка'!$T$3:$T$397,U114)=0,INDEX('Сводка'!$T$3:$T$397,V114)=0),1,0)</x:f>
        <x:v>1</x:v>
      </x:c>
      <x:c r="S114" s="9" t="n">
        <x:f>IF(AND(R114=1,O114&lt;=$G$13),1,0)</x:f>
        <x:v>0</x:v>
      </x:c>
      <x:c r="T114" s="10" t="n">
        <x:f>EOMONTH(J114-'Сводка'!$B$11,-1)</x:f>
        <x:v>45961</x:v>
      </x:c>
      <x:c r="U114" s="4" t="n">
        <x:f>MATCH(J114,'Сводка'!$R$3:$R$397,0)</x:f>
        <x:v>125</x:v>
      </x:c>
      <x:c r="V114" s="4" t="n">
        <x:f>MATCH(J114-'Сводка'!$B$11,'Сводка'!$R$3:$R$397,0)</x:f>
        <x:v>124</x:v>
      </x:c>
      <x:c r="W114" s="4" t="n">
        <x:f>MATCH(T114,$J$388:$J$400,0)</x:f>
        <x:v>5</x:v>
      </x:c>
      <x:c r="X114" s="3"/>
      <x:c r="Y114" s="3"/>
      <x:c r="Z114" s="3"/>
    </x:row>
    <x:row r="115" ht="15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10" t="n">
        <x:v>45966</x:v>
      </x:c>
      <x:c r="K115" s="8" t="n">
        <x:f>INDEX('Сводка'!$S$3:$S$397,U115)</x:f>
        <x:v>-56</x:v>
      </x:c>
      <x:c r="L115" s="8" t="n">
        <x:f>INDEX('Сводка'!$S$3:$S$397,V115)</x:f>
        <x:v>-49</x:v>
      </x:c>
      <x:c r="M115" s="8" t="n">
        <x:f>INDEX($K$388:$N$400,W115,1)+INDEX($K$388:$N$400,W115,2)*(2*(J115-$T$405)/(T115-$T$405)-1)^1+INDEX($K$388:$N$400,W115,3)*(2*(J115-$T$405)/(T115-$T$405)-1)^2</x:f>
        <x:v>147.53199270252088</x:v>
      </x:c>
      <x:c r="N115" s="8" t="n">
        <x:f>K115-M115</x:f>
        <x:v>-203.53199270252088</x:v>
      </x:c>
      <x:c r="O115" s="8" t="n">
        <x:f>ABS(N115)</x:f>
        <x:v>203.53199270252088</x:v>
      </x:c>
      <x:c r="P115" s="8" t="n">
        <x:f>N115^2</x:f>
        <x:v>41425.27205345901</x:v>
      </x:c>
      <x:c r="Q115" s="8" t="n">
        <x:f>K115-L115</x:f>
        <x:v>-7</x:v>
      </x:c>
      <x:c r="R115" s="9" t="n">
        <x:f>IF(AND(INDEX('Сводка'!$T$3:$T$397,U115)=0,INDEX('Сводка'!$T$3:$T$397,V115)=0),1,0)</x:f>
        <x:v>1</x:v>
      </x:c>
      <x:c r="S115" s="9" t="n">
        <x:f>IF(AND(R115=1,O115&lt;=$G$13),1,0)</x:f>
        <x:v>0</x:v>
      </x:c>
      <x:c r="T115" s="10" t="n">
        <x:f>EOMONTH(J115-'Сводка'!$B$11,-1)</x:f>
        <x:v>45961</x:v>
      </x:c>
      <x:c r="U115" s="4" t="n">
        <x:f>MATCH(J115,'Сводка'!$R$3:$R$397,0)</x:f>
        <x:v>126</x:v>
      </x:c>
      <x:c r="V115" s="4" t="n">
        <x:f>MATCH(J115-'Сводка'!$B$11,'Сводка'!$R$3:$R$397,0)</x:f>
        <x:v>125</x:v>
      </x:c>
      <x:c r="W115" s="4" t="n">
        <x:f>MATCH(T115,$J$388:$J$400,0)</x:f>
        <x:v>5</x:v>
      </x:c>
      <x:c r="X115" s="3"/>
      <x:c r="Y115" s="3"/>
      <x:c r="Z115" s="3"/>
    </x:row>
    <x:row r="116" ht="15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10" t="n">
        <x:v>45967</x:v>
      </x:c>
      <x:c r="K116" s="8" t="n">
        <x:f>INDEX('Сводка'!$S$3:$S$397,U116)</x:f>
        <x:v>-61</x:v>
      </x:c>
      <x:c r="L116" s="8" t="n">
        <x:f>INDEX('Сводка'!$S$3:$S$397,V116)</x:f>
        <x:v>-56</x:v>
      </x:c>
      <x:c r="M116" s="8" t="n">
        <x:f>INDEX($K$388:$N$400,W116,1)+INDEX($K$388:$N$400,W116,2)*(2*(J116-$T$405)/(T116-$T$405)-1)^1+INDEX($K$388:$N$400,W116,3)*(2*(J116-$T$405)/(T116-$T$405)-1)^2</x:f>
        <x:v>147.53678875753664</x:v>
      </x:c>
      <x:c r="N116" s="8" t="n">
        <x:f>K116-M116</x:f>
        <x:v>-208.53678875753664</x:v>
      </x:c>
      <x:c r="O116" s="8" t="n">
        <x:f>ABS(N116)</x:f>
        <x:v>208.53678875753664</x:v>
      </x:c>
      <x:c r="P116" s="8" t="n">
        <x:f>N116^2</x:f>
        <x:v>43487.59226530546</x:v>
      </x:c>
      <x:c r="Q116" s="8" t="n">
        <x:f>K116-L116</x:f>
        <x:v>-5</x:v>
      </x:c>
      <x:c r="R116" s="9" t="n">
        <x:f>IF(AND(INDEX('Сводка'!$T$3:$T$397,U116)=0,INDEX('Сводка'!$T$3:$T$397,V116)=0),1,0)</x:f>
        <x:v>1</x:v>
      </x:c>
      <x:c r="S116" s="9" t="n">
        <x:f>IF(AND(R116=1,O116&lt;=$G$13),1,0)</x:f>
        <x:v>0</x:v>
      </x:c>
      <x:c r="T116" s="10" t="n">
        <x:f>EOMONTH(J116-'Сводка'!$B$11,-1)</x:f>
        <x:v>45961</x:v>
      </x:c>
      <x:c r="U116" s="4" t="n">
        <x:f>MATCH(J116,'Сводка'!$R$3:$R$397,0)</x:f>
        <x:v>127</x:v>
      </x:c>
      <x:c r="V116" s="4" t="n">
        <x:f>MATCH(J116-'Сводка'!$B$11,'Сводка'!$R$3:$R$397,0)</x:f>
        <x:v>126</x:v>
      </x:c>
      <x:c r="W116" s="4" t="n">
        <x:f>MATCH(T116,$J$388:$J$400,0)</x:f>
        <x:v>5</x:v>
      </x:c>
      <x:c r="X116" s="3"/>
      <x:c r="Y116" s="3"/>
      <x:c r="Z116" s="3"/>
    </x:row>
    <x:row r="117" ht="15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10" t="n">
        <x:v>45968</x:v>
      </x:c>
      <x:c r="K117" s="8" t="n">
        <x:f>INDEX('Сводка'!$S$3:$S$397,U117)</x:f>
        <x:v>-69</x:v>
      </x:c>
      <x:c r="L117" s="8" t="n">
        <x:f>INDEX('Сводка'!$S$3:$S$397,V117)</x:f>
        <x:v>-61</x:v>
      </x:c>
      <x:c r="M117" s="8" t="n">
        <x:f>INDEX($K$388:$N$400,W117,1)+INDEX($K$388:$N$400,W117,2)*(2*(J117-$T$405)/(T117-$T$405)-1)^1+INDEX($K$388:$N$400,W117,3)*(2*(J117-$T$405)/(T117-$T$405)-1)^2</x:f>
        <x:v>147.54158036281595</x:v>
      </x:c>
      <x:c r="N117" s="8" t="n">
        <x:f>K117-M117</x:f>
        <x:v>-216.54158036281595</x:v>
      </x:c>
      <x:c r="O117" s="8" t="n">
        <x:f>ABS(N117)</x:f>
        <x:v>216.54158036281595</x:v>
      </x:c>
      <x:c r="P117" s="8" t="n">
        <x:f>N117^2</x:f>
        <x:v>46890.256026025876</x:v>
      </x:c>
      <x:c r="Q117" s="8" t="n">
        <x:f>K117-L117</x:f>
        <x:v>-8</x:v>
      </x:c>
      <x:c r="R117" s="9" t="n">
        <x:f>IF(AND(INDEX('Сводка'!$T$3:$T$397,U117)=0,INDEX('Сводка'!$T$3:$T$397,V117)=0),1,0)</x:f>
        <x:v>1</x:v>
      </x:c>
      <x:c r="S117" s="9" t="n">
        <x:f>IF(AND(R117=1,O117&lt;=$G$13),1,0)</x:f>
        <x:v>0</x:v>
      </x:c>
      <x:c r="T117" s="10" t="n">
        <x:f>EOMONTH(J117-'Сводка'!$B$11,-1)</x:f>
        <x:v>45961</x:v>
      </x:c>
      <x:c r="U117" s="4" t="n">
        <x:f>MATCH(J117,'Сводка'!$R$3:$R$397,0)</x:f>
        <x:v>128</x:v>
      </x:c>
      <x:c r="V117" s="4" t="n">
        <x:f>MATCH(J117-'Сводка'!$B$11,'Сводка'!$R$3:$R$397,0)</x:f>
        <x:v>127</x:v>
      </x:c>
      <x:c r="W117" s="4" t="n">
        <x:f>MATCH(T117,$J$388:$J$400,0)</x:f>
        <x:v>5</x:v>
      </x:c>
      <x:c r="X117" s="3"/>
      <x:c r="Y117" s="3"/>
      <x:c r="Z117" s="3"/>
    </x:row>
    <x:row r="118" ht="15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10" t="n">
        <x:v>45969</x:v>
      </x:c>
      <x:c r="K118" s="8" t="n">
        <x:f>INDEX('Сводка'!$S$3:$S$397,U118)</x:f>
        <x:v>-74</x:v>
      </x:c>
      <x:c r="L118" s="8" t="n">
        <x:f>INDEX('Сводка'!$S$3:$S$397,V118)</x:f>
        <x:v>-69</x:v>
      </x:c>
      <x:c r="M118" s="8" t="n">
        <x:f>INDEX($K$388:$N$400,W118,1)+INDEX($K$388:$N$400,W118,2)*(2*(J118-$T$405)/(T118-$T$405)-1)^1+INDEX($K$388:$N$400,W118,3)*(2*(J118-$T$405)/(T118-$T$405)-1)^2</x:f>
        <x:v>147.5463675183589</x:v>
      </x:c>
      <x:c r="N118" s="8" t="n">
        <x:f>K118-M118</x:f>
        <x:v>-221.5463675183589</x:v>
      </x:c>
      <x:c r="O118" s="8" t="n">
        <x:f>ABS(N118)</x:f>
        <x:v>221.5463675183589</x:v>
      </x:c>
      <x:c r="P118" s="8" t="n">
        <x:f>N118^2</x:f>
        <x:v>49082.79296057975</x:v>
      </x:c>
      <x:c r="Q118" s="8" t="n">
        <x:f>K118-L118</x:f>
        <x:v>-5</x:v>
      </x:c>
      <x:c r="R118" s="9" t="n">
        <x:f>IF(AND(INDEX('Сводка'!$T$3:$T$397,U118)=0,INDEX('Сводка'!$T$3:$T$397,V118)=0),1,0)</x:f>
        <x:v>1</x:v>
      </x:c>
      <x:c r="S118" s="9" t="n">
        <x:f>IF(AND(R118=1,O118&lt;=$G$13),1,0)</x:f>
        <x:v>0</x:v>
      </x:c>
      <x:c r="T118" s="10" t="n">
        <x:f>EOMONTH(J118-'Сводка'!$B$11,-1)</x:f>
        <x:v>45961</x:v>
      </x:c>
      <x:c r="U118" s="4" t="n">
        <x:f>MATCH(J118,'Сводка'!$R$3:$R$397,0)</x:f>
        <x:v>129</x:v>
      </x:c>
      <x:c r="V118" s="4" t="n">
        <x:f>MATCH(J118-'Сводка'!$B$11,'Сводка'!$R$3:$R$397,0)</x:f>
        <x:v>128</x:v>
      </x:c>
      <x:c r="W118" s="4" t="n">
        <x:f>MATCH(T118,$J$388:$J$400,0)</x:f>
        <x:v>5</x:v>
      </x:c>
      <x:c r="X118" s="3"/>
      <x:c r="Y118" s="3"/>
      <x:c r="Z118" s="3"/>
    </x:row>
    <x:row r="119" ht="15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10" t="n">
        <x:v>45970</x:v>
      </x:c>
      <x:c r="K119" s="8" t="n">
        <x:f>INDEX('Сводка'!$S$3:$S$397,U119)</x:f>
        <x:v>-80</x:v>
      </x:c>
      <x:c r="L119" s="8" t="n">
        <x:f>INDEX('Сводка'!$S$3:$S$397,V119)</x:f>
        <x:v>-74</x:v>
      </x:c>
      <x:c r="M119" s="8" t="n">
        <x:f>INDEX($K$388:$N$400,W119,1)+INDEX($K$388:$N$400,W119,2)*(2*(J119-$T$405)/(T119-$T$405)-1)^1+INDEX($K$388:$N$400,W119,3)*(2*(J119-$T$405)/(T119-$T$405)-1)^2</x:f>
        <x:v>147.55115022416538</x:v>
      </x:c>
      <x:c r="N119" s="8" t="n">
        <x:f>K119-M119</x:f>
        <x:v>-227.55115022416538</x:v>
      </x:c>
      <x:c r="O119" s="8" t="n">
        <x:f>ABS(N119)</x:f>
        <x:v>227.55115022416538</x:v>
      </x:c>
      <x:c r="P119" s="8" t="n">
        <x:f>N119^2</x:f>
        <x:v>51779.525968340684</x:v>
      </x:c>
      <x:c r="Q119" s="8" t="n">
        <x:f>K119-L119</x:f>
        <x:v>-6</x:v>
      </x:c>
      <x:c r="R119" s="9" t="n">
        <x:f>IF(AND(INDEX('Сводка'!$T$3:$T$397,U119)=0,INDEX('Сводка'!$T$3:$T$397,V119)=0),1,0)</x:f>
        <x:v>1</x:v>
      </x:c>
      <x:c r="S119" s="9" t="n">
        <x:f>IF(AND(R119=1,O119&lt;=$G$13),1,0)</x:f>
        <x:v>0</x:v>
      </x:c>
      <x:c r="T119" s="10" t="n">
        <x:f>EOMONTH(J119-'Сводка'!$B$11,-1)</x:f>
        <x:v>45961</x:v>
      </x:c>
      <x:c r="U119" s="4" t="n">
        <x:f>MATCH(J119,'Сводка'!$R$3:$R$397,0)</x:f>
        <x:v>130</x:v>
      </x:c>
      <x:c r="V119" s="4" t="n">
        <x:f>MATCH(J119-'Сводка'!$B$11,'Сводка'!$R$3:$R$397,0)</x:f>
        <x:v>129</x:v>
      </x:c>
      <x:c r="W119" s="4" t="n">
        <x:f>MATCH(T119,$J$388:$J$400,0)</x:f>
        <x:v>5</x:v>
      </x:c>
      <x:c r="X119" s="3"/>
      <x:c r="Y119" s="3"/>
      <x:c r="Z119" s="3"/>
    </x:row>
    <x:row r="120" ht="15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10" t="n">
        <x:v>45971</x:v>
      </x:c>
      <x:c r="K120" s="8" t="n">
        <x:f>INDEX('Сводка'!$S$3:$S$397,U120)</x:f>
        <x:v>-83</x:v>
      </x:c>
      <x:c r="L120" s="8" t="n">
        <x:f>INDEX('Сводка'!$S$3:$S$397,V120)</x:f>
        <x:v>-80</x:v>
      </x:c>
      <x:c r="M120" s="8" t="n">
        <x:f>INDEX($K$388:$N$400,W120,1)+INDEX($K$388:$N$400,W120,2)*(2*(J120-$T$405)/(T120-$T$405)-1)^1+INDEX($K$388:$N$400,W120,3)*(2*(J120-$T$405)/(T120-$T$405)-1)^2</x:f>
        <x:v>147.55592848023545</x:v>
      </x:c>
      <x:c r="N120" s="8" t="n">
        <x:f>K120-M120</x:f>
        <x:v>-230.55592848023545</x:v>
      </x:c>
      <x:c r="O120" s="8" t="n">
        <x:f>ABS(N120)</x:f>
        <x:v>230.55592848023545</x:v>
      </x:c>
      <x:c r="P120" s="8" t="n">
        <x:f>N120^2</x:f>
        <x:v>53156.036157383445</x:v>
      </x:c>
      <x:c r="Q120" s="8" t="n">
        <x:f>K120-L120</x:f>
        <x:v>-3</x:v>
      </x:c>
      <x:c r="R120" s="9" t="n">
        <x:f>IF(AND(INDEX('Сводка'!$T$3:$T$397,U120)=0,INDEX('Сводка'!$T$3:$T$397,V120)=0),1,0)</x:f>
        <x:v>1</x:v>
      </x:c>
      <x:c r="S120" s="9" t="n">
        <x:f>IF(AND(R120=1,O120&lt;=$G$13),1,0)</x:f>
        <x:v>0</x:v>
      </x:c>
      <x:c r="T120" s="10" t="n">
        <x:f>EOMONTH(J120-'Сводка'!$B$11,-1)</x:f>
        <x:v>45961</x:v>
      </x:c>
      <x:c r="U120" s="4" t="n">
        <x:f>MATCH(J120,'Сводка'!$R$3:$R$397,0)</x:f>
        <x:v>131</x:v>
      </x:c>
      <x:c r="V120" s="4" t="n">
        <x:f>MATCH(J120-'Сводка'!$B$11,'Сводка'!$R$3:$R$397,0)</x:f>
        <x:v>130</x:v>
      </x:c>
      <x:c r="W120" s="4" t="n">
        <x:f>MATCH(T120,$J$388:$J$400,0)</x:f>
        <x:v>5</x:v>
      </x:c>
      <x:c r="X120" s="3"/>
      <x:c r="Y120" s="3"/>
      <x:c r="Z120" s="3"/>
    </x:row>
    <x:row r="121" ht="15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10" t="n">
        <x:v>45972</x:v>
      </x:c>
      <x:c r="K121" s="8" t="n">
        <x:f>INDEX('Сводка'!$S$3:$S$397,U121)</x:f>
        <x:v>-89</x:v>
      </x:c>
      <x:c r="L121" s="8" t="n">
        <x:f>INDEX('Сводка'!$S$3:$S$397,V121)</x:f>
        <x:v>-83</x:v>
      </x:c>
      <x:c r="M121" s="8" t="n">
        <x:f>INDEX($K$388:$N$400,W121,1)+INDEX($K$388:$N$400,W121,2)*(2*(J121-$T$405)/(T121-$T$405)-1)^1+INDEX($K$388:$N$400,W121,3)*(2*(J121-$T$405)/(T121-$T$405)-1)^2</x:f>
        <x:v>147.5607022865691</x:v>
      </x:c>
      <x:c r="N121" s="8" t="n">
        <x:f>K121-M121</x:f>
        <x:v>-236.5607022865691</x:v>
      </x:c>
      <x:c r="O121" s="8" t="n">
        <x:f>ABS(N121)</x:f>
        <x:v>236.5607022865691</x:v>
      </x:c>
      <x:c r="P121" s="8" t="n">
        <x:f>N121^2</x:f>
        <x:v>55960.96586631478</x:v>
      </x:c>
      <x:c r="Q121" s="8" t="n">
        <x:f>K121-L121</x:f>
        <x:v>-6</x:v>
      </x:c>
      <x:c r="R121" s="9" t="n">
        <x:f>IF(AND(INDEX('Сводка'!$T$3:$T$397,U121)=0,INDEX('Сводка'!$T$3:$T$397,V121)=0),1,0)</x:f>
        <x:v>1</x:v>
      </x:c>
      <x:c r="S121" s="9" t="n">
        <x:f>IF(AND(R121=1,O121&lt;=$G$13),1,0)</x:f>
        <x:v>0</x:v>
      </x:c>
      <x:c r="T121" s="10" t="n">
        <x:f>EOMONTH(J121-'Сводка'!$B$11,-1)</x:f>
        <x:v>45961</x:v>
      </x:c>
      <x:c r="U121" s="4" t="n">
        <x:f>MATCH(J121,'Сводка'!$R$3:$R$397,0)</x:f>
        <x:v>132</x:v>
      </x:c>
      <x:c r="V121" s="4" t="n">
        <x:f>MATCH(J121-'Сводка'!$B$11,'Сводка'!$R$3:$R$397,0)</x:f>
        <x:v>131</x:v>
      </x:c>
      <x:c r="W121" s="4" t="n">
        <x:f>MATCH(T121,$J$388:$J$400,0)</x:f>
        <x:v>5</x:v>
      </x:c>
      <x:c r="X121" s="3"/>
      <x:c r="Y121" s="3"/>
      <x:c r="Z121" s="3"/>
    </x:row>
    <x:row r="122" ht="15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10" t="n">
        <x:v>45973</x:v>
      </x:c>
      <x:c r="K122" s="8" t="n">
        <x:f>INDEX('Сводка'!$S$3:$S$397,U122)</x:f>
        <x:v>-88</x:v>
      </x:c>
      <x:c r="L122" s="8" t="n">
        <x:f>INDEX('Сводка'!$S$3:$S$397,V122)</x:f>
        <x:v>-89</x:v>
      </x:c>
      <x:c r="M122" s="8" t="n">
        <x:f>INDEX($K$388:$N$400,W122,1)+INDEX($K$388:$N$400,W122,2)*(2*(J122-$T$405)/(T122-$T$405)-1)^1+INDEX($K$388:$N$400,W122,3)*(2*(J122-$T$405)/(T122-$T$405)-1)^2</x:f>
        <x:v>147.5654716431663</x:v>
      </x:c>
      <x:c r="N122" s="8" t="n">
        <x:f>K122-M122</x:f>
        <x:v>-235.5654716431663</x:v>
      </x:c>
      <x:c r="O122" s="8" t="n">
        <x:f>ABS(N122)</x:f>
        <x:v>235.5654716431663</x:v>
      </x:c>
      <x:c r="P122" s="8" t="n">
        <x:f>N122^2</x:f>
        <x:v>55491.09143046738</x:v>
      </x:c>
      <x:c r="Q122" s="8" t="n">
        <x:f>K122-L122</x:f>
        <x:v>1</x:v>
      </x:c>
      <x:c r="R122" s="9" t="n">
        <x:f>IF(AND(INDEX('Сводка'!$T$3:$T$397,U122)=0,INDEX('Сводка'!$T$3:$T$397,V122)=0),1,0)</x:f>
        <x:v>1</x:v>
      </x:c>
      <x:c r="S122" s="9" t="n">
        <x:f>IF(AND(R122=1,O122&lt;=$G$13),1,0)</x:f>
        <x:v>0</x:v>
      </x:c>
      <x:c r="T122" s="10" t="n">
        <x:f>EOMONTH(J122-'Сводка'!$B$11,-1)</x:f>
        <x:v>45961</x:v>
      </x:c>
      <x:c r="U122" s="4" t="n">
        <x:f>MATCH(J122,'Сводка'!$R$3:$R$397,0)</x:f>
        <x:v>133</x:v>
      </x:c>
      <x:c r="V122" s="4" t="n">
        <x:f>MATCH(J122-'Сводка'!$B$11,'Сводка'!$R$3:$R$397,0)</x:f>
        <x:v>132</x:v>
      </x:c>
      <x:c r="W122" s="4" t="n">
        <x:f>MATCH(T122,$J$388:$J$400,0)</x:f>
        <x:v>5</x:v>
      </x:c>
      <x:c r="X122" s="3"/>
      <x:c r="Y122" s="3"/>
      <x:c r="Z122" s="3"/>
    </x:row>
    <x:row r="123" ht="15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10" t="n">
        <x:v>45974</x:v>
      </x:c>
      <x:c r="K123" s="8" t="n">
        <x:f>INDEX('Сводка'!$S$3:$S$397,U123)</x:f>
        <x:v>-89</x:v>
      </x:c>
      <x:c r="L123" s="8" t="n">
        <x:f>INDEX('Сводка'!$S$3:$S$397,V123)</x:f>
        <x:v>-88</x:v>
      </x:c>
      <x:c r="M123" s="8" t="n">
        <x:f>INDEX($K$388:$N$400,W123,1)+INDEX($K$388:$N$400,W123,2)*(2*(J123-$T$405)/(T123-$T$405)-1)^1+INDEX($K$388:$N$400,W123,3)*(2*(J123-$T$405)/(T123-$T$405)-1)^2</x:f>
        <x:v>147.57023655002706</x:v>
      </x:c>
      <x:c r="N123" s="8" t="n">
        <x:f>K123-M123</x:f>
        <x:v>-236.57023655002706</x:v>
      </x:c>
      <x:c r="O123" s="8" t="n">
        <x:f>ABS(N123)</x:f>
        <x:v>236.57023655002706</x:v>
      </x:c>
      <x:c r="P123" s="8" t="n">
        <x:f>N123^2</x:f>
        <x:v>55965.47682133576</x:v>
      </x:c>
      <x:c r="Q123" s="8" t="n">
        <x:f>K123-L123</x:f>
        <x:v>-1</x:v>
      </x:c>
      <x:c r="R123" s="9" t="n">
        <x:f>IF(AND(INDEX('Сводка'!$T$3:$T$397,U123)=0,INDEX('Сводка'!$T$3:$T$397,V123)=0),1,0)</x:f>
        <x:v>1</x:v>
      </x:c>
      <x:c r="S123" s="9" t="n">
        <x:f>IF(AND(R123=1,O123&lt;=$G$13),1,0)</x:f>
        <x:v>0</x:v>
      </x:c>
      <x:c r="T123" s="10" t="n">
        <x:f>EOMONTH(J123-'Сводка'!$B$11,-1)</x:f>
        <x:v>45961</x:v>
      </x:c>
      <x:c r="U123" s="4" t="n">
        <x:f>MATCH(J123,'Сводка'!$R$3:$R$397,0)</x:f>
        <x:v>134</x:v>
      </x:c>
      <x:c r="V123" s="4" t="n">
        <x:f>MATCH(J123-'Сводка'!$B$11,'Сводка'!$R$3:$R$397,0)</x:f>
        <x:v>133</x:v>
      </x:c>
      <x:c r="W123" s="4" t="n">
        <x:f>MATCH(T123,$J$388:$J$400,0)</x:f>
        <x:v>5</x:v>
      </x:c>
      <x:c r="X123" s="3"/>
      <x:c r="Y123" s="3"/>
      <x:c r="Z123" s="3"/>
    </x:row>
    <x:row r="124" ht="15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10" t="n">
        <x:v>45975</x:v>
      </x:c>
      <x:c r="K124" s="8" t="n">
        <x:f>INDEX('Сводка'!$S$3:$S$397,U124)</x:f>
        <x:v>-95</x:v>
      </x:c>
      <x:c r="L124" s="8" t="n">
        <x:f>INDEX('Сводка'!$S$3:$S$397,V124)</x:f>
        <x:v>-89</x:v>
      </x:c>
      <x:c r="M124" s="8" t="n">
        <x:f>INDEX($K$388:$N$400,W124,1)+INDEX($K$388:$N$400,W124,2)*(2*(J124-$T$405)/(T124-$T$405)-1)^1+INDEX($K$388:$N$400,W124,3)*(2*(J124-$T$405)/(T124-$T$405)-1)^2</x:f>
        <x:v>147.5749970071514</x:v>
      </x:c>
      <x:c r="N124" s="8" t="n">
        <x:f>K124-M124</x:f>
        <x:v>-242.5749970071514</x:v>
      </x:c>
      <x:c r="O124" s="8" t="n">
        <x:f>ABS(N124)</x:f>
        <x:v>242.5749970071514</x:v>
      </x:c>
      <x:c r="P124" s="8" t="n">
        <x:f>N124^2</x:f>
        <x:v>58842.629173019515</x:v>
      </x:c>
      <x:c r="Q124" s="8" t="n">
        <x:f>K124-L124</x:f>
        <x:v>-6</x:v>
      </x:c>
      <x:c r="R124" s="9" t="n">
        <x:f>IF(AND(INDEX('Сводка'!$T$3:$T$397,U124)=0,INDEX('Сводка'!$T$3:$T$397,V124)=0),1,0)</x:f>
        <x:v>1</x:v>
      </x:c>
      <x:c r="S124" s="9" t="n">
        <x:f>IF(AND(R124=1,O124&lt;=$G$13),1,0)</x:f>
        <x:v>0</x:v>
      </x:c>
      <x:c r="T124" s="10" t="n">
        <x:f>EOMONTH(J124-'Сводка'!$B$11,-1)</x:f>
        <x:v>45961</x:v>
      </x:c>
      <x:c r="U124" s="4" t="n">
        <x:f>MATCH(J124,'Сводка'!$R$3:$R$397,0)</x:f>
        <x:v>135</x:v>
      </x:c>
      <x:c r="V124" s="4" t="n">
        <x:f>MATCH(J124-'Сводка'!$B$11,'Сводка'!$R$3:$R$397,0)</x:f>
        <x:v>134</x:v>
      </x:c>
      <x:c r="W124" s="4" t="n">
        <x:f>MATCH(T124,$J$388:$J$400,0)</x:f>
        <x:v>5</x:v>
      </x:c>
      <x:c r="X124" s="3"/>
      <x:c r="Y124" s="3"/>
      <x:c r="Z124" s="3"/>
    </x:row>
    <x:row r="125" ht="15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10" t="n">
        <x:v>45976</x:v>
      </x:c>
      <x:c r="K125" s="8" t="n">
        <x:f>INDEX('Сводка'!$S$3:$S$397,U125)</x:f>
        <x:v>-90</x:v>
      </x:c>
      <x:c r="L125" s="8" t="n">
        <x:f>INDEX('Сводка'!$S$3:$S$397,V125)</x:f>
        <x:v>-95</x:v>
      </x:c>
      <x:c r="M125" s="8" t="n">
        <x:f>INDEX($K$388:$N$400,W125,1)+INDEX($K$388:$N$400,W125,2)*(2*(J125-$T$405)/(T125-$T$405)-1)^1+INDEX($K$388:$N$400,W125,3)*(2*(J125-$T$405)/(T125-$T$405)-1)^2</x:f>
        <x:v>147.5797530145393</x:v>
      </x:c>
      <x:c r="N125" s="8" t="n">
        <x:f>K125-M125</x:f>
        <x:v>-237.5797530145393</x:v>
      </x:c>
      <x:c r="O125" s="8" t="n">
        <x:f>ABS(N125)</x:f>
        <x:v>237.5797530145393</x:v>
      </x:c>
      <x:c r="P125" s="8" t="n">
        <x:f>N125^2</x:f>
        <x:v>56444.1390424495</x:v>
      </x:c>
      <x:c r="Q125" s="8" t="n">
        <x:f>K125-L125</x:f>
        <x:v>5</x:v>
      </x:c>
      <x:c r="R125" s="9" t="n">
        <x:f>IF(AND(INDEX('Сводка'!$T$3:$T$397,U125)=0,INDEX('Сводка'!$T$3:$T$397,V125)=0),1,0)</x:f>
        <x:v>1</x:v>
      </x:c>
      <x:c r="S125" s="9" t="n">
        <x:f>IF(AND(R125=1,O125&lt;=$G$13),1,0)</x:f>
        <x:v>0</x:v>
      </x:c>
      <x:c r="T125" s="10" t="n">
        <x:f>EOMONTH(J125-'Сводка'!$B$11,-1)</x:f>
        <x:v>45961</x:v>
      </x:c>
      <x:c r="U125" s="4" t="n">
        <x:f>MATCH(J125,'Сводка'!$R$3:$R$397,0)</x:f>
        <x:v>136</x:v>
      </x:c>
      <x:c r="V125" s="4" t="n">
        <x:f>MATCH(J125-'Сводка'!$B$11,'Сводка'!$R$3:$R$397,0)</x:f>
        <x:v>135</x:v>
      </x:c>
      <x:c r="W125" s="4" t="n">
        <x:f>MATCH(T125,$J$388:$J$400,0)</x:f>
        <x:v>5</x:v>
      </x:c>
      <x:c r="X125" s="3"/>
      <x:c r="Y125" s="3"/>
      <x:c r="Z125" s="3"/>
    </x:row>
    <x:row r="126" ht="15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10" t="n">
        <x:v>45977</x:v>
      </x:c>
      <x:c r="K126" s="8" t="n">
        <x:f>INDEX('Сводка'!$S$3:$S$397,U126)</x:f>
        <x:v>-81</x:v>
      </x:c>
      <x:c r="L126" s="8" t="n">
        <x:f>INDEX('Сводка'!$S$3:$S$397,V126)</x:f>
        <x:v>-90</x:v>
      </x:c>
      <x:c r="M126" s="8" t="n">
        <x:f>INDEX($K$388:$N$400,W126,1)+INDEX($K$388:$N$400,W126,2)*(2*(J126-$T$405)/(T126-$T$405)-1)^1+INDEX($K$388:$N$400,W126,3)*(2*(J126-$T$405)/(T126-$T$405)-1)^2</x:f>
        <x:v>147.58450457219078</x:v>
      </x:c>
      <x:c r="N126" s="8" t="n">
        <x:f>K126-M126</x:f>
        <x:v>-228.58450457219078</x:v>
      </x:c>
      <x:c r="O126" s="8" t="n">
        <x:f>ABS(N126)</x:f>
        <x:v>228.58450457219078</x:v>
      </x:c>
      <x:c r="P126" s="8" t="n">
        <x:f>N126^2</x:f>
        <x:v>52250.87573051391</x:v>
      </x:c>
      <x:c r="Q126" s="8" t="n">
        <x:f>K126-L126</x:f>
        <x:v>9</x:v>
      </x:c>
      <x:c r="R126" s="9" t="n">
        <x:f>IF(AND(INDEX('Сводка'!$T$3:$T$397,U126)=0,INDEX('Сводка'!$T$3:$T$397,V126)=0),1,0)</x:f>
        <x:v>1</x:v>
      </x:c>
      <x:c r="S126" s="9" t="n">
        <x:f>IF(AND(R126=1,O126&lt;=$G$13),1,0)</x:f>
        <x:v>0</x:v>
      </x:c>
      <x:c r="T126" s="10" t="n">
        <x:f>EOMONTH(J126-'Сводка'!$B$11,-1)</x:f>
        <x:v>45961</x:v>
      </x:c>
      <x:c r="U126" s="4" t="n">
        <x:f>MATCH(J126,'Сводка'!$R$3:$R$397,0)</x:f>
        <x:v>137</x:v>
      </x:c>
      <x:c r="V126" s="4" t="n">
        <x:f>MATCH(J126-'Сводка'!$B$11,'Сводка'!$R$3:$R$397,0)</x:f>
        <x:v>136</x:v>
      </x:c>
      <x:c r="W126" s="4" t="n">
        <x:f>MATCH(T126,$J$388:$J$400,0)</x:f>
        <x:v>5</x:v>
      </x:c>
      <x:c r="X126" s="3"/>
      <x:c r="Y126" s="3"/>
      <x:c r="Z126" s="3"/>
    </x:row>
    <x:row r="127" ht="15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10" t="n">
        <x:v>45978</x:v>
      </x:c>
      <x:c r="K127" s="8" t="n">
        <x:f>INDEX('Сводка'!$S$3:$S$397,U127)</x:f>
        <x:v>-83</x:v>
      </x:c>
      <x:c r="L127" s="8" t="n">
        <x:f>INDEX('Сводка'!$S$3:$S$397,V127)</x:f>
        <x:v>-81</x:v>
      </x:c>
      <x:c r="M127" s="8" t="n">
        <x:f>INDEX($K$388:$N$400,W127,1)+INDEX($K$388:$N$400,W127,2)*(2*(J127-$T$405)/(T127-$T$405)-1)^1+INDEX($K$388:$N$400,W127,3)*(2*(J127-$T$405)/(T127-$T$405)-1)^2</x:f>
        <x:v>147.58925168010583</x:v>
      </x:c>
      <x:c r="N127" s="8" t="n">
        <x:f>K127-M127</x:f>
        <x:v>-230.58925168010583</x:v>
      </x:c>
      <x:c r="O127" s="8" t="n">
        <x:f>ABS(N127)</x:f>
        <x:v>230.58925168010583</x:v>
      </x:c>
      <x:c r="P127" s="8" t="n">
        <x:f>N127^2</x:f>
        <x:v>53171.40299039119</x:v>
      </x:c>
      <x:c r="Q127" s="8" t="n">
        <x:f>K127-L127</x:f>
        <x:v>-2</x:v>
      </x:c>
      <x:c r="R127" s="9" t="n">
        <x:f>IF(AND(INDEX('Сводка'!$T$3:$T$397,U127)=0,INDEX('Сводка'!$T$3:$T$397,V127)=0),1,0)</x:f>
        <x:v>1</x:v>
      </x:c>
      <x:c r="S127" s="9" t="n">
        <x:f>IF(AND(R127=1,O127&lt;=$G$13),1,0)</x:f>
        <x:v>0</x:v>
      </x:c>
      <x:c r="T127" s="10" t="n">
        <x:f>EOMONTH(J127-'Сводка'!$B$11,-1)</x:f>
        <x:v>45961</x:v>
      </x:c>
      <x:c r="U127" s="4" t="n">
        <x:f>MATCH(J127,'Сводка'!$R$3:$R$397,0)</x:f>
        <x:v>138</x:v>
      </x:c>
      <x:c r="V127" s="4" t="n">
        <x:f>MATCH(J127-'Сводка'!$B$11,'Сводка'!$R$3:$R$397,0)</x:f>
        <x:v>137</x:v>
      </x:c>
      <x:c r="W127" s="4" t="n">
        <x:f>MATCH(T127,$J$388:$J$400,0)</x:f>
        <x:v>5</x:v>
      </x:c>
      <x:c r="X127" s="3"/>
      <x:c r="Y127" s="3"/>
      <x:c r="Z127" s="3"/>
    </x:row>
    <x:row r="128" ht="15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10" t="n">
        <x:v>45979</x:v>
      </x:c>
      <x:c r="K128" s="8" t="n">
        <x:f>INDEX('Сводка'!$S$3:$S$397,U128)</x:f>
        <x:v>-72</x:v>
      </x:c>
      <x:c r="L128" s="8" t="n">
        <x:f>INDEX('Сводка'!$S$3:$S$397,V128)</x:f>
        <x:v>-83</x:v>
      </x:c>
      <x:c r="M128" s="8" t="n">
        <x:f>INDEX($K$388:$N$400,W128,1)+INDEX($K$388:$N$400,W128,2)*(2*(J128-$T$405)/(T128-$T$405)-1)^1+INDEX($K$388:$N$400,W128,3)*(2*(J128-$T$405)/(T128-$T$405)-1)^2</x:f>
        <x:v>147.5939943382844</x:v>
      </x:c>
      <x:c r="N128" s="8" t="n">
        <x:f>K128-M128</x:f>
        <x:v>-219.5939943382844</x:v>
      </x:c>
      <x:c r="O128" s="8" t="n">
        <x:f>ABS(N128)</x:f>
        <x:v>219.5939943382844</x:v>
      </x:c>
      <x:c r="P128" s="8" t="n">
        <x:f>N128^2</x:f>
        <x:v>48221.522349442486</x:v>
      </x:c>
      <x:c r="Q128" s="8" t="n">
        <x:f>K128-L128</x:f>
        <x:v>11</x:v>
      </x:c>
      <x:c r="R128" s="9" t="n">
        <x:f>IF(AND(INDEX('Сводка'!$T$3:$T$397,U128)=0,INDEX('Сводка'!$T$3:$T$397,V128)=0),1,0)</x:f>
        <x:v>1</x:v>
      </x:c>
      <x:c r="S128" s="9" t="n">
        <x:f>IF(AND(R128=1,O128&lt;=$G$13),1,0)</x:f>
        <x:v>0</x:v>
      </x:c>
      <x:c r="T128" s="10" t="n">
        <x:f>EOMONTH(J128-'Сводка'!$B$11,-1)</x:f>
        <x:v>45961</x:v>
      </x:c>
      <x:c r="U128" s="4" t="n">
        <x:f>MATCH(J128,'Сводка'!$R$3:$R$397,0)</x:f>
        <x:v>139</x:v>
      </x:c>
      <x:c r="V128" s="4" t="n">
        <x:f>MATCH(J128-'Сводка'!$B$11,'Сводка'!$R$3:$R$397,0)</x:f>
        <x:v>138</x:v>
      </x:c>
      <x:c r="W128" s="4" t="n">
        <x:f>MATCH(T128,$J$388:$J$400,0)</x:f>
        <x:v>5</x:v>
      </x:c>
      <x:c r="X128" s="3"/>
      <x:c r="Y128" s="3"/>
      <x:c r="Z128" s="3"/>
    </x:row>
    <x:row r="129" ht="15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10" t="n">
        <x:v>45980</x:v>
      </x:c>
      <x:c r="K129" s="8" t="n">
        <x:f>INDEX('Сводка'!$S$3:$S$397,U129)</x:f>
        <x:v>-74</x:v>
      </x:c>
      <x:c r="L129" s="8" t="n">
        <x:f>INDEX('Сводка'!$S$3:$S$397,V129)</x:f>
        <x:v>-72</x:v>
      </x:c>
      <x:c r="M129" s="8" t="n">
        <x:f>INDEX($K$388:$N$400,W129,1)+INDEX($K$388:$N$400,W129,2)*(2*(J129-$T$405)/(T129-$T$405)-1)^1+INDEX($K$388:$N$400,W129,3)*(2*(J129-$T$405)/(T129-$T$405)-1)^2</x:f>
        <x:v>147.59873254672664</x:v>
      </x:c>
      <x:c r="N129" s="8" t="n">
        <x:f>K129-M129</x:f>
        <x:v>-221.59873254672664</x:v>
      </x:c>
      <x:c r="O129" s="8" t="n">
        <x:f>ABS(N129)</x:f>
        <x:v>221.59873254672664</x:v>
      </x:c>
      <x:c r="P129" s="8" t="n">
        <x:f>N129^2</x:f>
        <x:v>49105.998266315684</x:v>
      </x:c>
      <x:c r="Q129" s="8" t="n">
        <x:f>K129-L129</x:f>
        <x:v>-2</x:v>
      </x:c>
      <x:c r="R129" s="9" t="n">
        <x:f>IF(AND(INDEX('Сводка'!$T$3:$T$397,U129)=0,INDEX('Сводка'!$T$3:$T$397,V129)=0),1,0)</x:f>
        <x:v>1</x:v>
      </x:c>
      <x:c r="S129" s="9" t="n">
        <x:f>IF(AND(R129=1,O129&lt;=$G$13),1,0)</x:f>
        <x:v>0</x:v>
      </x:c>
      <x:c r="T129" s="10" t="n">
        <x:f>EOMONTH(J129-'Сводка'!$B$11,-1)</x:f>
        <x:v>45961</x:v>
      </x:c>
      <x:c r="U129" s="4" t="n">
        <x:f>MATCH(J129,'Сводка'!$R$3:$R$397,0)</x:f>
        <x:v>140</x:v>
      </x:c>
      <x:c r="V129" s="4" t="n">
        <x:f>MATCH(J129-'Сводка'!$B$11,'Сводка'!$R$3:$R$397,0)</x:f>
        <x:v>139</x:v>
      </x:c>
      <x:c r="W129" s="4" t="n">
        <x:f>MATCH(T129,$J$388:$J$400,0)</x:f>
        <x:v>5</x:v>
      </x:c>
      <x:c r="X129" s="3"/>
      <x:c r="Y129" s="3"/>
      <x:c r="Z129" s="3"/>
    </x:row>
    <x:row r="130" ht="15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10" t="n">
        <x:v>45981</x:v>
      </x:c>
      <x:c r="K130" s="8" t="n">
        <x:f>INDEX('Сводка'!$S$3:$S$397,U130)</x:f>
        <x:v>-71</x:v>
      </x:c>
      <x:c r="L130" s="8" t="n">
        <x:f>INDEX('Сводка'!$S$3:$S$397,V130)</x:f>
        <x:v>-74</x:v>
      </x:c>
      <x:c r="M130" s="8" t="n">
        <x:f>INDEX($K$388:$N$400,W130,1)+INDEX($K$388:$N$400,W130,2)*(2*(J130-$T$405)/(T130-$T$405)-1)^1+INDEX($K$388:$N$400,W130,3)*(2*(J130-$T$405)/(T130-$T$405)-1)^2</x:f>
        <x:v>147.60346630543236</x:v>
      </x:c>
      <x:c r="N130" s="8" t="n">
        <x:f>K130-M130</x:f>
        <x:v>-218.60346630543236</x:v>
      </x:c>
      <x:c r="O130" s="8" t="n">
        <x:f>ABS(N130)</x:f>
        <x:v>218.60346630543236</x:v>
      </x:c>
      <x:c r="P130" s="8" t="n">
        <x:f>N130^2</x:f>
        <x:v>47787.475480750305</x:v>
      </x:c>
      <x:c r="Q130" s="8" t="n">
        <x:f>K130-L130</x:f>
        <x:v>3</x:v>
      </x:c>
      <x:c r="R130" s="9" t="n">
        <x:f>IF(AND(INDEX('Сводка'!$T$3:$T$397,U130)=0,INDEX('Сводка'!$T$3:$T$397,V130)=0),1,0)</x:f>
        <x:v>1</x:v>
      </x:c>
      <x:c r="S130" s="9" t="n">
        <x:f>IF(AND(R130=1,O130&lt;=$G$13),1,0)</x:f>
        <x:v>0</x:v>
      </x:c>
      <x:c r="T130" s="10" t="n">
        <x:f>EOMONTH(J130-'Сводка'!$B$11,-1)</x:f>
        <x:v>45961</x:v>
      </x:c>
      <x:c r="U130" s="4" t="n">
        <x:f>MATCH(J130,'Сводка'!$R$3:$R$397,0)</x:f>
        <x:v>141</x:v>
      </x:c>
      <x:c r="V130" s="4" t="n">
        <x:f>MATCH(J130-'Сводка'!$B$11,'Сводка'!$R$3:$R$397,0)</x:f>
        <x:v>140</x:v>
      </x:c>
      <x:c r="W130" s="4" t="n">
        <x:f>MATCH(T130,$J$388:$J$400,0)</x:f>
        <x:v>5</x:v>
      </x:c>
      <x:c r="X130" s="3"/>
      <x:c r="Y130" s="3"/>
      <x:c r="Z130" s="3"/>
    </x:row>
    <x:row r="131" ht="15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10" t="n">
        <x:v>45982</x:v>
      </x:c>
      <x:c r="K131" s="8" t="n">
        <x:f>INDEX('Сводка'!$S$3:$S$397,U131)</x:f>
        <x:v>-85</x:v>
      </x:c>
      <x:c r="L131" s="8" t="n">
        <x:f>INDEX('Сводка'!$S$3:$S$397,V131)</x:f>
        <x:v>-71</x:v>
      </x:c>
      <x:c r="M131" s="8" t="n">
        <x:f>INDEX($K$388:$N$400,W131,1)+INDEX($K$388:$N$400,W131,2)*(2*(J131-$T$405)/(T131-$T$405)-1)^1+INDEX($K$388:$N$400,W131,3)*(2*(J131-$T$405)/(T131-$T$405)-1)^2</x:f>
        <x:v>147.60819561440167</x:v>
      </x:c>
      <x:c r="N131" s="8" t="n">
        <x:f>K131-M131</x:f>
        <x:v>-232.60819561440167</x:v>
      </x:c>
      <x:c r="O131" s="8" t="n">
        <x:f>ABS(N131)</x:f>
        <x:v>232.60819561440167</x:v>
      </x:c>
      <x:c r="P131" s="8" t="n">
        <x:f>N131^2</x:f>
        <x:v>54106.57266698775</x:v>
      </x:c>
      <x:c r="Q131" s="8" t="n">
        <x:f>K131-L131</x:f>
        <x:v>-14</x:v>
      </x:c>
      <x:c r="R131" s="9" t="n">
        <x:f>IF(AND(INDEX('Сводка'!$T$3:$T$397,U131)=0,INDEX('Сводка'!$T$3:$T$397,V131)=0),1,0)</x:f>
        <x:v>1</x:v>
      </x:c>
      <x:c r="S131" s="9" t="n">
        <x:f>IF(AND(R131=1,O131&lt;=$G$13),1,0)</x:f>
        <x:v>0</x:v>
      </x:c>
      <x:c r="T131" s="10" t="n">
        <x:f>EOMONTH(J131-'Сводка'!$B$11,-1)</x:f>
        <x:v>45961</x:v>
      </x:c>
      <x:c r="U131" s="4" t="n">
        <x:f>MATCH(J131,'Сводка'!$R$3:$R$397,0)</x:f>
        <x:v>142</x:v>
      </x:c>
      <x:c r="V131" s="4" t="n">
        <x:f>MATCH(J131-'Сводка'!$B$11,'Сводка'!$R$3:$R$397,0)</x:f>
        <x:v>141</x:v>
      </x:c>
      <x:c r="W131" s="4" t="n">
        <x:f>MATCH(T131,$J$388:$J$400,0)</x:f>
        <x:v>5</x:v>
      </x:c>
      <x:c r="X131" s="3"/>
      <x:c r="Y131" s="3"/>
      <x:c r="Z131" s="3"/>
    </x:row>
    <x:row r="132" ht="15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10" t="n">
        <x:v>45983</x:v>
      </x:c>
      <x:c r="K132" s="8" t="n">
        <x:f>INDEX('Сводка'!$S$3:$S$397,U132)</x:f>
        <x:v>-98</x:v>
      </x:c>
      <x:c r="L132" s="8" t="n">
        <x:f>INDEX('Сводка'!$S$3:$S$397,V132)</x:f>
        <x:v>-85</x:v>
      </x:c>
      <x:c r="M132" s="8" t="n">
        <x:f>INDEX($K$388:$N$400,W132,1)+INDEX($K$388:$N$400,W132,2)*(2*(J132-$T$405)/(T132-$T$405)-1)^1+INDEX($K$388:$N$400,W132,3)*(2*(J132-$T$405)/(T132-$T$405)-1)^2</x:f>
        <x:v>147.6129204736346</x:v>
      </x:c>
      <x:c r="N132" s="8" t="n">
        <x:f>K132-M132</x:f>
        <x:v>-245.6129204736346</x:v>
      </x:c>
      <x:c r="O132" s="8" t="n">
        <x:f>ABS(N132)</x:f>
        <x:v>245.6129204736346</x:v>
      </x:c>
      <x:c r="P132" s="8" t="n">
        <x:f>N132^2</x:f>
        <x:v>60325.70670358796</x:v>
      </x:c>
      <x:c r="Q132" s="8" t="n">
        <x:f>K132-L132</x:f>
        <x:v>-13</x:v>
      </x:c>
      <x:c r="R132" s="9" t="n">
        <x:f>IF(AND(INDEX('Сводка'!$T$3:$T$397,U132)=0,INDEX('Сводка'!$T$3:$T$397,V132)=0),1,0)</x:f>
        <x:v>1</x:v>
      </x:c>
      <x:c r="S132" s="9" t="n">
        <x:f>IF(AND(R132=1,O132&lt;=$G$13),1,0)</x:f>
        <x:v>0</x:v>
      </x:c>
      <x:c r="T132" s="10" t="n">
        <x:f>EOMONTH(J132-'Сводка'!$B$11,-1)</x:f>
        <x:v>45961</x:v>
      </x:c>
      <x:c r="U132" s="4" t="n">
        <x:f>MATCH(J132,'Сводка'!$R$3:$R$397,0)</x:f>
        <x:v>143</x:v>
      </x:c>
      <x:c r="V132" s="4" t="n">
        <x:f>MATCH(J132-'Сводка'!$B$11,'Сводка'!$R$3:$R$397,0)</x:f>
        <x:v>142</x:v>
      </x:c>
      <x:c r="W132" s="4" t="n">
        <x:f>MATCH(T132,$J$388:$J$400,0)</x:f>
        <x:v>5</x:v>
      </x:c>
      <x:c r="X132" s="3"/>
      <x:c r="Y132" s="3"/>
      <x:c r="Z132" s="3"/>
    </x:row>
    <x:row r="133" ht="15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10" t="n">
        <x:v>45984</x:v>
      </x:c>
      <x:c r="K133" s="8" t="n">
        <x:f>INDEX('Сводка'!$S$3:$S$397,U133)</x:f>
        <x:v>-118</x:v>
      </x:c>
      <x:c r="L133" s="8" t="n">
        <x:f>INDEX('Сводка'!$S$3:$S$397,V133)</x:f>
        <x:v>-98</x:v>
      </x:c>
      <x:c r="M133" s="8" t="n">
        <x:f>INDEX($K$388:$N$400,W133,1)+INDEX($K$388:$N$400,W133,2)*(2*(J133-$T$405)/(T133-$T$405)-1)^1+INDEX($K$388:$N$400,W133,3)*(2*(J133-$T$405)/(T133-$T$405)-1)^2</x:f>
        <x:v>147.61764088313106</x:v>
      </x:c>
      <x:c r="N133" s="8" t="n">
        <x:f>K133-M133</x:f>
        <x:v>-265.61764088313106</x:v>
      </x:c>
      <x:c r="O133" s="8" t="n">
        <x:f>ABS(N133)</x:f>
        <x:v>265.61764088313106</x:v>
      </x:c>
      <x:c r="P133" s="8" t="n">
        <x:f>N133^2</x:f>
        <x:v>70552.73114831997</x:v>
      </x:c>
      <x:c r="Q133" s="8" t="n">
        <x:f>K133-L133</x:f>
        <x:v>-20</x:v>
      </x:c>
      <x:c r="R133" s="9" t="n">
        <x:f>IF(AND(INDEX('Сводка'!$T$3:$T$397,U133)=0,INDEX('Сводка'!$T$3:$T$397,V133)=0),1,0)</x:f>
        <x:v>1</x:v>
      </x:c>
      <x:c r="S133" s="9" t="n">
        <x:f>IF(AND(R133=1,O133&lt;=$G$13),1,0)</x:f>
        <x:v>0</x:v>
      </x:c>
      <x:c r="T133" s="10" t="n">
        <x:f>EOMONTH(J133-'Сводка'!$B$11,-1)</x:f>
        <x:v>45961</x:v>
      </x:c>
      <x:c r="U133" s="4" t="n">
        <x:f>MATCH(J133,'Сводка'!$R$3:$R$397,0)</x:f>
        <x:v>144</x:v>
      </x:c>
      <x:c r="V133" s="4" t="n">
        <x:f>MATCH(J133-'Сводка'!$B$11,'Сводка'!$R$3:$R$397,0)</x:f>
        <x:v>143</x:v>
      </x:c>
      <x:c r="W133" s="4" t="n">
        <x:f>MATCH(T133,$J$388:$J$400,0)</x:f>
        <x:v>5</x:v>
      </x:c>
      <x:c r="X133" s="3"/>
      <x:c r="Y133" s="3"/>
      <x:c r="Z133" s="3"/>
    </x:row>
    <x:row r="134" ht="15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10" t="n">
        <x:v>45985</x:v>
      </x:c>
      <x:c r="K134" s="8" t="n">
        <x:f>INDEX('Сводка'!$S$3:$S$397,U134)</x:f>
        <x:v>-123</x:v>
      </x:c>
      <x:c r="L134" s="8" t="n">
        <x:f>INDEX('Сводка'!$S$3:$S$397,V134)</x:f>
        <x:v>-118</x:v>
      </x:c>
      <x:c r="M134" s="8" t="n">
        <x:f>INDEX($K$388:$N$400,W134,1)+INDEX($K$388:$N$400,W134,2)*(2*(J134-$T$405)/(T134-$T$405)-1)^1+INDEX($K$388:$N$400,W134,3)*(2*(J134-$T$405)/(T134-$T$405)-1)^2</x:f>
        <x:v>147.62235684289107</x:v>
      </x:c>
      <x:c r="N134" s="8" t="n">
        <x:f>K134-M134</x:f>
        <x:v>-270.62235684289107</x:v>
      </x:c>
      <x:c r="O134" s="8" t="n">
        <x:f>ABS(N134)</x:f>
        <x:v>270.62235684289107</x:v>
      </x:c>
      <x:c r="P134" s="8" t="n">
        <x:f>N134^2</x:f>
        <x:v>73236.46002320107</x:v>
      </x:c>
      <x:c r="Q134" s="8" t="n">
        <x:f>K134-L134</x:f>
        <x:v>-5</x:v>
      </x:c>
      <x:c r="R134" s="9" t="n">
        <x:f>IF(AND(INDEX('Сводка'!$T$3:$T$397,U134)=0,INDEX('Сводка'!$T$3:$T$397,V134)=0),1,0)</x:f>
        <x:v>1</x:v>
      </x:c>
      <x:c r="S134" s="9" t="n">
        <x:f>IF(AND(R134=1,O134&lt;=$G$13),1,0)</x:f>
        <x:v>0</x:v>
      </x:c>
      <x:c r="T134" s="10" t="n">
        <x:f>EOMONTH(J134-'Сводка'!$B$11,-1)</x:f>
        <x:v>45961</x:v>
      </x:c>
      <x:c r="U134" s="4" t="n">
        <x:f>MATCH(J134,'Сводка'!$R$3:$R$397,0)</x:f>
        <x:v>145</x:v>
      </x:c>
      <x:c r="V134" s="4" t="n">
        <x:f>MATCH(J134-'Сводка'!$B$11,'Сводка'!$R$3:$R$397,0)</x:f>
        <x:v>144</x:v>
      </x:c>
      <x:c r="W134" s="4" t="n">
        <x:f>MATCH(T134,$J$388:$J$400,0)</x:f>
        <x:v>5</x:v>
      </x:c>
      <x:c r="X134" s="3"/>
      <x:c r="Y134" s="3"/>
      <x:c r="Z134" s="3"/>
    </x:row>
    <x:row r="135" ht="15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10" t="n">
        <x:v>45986</x:v>
      </x:c>
      <x:c r="K135" s="8" t="n">
        <x:f>INDEX('Сводка'!$S$3:$S$397,U135)</x:f>
        <x:v>-116</x:v>
      </x:c>
      <x:c r="L135" s="8" t="n">
        <x:f>INDEX('Сводка'!$S$3:$S$397,V135)</x:f>
        <x:v>-123</x:v>
      </x:c>
      <x:c r="M135" s="8" t="n">
        <x:f>INDEX($K$388:$N$400,W135,1)+INDEX($K$388:$N$400,W135,2)*(2*(J135-$T$405)/(T135-$T$405)-1)^1+INDEX($K$388:$N$400,W135,3)*(2*(J135-$T$405)/(T135-$T$405)-1)^2</x:f>
        <x:v>147.6270683529147</x:v>
      </x:c>
      <x:c r="N135" s="8" t="n">
        <x:f>K135-M135</x:f>
        <x:v>-263.6270683529147</x:v>
      </x:c>
      <x:c r="O135" s="8" t="n">
        <x:f>ABS(N135)</x:f>
        <x:v>263.6270683529147</x:v>
      </x:c>
      <x:c r="P135" s="8" t="n">
        <x:f>N135^2</x:f>
        <x:v>69499.23116835236</x:v>
      </x:c>
      <x:c r="Q135" s="8" t="n">
        <x:f>K135-L135</x:f>
        <x:v>7</x:v>
      </x:c>
      <x:c r="R135" s="9" t="n">
        <x:f>IF(AND(INDEX('Сводка'!$T$3:$T$397,U135)=0,INDEX('Сводка'!$T$3:$T$397,V135)=0),1,0)</x:f>
        <x:v>1</x:v>
      </x:c>
      <x:c r="S135" s="9" t="n">
        <x:f>IF(AND(R135=1,O135&lt;=$G$13),1,0)</x:f>
        <x:v>0</x:v>
      </x:c>
      <x:c r="T135" s="10" t="n">
        <x:f>EOMONTH(J135-'Сводка'!$B$11,-1)</x:f>
        <x:v>45961</x:v>
      </x:c>
      <x:c r="U135" s="4" t="n">
        <x:f>MATCH(J135,'Сводка'!$R$3:$R$397,0)</x:f>
        <x:v>146</x:v>
      </x:c>
      <x:c r="V135" s="4" t="n">
        <x:f>MATCH(J135-'Сводка'!$B$11,'Сводка'!$R$3:$R$397,0)</x:f>
        <x:v>145</x:v>
      </x:c>
      <x:c r="W135" s="4" t="n">
        <x:f>MATCH(T135,$J$388:$J$400,0)</x:f>
        <x:v>5</x:v>
      </x:c>
      <x:c r="X135" s="3"/>
      <x:c r="Y135" s="3"/>
      <x:c r="Z135" s="3"/>
    </x:row>
    <x:row r="136" ht="15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10" t="n">
        <x:v>45987</x:v>
      </x:c>
      <x:c r="K136" s="8" t="n">
        <x:f>INDEX('Сводка'!$S$3:$S$397,U136)</x:f>
        <x:v>-119</x:v>
      </x:c>
      <x:c r="L136" s="8" t="n">
        <x:f>INDEX('Сводка'!$S$3:$S$397,V136)</x:f>
        <x:v>-116</x:v>
      </x:c>
      <x:c r="M136" s="8" t="n">
        <x:f>INDEX($K$388:$N$400,W136,1)+INDEX($K$388:$N$400,W136,2)*(2*(J136-$T$405)/(T136-$T$405)-1)^1+INDEX($K$388:$N$400,W136,3)*(2*(J136-$T$405)/(T136-$T$405)-1)^2</x:f>
        <x:v>147.6317754132018</x:v>
      </x:c>
      <x:c r="N136" s="8" t="n">
        <x:f>K136-M136</x:f>
        <x:v>-266.6317754132018</x:v>
      </x:c>
      <x:c r="O136" s="8" t="n">
        <x:f>ABS(N136)</x:f>
        <x:v>266.6317754132018</x:v>
      </x:c>
      <x:c r="P136" s="8" t="n">
        <x:f>N136^2</x:f>
        <x:v>71092.50365999609</x:v>
      </x:c>
      <x:c r="Q136" s="8" t="n">
        <x:f>K136-L136</x:f>
        <x:v>-3</x:v>
      </x:c>
      <x:c r="R136" s="9" t="n">
        <x:f>IF(AND(INDEX('Сводка'!$T$3:$T$397,U136)=0,INDEX('Сводка'!$T$3:$T$397,V136)=0),1,0)</x:f>
        <x:v>1</x:v>
      </x:c>
      <x:c r="S136" s="9" t="n">
        <x:f>IF(AND(R136=1,O136&lt;=$G$13),1,0)</x:f>
        <x:v>0</x:v>
      </x:c>
      <x:c r="T136" s="10" t="n">
        <x:f>EOMONTH(J136-'Сводка'!$B$11,-1)</x:f>
        <x:v>45961</x:v>
      </x:c>
      <x:c r="U136" s="4" t="n">
        <x:f>MATCH(J136,'Сводка'!$R$3:$R$397,0)</x:f>
        <x:v>147</x:v>
      </x:c>
      <x:c r="V136" s="4" t="n">
        <x:f>MATCH(J136-'Сводка'!$B$11,'Сводка'!$R$3:$R$397,0)</x:f>
        <x:v>146</x:v>
      </x:c>
      <x:c r="W136" s="4" t="n">
        <x:f>MATCH(T136,$J$388:$J$400,0)</x:f>
        <x:v>5</x:v>
      </x:c>
      <x:c r="X136" s="3"/>
      <x:c r="Y136" s="3"/>
      <x:c r="Z136" s="3"/>
    </x:row>
    <x:row r="137" ht="15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10" t="n">
        <x:v>45988</x:v>
      </x:c>
      <x:c r="K137" s="8" t="n">
        <x:f>INDEX('Сводка'!$S$3:$S$397,U137)</x:f>
        <x:v>-114</x:v>
      </x:c>
      <x:c r="L137" s="8" t="n">
        <x:f>INDEX('Сводка'!$S$3:$S$397,V137)</x:f>
        <x:v>-119</x:v>
      </x:c>
      <x:c r="M137" s="8" t="n">
        <x:f>INDEX($K$388:$N$400,W137,1)+INDEX($K$388:$N$400,W137,2)*(2*(J137-$T$405)/(T137-$T$405)-1)^1+INDEX($K$388:$N$400,W137,3)*(2*(J137-$T$405)/(T137-$T$405)-1)^2</x:f>
        <x:v>147.6364780237526</x:v>
      </x:c>
      <x:c r="N137" s="8" t="n">
        <x:f>K137-M137</x:f>
        <x:v>-261.6364780237526</x:v>
      </x:c>
      <x:c r="O137" s="8" t="n">
        <x:f>ABS(N137)</x:f>
        <x:v>261.6364780237526</x:v>
      </x:c>
      <x:c r="P137" s="8" t="n">
        <x:f>N137^2</x:f>
        <x:v>68453.64663267358</x:v>
      </x:c>
      <x:c r="Q137" s="8" t="n">
        <x:f>K137-L137</x:f>
        <x:v>5</x:v>
      </x:c>
      <x:c r="R137" s="9" t="n">
        <x:f>IF(AND(INDEX('Сводка'!$T$3:$T$397,U137)=0,INDEX('Сводка'!$T$3:$T$397,V137)=0),1,0)</x:f>
        <x:v>1</x:v>
      </x:c>
      <x:c r="S137" s="9" t="n">
        <x:f>IF(AND(R137=1,O137&lt;=$G$13),1,0)</x:f>
        <x:v>0</x:v>
      </x:c>
      <x:c r="T137" s="10" t="n">
        <x:f>EOMONTH(J137-'Сводка'!$B$11,-1)</x:f>
        <x:v>45961</x:v>
      </x:c>
      <x:c r="U137" s="4" t="n">
        <x:f>MATCH(J137,'Сводка'!$R$3:$R$397,0)</x:f>
        <x:v>148</x:v>
      </x:c>
      <x:c r="V137" s="4" t="n">
        <x:f>MATCH(J137-'Сводка'!$B$11,'Сводка'!$R$3:$R$397,0)</x:f>
        <x:v>147</x:v>
      </x:c>
      <x:c r="W137" s="4" t="n">
        <x:f>MATCH(T137,$J$388:$J$400,0)</x:f>
        <x:v>5</x:v>
      </x:c>
      <x:c r="X137" s="3"/>
      <x:c r="Y137" s="3"/>
      <x:c r="Z137" s="3"/>
    </x:row>
    <x:row r="138" ht="15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10" t="n">
        <x:v>45989</x:v>
      </x:c>
      <x:c r="K138" s="8" t="n">
        <x:f>INDEX('Сводка'!$S$3:$S$397,U138)</x:f>
        <x:v>-86</x:v>
      </x:c>
      <x:c r="L138" s="8" t="n">
        <x:f>INDEX('Сводка'!$S$3:$S$397,V138)</x:f>
        <x:v>-114</x:v>
      </x:c>
      <x:c r="M138" s="8" t="n">
        <x:f>INDEX($K$388:$N$400,W138,1)+INDEX($K$388:$N$400,W138,2)*(2*(J138-$T$405)/(T138-$T$405)-1)^1+INDEX($K$388:$N$400,W138,3)*(2*(J138-$T$405)/(T138-$T$405)-1)^2</x:f>
        <x:v>147.6411761845669</x:v>
      </x:c>
      <x:c r="N138" s="8" t="n">
        <x:f>K138-M138</x:f>
        <x:v>-233.6411761845669</x:v>
      </x:c>
      <x:c r="O138" s="8" t="n">
        <x:f>ABS(N138)</x:f>
        <x:v>233.6411761845669</x:v>
      </x:c>
      <x:c r="P138" s="8" t="n">
        <x:f>N138^2</x:f>
        <x:v>54588.19920890783</x:v>
      </x:c>
      <x:c r="Q138" s="8" t="n">
        <x:f>K138-L138</x:f>
        <x:v>28</x:v>
      </x:c>
      <x:c r="R138" s="9" t="n">
        <x:f>IF(AND(INDEX('Сводка'!$T$3:$T$397,U138)=0,INDEX('Сводка'!$T$3:$T$397,V138)=0),1,0)</x:f>
        <x:v>0</x:v>
      </x:c>
      <x:c r="S138" s="9" t="n">
        <x:f>IF(AND(R138=1,O138&lt;=$G$13),1,0)</x:f>
        <x:v>0</x:v>
      </x:c>
      <x:c r="T138" s="10" t="n">
        <x:f>EOMONTH(J138-'Сводка'!$B$11,-1)</x:f>
        <x:v>45961</x:v>
      </x:c>
      <x:c r="U138" s="4" t="n">
        <x:f>MATCH(J138,'Сводка'!$R$3:$R$397,0)</x:f>
        <x:v>149</x:v>
      </x:c>
      <x:c r="V138" s="4" t="n">
        <x:f>MATCH(J138-'Сводка'!$B$11,'Сводка'!$R$3:$R$397,0)</x:f>
        <x:v>148</x:v>
      </x:c>
      <x:c r="W138" s="4" t="n">
        <x:f>MATCH(T138,$J$388:$J$400,0)</x:f>
        <x:v>5</x:v>
      </x:c>
      <x:c r="X138" s="3"/>
      <x:c r="Y138" s="3"/>
      <x:c r="Z138" s="3"/>
    </x:row>
    <x:row r="139" ht="15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10" t="n">
        <x:v>45990</x:v>
      </x:c>
      <x:c r="K139" s="8" t="n">
        <x:f>INDEX('Сводка'!$S$3:$S$397,U139)</x:f>
        <x:v>-58</x:v>
      </x:c>
      <x:c r="L139" s="8" t="n">
        <x:f>INDEX('Сводка'!$S$3:$S$397,V139)</x:f>
        <x:v>-86</x:v>
      </x:c>
      <x:c r="M139" s="8" t="n">
        <x:f>INDEX($K$388:$N$400,W139,1)+INDEX($K$388:$N$400,W139,2)*(2*(J139-$T$405)/(T139-$T$405)-1)^1+INDEX($K$388:$N$400,W139,3)*(2*(J139-$T$405)/(T139-$T$405)-1)^2</x:f>
        <x:v>147.64586989564475</x:v>
      </x:c>
      <x:c r="N139" s="8" t="n">
        <x:f>K139-M139</x:f>
        <x:v>-205.64586989564475</x:v>
      </x:c>
      <x:c r="O139" s="8" t="n">
        <x:f>ABS(N139)</x:f>
        <x:v>205.64586989564475</x:v>
      </x:c>
      <x:c r="P139" s="8" t="n">
        <x:f>N139^2</x:f>
        <x:v>42290.22380513645</x:v>
      </x:c>
      <x:c r="Q139" s="8" t="n">
        <x:f>K139-L139</x:f>
        <x:v>28</x:v>
      </x:c>
      <x:c r="R139" s="9" t="n">
        <x:f>IF(AND(INDEX('Сводка'!$T$3:$T$397,U139)=0,INDEX('Сводка'!$T$3:$T$397,V139)=0),1,0)</x:f>
        <x:v>0</x:v>
      </x:c>
      <x:c r="S139" s="9" t="n">
        <x:f>IF(AND(R139=1,O139&lt;=$G$13),1,0)</x:f>
        <x:v>0</x:v>
      </x:c>
      <x:c r="T139" s="10" t="n">
        <x:f>EOMONTH(J139-'Сводка'!$B$11,-1)</x:f>
        <x:v>45961</x:v>
      </x:c>
      <x:c r="U139" s="4" t="n">
        <x:f>MATCH(J139,'Сводка'!$R$3:$R$397,0)</x:f>
        <x:v>150</x:v>
      </x:c>
      <x:c r="V139" s="4" t="n">
        <x:f>MATCH(J139-'Сводка'!$B$11,'Сводка'!$R$3:$R$397,0)</x:f>
        <x:v>149</x:v>
      </x:c>
      <x:c r="W139" s="4" t="n">
        <x:f>MATCH(T139,$J$388:$J$400,0)</x:f>
        <x:v>5</x:v>
      </x:c>
      <x:c r="X139" s="3"/>
      <x:c r="Y139" s="3"/>
      <x:c r="Z139" s="3"/>
    </x:row>
    <x:row r="140" ht="15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10" t="n">
        <x:v>45991</x:v>
      </x:c>
      <x:c r="K140" s="8" t="n">
        <x:f>INDEX('Сводка'!$S$3:$S$397,U140)</x:f>
        <x:v>-53</x:v>
      </x:c>
      <x:c r="L140" s="8" t="n">
        <x:f>INDEX('Сводка'!$S$3:$S$397,V140)</x:f>
        <x:v>-58</x:v>
      </x:c>
      <x:c r="M140" s="8" t="n">
        <x:f>INDEX($K$388:$N$400,W140,1)+INDEX($K$388:$N$400,W140,2)*(2*(J140-$T$405)/(T140-$T$405)-1)^1+INDEX($K$388:$N$400,W140,3)*(2*(J140-$T$405)/(T140-$T$405)-1)^2</x:f>
        <x:v>147.65055915698622</x:v>
      </x:c>
      <x:c r="N140" s="8" t="n">
        <x:f>K140-M140</x:f>
        <x:v>-200.65055915698622</x:v>
      </x:c>
      <x:c r="O140" s="8" t="n">
        <x:f>ABS(N140)</x:f>
        <x:v>200.65055915698622</x:v>
      </x:c>
      <x:c r="P140" s="8" t="n">
        <x:f>N140^2</x:f>
        <x:v>40260.64689001122</x:v>
      </x:c>
      <x:c r="Q140" s="8" t="n">
        <x:f>K140-L140</x:f>
        <x:v>5</x:v>
      </x:c>
      <x:c r="R140" s="9" t="n">
        <x:f>IF(AND(INDEX('Сводка'!$T$3:$T$397,U140)=0,INDEX('Сводка'!$T$3:$T$397,V140)=0),1,0)</x:f>
        <x:v>1</x:v>
      </x:c>
      <x:c r="S140" s="9" t="n">
        <x:f>IF(AND(R140=1,O140&lt;=$G$13),1,0)</x:f>
        <x:v>0</x:v>
      </x:c>
      <x:c r="T140" s="10" t="n">
        <x:f>EOMONTH(J140-'Сводка'!$B$11,-1)</x:f>
        <x:v>45961</x:v>
      </x:c>
      <x:c r="U140" s="4" t="n">
        <x:f>MATCH(J140,'Сводка'!$R$3:$R$397,0)</x:f>
        <x:v>151</x:v>
      </x:c>
      <x:c r="V140" s="4" t="n">
        <x:f>MATCH(J140-'Сводка'!$B$11,'Сводка'!$R$3:$R$397,0)</x:f>
        <x:v>150</x:v>
      </x:c>
      <x:c r="W140" s="4" t="n">
        <x:f>MATCH(T140,$J$388:$J$400,0)</x:f>
        <x:v>5</x:v>
      </x:c>
      <x:c r="X140" s="3"/>
      <x:c r="Y140" s="3"/>
      <x:c r="Z140" s="3"/>
    </x:row>
    <x:row r="141" ht="15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10" t="n">
        <x:v>45992</x:v>
      </x:c>
      <x:c r="K141" s="8" t="n">
        <x:f>INDEX('Сводка'!$S$3:$S$397,U141)</x:f>
        <x:v>-56</x:v>
      </x:c>
      <x:c r="L141" s="8" t="n">
        <x:f>INDEX('Сводка'!$S$3:$S$397,V141)</x:f>
        <x:v>-53</x:v>
      </x:c>
      <x:c r="M141" s="8" t="n">
        <x:f>INDEX($K$388:$N$400,W141,1)+INDEX($K$388:$N$400,W141,2)*(2*(J141-$T$405)/(T141-$T$405)-1)^1+INDEX($K$388:$N$400,W141,3)*(2*(J141-$T$405)/(T141-$T$405)-1)^2</x:f>
        <x:v>147.65524396859124</x:v>
      </x:c>
      <x:c r="N141" s="8" t="n">
        <x:f>K141-M141</x:f>
        <x:v>-203.65524396859124</x:v>
      </x:c>
      <x:c r="O141" s="8" t="n">
        <x:f>ABS(N141)</x:f>
        <x:v>203.65524396859124</x:v>
      </x:c>
      <x:c r="P141" s="8" t="n">
        <x:f>N141^2</x:f>
        <x:v>41475.45839590642</x:v>
      </x:c>
      <x:c r="Q141" s="8" t="n">
        <x:f>K141-L141</x:f>
        <x:v>-3</x:v>
      </x:c>
      <x:c r="R141" s="9" t="n">
        <x:f>IF(AND(INDEX('Сводка'!$T$3:$T$397,U141)=0,INDEX('Сводка'!$T$3:$T$397,V141)=0),1,0)</x:f>
        <x:v>1</x:v>
      </x:c>
      <x:c r="S141" s="9" t="n">
        <x:f>IF(AND(R141=1,O141&lt;=$G$13),1,0)</x:f>
        <x:v>0</x:v>
      </x:c>
      <x:c r="T141" s="10" t="n">
        <x:f>EOMONTH(J141-'Сводка'!$B$11,-1)</x:f>
        <x:v>45961</x:v>
      </x:c>
      <x:c r="U141" s="4" t="n">
        <x:f>MATCH(J141,'Сводка'!$R$3:$R$397,0)</x:f>
        <x:v>152</x:v>
      </x:c>
      <x:c r="V141" s="4" t="n">
        <x:f>MATCH(J141-'Сводка'!$B$11,'Сводка'!$R$3:$R$397,0)</x:f>
        <x:v>151</x:v>
      </x:c>
      <x:c r="W141" s="4" t="n">
        <x:f>MATCH(T141,$J$388:$J$400,0)</x:f>
        <x:v>5</x:v>
      </x:c>
      <x:c r="X141" s="3"/>
      <x:c r="Y141" s="3"/>
      <x:c r="Z141" s="3"/>
    </x:row>
    <x:row r="142" ht="15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10" t="n">
        <x:v>45993</x:v>
      </x:c>
      <x:c r="K142" s="8" t="n">
        <x:f>INDEX('Сводка'!$S$3:$S$397,U142)</x:f>
        <x:v>-46</x:v>
      </x:c>
      <x:c r="L142" s="8" t="n">
        <x:f>INDEX('Сводка'!$S$3:$S$397,V142)</x:f>
        <x:v>-56</x:v>
      </x:c>
      <x:c r="M142" s="8" t="n">
        <x:f>INDEX($K$388:$N$400,W142,1)+INDEX($K$388:$N$400,W142,2)*(2*(J142-$T$405)/(T142-$T$405)-1)^1+INDEX($K$388:$N$400,W142,3)*(2*(J142-$T$405)/(T142-$T$405)-1)^2</x:f>
        <x:v>140.19481828748334</x:v>
      </x:c>
      <x:c r="N142" s="8" t="n">
        <x:f>K142-M142</x:f>
        <x:v>-186.19481828748334</x:v>
      </x:c>
      <x:c r="O142" s="8" t="n">
        <x:f>ABS(N142)</x:f>
        <x:v>186.19481828748334</x:v>
      </x:c>
      <x:c r="P142" s="8" t="n">
        <x:f>N142^2</x:f>
        <x:v>34668.51035710894</x:v>
      </x:c>
      <x:c r="Q142" s="8" t="n">
        <x:f>K142-L142</x:f>
        <x:v>10</x:v>
      </x:c>
      <x:c r="R142" s="9" t="n">
        <x:f>IF(AND(INDEX('Сводка'!$T$3:$T$397,U142)=0,INDEX('Сводка'!$T$3:$T$397,V142)=0),1,0)</x:f>
        <x:v>1</x:v>
      </x:c>
      <x:c r="S142" s="9" t="n">
        <x:f>IF(AND(R142=1,O142&lt;=$G$13),1,0)</x:f>
        <x:v>0</x:v>
      </x:c>
      <x:c r="T142" s="10" t="n">
        <x:f>EOMONTH(J142-'Сводка'!$B$11,-1)</x:f>
        <x:v>45991</x:v>
      </x:c>
      <x:c r="U142" s="4" t="n">
        <x:f>MATCH(J142,'Сводка'!$R$3:$R$397,0)</x:f>
        <x:v>153</x:v>
      </x:c>
      <x:c r="V142" s="4" t="n">
        <x:f>MATCH(J142-'Сводка'!$B$11,'Сводка'!$R$3:$R$397,0)</x:f>
        <x:v>152</x:v>
      </x:c>
      <x:c r="W142" s="4" t="n">
        <x:f>MATCH(T142,$J$388:$J$400,0)</x:f>
        <x:v>6</x:v>
      </x:c>
      <x:c r="X142" s="3"/>
      <x:c r="Y142" s="3"/>
      <x:c r="Z142" s="3"/>
    </x:row>
    <x:row r="143" ht="15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10" t="n">
        <x:v>45994</x:v>
      </x:c>
      <x:c r="K143" s="8" t="n">
        <x:f>INDEX('Сводка'!$S$3:$S$397,U143)</x:f>
        <x:v>-30</x:v>
      </x:c>
      <x:c r="L143" s="8" t="n">
        <x:f>INDEX('Сводка'!$S$3:$S$397,V143)</x:f>
        <x:v>-46</x:v>
      </x:c>
      <x:c r="M143" s="8" t="n">
        <x:f>INDEX($K$388:$N$400,W143,1)+INDEX($K$388:$N$400,W143,2)*(2*(J143-$T$405)/(T143-$T$405)-1)^1+INDEX($K$388:$N$400,W143,3)*(2*(J143-$T$405)/(T143-$T$405)-1)^2</x:f>
        <x:v>140.19615037979318</x:v>
      </x:c>
      <x:c r="N143" s="8" t="n">
        <x:f>K143-M143</x:f>
        <x:v>-170.19615037979318</x:v>
      </x:c>
      <x:c r="O143" s="8" t="n">
        <x:f>ABS(N143)</x:f>
        <x:v>170.19615037979318</x:v>
      </x:c>
      <x:c r="P143" s="8" t="n">
        <x:f>N143^2</x:f>
        <x:v>28966.729604101176</x:v>
      </x:c>
      <x:c r="Q143" s="8" t="n">
        <x:f>K143-L143</x:f>
        <x:v>16</x:v>
      </x:c>
      <x:c r="R143" s="9" t="n">
        <x:f>IF(AND(INDEX('Сводка'!$T$3:$T$397,U143)=0,INDEX('Сводка'!$T$3:$T$397,V143)=0),1,0)</x:f>
        <x:v>1</x:v>
      </x:c>
      <x:c r="S143" s="9" t="n">
        <x:f>IF(AND(R143=1,O143&lt;=$G$13),1,0)</x:f>
        <x:v>0</x:v>
      </x:c>
      <x:c r="T143" s="10" t="n">
        <x:f>EOMONTH(J143-'Сводка'!$B$11,-1)</x:f>
        <x:v>45991</x:v>
      </x:c>
      <x:c r="U143" s="4" t="n">
        <x:f>MATCH(J143,'Сводка'!$R$3:$R$397,0)</x:f>
        <x:v>154</x:v>
      </x:c>
      <x:c r="V143" s="4" t="n">
        <x:f>MATCH(J143-'Сводка'!$B$11,'Сводка'!$R$3:$R$397,0)</x:f>
        <x:v>153</x:v>
      </x:c>
      <x:c r="W143" s="4" t="n">
        <x:f>MATCH(T143,$J$388:$J$400,0)</x:f>
        <x:v>6</x:v>
      </x:c>
      <x:c r="X143" s="3"/>
      <x:c r="Y143" s="3"/>
      <x:c r="Z143" s="3"/>
    </x:row>
    <x:row r="144" ht="15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10" t="n">
        <x:v>45995</x:v>
      </x:c>
      <x:c r="K144" s="8" t="n">
        <x:f>INDEX('Сводка'!$S$3:$S$397,U144)</x:f>
        <x:v>-20</x:v>
      </x:c>
      <x:c r="L144" s="8" t="n">
        <x:f>INDEX('Сводка'!$S$3:$S$397,V144)</x:f>
        <x:v>-30</x:v>
      </x:c>
      <x:c r="M144" s="8" t="n">
        <x:f>INDEX($K$388:$N$400,W144,1)+INDEX($K$388:$N$400,W144,2)*(2*(J144-$T$405)/(T144-$T$405)-1)^1+INDEX($K$388:$N$400,W144,3)*(2*(J144-$T$405)/(T144-$T$405)-1)^2</x:f>
        <x:v>140.1974773907285</x:v>
      </x:c>
      <x:c r="N144" s="8" t="n">
        <x:f>K144-M144</x:f>
        <x:v>-160.1974773907285</x:v>
      </x:c>
      <x:c r="O144" s="8" t="n">
        <x:f>ABS(N144)</x:f>
        <x:v>160.1974773907285</x:v>
      </x:c>
      <x:c r="P144" s="8" t="n">
        <x:f>N144^2</x:f>
        <x:v>25663.231762352967</x:v>
      </x:c>
      <x:c r="Q144" s="8" t="n">
        <x:f>K144-L144</x:f>
        <x:v>10</x:v>
      </x:c>
      <x:c r="R144" s="9" t="n">
        <x:f>IF(AND(INDEX('Сводка'!$T$3:$T$397,U144)=0,INDEX('Сводка'!$T$3:$T$397,V144)=0),1,0)</x:f>
        <x:v>1</x:v>
      </x:c>
      <x:c r="S144" s="9" t="n">
        <x:f>IF(AND(R144=1,O144&lt;=$G$13),1,0)</x:f>
        <x:v>0</x:v>
      </x:c>
      <x:c r="T144" s="10" t="n">
        <x:f>EOMONTH(J144-'Сводка'!$B$11,-1)</x:f>
        <x:v>45991</x:v>
      </x:c>
      <x:c r="U144" s="4" t="n">
        <x:f>MATCH(J144,'Сводка'!$R$3:$R$397,0)</x:f>
        <x:v>155</x:v>
      </x:c>
      <x:c r="V144" s="4" t="n">
        <x:f>MATCH(J144-'Сводка'!$B$11,'Сводка'!$R$3:$R$397,0)</x:f>
        <x:v>154</x:v>
      </x:c>
      <x:c r="W144" s="4" t="n">
        <x:f>MATCH(T144,$J$388:$J$400,0)</x:f>
        <x:v>6</x:v>
      </x:c>
      <x:c r="X144" s="3"/>
      <x:c r="Y144" s="3"/>
      <x:c r="Z144" s="3"/>
    </x:row>
    <x:row r="145" ht="15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10" t="n">
        <x:v>45996</x:v>
      </x:c>
      <x:c r="K145" s="8" t="n">
        <x:f>INDEX('Сводка'!$S$3:$S$397,U145)</x:f>
        <x:v>-16</x:v>
      </x:c>
      <x:c r="L145" s="8" t="n">
        <x:f>INDEX('Сводка'!$S$3:$S$397,V145)</x:f>
        <x:v>-20</x:v>
      </x:c>
      <x:c r="M145" s="8" t="n">
        <x:f>INDEX($K$388:$N$400,W145,1)+INDEX($K$388:$N$400,W145,2)*(2*(J145-$T$405)/(T145-$T$405)-1)^1+INDEX($K$388:$N$400,W145,3)*(2*(J145-$T$405)/(T145-$T$405)-1)^2</x:f>
        <x:v>140.1987993202892</x:v>
      </x:c>
      <x:c r="N145" s="8" t="n">
        <x:f>K145-M145</x:f>
        <x:v>-156.1987993202892</x:v>
      </x:c>
      <x:c r="O145" s="8" t="n">
        <x:f>ABS(N145)</x:f>
        <x:v>156.1987993202892</x:v>
      </x:c>
      <x:c r="P145" s="8" t="n">
        <x:f>N145^2</x:f>
        <x:v>24398.064909099976</x:v>
      </x:c>
      <x:c r="Q145" s="8" t="n">
        <x:f>K145-L145</x:f>
        <x:v>4</x:v>
      </x:c>
      <x:c r="R145" s="9" t="n">
        <x:f>IF(AND(INDEX('Сводка'!$T$3:$T$397,U145)=0,INDEX('Сводка'!$T$3:$T$397,V145)=0),1,0)</x:f>
        <x:v>0</x:v>
      </x:c>
      <x:c r="S145" s="9" t="n">
        <x:f>IF(AND(R145=1,O145&lt;=$G$13),1,0)</x:f>
        <x:v>0</x:v>
      </x:c>
      <x:c r="T145" s="10" t="n">
        <x:f>EOMONTH(J145-'Сводка'!$B$11,-1)</x:f>
        <x:v>45991</x:v>
      </x:c>
      <x:c r="U145" s="4" t="n">
        <x:f>MATCH(J145,'Сводка'!$R$3:$R$397,0)</x:f>
        <x:v>156</x:v>
      </x:c>
      <x:c r="V145" s="4" t="n">
        <x:f>MATCH(J145-'Сводка'!$B$11,'Сводка'!$R$3:$R$397,0)</x:f>
        <x:v>155</x:v>
      </x:c>
      <x:c r="W145" s="4" t="n">
        <x:f>MATCH(T145,$J$388:$J$400,0)</x:f>
        <x:v>6</x:v>
      </x:c>
      <x:c r="X145" s="3"/>
      <x:c r="Y145" s="3"/>
      <x:c r="Z145" s="3"/>
    </x:row>
    <x:row r="146" ht="15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10" t="n">
        <x:v>45997</x:v>
      </x:c>
      <x:c r="K146" s="8" t="n">
        <x:f>INDEX('Сводка'!$S$3:$S$397,U146)</x:f>
        <x:v>-12</x:v>
      </x:c>
      <x:c r="L146" s="8" t="n">
        <x:f>INDEX('Сводка'!$S$3:$S$397,V146)</x:f>
        <x:v>-16</x:v>
      </x:c>
      <x:c r="M146" s="8" t="n">
        <x:f>INDEX($K$388:$N$400,W146,1)+INDEX($K$388:$N$400,W146,2)*(2*(J146-$T$405)/(T146-$T$405)-1)^1+INDEX($K$388:$N$400,W146,3)*(2*(J146-$T$405)/(T146-$T$405)-1)^2</x:f>
        <x:v>140.2001161684754</x:v>
      </x:c>
      <x:c r="N146" s="8" t="n">
        <x:f>K146-M146</x:f>
        <x:v>-152.2001161684754</x:v>
      </x:c>
      <x:c r="O146" s="8" t="n">
        <x:f>ABS(N146)</x:f>
        <x:v>152.2001161684754</x:v>
      </x:c>
      <x:c r="P146" s="8" t="n">
        <x:f>N146^2</x:f>
        <x:v>23164.875361697406</x:v>
      </x:c>
      <x:c r="Q146" s="8" t="n">
        <x:f>K146-L146</x:f>
        <x:v>4</x:v>
      </x:c>
      <x:c r="R146" s="9" t="n">
        <x:f>IF(AND(INDEX('Сводка'!$T$3:$T$397,U146)=0,INDEX('Сводка'!$T$3:$T$397,V146)=0),1,0)</x:f>
        <x:v>0</x:v>
      </x:c>
      <x:c r="S146" s="9" t="n">
        <x:f>IF(AND(R146=1,O146&lt;=$G$13),1,0)</x:f>
        <x:v>0</x:v>
      </x:c>
      <x:c r="T146" s="10" t="n">
        <x:f>EOMONTH(J146-'Сводка'!$B$11,-1)</x:f>
        <x:v>45991</x:v>
      </x:c>
      <x:c r="U146" s="4" t="n">
        <x:f>MATCH(J146,'Сводка'!$R$3:$R$397,0)</x:f>
        <x:v>157</x:v>
      </x:c>
      <x:c r="V146" s="4" t="n">
        <x:f>MATCH(J146-'Сводка'!$B$11,'Сводка'!$R$3:$R$397,0)</x:f>
        <x:v>156</x:v>
      </x:c>
      <x:c r="W146" s="4" t="n">
        <x:f>MATCH(T146,$J$388:$J$400,0)</x:f>
        <x:v>6</x:v>
      </x:c>
      <x:c r="X146" s="3"/>
      <x:c r="Y146" s="3"/>
      <x:c r="Z146" s="3"/>
    </x:row>
    <x:row r="147" ht="15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10" t="n">
        <x:v>45998</x:v>
      </x:c>
      <x:c r="K147" s="8" t="n">
        <x:f>INDEX('Сводка'!$S$3:$S$397,U147)</x:f>
        <x:v>-8</x:v>
      </x:c>
      <x:c r="L147" s="8" t="n">
        <x:f>INDEX('Сводка'!$S$3:$S$397,V147)</x:f>
        <x:v>-12</x:v>
      </x:c>
      <x:c r="M147" s="8" t="n">
        <x:f>INDEX($K$388:$N$400,W147,1)+INDEX($K$388:$N$400,W147,2)*(2*(J147-$T$405)/(T147-$T$405)-1)^1+INDEX($K$388:$N$400,W147,3)*(2*(J147-$T$405)/(T147-$T$405)-1)^2</x:f>
        <x:v>140.20142793528703</x:v>
      </x:c>
      <x:c r="N147" s="8" t="n">
        <x:f>K147-M147</x:f>
        <x:v>-148.20142793528703</x:v>
      </x:c>
      <x:c r="O147" s="8" t="n">
        <x:f>ABS(N147)</x:f>
        <x:v>148.20142793528703</x:v>
      </x:c>
      <x:c r="P147" s="8" t="n">
        <x:f>N147^2</x:f>
        <x:v>21963.663242058075</x:v>
      </x:c>
      <x:c r="Q147" s="8" t="n">
        <x:f>K147-L147</x:f>
        <x:v>4</x:v>
      </x:c>
      <x:c r="R147" s="9" t="n">
        <x:f>IF(AND(INDEX('Сводка'!$T$3:$T$397,U147)=0,INDEX('Сводка'!$T$3:$T$397,V147)=0),1,0)</x:f>
        <x:v>0</x:v>
      </x:c>
      <x:c r="S147" s="9" t="n">
        <x:f>IF(AND(R147=1,O147&lt;=$G$13),1,0)</x:f>
        <x:v>0</x:v>
      </x:c>
      <x:c r="T147" s="10" t="n">
        <x:f>EOMONTH(J147-'Сводка'!$B$11,-1)</x:f>
        <x:v>45991</x:v>
      </x:c>
      <x:c r="U147" s="4" t="n">
        <x:f>MATCH(J147,'Сводка'!$R$3:$R$397,0)</x:f>
        <x:v>158</x:v>
      </x:c>
      <x:c r="V147" s="4" t="n">
        <x:f>MATCH(J147-'Сводка'!$B$11,'Сводка'!$R$3:$R$397,0)</x:f>
        <x:v>157</x:v>
      </x:c>
      <x:c r="W147" s="4" t="n">
        <x:f>MATCH(T147,$J$388:$J$400,0)</x:f>
        <x:v>6</x:v>
      </x:c>
      <x:c r="X147" s="3"/>
      <x:c r="Y147" s="3"/>
      <x:c r="Z147" s="3"/>
    </x:row>
    <x:row r="148" ht="15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10" t="n">
        <x:v>45999</x:v>
      </x:c>
      <x:c r="K148" s="8" t="n">
        <x:f>INDEX('Сводка'!$S$3:$S$397,U148)</x:f>
        <x:v>-13</x:v>
      </x:c>
      <x:c r="L148" s="8" t="n">
        <x:f>INDEX('Сводка'!$S$3:$S$397,V148)</x:f>
        <x:v>-8</x:v>
      </x:c>
      <x:c r="M148" s="8" t="n">
        <x:f>INDEX($K$388:$N$400,W148,1)+INDEX($K$388:$N$400,W148,2)*(2*(J148-$T$405)/(T148-$T$405)-1)^1+INDEX($K$388:$N$400,W148,3)*(2*(J148-$T$405)/(T148-$T$405)-1)^2</x:f>
        <x:v>140.20273462072407</x:v>
      </x:c>
      <x:c r="N148" s="8" t="n">
        <x:f>K148-M148</x:f>
        <x:v>-153.20273462072407</x:v>
      </x:c>
      <x:c r="O148" s="8" t="n">
        <x:f>ABS(N148)</x:f>
        <x:v>153.20273462072407</x:v>
      </x:c>
      <x:c r="P148" s="8" t="n">
        <x:f>N148^2</x:f>
        <x:v>23471.077895268005</x:v>
      </x:c>
      <x:c r="Q148" s="8" t="n">
        <x:f>K148-L148</x:f>
        <x:v>-5</x:v>
      </x:c>
      <x:c r="R148" s="9" t="n">
        <x:f>IF(AND(INDEX('Сводка'!$T$3:$T$397,U148)=0,INDEX('Сводка'!$T$3:$T$397,V148)=0),1,0)</x:f>
        <x:v>1</x:v>
      </x:c>
      <x:c r="S148" s="9" t="n">
        <x:f>IF(AND(R148=1,O148&lt;=$G$13),1,0)</x:f>
        <x:v>0</x:v>
      </x:c>
      <x:c r="T148" s="10" t="n">
        <x:f>EOMONTH(J148-'Сводка'!$B$11,-1)</x:f>
        <x:v>45991</x:v>
      </x:c>
      <x:c r="U148" s="4" t="n">
        <x:f>MATCH(J148,'Сводка'!$R$3:$R$397,0)</x:f>
        <x:v>159</x:v>
      </x:c>
      <x:c r="V148" s="4" t="n">
        <x:f>MATCH(J148-'Сводка'!$B$11,'Сводка'!$R$3:$R$397,0)</x:f>
        <x:v>158</x:v>
      </x:c>
      <x:c r="W148" s="4" t="n">
        <x:f>MATCH(T148,$J$388:$J$400,0)</x:f>
        <x:v>6</x:v>
      </x:c>
      <x:c r="X148" s="3"/>
      <x:c r="Y148" s="3"/>
      <x:c r="Z148" s="3"/>
    </x:row>
    <x:row r="149" ht="15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10" t="n">
        <x:v>46000</x:v>
      </x:c>
      <x:c r="K149" s="8" t="n">
        <x:f>INDEX('Сводка'!$S$3:$S$397,U149)</x:f>
        <x:v>-20</x:v>
      </x:c>
      <x:c r="L149" s="8" t="n">
        <x:f>INDEX('Сводка'!$S$3:$S$397,V149)</x:f>
        <x:v>-13</x:v>
      </x:c>
      <x:c r="M149" s="8" t="n">
        <x:f>INDEX($K$388:$N$400,W149,1)+INDEX($K$388:$N$400,W149,2)*(2*(J149-$T$405)/(T149-$T$405)-1)^1+INDEX($K$388:$N$400,W149,3)*(2*(J149-$T$405)/(T149-$T$405)-1)^2</x:f>
        <x:v>140.20403622478662</x:v>
      </x:c>
      <x:c r="N149" s="8" t="n">
        <x:f>K149-M149</x:f>
        <x:v>-160.20403622478662</x:v>
      </x:c>
      <x:c r="O149" s="8" t="n">
        <x:f>ABS(N149)</x:f>
        <x:v>160.20403622478662</x:v>
      </x:c>
      <x:c r="P149" s="8" t="n">
        <x:f>N149^2</x:f>
        <x:v>25665.333222712743</x:v>
      </x:c>
      <x:c r="Q149" s="8" t="n">
        <x:f>K149-L149</x:f>
        <x:v>-7</x:v>
      </x:c>
      <x:c r="R149" s="9" t="n">
        <x:f>IF(AND(INDEX('Сводка'!$T$3:$T$397,U149)=0,INDEX('Сводка'!$T$3:$T$397,V149)=0),1,0)</x:f>
        <x:v>1</x:v>
      </x:c>
      <x:c r="S149" s="9" t="n">
        <x:f>IF(AND(R149=1,O149&lt;=$G$13),1,0)</x:f>
        <x:v>0</x:v>
      </x:c>
      <x:c r="T149" s="10" t="n">
        <x:f>EOMONTH(J149-'Сводка'!$B$11,-1)</x:f>
        <x:v>45991</x:v>
      </x:c>
      <x:c r="U149" s="4" t="n">
        <x:f>MATCH(J149,'Сводка'!$R$3:$R$397,0)</x:f>
        <x:v>160</x:v>
      </x:c>
      <x:c r="V149" s="4" t="n">
        <x:f>MATCH(J149-'Сводка'!$B$11,'Сводка'!$R$3:$R$397,0)</x:f>
        <x:v>159</x:v>
      </x:c>
      <x:c r="W149" s="4" t="n">
        <x:f>MATCH(T149,$J$388:$J$400,0)</x:f>
        <x:v>6</x:v>
      </x:c>
      <x:c r="X149" s="3"/>
      <x:c r="Y149" s="3"/>
      <x:c r="Z149" s="3"/>
    </x:row>
    <x:row r="150" ht="15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10" t="n">
        <x:v>46001</x:v>
      </x:c>
      <x:c r="K150" s="8" t="n">
        <x:f>INDEX('Сводка'!$S$3:$S$397,U150)</x:f>
        <x:v>-28</x:v>
      </x:c>
      <x:c r="L150" s="8" t="n">
        <x:f>INDEX('Сводка'!$S$3:$S$397,V150)</x:f>
        <x:v>-20</x:v>
      </x:c>
      <x:c r="M150" s="8" t="n">
        <x:f>INDEX($K$388:$N$400,W150,1)+INDEX($K$388:$N$400,W150,2)*(2*(J150-$T$405)/(T150-$T$405)-1)^1+INDEX($K$388:$N$400,W150,3)*(2*(J150-$T$405)/(T150-$T$405)-1)^2</x:f>
        <x:v>140.20533274747456</x:v>
      </x:c>
      <x:c r="N150" s="8" t="n">
        <x:f>K150-M150</x:f>
        <x:v>-168.20533274747456</x:v>
      </x:c>
      <x:c r="O150" s="8" t="n">
        <x:f>ABS(N150)</x:f>
        <x:v>168.20533274747456</x:v>
      </x:c>
      <x:c r="P150" s="8" t="n">
        <x:f>N150^2</x:f>
        <x:v>28293.033964688635</x:v>
      </x:c>
      <x:c r="Q150" s="8" t="n">
        <x:f>K150-L150</x:f>
        <x:v>-8</x:v>
      </x:c>
      <x:c r="R150" s="9" t="n">
        <x:f>IF(AND(INDEX('Сводка'!$T$3:$T$397,U150)=0,INDEX('Сводка'!$T$3:$T$397,V150)=0),1,0)</x:f>
        <x:v>1</x:v>
      </x:c>
      <x:c r="S150" s="9" t="n">
        <x:f>IF(AND(R150=1,O150&lt;=$G$13),1,0)</x:f>
        <x:v>0</x:v>
      </x:c>
      <x:c r="T150" s="10" t="n">
        <x:f>EOMONTH(J150-'Сводка'!$B$11,-1)</x:f>
        <x:v>45991</x:v>
      </x:c>
      <x:c r="U150" s="4" t="n">
        <x:f>MATCH(J150,'Сводка'!$R$3:$R$397,0)</x:f>
        <x:v>161</x:v>
      </x:c>
      <x:c r="V150" s="4" t="n">
        <x:f>MATCH(J150-'Сводка'!$B$11,'Сводка'!$R$3:$R$397,0)</x:f>
        <x:v>160</x:v>
      </x:c>
      <x:c r="W150" s="4" t="n">
        <x:f>MATCH(T150,$J$388:$J$400,0)</x:f>
        <x:v>6</x:v>
      </x:c>
      <x:c r="X150" s="3"/>
      <x:c r="Y150" s="3"/>
      <x:c r="Z150" s="3"/>
    </x:row>
    <x:row r="151" ht="15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10" t="n">
        <x:v>46002</x:v>
      </x:c>
      <x:c r="K151" s="8" t="n">
        <x:f>INDEX('Сводка'!$S$3:$S$397,U151)</x:f>
        <x:v>-38</x:v>
      </x:c>
      <x:c r="L151" s="8" t="n">
        <x:f>INDEX('Сводка'!$S$3:$S$397,V151)</x:f>
        <x:v>-28</x:v>
      </x:c>
      <x:c r="M151" s="8" t="n">
        <x:f>INDEX($K$388:$N$400,W151,1)+INDEX($K$388:$N$400,W151,2)*(2*(J151-$T$405)/(T151-$T$405)-1)^1+INDEX($K$388:$N$400,W151,3)*(2*(J151-$T$405)/(T151-$T$405)-1)^2</x:f>
        <x:v>140.20662418878794</x:v>
      </x:c>
      <x:c r="N151" s="8" t="n">
        <x:f>K151-M151</x:f>
        <x:v>-178.20662418878794</x:v>
      </x:c>
      <x:c r="O151" s="8" t="n">
        <x:f>ABS(N151)</x:f>
        <x:v>178.20662418878794</x:v>
      </x:c>
      <x:c r="P151" s="8" t="n">
        <x:f>N151^2</x:f>
        <x:v>31757.600904763898</x:v>
      </x:c>
      <x:c r="Q151" s="8" t="n">
        <x:f>K151-L151</x:f>
        <x:v>-10</x:v>
      </x:c>
      <x:c r="R151" s="9" t="n">
        <x:f>IF(AND(INDEX('Сводка'!$T$3:$T$397,U151)=0,INDEX('Сводка'!$T$3:$T$397,V151)=0),1,0)</x:f>
        <x:v>1</x:v>
      </x:c>
      <x:c r="S151" s="9" t="n">
        <x:f>IF(AND(R151=1,O151&lt;=$G$13),1,0)</x:f>
        <x:v>0</x:v>
      </x:c>
      <x:c r="T151" s="10" t="n">
        <x:f>EOMONTH(J151-'Сводка'!$B$11,-1)</x:f>
        <x:v>45991</x:v>
      </x:c>
      <x:c r="U151" s="4" t="n">
        <x:f>MATCH(J151,'Сводка'!$R$3:$R$397,0)</x:f>
        <x:v>162</x:v>
      </x:c>
      <x:c r="V151" s="4" t="n">
        <x:f>MATCH(J151-'Сводка'!$B$11,'Сводка'!$R$3:$R$397,0)</x:f>
        <x:v>161</x:v>
      </x:c>
      <x:c r="W151" s="4" t="n">
        <x:f>MATCH(T151,$J$388:$J$400,0)</x:f>
        <x:v>6</x:v>
      </x:c>
      <x:c r="X151" s="3"/>
      <x:c r="Y151" s="3"/>
      <x:c r="Z151" s="3"/>
    </x:row>
    <x:row r="152" ht="15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10" t="n">
        <x:v>46003</x:v>
      </x:c>
      <x:c r="K152" s="8" t="n">
        <x:f>INDEX('Сводка'!$S$3:$S$397,U152)</x:f>
        <x:v>-37.7</x:v>
      </x:c>
      <x:c r="L152" s="8" t="n">
        <x:f>INDEX('Сводка'!$S$3:$S$397,V152)</x:f>
        <x:v>-38</x:v>
      </x:c>
      <x:c r="M152" s="8" t="n">
        <x:f>INDEX($K$388:$N$400,W152,1)+INDEX($K$388:$N$400,W152,2)*(2*(J152-$T$405)/(T152-$T$405)-1)^1+INDEX($K$388:$N$400,W152,3)*(2*(J152-$T$405)/(T152-$T$405)-1)^2</x:f>
        <x:v>140.20791054872683</x:v>
      </x:c>
      <x:c r="N152" s="8" t="n">
        <x:f>K152-M152</x:f>
        <x:v>-177.90791054872682</x:v>
      </x:c>
      <x:c r="O152" s="8" t="n">
        <x:f>ABS(N152)</x:f>
        <x:v>177.90791054872682</x:v>
      </x:c>
      <x:c r="P152" s="8" t="n">
        <x:f>N152^2</x:f>
        <x:v>31651.22463581378</x:v>
      </x:c>
      <x:c r="Q152" s="8" t="n">
        <x:f>K152-L152</x:f>
        <x:v>0.29999999999999716</x:v>
      </x:c>
      <x:c r="R152" s="9" t="n">
        <x:f>IF(AND(INDEX('Сводка'!$T$3:$T$397,U152)=0,INDEX('Сводка'!$T$3:$T$397,V152)=0),1,0)</x:f>
        <x:v>0</x:v>
      </x:c>
      <x:c r="S152" s="9" t="n">
        <x:f>IF(AND(R152=1,O152&lt;=$G$13),1,0)</x:f>
        <x:v>0</x:v>
      </x:c>
      <x:c r="T152" s="10" t="n">
        <x:f>EOMONTH(J152-'Сводка'!$B$11,-1)</x:f>
        <x:v>45991</x:v>
      </x:c>
      <x:c r="U152" s="4" t="n">
        <x:f>MATCH(J152,'Сводка'!$R$3:$R$397,0)</x:f>
        <x:v>163</x:v>
      </x:c>
      <x:c r="V152" s="4" t="n">
        <x:f>MATCH(J152-'Сводка'!$B$11,'Сводка'!$R$3:$R$397,0)</x:f>
        <x:v>162</x:v>
      </x:c>
      <x:c r="W152" s="4" t="n">
        <x:f>MATCH(T152,$J$388:$J$400,0)</x:f>
        <x:v>6</x:v>
      </x:c>
      <x:c r="X152" s="3"/>
      <x:c r="Y152" s="3"/>
      <x:c r="Z152" s="3"/>
    </x:row>
    <x:row r="153" ht="15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10" t="n">
        <x:v>46004</x:v>
      </x:c>
      <x:c r="K153" s="8" t="n">
        <x:f>INDEX('Сводка'!$S$3:$S$397,U153)</x:f>
        <x:v>-37.3</x:v>
      </x:c>
      <x:c r="L153" s="8" t="n">
        <x:f>INDEX('Сводка'!$S$3:$S$397,V153)</x:f>
        <x:v>-37.7</x:v>
      </x:c>
      <x:c r="M153" s="8" t="n">
        <x:f>INDEX($K$388:$N$400,W153,1)+INDEX($K$388:$N$400,W153,2)*(2*(J153-$T$405)/(T153-$T$405)-1)^1+INDEX($K$388:$N$400,W153,3)*(2*(J153-$T$405)/(T153-$T$405)-1)^2</x:f>
        <x:v>140.2091918272911</x:v>
      </x:c>
      <x:c r="N153" s="8" t="n">
        <x:f>K153-M153</x:f>
        <x:v>-177.5091918272911</x:v>
      </x:c>
      <x:c r="O153" s="8" t="n">
        <x:f>ABS(N153)</x:f>
        <x:v>177.5091918272911</x:v>
      </x:c>
      <x:c r="P153" s="8" t="n">
        <x:f>N153^2</x:f>
        <x:v>31509.513183178027</x:v>
      </x:c>
      <x:c r="Q153" s="8" t="n">
        <x:f>K153-L153</x:f>
        <x:v>0.4000000000000057</x:v>
      </x:c>
      <x:c r="R153" s="9" t="n">
        <x:f>IF(AND(INDEX('Сводка'!$T$3:$T$397,U153)=0,INDEX('Сводка'!$T$3:$T$397,V153)=0),1,0)</x:f>
        <x:v>0</x:v>
      </x:c>
      <x:c r="S153" s="9" t="n">
        <x:f>IF(AND(R153=1,O153&lt;=$G$13),1,0)</x:f>
        <x:v>0</x:v>
      </x:c>
      <x:c r="T153" s="10" t="n">
        <x:f>EOMONTH(J153-'Сводка'!$B$11,-1)</x:f>
        <x:v>45991</x:v>
      </x:c>
      <x:c r="U153" s="4" t="n">
        <x:f>MATCH(J153,'Сводка'!$R$3:$R$397,0)</x:f>
        <x:v>164</x:v>
      </x:c>
      <x:c r="V153" s="4" t="n">
        <x:f>MATCH(J153-'Сводка'!$B$11,'Сводка'!$R$3:$R$397,0)</x:f>
        <x:v>163</x:v>
      </x:c>
      <x:c r="W153" s="4" t="n">
        <x:f>MATCH(T153,$J$388:$J$400,0)</x:f>
        <x:v>6</x:v>
      </x:c>
      <x:c r="X153" s="3"/>
      <x:c r="Y153" s="3"/>
      <x:c r="Z153" s="3"/>
    </x:row>
    <x:row r="154" ht="15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10" t="n">
        <x:v>46005</x:v>
      </x:c>
      <x:c r="K154" s="8" t="n">
        <x:f>INDEX('Сводка'!$S$3:$S$397,U154)</x:f>
        <x:v>-37</x:v>
      </x:c>
      <x:c r="L154" s="8" t="n">
        <x:f>INDEX('Сводка'!$S$3:$S$397,V154)</x:f>
        <x:v>-37.3</x:v>
      </x:c>
      <x:c r="M154" s="8" t="n">
        <x:f>INDEX($K$388:$N$400,W154,1)+INDEX($K$388:$N$400,W154,2)*(2*(J154-$T$405)/(T154-$T$405)-1)^1+INDEX($K$388:$N$400,W154,3)*(2*(J154-$T$405)/(T154-$T$405)-1)^2</x:f>
        <x:v>140.21046802448083</x:v>
      </x:c>
      <x:c r="N154" s="8" t="n">
        <x:f>K154-M154</x:f>
        <x:v>-177.21046802448083</x:v>
      </x:c>
      <x:c r="O154" s="8" t="n">
        <x:f>ABS(N154)</x:f>
        <x:v>177.21046802448083</x:v>
      </x:c>
      <x:c r="P154" s="8" t="n">
        <x:f>N154^2</x:f>
        <x:v>31403.549977455543</x:v>
      </x:c>
      <x:c r="Q154" s="8" t="n">
        <x:f>K154-L154</x:f>
        <x:v>0.29999999999999716</x:v>
      </x:c>
      <x:c r="R154" s="9" t="n">
        <x:f>IF(AND(INDEX('Сводка'!$T$3:$T$397,U154)=0,INDEX('Сводка'!$T$3:$T$397,V154)=0),1,0)</x:f>
        <x:v>0</x:v>
      </x:c>
      <x:c r="S154" s="9" t="n">
        <x:f>IF(AND(R154=1,O154&lt;=$G$13),1,0)</x:f>
        <x:v>0</x:v>
      </x:c>
      <x:c r="T154" s="10" t="n">
        <x:f>EOMONTH(J154-'Сводка'!$B$11,-1)</x:f>
        <x:v>45991</x:v>
      </x:c>
      <x:c r="U154" s="4" t="n">
        <x:f>MATCH(J154,'Сводка'!$R$3:$R$397,0)</x:f>
        <x:v>165</x:v>
      </x:c>
      <x:c r="V154" s="4" t="n">
        <x:f>MATCH(J154-'Сводка'!$B$11,'Сводка'!$R$3:$R$397,0)</x:f>
        <x:v>164</x:v>
      </x:c>
      <x:c r="W154" s="4" t="n">
        <x:f>MATCH(T154,$J$388:$J$400,0)</x:f>
        <x:v>6</x:v>
      </x:c>
      <x:c r="X154" s="3"/>
      <x:c r="Y154" s="3"/>
      <x:c r="Z154" s="3"/>
    </x:row>
    <x:row r="155" ht="15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10" t="n">
        <x:v>46006</x:v>
      </x:c>
      <x:c r="K155" s="8" t="n">
        <x:f>INDEX('Сводка'!$S$3:$S$397,U155)</x:f>
        <x:v>-37</x:v>
      </x:c>
      <x:c r="L155" s="8" t="n">
        <x:f>INDEX('Сводка'!$S$3:$S$397,V155)</x:f>
        <x:v>-37</x:v>
      </x:c>
      <x:c r="M155" s="8" t="n">
        <x:f>INDEX($K$388:$N$400,W155,1)+INDEX($K$388:$N$400,W155,2)*(2*(J155-$T$405)/(T155-$T$405)-1)^1+INDEX($K$388:$N$400,W155,3)*(2*(J155-$T$405)/(T155-$T$405)-1)^2</x:f>
        <x:v>140.211739140296</x:v>
      </x:c>
      <x:c r="N155" s="8" t="n">
        <x:f>K155-M155</x:f>
        <x:v>-177.211739140296</x:v>
      </x:c>
      <x:c r="O155" s="8" t="n">
        <x:f>ABS(N155)</x:f>
        <x:v>177.211739140296</x:v>
      </x:c>
      <x:c r="P155" s="8" t="n">
        <x:f>N155^2</x:f>
        <x:v>31404.000489128317</x:v>
      </x:c>
      <x:c r="Q155" s="8" t="n">
        <x:f>K155-L155</x:f>
        <x:v>0</x:v>
      </x:c>
      <x:c r="R155" s="9" t="n">
        <x:f>IF(AND(INDEX('Сводка'!$T$3:$T$397,U155)=0,INDEX('Сводка'!$T$3:$T$397,V155)=0),1,0)</x:f>
        <x:v>1</x:v>
      </x:c>
      <x:c r="S155" s="9" t="n">
        <x:f>IF(AND(R155=1,O155&lt;=$G$13),1,0)</x:f>
        <x:v>0</x:v>
      </x:c>
      <x:c r="T155" s="10" t="n">
        <x:f>EOMONTH(J155-'Сводка'!$B$11,-1)</x:f>
        <x:v>45991</x:v>
      </x:c>
      <x:c r="U155" s="4" t="n">
        <x:f>MATCH(J155,'Сводка'!$R$3:$R$397,0)</x:f>
        <x:v>166</x:v>
      </x:c>
      <x:c r="V155" s="4" t="n">
        <x:f>MATCH(J155-'Сводка'!$B$11,'Сводка'!$R$3:$R$397,0)</x:f>
        <x:v>165</x:v>
      </x:c>
      <x:c r="W155" s="4" t="n">
        <x:f>MATCH(T155,$J$388:$J$400,0)</x:f>
        <x:v>6</x:v>
      </x:c>
      <x:c r="X155" s="3"/>
      <x:c r="Y155" s="3"/>
      <x:c r="Z155" s="3"/>
    </x:row>
    <x:row r="156" ht="15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10" t="n">
        <x:v>46007</x:v>
      </x:c>
      <x:c r="K156" s="8" t="n">
        <x:f>INDEX('Сводка'!$S$3:$S$397,U156)</x:f>
        <x:v>-41</x:v>
      </x:c>
      <x:c r="L156" s="8" t="n">
        <x:f>INDEX('Сводка'!$S$3:$S$397,V156)</x:f>
        <x:v>-37</x:v>
      </x:c>
      <x:c r="M156" s="8" t="n">
        <x:f>INDEX($K$388:$N$400,W156,1)+INDEX($K$388:$N$400,W156,2)*(2*(J156-$T$405)/(T156-$T$405)-1)^1+INDEX($K$388:$N$400,W156,3)*(2*(J156-$T$405)/(T156-$T$405)-1)^2</x:f>
        <x:v>140.21300517473662</x:v>
      </x:c>
      <x:c r="N156" s="8" t="n">
        <x:f>K156-M156</x:f>
        <x:v>-181.21300517473662</x:v>
      </x:c>
      <x:c r="O156" s="8" t="n">
        <x:f>ABS(N156)</x:f>
        <x:v>181.21300517473662</x:v>
      </x:c>
      <x:c r="P156" s="8" t="n">
        <x:f>N156^2</x:f>
        <x:v>32838.15324445912</x:v>
      </x:c>
      <x:c r="Q156" s="8" t="n">
        <x:f>K156-L156</x:f>
        <x:v>-4</x:v>
      </x:c>
      <x:c r="R156" s="9" t="n">
        <x:f>IF(AND(INDEX('Сводка'!$T$3:$T$397,U156)=0,INDEX('Сводка'!$T$3:$T$397,V156)=0),1,0)</x:f>
        <x:v>1</x:v>
      </x:c>
      <x:c r="S156" s="9" t="n">
        <x:f>IF(AND(R156=1,O156&lt;=$G$13),1,0)</x:f>
        <x:v>0</x:v>
      </x:c>
      <x:c r="T156" s="10" t="n">
        <x:f>EOMONTH(J156-'Сводка'!$B$11,-1)</x:f>
        <x:v>45991</x:v>
      </x:c>
      <x:c r="U156" s="4" t="n">
        <x:f>MATCH(J156,'Сводка'!$R$3:$R$397,0)</x:f>
        <x:v>167</x:v>
      </x:c>
      <x:c r="V156" s="4" t="n">
        <x:f>MATCH(J156-'Сводка'!$B$11,'Сводка'!$R$3:$R$397,0)</x:f>
        <x:v>166</x:v>
      </x:c>
      <x:c r="W156" s="4" t="n">
        <x:f>MATCH(T156,$J$388:$J$400,0)</x:f>
        <x:v>6</x:v>
      </x:c>
      <x:c r="X156" s="3"/>
      <x:c r="Y156" s="3"/>
      <x:c r="Z156" s="3"/>
    </x:row>
    <x:row r="157" ht="15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10" t="n">
        <x:v>46008</x:v>
      </x:c>
      <x:c r="K157" s="8" t="n">
        <x:f>INDEX('Сводка'!$S$3:$S$397,U157)</x:f>
        <x:v>-35</x:v>
      </x:c>
      <x:c r="L157" s="8" t="n">
        <x:f>INDEX('Сводка'!$S$3:$S$397,V157)</x:f>
        <x:v>-41</x:v>
      </x:c>
      <x:c r="M157" s="8" t="n">
        <x:f>INDEX($K$388:$N$400,W157,1)+INDEX($K$388:$N$400,W157,2)*(2*(J157-$T$405)/(T157-$T$405)-1)^1+INDEX($K$388:$N$400,W157,3)*(2*(J157-$T$405)/(T157-$T$405)-1)^2</x:f>
        <x:v>140.2142661278027</x:v>
      </x:c>
      <x:c r="N157" s="8" t="n">
        <x:f>K157-M157</x:f>
        <x:v>-175.2142661278027</x:v>
      </x:c>
      <x:c r="O157" s="8" t="n">
        <x:f>ABS(N157)</x:f>
        <x:v>175.2142661278027</x:v>
      </x:c>
      <x:c r="P157" s="8" t="n">
        <x:f>N157^2</x:f>
        <x:v>30700.039054704463</x:v>
      </x:c>
      <x:c r="Q157" s="8" t="n">
        <x:f>K157-L157</x:f>
        <x:v>6</x:v>
      </x:c>
      <x:c r="R157" s="9" t="n">
        <x:f>IF(AND(INDEX('Сводка'!$T$3:$T$397,U157)=0,INDEX('Сводка'!$T$3:$T$397,V157)=0),1,0)</x:f>
        <x:v>1</x:v>
      </x:c>
      <x:c r="S157" s="9" t="n">
        <x:f>IF(AND(R157=1,O157&lt;=$G$13),1,0)</x:f>
        <x:v>0</x:v>
      </x:c>
      <x:c r="T157" s="10" t="n">
        <x:f>EOMONTH(J157-'Сводка'!$B$11,-1)</x:f>
        <x:v>45991</x:v>
      </x:c>
      <x:c r="U157" s="4" t="n">
        <x:f>MATCH(J157,'Сводка'!$R$3:$R$397,0)</x:f>
        <x:v>168</x:v>
      </x:c>
      <x:c r="V157" s="4" t="n">
        <x:f>MATCH(J157-'Сводка'!$B$11,'Сводка'!$R$3:$R$397,0)</x:f>
        <x:v>167</x:v>
      </x:c>
      <x:c r="W157" s="4" t="n">
        <x:f>MATCH(T157,$J$388:$J$400,0)</x:f>
        <x:v>6</x:v>
      </x:c>
      <x:c r="X157" s="3"/>
      <x:c r="Y157" s="3"/>
      <x:c r="Z157" s="3"/>
    </x:row>
    <x:row r="158" ht="15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10" t="n">
        <x:v>46009</x:v>
      </x:c>
      <x:c r="K158" s="8" t="n">
        <x:f>INDEX('Сводка'!$S$3:$S$397,U158)</x:f>
        <x:v>-33</x:v>
      </x:c>
      <x:c r="L158" s="8" t="n">
        <x:f>INDEX('Сводка'!$S$3:$S$397,V158)</x:f>
        <x:v>-35</x:v>
      </x:c>
      <x:c r="M158" s="8" t="n">
        <x:f>INDEX($K$388:$N$400,W158,1)+INDEX($K$388:$N$400,W158,2)*(2*(J158-$T$405)/(T158-$T$405)-1)^1+INDEX($K$388:$N$400,W158,3)*(2*(J158-$T$405)/(T158-$T$405)-1)^2</x:f>
        <x:v>140.21552199949417</x:v>
      </x:c>
      <x:c r="N158" s="8" t="n">
        <x:f>K158-M158</x:f>
        <x:v>-173.21552199949417</x:v>
      </x:c>
      <x:c r="O158" s="8" t="n">
        <x:f>ABS(N158)</x:f>
        <x:v>173.21552199949417</x:v>
      </x:c>
      <x:c r="P158" s="8" t="n">
        <x:f>N158^2</x:f>
        <x:v>30003.61706155725</x:v>
      </x:c>
      <x:c r="Q158" s="8" t="n">
        <x:f>K158-L158</x:f>
        <x:v>2</x:v>
      </x:c>
      <x:c r="R158" s="9" t="n">
        <x:f>IF(AND(INDEX('Сводка'!$T$3:$T$397,U158)=0,INDEX('Сводка'!$T$3:$T$397,V158)=0),1,0)</x:f>
        <x:v>1</x:v>
      </x:c>
      <x:c r="S158" s="9" t="n">
        <x:f>IF(AND(R158=1,O158&lt;=$G$13),1,0)</x:f>
        <x:v>0</x:v>
      </x:c>
      <x:c r="T158" s="10" t="n">
        <x:f>EOMONTH(J158-'Сводка'!$B$11,-1)</x:f>
        <x:v>45991</x:v>
      </x:c>
      <x:c r="U158" s="4" t="n">
        <x:f>MATCH(J158,'Сводка'!$R$3:$R$397,0)</x:f>
        <x:v>169</x:v>
      </x:c>
      <x:c r="V158" s="4" t="n">
        <x:f>MATCH(J158-'Сводка'!$B$11,'Сводка'!$R$3:$R$397,0)</x:f>
        <x:v>168</x:v>
      </x:c>
      <x:c r="W158" s="4" t="n">
        <x:f>MATCH(T158,$J$388:$J$400,0)</x:f>
        <x:v>6</x:v>
      </x:c>
      <x:c r="X158" s="3"/>
      <x:c r="Y158" s="3"/>
      <x:c r="Z158" s="3"/>
    </x:row>
    <x:row r="159" ht="15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10" t="n">
        <x:v>46010</x:v>
      </x:c>
      <x:c r="K159" s="8" t="n">
        <x:f>INDEX('Сводка'!$S$3:$S$397,U159)</x:f>
        <x:v>-31</x:v>
      </x:c>
      <x:c r="L159" s="8" t="n">
        <x:f>INDEX('Сводка'!$S$3:$S$397,V159)</x:f>
        <x:v>-33</x:v>
      </x:c>
      <x:c r="M159" s="8" t="n">
        <x:f>INDEX($K$388:$N$400,W159,1)+INDEX($K$388:$N$400,W159,2)*(2*(J159-$T$405)/(T159-$T$405)-1)^1+INDEX($K$388:$N$400,W159,3)*(2*(J159-$T$405)/(T159-$T$405)-1)^2</x:f>
        <x:v>140.21677278981116</x:v>
      </x:c>
      <x:c r="N159" s="8" t="n">
        <x:f>K159-M159</x:f>
        <x:v>-171.21677278981116</x:v>
      </x:c>
      <x:c r="O159" s="8" t="n">
        <x:f>ABS(N159)</x:f>
        <x:v>171.21677278981116</x:v>
      </x:c>
      <x:c r="P159" s="8" t="n">
        <x:f>N159^2</x:f>
        <x:v>29315.183284557817</x:v>
      </x:c>
      <x:c r="Q159" s="8" t="n">
        <x:f>K159-L159</x:f>
        <x:v>2</x:v>
      </x:c>
      <x:c r="R159" s="9" t="n">
        <x:f>IF(AND(INDEX('Сводка'!$T$3:$T$397,U159)=0,INDEX('Сводка'!$T$3:$T$397,V159)=0),1,0)</x:f>
        <x:v>1</x:v>
      </x:c>
      <x:c r="S159" s="9" t="n">
        <x:f>IF(AND(R159=1,O159&lt;=$G$13),1,0)</x:f>
        <x:v>0</x:v>
      </x:c>
      <x:c r="T159" s="10" t="n">
        <x:f>EOMONTH(J159-'Сводка'!$B$11,-1)</x:f>
        <x:v>45991</x:v>
      </x:c>
      <x:c r="U159" s="4" t="n">
        <x:f>MATCH(J159,'Сводка'!$R$3:$R$397,0)</x:f>
        <x:v>170</x:v>
      </x:c>
      <x:c r="V159" s="4" t="n">
        <x:f>MATCH(J159-'Сводка'!$B$11,'Сводка'!$R$3:$R$397,0)</x:f>
        <x:v>169</x:v>
      </x:c>
      <x:c r="W159" s="4" t="n">
        <x:f>MATCH(T159,$J$388:$J$400,0)</x:f>
        <x:v>6</x:v>
      </x:c>
      <x:c r="X159" s="3"/>
      <x:c r="Y159" s="3"/>
      <x:c r="Z159" s="3"/>
    </x:row>
    <x:row r="160" ht="15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10" t="n">
        <x:v>46011</x:v>
      </x:c>
      <x:c r="K160" s="8" t="n">
        <x:f>INDEX('Сводка'!$S$3:$S$397,U160)</x:f>
        <x:v>-31</x:v>
      </x:c>
      <x:c r="L160" s="8" t="n">
        <x:f>INDEX('Сводка'!$S$3:$S$397,V160)</x:f>
        <x:v>-31</x:v>
      </x:c>
      <x:c r="M160" s="8" t="n">
        <x:f>INDEX($K$388:$N$400,W160,1)+INDEX($K$388:$N$400,W160,2)*(2*(J160-$T$405)/(T160-$T$405)-1)^1+INDEX($K$388:$N$400,W160,3)*(2*(J160-$T$405)/(T160-$T$405)-1)^2</x:f>
        <x:v>140.2180184987535</x:v>
      </x:c>
      <x:c r="N160" s="8" t="n">
        <x:f>K160-M160</x:f>
        <x:v>-171.2180184987535</x:v>
      </x:c>
      <x:c r="O160" s="8" t="n">
        <x:f>ABS(N160)</x:f>
        <x:v>171.2180184987535</x:v>
      </x:c>
      <x:c r="P160" s="8" t="n">
        <x:f>N160^2</x:f>
        <x:v>29315.6098586395</x:v>
      </x:c>
      <x:c r="Q160" s="8" t="n">
        <x:f>K160-L160</x:f>
        <x:v>0</x:v>
      </x:c>
      <x:c r="R160" s="9" t="n">
        <x:f>IF(AND(INDEX('Сводка'!$T$3:$T$397,U160)=0,INDEX('Сводка'!$T$3:$T$397,V160)=0),1,0)</x:f>
        <x:v>1</x:v>
      </x:c>
      <x:c r="S160" s="9" t="n">
        <x:f>IF(AND(R160=1,O160&lt;=$G$13),1,0)</x:f>
        <x:v>0</x:v>
      </x:c>
      <x:c r="T160" s="10" t="n">
        <x:f>EOMONTH(J160-'Сводка'!$B$11,-1)</x:f>
        <x:v>45991</x:v>
      </x:c>
      <x:c r="U160" s="4" t="n">
        <x:f>MATCH(J160,'Сводка'!$R$3:$R$397,0)</x:f>
        <x:v>171</x:v>
      </x:c>
      <x:c r="V160" s="4" t="n">
        <x:f>MATCH(J160-'Сводка'!$B$11,'Сводка'!$R$3:$R$397,0)</x:f>
        <x:v>170</x:v>
      </x:c>
      <x:c r="W160" s="4" t="n">
        <x:f>MATCH(T160,$J$388:$J$400,0)</x:f>
        <x:v>6</x:v>
      </x:c>
      <x:c r="X160" s="3"/>
      <x:c r="Y160" s="3"/>
      <x:c r="Z160" s="3"/>
    </x:row>
    <x:row r="161" ht="15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10" t="n">
        <x:v>46012</x:v>
      </x:c>
      <x:c r="K161" s="8" t="n">
        <x:f>INDEX('Сводка'!$S$3:$S$397,U161)</x:f>
        <x:v>-30</x:v>
      </x:c>
      <x:c r="L161" s="8" t="n">
        <x:f>INDEX('Сводка'!$S$3:$S$397,V161)</x:f>
        <x:v>-31</x:v>
      </x:c>
      <x:c r="M161" s="8" t="n">
        <x:f>INDEX($K$388:$N$400,W161,1)+INDEX($K$388:$N$400,W161,2)*(2*(J161-$T$405)/(T161-$T$405)-1)^1+INDEX($K$388:$N$400,W161,3)*(2*(J161-$T$405)/(T161-$T$405)-1)^2</x:f>
        <x:v>140.21925912632136</x:v>
      </x:c>
      <x:c r="N161" s="8" t="n">
        <x:f>K161-M161</x:f>
        <x:v>-170.21925912632136</x:v>
      </x:c>
      <x:c r="O161" s="8" t="n">
        <x:f>ABS(N161)</x:f>
        <x:v>170.21925912632136</x:v>
      </x:c>
      <x:c r="P161" s="8" t="n">
        <x:f>N161^2</x:f>
        <x:v>28974.596177513737</x:v>
      </x:c>
      <x:c r="Q161" s="8" t="n">
        <x:f>K161-L161</x:f>
        <x:v>1</x:v>
      </x:c>
      <x:c r="R161" s="9" t="n">
        <x:f>IF(AND(INDEX('Сводка'!$T$3:$T$397,U161)=0,INDEX('Сводка'!$T$3:$T$397,V161)=0),1,0)</x:f>
        <x:v>1</x:v>
      </x:c>
      <x:c r="S161" s="9" t="n">
        <x:f>IF(AND(R161=1,O161&lt;=$G$13),1,0)</x:f>
        <x:v>0</x:v>
      </x:c>
      <x:c r="T161" s="10" t="n">
        <x:f>EOMONTH(J161-'Сводка'!$B$11,-1)</x:f>
        <x:v>45991</x:v>
      </x:c>
      <x:c r="U161" s="4" t="n">
        <x:f>MATCH(J161,'Сводка'!$R$3:$R$397,0)</x:f>
        <x:v>172</x:v>
      </x:c>
      <x:c r="V161" s="4" t="n">
        <x:f>MATCH(J161-'Сводка'!$B$11,'Сводка'!$R$3:$R$397,0)</x:f>
        <x:v>171</x:v>
      </x:c>
      <x:c r="W161" s="4" t="n">
        <x:f>MATCH(T161,$J$388:$J$400,0)</x:f>
        <x:v>6</x:v>
      </x:c>
      <x:c r="X161" s="3"/>
      <x:c r="Y161" s="3"/>
      <x:c r="Z161" s="3"/>
    </x:row>
    <x:row r="162" ht="15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10" t="n">
        <x:v>46013</x:v>
      </x:c>
      <x:c r="K162" s="8" t="n">
        <x:f>INDEX('Сводка'!$S$3:$S$397,U162)</x:f>
        <x:v>-27</x:v>
      </x:c>
      <x:c r="L162" s="8" t="n">
        <x:f>INDEX('Сводка'!$S$3:$S$397,V162)</x:f>
        <x:v>-30</x:v>
      </x:c>
      <x:c r="M162" s="8" t="n">
        <x:f>INDEX($K$388:$N$400,W162,1)+INDEX($K$388:$N$400,W162,2)*(2*(J162-$T$405)/(T162-$T$405)-1)^1+INDEX($K$388:$N$400,W162,3)*(2*(J162-$T$405)/(T162-$T$405)-1)^2</x:f>
        <x:v>140.22049467251463</x:v>
      </x:c>
      <x:c r="N162" s="8" t="n">
        <x:f>K162-M162</x:f>
        <x:v>-167.22049467251463</x:v>
      </x:c>
      <x:c r="O162" s="8" t="n">
        <x:f>ABS(N162)</x:f>
        <x:v>167.22049467251463</x:v>
      </x:c>
      <x:c r="P162" s="8" t="n">
        <x:f>N162^2</x:f>
        <x:v>27962.693838520496</x:v>
      </x:c>
      <x:c r="Q162" s="8" t="n">
        <x:f>K162-L162</x:f>
        <x:v>3</x:v>
      </x:c>
      <x:c r="R162" s="9" t="n">
        <x:f>IF(AND(INDEX('Сводка'!$T$3:$T$397,U162)=0,INDEX('Сводка'!$T$3:$T$397,V162)=0),1,0)</x:f>
        <x:v>1</x:v>
      </x:c>
      <x:c r="S162" s="9" t="n">
        <x:f>IF(AND(R162=1,O162&lt;=$G$13),1,0)</x:f>
        <x:v>0</x:v>
      </x:c>
      <x:c r="T162" s="10" t="n">
        <x:f>EOMONTH(J162-'Сводка'!$B$11,-1)</x:f>
        <x:v>45991</x:v>
      </x:c>
      <x:c r="U162" s="4" t="n">
        <x:f>MATCH(J162,'Сводка'!$R$3:$R$397,0)</x:f>
        <x:v>173</x:v>
      </x:c>
      <x:c r="V162" s="4" t="n">
        <x:f>MATCH(J162-'Сводка'!$B$11,'Сводка'!$R$3:$R$397,0)</x:f>
        <x:v>172</x:v>
      </x:c>
      <x:c r="W162" s="4" t="n">
        <x:f>MATCH(T162,$J$388:$J$400,0)</x:f>
        <x:v>6</x:v>
      </x:c>
      <x:c r="X162" s="3"/>
      <x:c r="Y162" s="3"/>
      <x:c r="Z162" s="3"/>
    </x:row>
    <x:row r="163" ht="15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10" t="n">
        <x:v>46014</x:v>
      </x:c>
      <x:c r="K163" s="8" t="n">
        <x:f>INDEX('Сводка'!$S$3:$S$397,U163)</x:f>
        <x:v>-23</x:v>
      </x:c>
      <x:c r="L163" s="8" t="n">
        <x:f>INDEX('Сводка'!$S$3:$S$397,V163)</x:f>
        <x:v>-27</x:v>
      </x:c>
      <x:c r="M163" s="8" t="n">
        <x:f>INDEX($K$388:$N$400,W163,1)+INDEX($K$388:$N$400,W163,2)*(2*(J163-$T$405)/(T163-$T$405)-1)^1+INDEX($K$388:$N$400,W163,3)*(2*(J163-$T$405)/(T163-$T$405)-1)^2</x:f>
        <x:v>140.22172513733338</x:v>
      </x:c>
      <x:c r="N163" s="8" t="n">
        <x:f>K163-M163</x:f>
        <x:v>-163.22172513733338</x:v>
      </x:c>
      <x:c r="O163" s="8" t="n">
        <x:f>ABS(N163)</x:f>
        <x:v>163.22172513733338</x:v>
      </x:c>
      <x:c r="P163" s="8" t="n">
        <x:f>N163^2</x:f>
        <x:v>26641.331556807207</x:v>
      </x:c>
      <x:c r="Q163" s="8" t="n">
        <x:f>K163-L163</x:f>
        <x:v>4</x:v>
      </x:c>
      <x:c r="R163" s="9" t="n">
        <x:f>IF(AND(INDEX('Сводка'!$T$3:$T$397,U163)=0,INDEX('Сводка'!$T$3:$T$397,V163)=0),1,0)</x:f>
        <x:v>1</x:v>
      </x:c>
      <x:c r="S163" s="9" t="n">
        <x:f>IF(AND(R163=1,O163&lt;=$G$13),1,0)</x:f>
        <x:v>0</x:v>
      </x:c>
      <x:c r="T163" s="10" t="n">
        <x:f>EOMONTH(J163-'Сводка'!$B$11,-1)</x:f>
        <x:v>45991</x:v>
      </x:c>
      <x:c r="U163" s="4" t="n">
        <x:f>MATCH(J163,'Сводка'!$R$3:$R$397,0)</x:f>
        <x:v>174</x:v>
      </x:c>
      <x:c r="V163" s="4" t="n">
        <x:f>MATCH(J163-'Сводка'!$B$11,'Сводка'!$R$3:$R$397,0)</x:f>
        <x:v>173</x:v>
      </x:c>
      <x:c r="W163" s="4" t="n">
        <x:f>MATCH(T163,$J$388:$J$400,0)</x:f>
        <x:v>6</x:v>
      </x:c>
      <x:c r="X163" s="3"/>
      <x:c r="Y163" s="3"/>
      <x:c r="Z163" s="3"/>
    </x:row>
    <x:row r="164" ht="15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10" t="n">
        <x:v>46015</x:v>
      </x:c>
      <x:c r="K164" s="8" t="n">
        <x:f>INDEX('Сводка'!$S$3:$S$397,U164)</x:f>
        <x:v>-21</x:v>
      </x:c>
      <x:c r="L164" s="8" t="n">
        <x:f>INDEX('Сводка'!$S$3:$S$397,V164)</x:f>
        <x:v>-23</x:v>
      </x:c>
      <x:c r="M164" s="8" t="n">
        <x:f>INDEX($K$388:$N$400,W164,1)+INDEX($K$388:$N$400,W164,2)*(2*(J164-$T$405)/(T164-$T$405)-1)^1+INDEX($K$388:$N$400,W164,3)*(2*(J164-$T$405)/(T164-$T$405)-1)^2</x:f>
        <x:v>140.22295052077754</x:v>
      </x:c>
      <x:c r="N164" s="8" t="n">
        <x:f>K164-M164</x:f>
        <x:v>-161.22295052077754</x:v>
      </x:c>
      <x:c r="O164" s="8" t="n">
        <x:f>ABS(N164)</x:f>
        <x:v>161.22295052077754</x:v>
      </x:c>
      <x:c r="P164" s="8" t="n">
        <x:f>N164^2</x:f>
        <x:v>25992.839774625085</x:v>
      </x:c>
      <x:c r="Q164" s="8" t="n">
        <x:f>K164-L164</x:f>
        <x:v>2</x:v>
      </x:c>
      <x:c r="R164" s="9" t="n">
        <x:f>IF(AND(INDEX('Сводка'!$T$3:$T$397,U164)=0,INDEX('Сводка'!$T$3:$T$397,V164)=0),1,0)</x:f>
        <x:v>1</x:v>
      </x:c>
      <x:c r="S164" s="9" t="n">
        <x:f>IF(AND(R164=1,O164&lt;=$G$13),1,0)</x:f>
        <x:v>0</x:v>
      </x:c>
      <x:c r="T164" s="10" t="n">
        <x:f>EOMONTH(J164-'Сводка'!$B$11,-1)</x:f>
        <x:v>45991</x:v>
      </x:c>
      <x:c r="U164" s="4" t="n">
        <x:f>MATCH(J164,'Сводка'!$R$3:$R$397,0)</x:f>
        <x:v>175</x:v>
      </x:c>
      <x:c r="V164" s="4" t="n">
        <x:f>MATCH(J164-'Сводка'!$B$11,'Сводка'!$R$3:$R$397,0)</x:f>
        <x:v>174</x:v>
      </x:c>
      <x:c r="W164" s="4" t="n">
        <x:f>MATCH(T164,$J$388:$J$400,0)</x:f>
        <x:v>6</x:v>
      </x:c>
      <x:c r="X164" s="3"/>
      <x:c r="Y164" s="3"/>
      <x:c r="Z164" s="3"/>
    </x:row>
    <x:row r="165" ht="15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10" t="n">
        <x:v>46016</x:v>
      </x:c>
      <x:c r="K165" s="8" t="n">
        <x:f>INDEX('Сводка'!$S$3:$S$397,U165)</x:f>
        <x:v>-19</x:v>
      </x:c>
      <x:c r="L165" s="8" t="n">
        <x:f>INDEX('Сводка'!$S$3:$S$397,V165)</x:f>
        <x:v>-21</x:v>
      </x:c>
      <x:c r="M165" s="8" t="n">
        <x:f>INDEX($K$388:$N$400,W165,1)+INDEX($K$388:$N$400,W165,2)*(2*(J165-$T$405)/(T165-$T$405)-1)^1+INDEX($K$388:$N$400,W165,3)*(2*(J165-$T$405)/(T165-$T$405)-1)^2</x:f>
        <x:v>140.22417082284713</x:v>
      </x:c>
      <x:c r="N165" s="8" t="n">
        <x:f>K165-M165</x:f>
        <x:v>-159.22417082284713</x:v>
      </x:c>
      <x:c r="O165" s="8" t="n">
        <x:f>ABS(N165)</x:f>
        <x:v>159.22417082284713</x:v>
      </x:c>
      <x:c r="P165" s="8" t="n">
        <x:f>N165^2</x:f>
        <x:v>25352.3365742232</x:v>
      </x:c>
      <x:c r="Q165" s="8" t="n">
        <x:f>K165-L165</x:f>
        <x:v>2</x:v>
      </x:c>
      <x:c r="R165" s="9" t="n">
        <x:f>IF(AND(INDEX('Сводка'!$T$3:$T$397,U165)=0,INDEX('Сводка'!$T$3:$T$397,V165)=0),1,0)</x:f>
        <x:v>1</x:v>
      </x:c>
      <x:c r="S165" s="9" t="n">
        <x:f>IF(AND(R165=1,O165&lt;=$G$13),1,0)</x:f>
        <x:v>0</x:v>
      </x:c>
      <x:c r="T165" s="10" t="n">
        <x:f>EOMONTH(J165-'Сводка'!$B$11,-1)</x:f>
        <x:v>45991</x:v>
      </x:c>
      <x:c r="U165" s="4" t="n">
        <x:f>MATCH(J165,'Сводка'!$R$3:$R$397,0)</x:f>
        <x:v>176</x:v>
      </x:c>
      <x:c r="V165" s="4" t="n">
        <x:f>MATCH(J165-'Сводка'!$B$11,'Сводка'!$R$3:$R$397,0)</x:f>
        <x:v>175</x:v>
      </x:c>
      <x:c r="W165" s="4" t="n">
        <x:f>MATCH(T165,$J$388:$J$400,0)</x:f>
        <x:v>6</x:v>
      </x:c>
      <x:c r="X165" s="3"/>
      <x:c r="Y165" s="3"/>
      <x:c r="Z165" s="3"/>
    </x:row>
    <x:row r="166" ht="15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10" t="n">
        <x:v>46017</x:v>
      </x:c>
      <x:c r="K166" s="8" t="n">
        <x:f>INDEX('Сводка'!$S$3:$S$397,U166)</x:f>
        <x:v>-17</x:v>
      </x:c>
      <x:c r="L166" s="8" t="n">
        <x:f>INDEX('Сводка'!$S$3:$S$397,V166)</x:f>
        <x:v>-19</x:v>
      </x:c>
      <x:c r="M166" s="8" t="n">
        <x:f>INDEX($K$388:$N$400,W166,1)+INDEX($K$388:$N$400,W166,2)*(2*(J166-$T$405)/(T166-$T$405)-1)^1+INDEX($K$388:$N$400,W166,3)*(2*(J166-$T$405)/(T166-$T$405)-1)^2</x:f>
        <x:v>140.2253860435422</x:v>
      </x:c>
      <x:c r="N166" s="8" t="n">
        <x:f>K166-M166</x:f>
        <x:v>-157.2253860435422</x:v>
      </x:c>
      <x:c r="O166" s="8" t="n">
        <x:f>ABS(N166)</x:f>
        <x:v>157.2253860435422</x:v>
      </x:c>
      <x:c r="P166" s="8" t="n">
        <x:f>N166^2</x:f>
        <x:v>24719.82201654087</x:v>
      </x:c>
      <x:c r="Q166" s="8" t="n">
        <x:f>K166-L166</x:f>
        <x:v>2</x:v>
      </x:c>
      <x:c r="R166" s="9" t="n">
        <x:f>IF(AND(INDEX('Сводка'!$T$3:$T$397,U166)=0,INDEX('Сводка'!$T$3:$T$397,V166)=0),1,0)</x:f>
        <x:v>1</x:v>
      </x:c>
      <x:c r="S166" s="9" t="n">
        <x:f>IF(AND(R166=1,O166&lt;=$G$13),1,0)</x:f>
        <x:v>0</x:v>
      </x:c>
      <x:c r="T166" s="10" t="n">
        <x:f>EOMONTH(J166-'Сводка'!$B$11,-1)</x:f>
        <x:v>45991</x:v>
      </x:c>
      <x:c r="U166" s="4" t="n">
        <x:f>MATCH(J166,'Сводка'!$R$3:$R$397,0)</x:f>
        <x:v>177</x:v>
      </x:c>
      <x:c r="V166" s="4" t="n">
        <x:f>MATCH(J166-'Сводка'!$B$11,'Сводка'!$R$3:$R$397,0)</x:f>
        <x:v>176</x:v>
      </x:c>
      <x:c r="W166" s="4" t="n">
        <x:f>MATCH(T166,$J$388:$J$400,0)</x:f>
        <x:v>6</x:v>
      </x:c>
      <x:c r="X166" s="3"/>
      <x:c r="Y166" s="3"/>
      <x:c r="Z166" s="3"/>
    </x:row>
    <x:row r="167" ht="15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10" t="n">
        <x:v>46018</x:v>
      </x:c>
      <x:c r="K167" s="8" t="n">
        <x:f>INDEX('Сводка'!$S$3:$S$397,U167)</x:f>
        <x:v>-15</x:v>
      </x:c>
      <x:c r="L167" s="8" t="n">
        <x:f>INDEX('Сводка'!$S$3:$S$397,V167)</x:f>
        <x:v>-17</x:v>
      </x:c>
      <x:c r="M167" s="8" t="n">
        <x:f>INDEX($K$388:$N$400,W167,1)+INDEX($K$388:$N$400,W167,2)*(2*(J167-$T$405)/(T167-$T$405)-1)^1+INDEX($K$388:$N$400,W167,3)*(2*(J167-$T$405)/(T167-$T$405)-1)^2</x:f>
        <x:v>140.2265961828627</x:v>
      </x:c>
      <x:c r="N167" s="8" t="n">
        <x:f>K167-M167</x:f>
        <x:v>-155.2265961828627</x:v>
      </x:c>
      <x:c r="O167" s="8" t="n">
        <x:f>ABS(N167)</x:f>
        <x:v>155.2265961828627</x:v>
      </x:c>
      <x:c r="P167" s="8" t="n">
        <x:f>N167^2</x:f>
        <x:v>24095.296162517523</x:v>
      </x:c>
      <x:c r="Q167" s="8" t="n">
        <x:f>K167-L167</x:f>
        <x:v>2</x:v>
      </x:c>
      <x:c r="R167" s="9" t="n">
        <x:f>IF(AND(INDEX('Сводка'!$T$3:$T$397,U167)=0,INDEX('Сводка'!$T$3:$T$397,V167)=0),1,0)</x:f>
        <x:v>1</x:v>
      </x:c>
      <x:c r="S167" s="9" t="n">
        <x:f>IF(AND(R167=1,O167&lt;=$G$13),1,0)</x:f>
        <x:v>0</x:v>
      </x:c>
      <x:c r="T167" s="10" t="n">
        <x:f>EOMONTH(J167-'Сводка'!$B$11,-1)</x:f>
        <x:v>45991</x:v>
      </x:c>
      <x:c r="U167" s="4" t="n">
        <x:f>MATCH(J167,'Сводка'!$R$3:$R$397,0)</x:f>
        <x:v>178</x:v>
      </x:c>
      <x:c r="V167" s="4" t="n">
        <x:f>MATCH(J167-'Сводка'!$B$11,'Сводка'!$R$3:$R$397,0)</x:f>
        <x:v>177</x:v>
      </x:c>
      <x:c r="W167" s="4" t="n">
        <x:f>MATCH(T167,$J$388:$J$400,0)</x:f>
        <x:v>6</x:v>
      </x:c>
      <x:c r="X167" s="3"/>
      <x:c r="Y167" s="3"/>
      <x:c r="Z167" s="3"/>
    </x:row>
    <x:row r="168" ht="15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10" t="n">
        <x:v>46019</x:v>
      </x:c>
      <x:c r="K168" s="8" t="n">
        <x:f>INDEX('Сводка'!$S$3:$S$397,U168)</x:f>
        <x:v>-12</x:v>
      </x:c>
      <x:c r="L168" s="8" t="n">
        <x:f>INDEX('Сводка'!$S$3:$S$397,V168)</x:f>
        <x:v>-15</x:v>
      </x:c>
      <x:c r="M168" s="8" t="n">
        <x:f>INDEX($K$388:$N$400,W168,1)+INDEX($K$388:$N$400,W168,2)*(2*(J168-$T$405)/(T168-$T$405)-1)^1+INDEX($K$388:$N$400,W168,3)*(2*(J168-$T$405)/(T168-$T$405)-1)^2</x:f>
        <x:v>140.22780124080862</x:v>
      </x:c>
      <x:c r="N168" s="8" t="n">
        <x:f>K168-M168</x:f>
        <x:v>-152.22780124080862</x:v>
      </x:c>
      <x:c r="O168" s="8" t="n">
        <x:f>ABS(N168)</x:f>
        <x:v>152.22780124080862</x:v>
      </x:c>
      <x:c r="P168" s="8" t="n">
        <x:f>N168^2</x:f>
        <x:v>23173.303470611132</x:v>
      </x:c>
      <x:c r="Q168" s="8" t="n">
        <x:f>K168-L168</x:f>
        <x:v>3</x:v>
      </x:c>
      <x:c r="R168" s="9" t="n">
        <x:f>IF(AND(INDEX('Сводка'!$T$3:$T$397,U168)=0,INDEX('Сводка'!$T$3:$T$397,V168)=0),1,0)</x:f>
        <x:v>1</x:v>
      </x:c>
      <x:c r="S168" s="9" t="n">
        <x:f>IF(AND(R168=1,O168&lt;=$G$13),1,0)</x:f>
        <x:v>0</x:v>
      </x:c>
      <x:c r="T168" s="10" t="n">
        <x:f>EOMONTH(J168-'Сводка'!$B$11,-1)</x:f>
        <x:v>45991</x:v>
      </x:c>
      <x:c r="U168" s="4" t="n">
        <x:f>MATCH(J168,'Сводка'!$R$3:$R$397,0)</x:f>
        <x:v>179</x:v>
      </x:c>
      <x:c r="V168" s="4" t="n">
        <x:f>MATCH(J168-'Сводка'!$B$11,'Сводка'!$R$3:$R$397,0)</x:f>
        <x:v>178</x:v>
      </x:c>
      <x:c r="W168" s="4" t="n">
        <x:f>MATCH(T168,$J$388:$J$400,0)</x:f>
        <x:v>6</x:v>
      </x:c>
      <x:c r="X168" s="3"/>
      <x:c r="Y168" s="3"/>
      <x:c r="Z168" s="3"/>
    </x:row>
    <x:row r="169" ht="15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10" t="n">
        <x:v>46020</x:v>
      </x:c>
      <x:c r="K169" s="8" t="n">
        <x:f>INDEX('Сводка'!$S$3:$S$397,U169)</x:f>
        <x:v>-6</x:v>
      </x:c>
      <x:c r="L169" s="8" t="n">
        <x:f>INDEX('Сводка'!$S$3:$S$397,V169)</x:f>
        <x:v>-12</x:v>
      </x:c>
      <x:c r="M169" s="8" t="n">
        <x:f>INDEX($K$388:$N$400,W169,1)+INDEX($K$388:$N$400,W169,2)*(2*(J169-$T$405)/(T169-$T$405)-1)^1+INDEX($K$388:$N$400,W169,3)*(2*(J169-$T$405)/(T169-$T$405)-1)^2</x:f>
        <x:v>140.22900121738002</x:v>
      </x:c>
      <x:c r="N169" s="8" t="n">
        <x:f>K169-M169</x:f>
        <x:v>-146.22900121738002</x:v>
      </x:c>
      <x:c r="O169" s="8" t="n">
        <x:f>ABS(N169)</x:f>
        <x:v>146.22900121738002</x:v>
      </x:c>
      <x:c r="P169" s="8" t="n">
        <x:f>N169^2</x:f>
        <x:v>21382.920797032526</x:v>
      </x:c>
      <x:c r="Q169" s="8" t="n">
        <x:f>K169-L169</x:f>
        <x:v>6</x:v>
      </x:c>
      <x:c r="R169" s="9" t="n">
        <x:f>IF(AND(INDEX('Сводка'!$T$3:$T$397,U169)=0,INDEX('Сводка'!$T$3:$T$397,V169)=0),1,0)</x:f>
        <x:v>1</x:v>
      </x:c>
      <x:c r="S169" s="9" t="n">
        <x:f>IF(AND(R169=1,O169&lt;=$G$13),1,0)</x:f>
        <x:v>0</x:v>
      </x:c>
      <x:c r="T169" s="10" t="n">
        <x:f>EOMONTH(J169-'Сводка'!$B$11,-1)</x:f>
        <x:v>45991</x:v>
      </x:c>
      <x:c r="U169" s="4" t="n">
        <x:f>MATCH(J169,'Сводка'!$R$3:$R$397,0)</x:f>
        <x:v>180</x:v>
      </x:c>
      <x:c r="V169" s="4" t="n">
        <x:f>MATCH(J169-'Сводка'!$B$11,'Сводка'!$R$3:$R$397,0)</x:f>
        <x:v>179</x:v>
      </x:c>
      <x:c r="W169" s="4" t="n">
        <x:f>MATCH(T169,$J$388:$J$400,0)</x:f>
        <x:v>6</x:v>
      </x:c>
      <x:c r="X169" s="3"/>
      <x:c r="Y169" s="3"/>
      <x:c r="Z169" s="3"/>
    </x:row>
    <x:row r="170" ht="15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10" t="n">
        <x:v>46021</x:v>
      </x:c>
      <x:c r="K170" s="8" t="n">
        <x:f>INDEX('Сводка'!$S$3:$S$397,U170)</x:f>
        <x:v>-3</x:v>
      </x:c>
      <x:c r="L170" s="8" t="n">
        <x:f>INDEX('Сводка'!$S$3:$S$397,V170)</x:f>
        <x:v>-6</x:v>
      </x:c>
      <x:c r="M170" s="8" t="n">
        <x:f>INDEX($K$388:$N$400,W170,1)+INDEX($K$388:$N$400,W170,2)*(2*(J170-$T$405)/(T170-$T$405)-1)^1+INDEX($K$388:$N$400,W170,3)*(2*(J170-$T$405)/(T170-$T$405)-1)^2</x:f>
        <x:v>140.2301961125768</x:v>
      </x:c>
      <x:c r="N170" s="8" t="n">
        <x:f>K170-M170</x:f>
        <x:v>-143.2301961125768</x:v>
      </x:c>
      <x:c r="O170" s="8" t="n">
        <x:f>ABS(N170)</x:f>
        <x:v>143.2301961125768</x:v>
      </x:c>
      <x:c r="P170" s="8" t="n">
        <x:f>N170^2</x:f>
        <x:v>20514.889078447213</x:v>
      </x:c>
      <x:c r="Q170" s="8" t="n">
        <x:f>K170-L170</x:f>
        <x:v>3</x:v>
      </x:c>
      <x:c r="R170" s="9" t="n">
        <x:f>IF(AND(INDEX('Сводка'!$T$3:$T$397,U170)=0,INDEX('Сводка'!$T$3:$T$397,V170)=0),1,0)</x:f>
        <x:v>1</x:v>
      </x:c>
      <x:c r="S170" s="9" t="n">
        <x:f>IF(AND(R170=1,O170&lt;=$G$13),1,0)</x:f>
        <x:v>0</x:v>
      </x:c>
      <x:c r="T170" s="10" t="n">
        <x:f>EOMONTH(J170-'Сводка'!$B$11,-1)</x:f>
        <x:v>45991</x:v>
      </x:c>
      <x:c r="U170" s="4" t="n">
        <x:f>MATCH(J170,'Сводка'!$R$3:$R$397,0)</x:f>
        <x:v>181</x:v>
      </x:c>
      <x:c r="V170" s="4" t="n">
        <x:f>MATCH(J170-'Сводка'!$B$11,'Сводка'!$R$3:$R$397,0)</x:f>
        <x:v>180</x:v>
      </x:c>
      <x:c r="W170" s="4" t="n">
        <x:f>MATCH(T170,$J$388:$J$400,0)</x:f>
        <x:v>6</x:v>
      </x:c>
      <x:c r="X170" s="3"/>
      <x:c r="Y170" s="3"/>
      <x:c r="Z170" s="3"/>
    </x:row>
    <x:row r="171" ht="15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10" t="n">
        <x:v>46022</x:v>
      </x:c>
      <x:c r="K171" s="8" t="n">
        <x:f>INDEX('Сводка'!$S$3:$S$397,U171)</x:f>
        <x:v>0</x:v>
      </x:c>
      <x:c r="L171" s="8" t="n">
        <x:f>INDEX('Сводка'!$S$3:$S$397,V171)</x:f>
        <x:v>-3</x:v>
      </x:c>
      <x:c r="M171" s="8" t="n">
        <x:f>INDEX($K$388:$N$400,W171,1)+INDEX($K$388:$N$400,W171,2)*(2*(J171-$T$405)/(T171-$T$405)-1)^1+INDEX($K$388:$N$400,W171,3)*(2*(J171-$T$405)/(T171-$T$405)-1)^2</x:f>
        <x:v>140.2313859263991</x:v>
      </x:c>
      <x:c r="N171" s="8" t="n">
        <x:f>K171-M171</x:f>
        <x:v>-140.2313859263991</x:v>
      </x:c>
      <x:c r="O171" s="8" t="n">
        <x:f>ABS(N171)</x:f>
        <x:v>140.2313859263991</x:v>
      </x:c>
      <x:c r="P171" s="8" t="n">
        <x:f>N171^2</x:f>
        <x:v>19664.841598838684</x:v>
      </x:c>
      <x:c r="Q171" s="8" t="n">
        <x:f>K171-L171</x:f>
        <x:v>3</x:v>
      </x:c>
      <x:c r="R171" s="9" t="n">
        <x:f>IF(AND(INDEX('Сводка'!$T$3:$T$397,U171)=0,INDEX('Сводка'!$T$3:$T$397,V171)=0),1,0)</x:f>
        <x:v>0</x:v>
      </x:c>
      <x:c r="S171" s="9" t="n">
        <x:f>IF(AND(R171=1,O171&lt;=$G$13),1,0)</x:f>
        <x:v>0</x:v>
      </x:c>
      <x:c r="T171" s="10" t="n">
        <x:f>EOMONTH(J171-'Сводка'!$B$11,-1)</x:f>
        <x:v>45991</x:v>
      </x:c>
      <x:c r="U171" s="4" t="n">
        <x:f>MATCH(J171,'Сводка'!$R$3:$R$397,0)</x:f>
        <x:v>182</x:v>
      </x:c>
      <x:c r="V171" s="4" t="n">
        <x:f>MATCH(J171-'Сводка'!$B$11,'Сводка'!$R$3:$R$397,0)</x:f>
        <x:v>181</x:v>
      </x:c>
      <x:c r="W171" s="4" t="n">
        <x:f>MATCH(T171,$J$388:$J$400,0)</x:f>
        <x:v>6</x:v>
      </x:c>
      <x:c r="X171" s="3"/>
      <x:c r="Y171" s="3"/>
      <x:c r="Z171" s="3"/>
    </x:row>
    <x:row r="172" ht="15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10" t="n">
        <x:v>46023</x:v>
      </x:c>
      <x:c r="K172" s="8" t="n">
        <x:f>INDEX('Сводка'!$S$3:$S$397,U172)</x:f>
        <x:v>3</x:v>
      </x:c>
      <x:c r="L172" s="8" t="n">
        <x:f>INDEX('Сводка'!$S$3:$S$397,V172)</x:f>
        <x:v>0</x:v>
      </x:c>
      <x:c r="M172" s="8" t="n">
        <x:f>INDEX($K$388:$N$400,W172,1)+INDEX($K$388:$N$400,W172,2)*(2*(J172-$T$405)/(T172-$T$405)-1)^1+INDEX($K$388:$N$400,W172,3)*(2*(J172-$T$405)/(T172-$T$405)-1)^2</x:f>
        <x:v>140.2325706588468</x:v>
      </x:c>
      <x:c r="N172" s="8" t="n">
        <x:f>K172-M172</x:f>
        <x:v>-137.2325706588468</x:v>
      </x:c>
      <x:c r="O172" s="8" t="n">
        <x:f>ABS(N172)</x:f>
        <x:v>137.2325706588468</x:v>
      </x:c>
      <x:c r="P172" s="8" t="n">
        <x:f>N172^2</x:f>
        <x:v>18832.77844963538</x:v>
      </x:c>
      <x:c r="Q172" s="8" t="n">
        <x:f>K172-L172</x:f>
        <x:v>3</x:v>
      </x:c>
      <x:c r="R172" s="9" t="n">
        <x:f>IF(AND(INDEX('Сводка'!$T$3:$T$397,U172)=0,INDEX('Сводка'!$T$3:$T$397,V172)=0),1,0)</x:f>
        <x:v>0</x:v>
      </x:c>
      <x:c r="S172" s="9" t="n">
        <x:f>IF(AND(R172=1,O172&lt;=$G$13),1,0)</x:f>
        <x:v>0</x:v>
      </x:c>
      <x:c r="T172" s="10" t="n">
        <x:f>EOMONTH(J172-'Сводка'!$B$11,-1)</x:f>
        <x:v>45991</x:v>
      </x:c>
      <x:c r="U172" s="4" t="n">
        <x:f>MATCH(J172,'Сводка'!$R$3:$R$397,0)</x:f>
        <x:v>183</x:v>
      </x:c>
      <x:c r="V172" s="4" t="n">
        <x:f>MATCH(J172-'Сводка'!$B$11,'Сводка'!$R$3:$R$397,0)</x:f>
        <x:v>182</x:v>
      </x:c>
      <x:c r="W172" s="4" t="n">
        <x:f>MATCH(T172,$J$388:$J$400,0)</x:f>
        <x:v>6</x:v>
      </x:c>
      <x:c r="X172" s="3"/>
      <x:c r="Y172" s="3"/>
      <x:c r="Z172" s="3"/>
    </x:row>
    <x:row r="173" ht="15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10" t="n">
        <x:v>46024</x:v>
      </x:c>
      <x:c r="K173" s="8" t="n">
        <x:f>INDEX('Сводка'!$S$3:$S$397,U173)</x:f>
        <x:v>6</x:v>
      </x:c>
      <x:c r="L173" s="8" t="n">
        <x:f>INDEX('Сводка'!$S$3:$S$397,V173)</x:f>
        <x:v>3</x:v>
      </x:c>
      <x:c r="M173" s="8" t="n">
        <x:f>INDEX($K$388:$N$400,W173,1)+INDEX($K$388:$N$400,W173,2)*(2*(J173-$T$405)/(T173-$T$405)-1)^1+INDEX($K$388:$N$400,W173,3)*(2*(J173-$T$405)/(T173-$T$405)-1)^2</x:f>
        <x:v>135.3476179932452</x:v>
      </x:c>
      <x:c r="N173" s="8" t="n">
        <x:f>K173-M173</x:f>
        <x:v>-129.3476179932452</x:v>
      </x:c>
      <x:c r="O173" s="8" t="n">
        <x:f>ABS(N173)</x:f>
        <x:v>129.3476179932452</x:v>
      </x:c>
      <x:c r="P173" s="8" t="n">
        <x:f>N173^2</x:f>
        <x:v>16730.80628052649</x:v>
      </x:c>
      <x:c r="Q173" s="8" t="n">
        <x:f>K173-L173</x:f>
        <x:v>3</x:v>
      </x:c>
      <x:c r="R173" s="9" t="n">
        <x:f>IF(AND(INDEX('Сводка'!$T$3:$T$397,U173)=0,INDEX('Сводка'!$T$3:$T$397,V173)=0),1,0)</x:f>
        <x:v>1</x:v>
      </x:c>
      <x:c r="S173" s="9" t="n">
        <x:f>IF(AND(R173=1,O173&lt;=$G$13),1,0)</x:f>
        <x:v>0</x:v>
      </x:c>
      <x:c r="T173" s="10" t="n">
        <x:f>EOMONTH(J173-'Сводка'!$B$11,-1)</x:f>
        <x:v>46022</x:v>
      </x:c>
      <x:c r="U173" s="4" t="n">
        <x:f>MATCH(J173,'Сводка'!$R$3:$R$397,0)</x:f>
        <x:v>184</x:v>
      </x:c>
      <x:c r="V173" s="4" t="n">
        <x:f>MATCH(J173-'Сводка'!$B$11,'Сводка'!$R$3:$R$397,0)</x:f>
        <x:v>183</x:v>
      </x:c>
      <x:c r="W173" s="4" t="n">
        <x:f>MATCH(T173,$J$388:$J$400,0)</x:f>
        <x:v>7</x:v>
      </x:c>
      <x:c r="X173" s="3"/>
      <x:c r="Y173" s="3"/>
      <x:c r="Z173" s="3"/>
    </x:row>
    <x:row r="174" ht="15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10" t="n">
        <x:v>46025</x:v>
      </x:c>
      <x:c r="K174" s="8" t="n">
        <x:f>INDEX('Сводка'!$S$3:$S$397,U174)</x:f>
        <x:v>6</x:v>
      </x:c>
      <x:c r="L174" s="8" t="n">
        <x:f>INDEX('Сводка'!$S$3:$S$397,V174)</x:f>
        <x:v>6</x:v>
      </x:c>
      <x:c r="M174" s="8" t="n">
        <x:f>INDEX($K$388:$N$400,W174,1)+INDEX($K$388:$N$400,W174,2)*(2*(J174-$T$405)/(T174-$T$405)-1)^1+INDEX($K$388:$N$400,W174,3)*(2*(J174-$T$405)/(T174-$T$405)-1)^2</x:f>
        <x:v>135.34661182541282</x:v>
      </x:c>
      <x:c r="N174" s="8" t="n">
        <x:f>K174-M174</x:f>
        <x:v>-129.34661182541282</x:v>
      </x:c>
      <x:c r="O174" s="8" t="n">
        <x:f>ABS(N174)</x:f>
        <x:v>129.34661182541282</x:v>
      </x:c>
      <x:c r="P174" s="8" t="n">
        <x:f>N174^2</x:f>
        <x:v>16730.545990714025</x:v>
      </x:c>
      <x:c r="Q174" s="8" t="n">
        <x:f>K174-L174</x:f>
        <x:v>0</x:v>
      </x:c>
      <x:c r="R174" s="9" t="n">
        <x:f>IF(AND(INDEX('Сводка'!$T$3:$T$397,U174)=0,INDEX('Сводка'!$T$3:$T$397,V174)=0),1,0)</x:f>
        <x:v>1</x:v>
      </x:c>
      <x:c r="S174" s="9" t="n">
        <x:f>IF(AND(R174=1,O174&lt;=$G$13),1,0)</x:f>
        <x:v>0</x:v>
      </x:c>
      <x:c r="T174" s="10" t="n">
        <x:f>EOMONTH(J174-'Сводка'!$B$11,-1)</x:f>
        <x:v>46022</x:v>
      </x:c>
      <x:c r="U174" s="4" t="n">
        <x:f>MATCH(J174,'Сводка'!$R$3:$R$397,0)</x:f>
        <x:v>185</x:v>
      </x:c>
      <x:c r="V174" s="4" t="n">
        <x:f>MATCH(J174-'Сводка'!$B$11,'Сводка'!$R$3:$R$397,0)</x:f>
        <x:v>184</x:v>
      </x:c>
      <x:c r="W174" s="4" t="n">
        <x:f>MATCH(T174,$J$388:$J$400,0)</x:f>
        <x:v>7</x:v>
      </x:c>
      <x:c r="X174" s="3"/>
      <x:c r="Y174" s="3"/>
      <x:c r="Z174" s="3"/>
    </x:row>
    <x:row r="175" ht="15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10" t="n">
        <x:v>46026</x:v>
      </x:c>
      <x:c r="K175" s="8" t="n">
        <x:f>INDEX('Сводка'!$S$3:$S$397,U175)</x:f>
        <x:v>6</x:v>
      </x:c>
      <x:c r="L175" s="8" t="n">
        <x:f>INDEX('Сводка'!$S$3:$S$397,V175)</x:f>
        <x:v>6</x:v>
      </x:c>
      <x:c r="M175" s="8" t="n">
        <x:f>INDEX($K$388:$N$400,W175,1)+INDEX($K$388:$N$400,W175,2)*(2*(J175-$T$405)/(T175-$T$405)-1)^1+INDEX($K$388:$N$400,W175,3)*(2*(J175-$T$405)/(T175-$T$405)-1)^2</x:f>
        <x:v>135.34560016573693</x:v>
      </x:c>
      <x:c r="N175" s="8" t="n">
        <x:f>K175-M175</x:f>
        <x:v>-129.34560016573693</x:v>
      </x:c>
      <x:c r="O175" s="8" t="n">
        <x:f>ABS(N175)</x:f>
        <x:v>129.34560016573693</x:v>
      </x:c>
      <x:c r="P175" s="8" t="n">
        <x:f>N175^2</x:f>
        <x:v>16730.284282234683</x:v>
      </x:c>
      <x:c r="Q175" s="8" t="n">
        <x:f>K175-L175</x:f>
        <x:v>0</x:v>
      </x:c>
      <x:c r="R175" s="9" t="n">
        <x:f>IF(AND(INDEX('Сводка'!$T$3:$T$397,U175)=0,INDEX('Сводка'!$T$3:$T$397,V175)=0),1,0)</x:f>
        <x:v>1</x:v>
      </x:c>
      <x:c r="S175" s="9" t="n">
        <x:f>IF(AND(R175=1,O175&lt;=$G$13),1,0)</x:f>
        <x:v>0</x:v>
      </x:c>
      <x:c r="T175" s="10" t="n">
        <x:f>EOMONTH(J175-'Сводка'!$B$11,-1)</x:f>
        <x:v>46022</x:v>
      </x:c>
      <x:c r="U175" s="4" t="n">
        <x:f>MATCH(J175,'Сводка'!$R$3:$R$397,0)</x:f>
        <x:v>186</x:v>
      </x:c>
      <x:c r="V175" s="4" t="n">
        <x:f>MATCH(J175-'Сводка'!$B$11,'Сводка'!$R$3:$R$397,0)</x:f>
        <x:v>185</x:v>
      </x:c>
      <x:c r="W175" s="4" t="n">
        <x:f>MATCH(T175,$J$388:$J$400,0)</x:f>
        <x:v>7</x:v>
      </x:c>
      <x:c r="X175" s="3"/>
      <x:c r="Y175" s="3"/>
      <x:c r="Z175" s="3"/>
    </x:row>
    <x:row r="176" ht="15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10" t="n">
        <x:v>46027</x:v>
      </x:c>
      <x:c r="K176" s="8" t="n">
        <x:f>INDEX('Сводка'!$S$3:$S$397,U176)</x:f>
        <x:v>6</x:v>
      </x:c>
      <x:c r="L176" s="8" t="n">
        <x:f>INDEX('Сводка'!$S$3:$S$397,V176)</x:f>
        <x:v>6</x:v>
      </x:c>
      <x:c r="M176" s="8" t="n">
        <x:f>INDEX($K$388:$N$400,W176,1)+INDEX($K$388:$N$400,W176,2)*(2*(J176-$T$405)/(T176-$T$405)-1)^1+INDEX($K$388:$N$400,W176,3)*(2*(J176-$T$405)/(T176-$T$405)-1)^2</x:f>
        <x:v>135.34458301421756</x:v>
      </x:c>
      <x:c r="N176" s="8" t="n">
        <x:f>K176-M176</x:f>
        <x:v>-129.34458301421756</x:v>
      </x:c>
      <x:c r="O176" s="8" t="n">
        <x:f>ABS(N176)</x:f>
        <x:v>129.34458301421756</x:v>
      </x:c>
      <x:c r="P176" s="8" t="n">
        <x:f>N176^2</x:f>
        <x:v>16730.02115512182</x:v>
      </x:c>
      <x:c r="Q176" s="8" t="n">
        <x:f>K176-L176</x:f>
        <x:v>0</x:v>
      </x:c>
      <x:c r="R176" s="9" t="n">
        <x:f>IF(AND(INDEX('Сводка'!$T$3:$T$397,U176)=0,INDEX('Сводка'!$T$3:$T$397,V176)=0),1,0)</x:f>
        <x:v>1</x:v>
      </x:c>
      <x:c r="S176" s="9" t="n">
        <x:f>IF(AND(R176=1,O176&lt;=$G$13),1,0)</x:f>
        <x:v>0</x:v>
      </x:c>
      <x:c r="T176" s="10" t="n">
        <x:f>EOMONTH(J176-'Сводка'!$B$11,-1)</x:f>
        <x:v>46022</x:v>
      </x:c>
      <x:c r="U176" s="4" t="n">
        <x:f>MATCH(J176,'Сводка'!$R$3:$R$397,0)</x:f>
        <x:v>187</x:v>
      </x:c>
      <x:c r="V176" s="4" t="n">
        <x:f>MATCH(J176-'Сводка'!$B$11,'Сводка'!$R$3:$R$397,0)</x:f>
        <x:v>186</x:v>
      </x:c>
      <x:c r="W176" s="4" t="n">
        <x:f>MATCH(T176,$J$388:$J$400,0)</x:f>
        <x:v>7</x:v>
      </x:c>
      <x:c r="X176" s="3"/>
      <x:c r="Y176" s="3"/>
      <x:c r="Z176" s="3"/>
    </x:row>
    <x:row r="177" ht="15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10" t="n">
        <x:v>46028</x:v>
      </x:c>
      <x:c r="K177" s="8" t="n">
        <x:f>INDEX('Сводка'!$S$3:$S$397,U177)</x:f>
        <x:v>2</x:v>
      </x:c>
      <x:c r="L177" s="8" t="n">
        <x:f>INDEX('Сводка'!$S$3:$S$397,V177)</x:f>
        <x:v>6</x:v>
      </x:c>
      <x:c r="M177" s="8" t="n">
        <x:f>INDEX($K$388:$N$400,W177,1)+INDEX($K$388:$N$400,W177,2)*(2*(J177-$T$405)/(T177-$T$405)-1)^1+INDEX($K$388:$N$400,W177,3)*(2*(J177-$T$405)/(T177-$T$405)-1)^2</x:f>
        <x:v>135.34356037085476</x:v>
      </x:c>
      <x:c r="N177" s="8" t="n">
        <x:f>K177-M177</x:f>
        <x:v>-133.34356037085476</x:v>
      </x:c>
      <x:c r="O177" s="8" t="n">
        <x:f>ABS(N177)</x:f>
        <x:v>133.34356037085476</x:v>
      </x:c>
      <x:c r="P177" s="8" t="n">
        <x:f>N177^2</x:f>
        <x:v>17780.505092375788</x:v>
      </x:c>
      <x:c r="Q177" s="8" t="n">
        <x:f>K177-L177</x:f>
        <x:v>-4</x:v>
      </x:c>
      <x:c r="R177" s="9" t="n">
        <x:f>IF(AND(INDEX('Сводка'!$T$3:$T$397,U177)=0,INDEX('Сводка'!$T$3:$T$397,V177)=0),1,0)</x:f>
        <x:v>1</x:v>
      </x:c>
      <x:c r="S177" s="9" t="n">
        <x:f>IF(AND(R177=1,O177&lt;=$G$13),1,0)</x:f>
        <x:v>0</x:v>
      </x:c>
      <x:c r="T177" s="10" t="n">
        <x:f>EOMONTH(J177-'Сводка'!$B$11,-1)</x:f>
        <x:v>46022</x:v>
      </x:c>
      <x:c r="U177" s="4" t="n">
        <x:f>MATCH(J177,'Сводка'!$R$3:$R$397,0)</x:f>
        <x:v>188</x:v>
      </x:c>
      <x:c r="V177" s="4" t="n">
        <x:f>MATCH(J177-'Сводка'!$B$11,'Сводка'!$R$3:$R$397,0)</x:f>
        <x:v>187</x:v>
      </x:c>
      <x:c r="W177" s="4" t="n">
        <x:f>MATCH(T177,$J$388:$J$400,0)</x:f>
        <x:v>7</x:v>
      </x:c>
      <x:c r="X177" s="3"/>
      <x:c r="Y177" s="3"/>
      <x:c r="Z177" s="3"/>
    </x:row>
    <x:row r="178" ht="15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10" t="n">
        <x:v>46029</x:v>
      </x:c>
      <x:c r="K178" s="8" t="n">
        <x:f>INDEX('Сводка'!$S$3:$S$397,U178)</x:f>
        <x:v>-2</x:v>
      </x:c>
      <x:c r="L178" s="8" t="n">
        <x:f>INDEX('Сводка'!$S$3:$S$397,V178)</x:f>
        <x:v>2</x:v>
      </x:c>
      <x:c r="M178" s="8" t="n">
        <x:f>INDEX($K$388:$N$400,W178,1)+INDEX($K$388:$N$400,W178,2)*(2*(J178-$T$405)/(T178-$T$405)-1)^1+INDEX($K$388:$N$400,W178,3)*(2*(J178-$T$405)/(T178-$T$405)-1)^2</x:f>
        <x:v>135.3425322356484</x:v>
      </x:c>
      <x:c r="N178" s="8" t="n">
        <x:f>K178-M178</x:f>
        <x:v>-137.3425322356484</x:v>
      </x:c>
      <x:c r="O178" s="8" t="n">
        <x:f>ABS(N178)</x:f>
        <x:v>137.3425322356484</x:v>
      </x:c>
      <x:c r="P178" s="8" t="n">
        <x:f>N178^2</x:f>
        <x:v>18862.97116090012</x:v>
      </x:c>
      <x:c r="Q178" s="8" t="n">
        <x:f>K178-L178</x:f>
        <x:v>-4</x:v>
      </x:c>
      <x:c r="R178" s="9" t="n">
        <x:f>IF(AND(INDEX('Сводка'!$T$3:$T$397,U178)=0,INDEX('Сводка'!$T$3:$T$397,V178)=0),1,0)</x:f>
        <x:v>1</x:v>
      </x:c>
      <x:c r="S178" s="9" t="n">
        <x:f>IF(AND(R178=1,O178&lt;=$G$13),1,0)</x:f>
        <x:v>0</x:v>
      </x:c>
      <x:c r="T178" s="10" t="n">
        <x:f>EOMONTH(J178-'Сводка'!$B$11,-1)</x:f>
        <x:v>46022</x:v>
      </x:c>
      <x:c r="U178" s="4" t="n">
        <x:f>MATCH(J178,'Сводка'!$R$3:$R$397,0)</x:f>
        <x:v>189</x:v>
      </x:c>
      <x:c r="V178" s="4" t="n">
        <x:f>MATCH(J178-'Сводка'!$B$11,'Сводка'!$R$3:$R$397,0)</x:f>
        <x:v>188</x:v>
      </x:c>
      <x:c r="W178" s="4" t="n">
        <x:f>MATCH(T178,$J$388:$J$400,0)</x:f>
        <x:v>7</x:v>
      </x:c>
      <x:c r="X178" s="3"/>
      <x:c r="Y178" s="3"/>
      <x:c r="Z178" s="3"/>
    </x:row>
    <x:row r="179" ht="15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10" t="n">
        <x:v>46030</x:v>
      </x:c>
      <x:c r="K179" s="8" t="n">
        <x:f>INDEX('Сводка'!$S$3:$S$397,U179)</x:f>
        <x:v>-7</x:v>
      </x:c>
      <x:c r="L179" s="8" t="n">
        <x:f>INDEX('Сводка'!$S$3:$S$397,V179)</x:f>
        <x:v>-2</x:v>
      </x:c>
      <x:c r="M179" s="8" t="n">
        <x:f>INDEX($K$388:$N$400,W179,1)+INDEX($K$388:$N$400,W179,2)*(2*(J179-$T$405)/(T179-$T$405)-1)^1+INDEX($K$388:$N$400,W179,3)*(2*(J179-$T$405)/(T179-$T$405)-1)^2</x:f>
        <x:v>135.34149860859856</x:v>
      </x:c>
      <x:c r="N179" s="8" t="n">
        <x:f>K179-M179</x:f>
        <x:v>-142.34149860859856</x:v>
      </x:c>
      <x:c r="O179" s="8" t="n">
        <x:f>ABS(N179)</x:f>
        <x:v>142.34149860859856</x:v>
      </x:c>
      <x:c r="P179" s="8" t="n">
        <x:f>N179^2</x:f>
        <x:v>20261.102226141666</x:v>
      </x:c>
      <x:c r="Q179" s="8" t="n">
        <x:f>K179-L179</x:f>
        <x:v>-5</x:v>
      </x:c>
      <x:c r="R179" s="9" t="n">
        <x:f>IF(AND(INDEX('Сводка'!$T$3:$T$397,U179)=0,INDEX('Сводка'!$T$3:$T$397,V179)=0),1,0)</x:f>
        <x:v>1</x:v>
      </x:c>
      <x:c r="S179" s="9" t="n">
        <x:f>IF(AND(R179=1,O179&lt;=$G$13),1,0)</x:f>
        <x:v>0</x:v>
      </x:c>
      <x:c r="T179" s="10" t="n">
        <x:f>EOMONTH(J179-'Сводка'!$B$11,-1)</x:f>
        <x:v>46022</x:v>
      </x:c>
      <x:c r="U179" s="4" t="n">
        <x:f>MATCH(J179,'Сводка'!$R$3:$R$397,0)</x:f>
        <x:v>190</x:v>
      </x:c>
      <x:c r="V179" s="4" t="n">
        <x:f>MATCH(J179-'Сводка'!$B$11,'Сводка'!$R$3:$R$397,0)</x:f>
        <x:v>189</x:v>
      </x:c>
      <x:c r="W179" s="4" t="n">
        <x:f>MATCH(T179,$J$388:$J$400,0)</x:f>
        <x:v>7</x:v>
      </x:c>
      <x:c r="X179" s="3"/>
      <x:c r="Y179" s="3"/>
      <x:c r="Z179" s="3"/>
    </x:row>
    <x:row r="180" ht="15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10" t="n">
        <x:v>46031</x:v>
      </x:c>
      <x:c r="K180" s="8" t="n">
        <x:f>INDEX('Сводка'!$S$3:$S$397,U180)</x:f>
        <x:v>-10</x:v>
      </x:c>
      <x:c r="L180" s="8" t="n">
        <x:f>INDEX('Сводка'!$S$3:$S$397,V180)</x:f>
        <x:v>-7</x:v>
      </x:c>
      <x:c r="M180" s="8" t="n">
        <x:f>INDEX($K$388:$N$400,W180,1)+INDEX($K$388:$N$400,W180,2)*(2*(J180-$T$405)/(T180-$T$405)-1)^1+INDEX($K$388:$N$400,W180,3)*(2*(J180-$T$405)/(T180-$T$405)-1)^2</x:f>
        <x:v>135.3404594897052</x:v>
      </x:c>
      <x:c r="N180" s="8" t="n">
        <x:f>K180-M180</x:f>
        <x:v>-145.3404594897052</x:v>
      </x:c>
      <x:c r="O180" s="8" t="n">
        <x:f>ABS(N180)</x:f>
        <x:v>145.3404594897052</x:v>
      </x:c>
      <x:c r="P180" s="8" t="n">
        <x:f>N180^2</x:f>
        <x:v>21123.849164678642</x:v>
      </x:c>
      <x:c r="Q180" s="8" t="n">
        <x:f>K180-L180</x:f>
        <x:v>-3</x:v>
      </x:c>
      <x:c r="R180" s="9" t="n">
        <x:f>IF(AND(INDEX('Сводка'!$T$3:$T$397,U180)=0,INDEX('Сводка'!$T$3:$T$397,V180)=0),1,0)</x:f>
        <x:v>1</x:v>
      </x:c>
      <x:c r="S180" s="9" t="n">
        <x:f>IF(AND(R180=1,O180&lt;=$G$13),1,0)</x:f>
        <x:v>0</x:v>
      </x:c>
      <x:c r="T180" s="10" t="n">
        <x:f>EOMONTH(J180-'Сводка'!$B$11,-1)</x:f>
        <x:v>46022</x:v>
      </x:c>
      <x:c r="U180" s="4" t="n">
        <x:f>MATCH(J180,'Сводка'!$R$3:$R$397,0)</x:f>
        <x:v>191</x:v>
      </x:c>
      <x:c r="V180" s="4" t="n">
        <x:f>MATCH(J180-'Сводка'!$B$11,'Сводка'!$R$3:$R$397,0)</x:f>
        <x:v>190</x:v>
      </x:c>
      <x:c r="W180" s="4" t="n">
        <x:f>MATCH(T180,$J$388:$J$400,0)</x:f>
        <x:v>7</x:v>
      </x:c>
      <x:c r="X180" s="3"/>
      <x:c r="Y180" s="3"/>
      <x:c r="Z180" s="3"/>
    </x:row>
    <x:row r="181" ht="15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10" t="n">
        <x:v>46032</x:v>
      </x:c>
      <x:c r="K181" s="8" t="n">
        <x:f>INDEX('Сводка'!$S$3:$S$397,U181)</x:f>
        <x:v>-13</x:v>
      </x:c>
      <x:c r="L181" s="8" t="n">
        <x:f>INDEX('Сводка'!$S$3:$S$397,V181)</x:f>
        <x:v>-10</x:v>
      </x:c>
      <x:c r="M181" s="8" t="n">
        <x:f>INDEX($K$388:$N$400,W181,1)+INDEX($K$388:$N$400,W181,2)*(2*(J181-$T$405)/(T181-$T$405)-1)^1+INDEX($K$388:$N$400,W181,3)*(2*(J181-$T$405)/(T181-$T$405)-1)^2</x:f>
        <x:v>135.33941487896843</x:v>
      </x:c>
      <x:c r="N181" s="8" t="n">
        <x:f>K181-M181</x:f>
        <x:v>-148.33941487896843</x:v>
      </x:c>
      <x:c r="O181" s="8" t="n">
        <x:f>ABS(N181)</x:f>
        <x:v>148.33941487896843</x:v>
      </x:c>
      <x:c r="P181" s="8" t="n">
        <x:f>N181^2</x:f>
        <x:v>22004.58200663472</x:v>
      </x:c>
      <x:c r="Q181" s="8" t="n">
        <x:f>K181-L181</x:f>
        <x:v>-3</x:v>
      </x:c>
      <x:c r="R181" s="9" t="n">
        <x:f>IF(AND(INDEX('Сводка'!$T$3:$T$397,U181)=0,INDEX('Сводка'!$T$3:$T$397,V181)=0),1,0)</x:f>
        <x:v>1</x:v>
      </x:c>
      <x:c r="S181" s="9" t="n">
        <x:f>IF(AND(R181=1,O181&lt;=$G$13),1,0)</x:f>
        <x:v>0</x:v>
      </x:c>
      <x:c r="T181" s="10" t="n">
        <x:f>EOMONTH(J181-'Сводка'!$B$11,-1)</x:f>
        <x:v>46022</x:v>
      </x:c>
      <x:c r="U181" s="4" t="n">
        <x:f>MATCH(J181,'Сводка'!$R$3:$R$397,0)</x:f>
        <x:v>192</x:v>
      </x:c>
      <x:c r="V181" s="4" t="n">
        <x:f>MATCH(J181-'Сводка'!$B$11,'Сводка'!$R$3:$R$397,0)</x:f>
        <x:v>191</x:v>
      </x:c>
      <x:c r="W181" s="4" t="n">
        <x:f>MATCH(T181,$J$388:$J$400,0)</x:f>
        <x:v>7</x:v>
      </x:c>
      <x:c r="X181" s="3"/>
      <x:c r="Y181" s="3"/>
      <x:c r="Z181" s="3"/>
    </x:row>
    <x:row r="182" ht="15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10" t="n">
        <x:v>46033</x:v>
      </x:c>
      <x:c r="K182" s="8" t="n">
        <x:f>INDEX('Сводка'!$S$3:$S$397,U182)</x:f>
        <x:v>-17</x:v>
      </x:c>
      <x:c r="L182" s="8" t="n">
        <x:f>INDEX('Сводка'!$S$3:$S$397,V182)</x:f>
        <x:v>-13</x:v>
      </x:c>
      <x:c r="M182" s="8" t="n">
        <x:f>INDEX($K$388:$N$400,W182,1)+INDEX($K$388:$N$400,W182,2)*(2*(J182-$T$405)/(T182-$T$405)-1)^1+INDEX($K$388:$N$400,W182,3)*(2*(J182-$T$405)/(T182-$T$405)-1)^2</x:f>
        <x:v>135.3383647763881</x:v>
      </x:c>
      <x:c r="N182" s="8" t="n">
        <x:f>K182-M182</x:f>
        <x:v>-152.3383647763881</x:v>
      </x:c>
      <x:c r="O182" s="8" t="n">
        <x:f>ABS(N182)</x:f>
        <x:v>152.3383647763881</x:v>
      </x:c>
      <x:c r="P182" s="8" t="n">
        <x:f>N182^2</x:f>
        <x:v>23206.97738274388</x:v>
      </x:c>
      <x:c r="Q182" s="8" t="n">
        <x:f>K182-L182</x:f>
        <x:v>-4</x:v>
      </x:c>
      <x:c r="R182" s="9" t="n">
        <x:f>IF(AND(INDEX('Сводка'!$T$3:$T$397,U182)=0,INDEX('Сводка'!$T$3:$T$397,V182)=0),1,0)</x:f>
        <x:v>1</x:v>
      </x:c>
      <x:c r="S182" s="9" t="n">
        <x:f>IF(AND(R182=1,O182&lt;=$G$13),1,0)</x:f>
        <x:v>0</x:v>
      </x:c>
      <x:c r="T182" s="10" t="n">
        <x:f>EOMONTH(J182-'Сводка'!$B$11,-1)</x:f>
        <x:v>46022</x:v>
      </x:c>
      <x:c r="U182" s="4" t="n">
        <x:f>MATCH(J182,'Сводка'!$R$3:$R$397,0)</x:f>
        <x:v>193</x:v>
      </x:c>
      <x:c r="V182" s="4" t="n">
        <x:f>MATCH(J182-'Сводка'!$B$11,'Сводка'!$R$3:$R$397,0)</x:f>
        <x:v>192</x:v>
      </x:c>
      <x:c r="W182" s="4" t="n">
        <x:f>MATCH(T182,$J$388:$J$400,0)</x:f>
        <x:v>7</x:v>
      </x:c>
      <x:c r="X182" s="3"/>
      <x:c r="Y182" s="3"/>
      <x:c r="Z182" s="3"/>
    </x:row>
    <x:row r="183" ht="15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10" t="n">
        <x:v>46034</x:v>
      </x:c>
      <x:c r="K183" s="8" t="n">
        <x:f>INDEX('Сводка'!$S$3:$S$397,U183)</x:f>
        <x:v>-19</x:v>
      </x:c>
      <x:c r="L183" s="8" t="n">
        <x:f>INDEX('Сводка'!$S$3:$S$397,V183)</x:f>
        <x:v>-17</x:v>
      </x:c>
      <x:c r="M183" s="8" t="n">
        <x:f>INDEX($K$388:$N$400,W183,1)+INDEX($K$388:$N$400,W183,2)*(2*(J183-$T$405)/(T183-$T$405)-1)^1+INDEX($K$388:$N$400,W183,3)*(2*(J183-$T$405)/(T183-$T$405)-1)^2</x:f>
        <x:v>135.33730918196426</x:v>
      </x:c>
      <x:c r="N183" s="8" t="n">
        <x:f>K183-M183</x:f>
        <x:v>-154.33730918196426</x:v>
      </x:c>
      <x:c r="O183" s="8" t="n">
        <x:f>ABS(N183)</x:f>
        <x:v>154.33730918196426</x:v>
      </x:c>
      <x:c r="P183" s="8" t="n">
        <x:f>N183^2</x:f>
        <x:v>23820.00500552923</x:v>
      </x:c>
      <x:c r="Q183" s="8" t="n">
        <x:f>K183-L183</x:f>
        <x:v>-2</x:v>
      </x:c>
      <x:c r="R183" s="9" t="n">
        <x:f>IF(AND(INDEX('Сводка'!$T$3:$T$397,U183)=0,INDEX('Сводка'!$T$3:$T$397,V183)=0),1,0)</x:f>
        <x:v>1</x:v>
      </x:c>
      <x:c r="S183" s="9" t="n">
        <x:f>IF(AND(R183=1,O183&lt;=$G$13),1,0)</x:f>
        <x:v>0</x:v>
      </x:c>
      <x:c r="T183" s="10" t="n">
        <x:f>EOMONTH(J183-'Сводка'!$B$11,-1)</x:f>
        <x:v>46022</x:v>
      </x:c>
      <x:c r="U183" s="4" t="n">
        <x:f>MATCH(J183,'Сводка'!$R$3:$R$397,0)</x:f>
        <x:v>194</x:v>
      </x:c>
      <x:c r="V183" s="4" t="n">
        <x:f>MATCH(J183-'Сводка'!$B$11,'Сводка'!$R$3:$R$397,0)</x:f>
        <x:v>193</x:v>
      </x:c>
      <x:c r="W183" s="4" t="n">
        <x:f>MATCH(T183,$J$388:$J$400,0)</x:f>
        <x:v>7</x:v>
      </x:c>
      <x:c r="X183" s="3"/>
      <x:c r="Y183" s="3"/>
      <x:c r="Z183" s="3"/>
    </x:row>
    <x:row r="184" ht="15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10" t="n">
        <x:v>46035</x:v>
      </x:c>
      <x:c r="K184" s="8" t="n">
        <x:f>INDEX('Сводка'!$S$3:$S$397,U184)</x:f>
        <x:v>-22</x:v>
      </x:c>
      <x:c r="L184" s="8" t="n">
        <x:f>INDEX('Сводка'!$S$3:$S$397,V184)</x:f>
        <x:v>-19</x:v>
      </x:c>
      <x:c r="M184" s="8" t="n">
        <x:f>INDEX($K$388:$N$400,W184,1)+INDEX($K$388:$N$400,W184,2)*(2*(J184-$T$405)/(T184-$T$405)-1)^1+INDEX($K$388:$N$400,W184,3)*(2*(J184-$T$405)/(T184-$T$405)-1)^2</x:f>
        <x:v>135.33624809569696</x:v>
      </x:c>
      <x:c r="N184" s="8" t="n">
        <x:f>K184-M184</x:f>
        <x:v>-157.33624809569696</x:v>
      </x:c>
      <x:c r="O184" s="8" t="n">
        <x:f>ABS(N184)</x:f>
        <x:v>157.33624809569696</x:v>
      </x:c>
      <x:c r="P184" s="8" t="n">
        <x:f>N184^2</x:f>
        <x:v>24754.694964830705</x:v>
      </x:c>
      <x:c r="Q184" s="8" t="n">
        <x:f>K184-L184</x:f>
        <x:v>-3</x:v>
      </x:c>
      <x:c r="R184" s="9" t="n">
        <x:f>IF(AND(INDEX('Сводка'!$T$3:$T$397,U184)=0,INDEX('Сводка'!$T$3:$T$397,V184)=0),1,0)</x:f>
        <x:v>1</x:v>
      </x:c>
      <x:c r="S184" s="9" t="n">
        <x:f>IF(AND(R184=1,O184&lt;=$G$13),1,0)</x:f>
        <x:v>0</x:v>
      </x:c>
      <x:c r="T184" s="10" t="n">
        <x:f>EOMONTH(J184-'Сводка'!$B$11,-1)</x:f>
        <x:v>46022</x:v>
      </x:c>
      <x:c r="U184" s="4" t="n">
        <x:f>MATCH(J184,'Сводка'!$R$3:$R$397,0)</x:f>
        <x:v>195</x:v>
      </x:c>
      <x:c r="V184" s="4" t="n">
        <x:f>MATCH(J184-'Сводка'!$B$11,'Сводка'!$R$3:$R$397,0)</x:f>
        <x:v>194</x:v>
      </x:c>
      <x:c r="W184" s="4" t="n">
        <x:f>MATCH(T184,$J$388:$J$400,0)</x:f>
        <x:v>7</x:v>
      </x:c>
      <x:c r="X184" s="3"/>
      <x:c r="Y184" s="3"/>
      <x:c r="Z184" s="3"/>
    </x:row>
    <x:row r="185" ht="15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10" t="n">
        <x:v>46036</x:v>
      </x:c>
      <x:c r="K185" s="8" t="n">
        <x:f>INDEX('Сводка'!$S$3:$S$397,U185)</x:f>
        <x:v>-25</x:v>
      </x:c>
      <x:c r="L185" s="8" t="n">
        <x:f>INDEX('Сводка'!$S$3:$S$397,V185)</x:f>
        <x:v>-22</x:v>
      </x:c>
      <x:c r="M185" s="8" t="n">
        <x:f>INDEX($K$388:$N$400,W185,1)+INDEX($K$388:$N$400,W185,2)*(2*(J185-$T$405)/(T185-$T$405)-1)^1+INDEX($K$388:$N$400,W185,3)*(2*(J185-$T$405)/(T185-$T$405)-1)^2</x:f>
        <x:v>135.3351815175862</x:v>
      </x:c>
      <x:c r="N185" s="8" t="n">
        <x:f>K185-M185</x:f>
        <x:v>-160.3351815175862</x:v>
      </x:c>
      <x:c r="O185" s="8" t="n">
        <x:f>ABS(N185)</x:f>
        <x:v>160.3351815175862</x:v>
      </x:c>
      <x:c r="P185" s="8" t="n">
        <x:f>N185^2</x:f>
        <x:v>25707.370432277312</x:v>
      </x:c>
      <x:c r="Q185" s="8" t="n">
        <x:f>K185-L185</x:f>
        <x:v>-3</x:v>
      </x:c>
      <x:c r="R185" s="9" t="n">
        <x:f>IF(AND(INDEX('Сводка'!$T$3:$T$397,U185)=0,INDEX('Сводка'!$T$3:$T$397,V185)=0),1,0)</x:f>
        <x:v>1</x:v>
      </x:c>
      <x:c r="S185" s="9" t="n">
        <x:f>IF(AND(R185=1,O185&lt;=$G$13),1,0)</x:f>
        <x:v>0</x:v>
      </x:c>
      <x:c r="T185" s="10" t="n">
        <x:f>EOMONTH(J185-'Сводка'!$B$11,-1)</x:f>
        <x:v>46022</x:v>
      </x:c>
      <x:c r="U185" s="4" t="n">
        <x:f>MATCH(J185,'Сводка'!$R$3:$R$397,0)</x:f>
        <x:v>196</x:v>
      </x:c>
      <x:c r="V185" s="4" t="n">
        <x:f>MATCH(J185-'Сводка'!$B$11,'Сводка'!$R$3:$R$397,0)</x:f>
        <x:v>195</x:v>
      </x:c>
      <x:c r="W185" s="4" t="n">
        <x:f>MATCH(T185,$J$388:$J$400,0)</x:f>
        <x:v>7</x:v>
      </x:c>
      <x:c r="X185" s="3"/>
      <x:c r="Y185" s="3"/>
      <x:c r="Z185" s="3"/>
    </x:row>
    <x:row r="186" ht="15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10" t="n">
        <x:v>46037</x:v>
      </x:c>
      <x:c r="K186" s="8" t="n">
        <x:f>INDEX('Сводка'!$S$3:$S$397,U186)</x:f>
        <x:v>-26</x:v>
      </x:c>
      <x:c r="L186" s="8" t="n">
        <x:f>INDEX('Сводка'!$S$3:$S$397,V186)</x:f>
        <x:v>-25</x:v>
      </x:c>
      <x:c r="M186" s="8" t="n">
        <x:f>INDEX($K$388:$N$400,W186,1)+INDEX($K$388:$N$400,W186,2)*(2*(J186-$T$405)/(T186-$T$405)-1)^1+INDEX($K$388:$N$400,W186,3)*(2*(J186-$T$405)/(T186-$T$405)-1)^2</x:f>
        <x:v>135.33410944763187</x:v>
      </x:c>
      <x:c r="N186" s="8" t="n">
        <x:f>K186-M186</x:f>
        <x:v>-161.33410944763187</x:v>
      </x:c>
      <x:c r="O186" s="8" t="n">
        <x:f>ABS(N186)</x:f>
        <x:v>161.33410944763187</x:v>
      </x:c>
      <x:c r="P186" s="8" t="n">
        <x:f>N186^2</x:f>
        <x:v>26028.69487126046</x:v>
      </x:c>
      <x:c r="Q186" s="8" t="n">
        <x:f>K186-L186</x:f>
        <x:v>-1</x:v>
      </x:c>
      <x:c r="R186" s="9" t="n">
        <x:f>IF(AND(INDEX('Сводка'!$T$3:$T$397,U186)=0,INDEX('Сводка'!$T$3:$T$397,V186)=0),1,0)</x:f>
        <x:v>1</x:v>
      </x:c>
      <x:c r="S186" s="9" t="n">
        <x:f>IF(AND(R186=1,O186&lt;=$G$13),1,0)</x:f>
        <x:v>0</x:v>
      </x:c>
      <x:c r="T186" s="10" t="n">
        <x:f>EOMONTH(J186-'Сводка'!$B$11,-1)</x:f>
        <x:v>46022</x:v>
      </x:c>
      <x:c r="U186" s="4" t="n">
        <x:f>MATCH(J186,'Сводка'!$R$3:$R$397,0)</x:f>
        <x:v>197</x:v>
      </x:c>
      <x:c r="V186" s="4" t="n">
        <x:f>MATCH(J186-'Сводка'!$B$11,'Сводка'!$R$3:$R$397,0)</x:f>
        <x:v>196</x:v>
      </x:c>
      <x:c r="W186" s="4" t="n">
        <x:f>MATCH(T186,$J$388:$J$400,0)</x:f>
        <x:v>7</x:v>
      </x:c>
      <x:c r="X186" s="3"/>
      <x:c r="Y186" s="3"/>
      <x:c r="Z186" s="3"/>
    </x:row>
    <x:row r="187" ht="15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10" t="n">
        <x:v>46038</x:v>
      </x:c>
      <x:c r="K187" s="8" t="n">
        <x:f>INDEX('Сводка'!$S$3:$S$397,U187)</x:f>
        <x:v>-28</x:v>
      </x:c>
      <x:c r="L187" s="8" t="n">
        <x:f>INDEX('Сводка'!$S$3:$S$397,V187)</x:f>
        <x:v>-26</x:v>
      </x:c>
      <x:c r="M187" s="8" t="n">
        <x:f>INDEX($K$388:$N$400,W187,1)+INDEX($K$388:$N$400,W187,2)*(2*(J187-$T$405)/(T187-$T$405)-1)^1+INDEX($K$388:$N$400,W187,3)*(2*(J187-$T$405)/(T187-$T$405)-1)^2</x:f>
        <x:v>135.3330318858341</x:v>
      </x:c>
      <x:c r="N187" s="8" t="n">
        <x:f>K187-M187</x:f>
        <x:v>-163.3330318858341</x:v>
      </x:c>
      <x:c r="O187" s="8" t="n">
        <x:f>ABS(N187)</x:f>
        <x:v>163.3330318858341</x:v>
      </x:c>
      <x:c r="P187" s="8" t="n">
        <x:f>N187^2</x:f>
        <x:v>26677.679305018894</x:v>
      </x:c>
      <x:c r="Q187" s="8" t="n">
        <x:f>K187-L187</x:f>
        <x:v>-2</x:v>
      </x:c>
      <x:c r="R187" s="9" t="n">
        <x:f>IF(AND(INDEX('Сводка'!$T$3:$T$397,U187)=0,INDEX('Сводка'!$T$3:$T$397,V187)=0),1,0)</x:f>
        <x:v>1</x:v>
      </x:c>
      <x:c r="S187" s="9" t="n">
        <x:f>IF(AND(R187=1,O187&lt;=$G$13),1,0)</x:f>
        <x:v>0</x:v>
      </x:c>
      <x:c r="T187" s="10" t="n">
        <x:f>EOMONTH(J187-'Сводка'!$B$11,-1)</x:f>
        <x:v>46022</x:v>
      </x:c>
      <x:c r="U187" s="4" t="n">
        <x:f>MATCH(J187,'Сводка'!$R$3:$R$397,0)</x:f>
        <x:v>198</x:v>
      </x:c>
      <x:c r="V187" s="4" t="n">
        <x:f>MATCH(J187-'Сводка'!$B$11,'Сводка'!$R$3:$R$397,0)</x:f>
        <x:v>197</x:v>
      </x:c>
      <x:c r="W187" s="4" t="n">
        <x:f>MATCH(T187,$J$388:$J$400,0)</x:f>
        <x:v>7</x:v>
      </x:c>
      <x:c r="X187" s="3"/>
      <x:c r="Y187" s="3"/>
      <x:c r="Z187" s="3"/>
    </x:row>
    <x:row r="188" ht="15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10" t="n">
        <x:v>46039</x:v>
      </x:c>
      <x:c r="K188" s="8" t="n">
        <x:f>INDEX('Сводка'!$S$3:$S$397,U188)</x:f>
        <x:v>-29</x:v>
      </x:c>
      <x:c r="L188" s="8" t="n">
        <x:f>INDEX('Сводка'!$S$3:$S$397,V188)</x:f>
        <x:v>-28</x:v>
      </x:c>
      <x:c r="M188" s="8" t="n">
        <x:f>INDEX($K$388:$N$400,W188,1)+INDEX($K$388:$N$400,W188,2)*(2*(J188-$T$405)/(T188-$T$405)-1)^1+INDEX($K$388:$N$400,W188,3)*(2*(J188-$T$405)/(T188-$T$405)-1)^2</x:f>
        <x:v>135.3319488321928</x:v>
      </x:c>
      <x:c r="N188" s="8" t="n">
        <x:f>K188-M188</x:f>
        <x:v>-164.3319488321928</x:v>
      </x:c>
      <x:c r="O188" s="8" t="n">
        <x:f>ABS(N188)</x:f>
        <x:v>164.3319488321928</x:v>
      </x:c>
      <x:c r="P188" s="8" t="n">
        <x:f>N188^2</x:f>
        <x:v>27004.989406986435</x:v>
      </x:c>
      <x:c r="Q188" s="8" t="n">
        <x:f>K188-L188</x:f>
        <x:v>-1</x:v>
      </x:c>
      <x:c r="R188" s="9" t="n">
        <x:f>IF(AND(INDEX('Сводка'!$T$3:$T$397,U188)=0,INDEX('Сводка'!$T$3:$T$397,V188)=0),1,0)</x:f>
        <x:v>1</x:v>
      </x:c>
      <x:c r="S188" s="9" t="n">
        <x:f>IF(AND(R188=1,O188&lt;=$G$13),1,0)</x:f>
        <x:v>0</x:v>
      </x:c>
      <x:c r="T188" s="10" t="n">
        <x:f>EOMONTH(J188-'Сводка'!$B$11,-1)</x:f>
        <x:v>46022</x:v>
      </x:c>
      <x:c r="U188" s="4" t="n">
        <x:f>MATCH(J188,'Сводка'!$R$3:$R$397,0)</x:f>
        <x:v>199</x:v>
      </x:c>
      <x:c r="V188" s="4" t="n">
        <x:f>MATCH(J188-'Сводка'!$B$11,'Сводка'!$R$3:$R$397,0)</x:f>
        <x:v>198</x:v>
      </x:c>
      <x:c r="W188" s="4" t="n">
        <x:f>MATCH(T188,$J$388:$J$400,0)</x:f>
        <x:v>7</x:v>
      </x:c>
      <x:c r="X188" s="3"/>
      <x:c r="Y188" s="3"/>
      <x:c r="Z188" s="3"/>
    </x:row>
    <x:row r="189" ht="15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10" t="n">
        <x:v>46040</x:v>
      </x:c>
      <x:c r="K189" s="8" t="n">
        <x:f>INDEX('Сводка'!$S$3:$S$397,U189)</x:f>
        <x:v>-34</x:v>
      </x:c>
      <x:c r="L189" s="8" t="n">
        <x:f>INDEX('Сводка'!$S$3:$S$397,V189)</x:f>
        <x:v>-29</x:v>
      </x:c>
      <x:c r="M189" s="8" t="n">
        <x:f>INDEX($K$388:$N$400,W189,1)+INDEX($K$388:$N$400,W189,2)*(2*(J189-$T$405)/(T189-$T$405)-1)^1+INDEX($K$388:$N$400,W189,3)*(2*(J189-$T$405)/(T189-$T$405)-1)^2</x:f>
        <x:v>135.33086028670806</x:v>
      </x:c>
      <x:c r="N189" s="8" t="n">
        <x:f>K189-M189</x:f>
        <x:v>-169.33086028670806</x:v>
      </x:c>
      <x:c r="O189" s="8" t="n">
        <x:f>ABS(N189)</x:f>
        <x:v>169.33086028670806</x:v>
      </x:c>
      <x:c r="P189" s="8" t="n">
        <x:f>N189^2</x:f>
        <x:v>28672.940245436646</x:v>
      </x:c>
      <x:c r="Q189" s="8" t="n">
        <x:f>K189-L189</x:f>
        <x:v>-5</x:v>
      </x:c>
      <x:c r="R189" s="9" t="n">
        <x:f>IF(AND(INDEX('Сводка'!$T$3:$T$397,U189)=0,INDEX('Сводка'!$T$3:$T$397,V189)=0),1,0)</x:f>
        <x:v>1</x:v>
      </x:c>
      <x:c r="S189" s="9" t="n">
        <x:f>IF(AND(R189=1,O189&lt;=$G$13),1,0)</x:f>
        <x:v>0</x:v>
      </x:c>
      <x:c r="T189" s="10" t="n">
        <x:f>EOMONTH(J189-'Сводка'!$B$11,-1)</x:f>
        <x:v>46022</x:v>
      </x:c>
      <x:c r="U189" s="4" t="n">
        <x:f>MATCH(J189,'Сводка'!$R$3:$R$397,0)</x:f>
        <x:v>200</x:v>
      </x:c>
      <x:c r="V189" s="4" t="n">
        <x:f>MATCH(J189-'Сводка'!$B$11,'Сводка'!$R$3:$R$397,0)</x:f>
        <x:v>199</x:v>
      </x:c>
      <x:c r="W189" s="4" t="n">
        <x:f>MATCH(T189,$J$388:$J$400,0)</x:f>
        <x:v>7</x:v>
      </x:c>
      <x:c r="X189" s="3"/>
      <x:c r="Y189" s="3"/>
      <x:c r="Z189" s="3"/>
    </x:row>
    <x:row r="190" ht="15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10" t="n">
        <x:v>46041</x:v>
      </x:c>
      <x:c r="K190" s="8" t="n">
        <x:f>INDEX('Сводка'!$S$3:$S$397,U190)</x:f>
        <x:v>-34</x:v>
      </x:c>
      <x:c r="L190" s="8" t="n">
        <x:f>INDEX('Сводка'!$S$3:$S$397,V190)</x:f>
        <x:v>-34</x:v>
      </x:c>
      <x:c r="M190" s="8" t="n">
        <x:f>INDEX($K$388:$N$400,W190,1)+INDEX($K$388:$N$400,W190,2)*(2*(J190-$T$405)/(T190-$T$405)-1)^1+INDEX($K$388:$N$400,W190,3)*(2*(J190-$T$405)/(T190-$T$405)-1)^2</x:f>
        <x:v>135.3297662493798</x:v>
      </x:c>
      <x:c r="N190" s="8" t="n">
        <x:f>K190-M190</x:f>
        <x:v>-169.3297662493798</x:v>
      </x:c>
      <x:c r="O190" s="8" t="n">
        <x:f>ABS(N190)</x:f>
        <x:v>169.3297662493798</x:v>
      </x:c>
      <x:c r="P190" s="8" t="n">
        <x:f>N190^2</x:f>
        <x:v>28672.569738069596</x:v>
      </x:c>
      <x:c r="Q190" s="8" t="n">
        <x:f>K190-L190</x:f>
        <x:v>0</x:v>
      </x:c>
      <x:c r="R190" s="9" t="n">
        <x:f>IF(AND(INDEX('Сводка'!$T$3:$T$397,U190)=0,INDEX('Сводка'!$T$3:$T$397,V190)=0),1,0)</x:f>
        <x:v>1</x:v>
      </x:c>
      <x:c r="S190" s="9" t="n">
        <x:f>IF(AND(R190=1,O190&lt;=$G$13),1,0)</x:f>
        <x:v>0</x:v>
      </x:c>
      <x:c r="T190" s="10" t="n">
        <x:f>EOMONTH(J190-'Сводка'!$B$11,-1)</x:f>
        <x:v>46022</x:v>
      </x:c>
      <x:c r="U190" s="4" t="n">
        <x:f>MATCH(J190,'Сводка'!$R$3:$R$397,0)</x:f>
        <x:v>201</x:v>
      </x:c>
      <x:c r="V190" s="4" t="n">
        <x:f>MATCH(J190-'Сводка'!$B$11,'Сводка'!$R$3:$R$397,0)</x:f>
        <x:v>200</x:v>
      </x:c>
      <x:c r="W190" s="4" t="n">
        <x:f>MATCH(T190,$J$388:$J$400,0)</x:f>
        <x:v>7</x:v>
      </x:c>
      <x:c r="X190" s="3"/>
      <x:c r="Y190" s="3"/>
      <x:c r="Z190" s="3"/>
    </x:row>
    <x:row r="191" ht="15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10" t="n">
        <x:v>46042</x:v>
      </x:c>
      <x:c r="K191" s="8" t="n">
        <x:f>INDEX('Сводка'!$S$3:$S$397,U191)</x:f>
        <x:v>-39</x:v>
      </x:c>
      <x:c r="L191" s="8" t="n">
        <x:f>INDEX('Сводка'!$S$3:$S$397,V191)</x:f>
        <x:v>-34</x:v>
      </x:c>
      <x:c r="M191" s="8" t="n">
        <x:f>INDEX($K$388:$N$400,W191,1)+INDEX($K$388:$N$400,W191,2)*(2*(J191-$T$405)/(T191-$T$405)-1)^1+INDEX($K$388:$N$400,W191,3)*(2*(J191-$T$405)/(T191-$T$405)-1)^2</x:f>
        <x:v>135.32866672020805</x:v>
      </x:c>
      <x:c r="N191" s="8" t="n">
        <x:f>K191-M191</x:f>
        <x:v>-174.32866672020805</x:v>
      </x:c>
      <x:c r="O191" s="8" t="n">
        <x:f>ABS(N191)</x:f>
        <x:v>174.32866672020805</x:v>
      </x:c>
      <x:c r="P191" s="8" t="n">
        <x:f>N191^2</x:f>
        <x:v>30390.48404044537</x:v>
      </x:c>
      <x:c r="Q191" s="8" t="n">
        <x:f>K191-L191</x:f>
        <x:v>-5</x:v>
      </x:c>
      <x:c r="R191" s="9" t="n">
        <x:f>IF(AND(INDEX('Сводка'!$T$3:$T$397,U191)=0,INDEX('Сводка'!$T$3:$T$397,V191)=0),1,0)</x:f>
        <x:v>1</x:v>
      </x:c>
      <x:c r="S191" s="9" t="n">
        <x:f>IF(AND(R191=1,O191&lt;=$G$13),1,0)</x:f>
        <x:v>0</x:v>
      </x:c>
      <x:c r="T191" s="10" t="n">
        <x:f>EOMONTH(J191-'Сводка'!$B$11,-1)</x:f>
        <x:v>46022</x:v>
      </x:c>
      <x:c r="U191" s="4" t="n">
        <x:f>MATCH(J191,'Сводка'!$R$3:$R$397,0)</x:f>
        <x:v>202</x:v>
      </x:c>
      <x:c r="V191" s="4" t="n">
        <x:f>MATCH(J191-'Сводка'!$B$11,'Сводка'!$R$3:$R$397,0)</x:f>
        <x:v>201</x:v>
      </x:c>
      <x:c r="W191" s="4" t="n">
        <x:f>MATCH(T191,$J$388:$J$400,0)</x:f>
        <x:v>7</x:v>
      </x:c>
      <x:c r="X191" s="3"/>
      <x:c r="Y191" s="3"/>
      <x:c r="Z191" s="3"/>
    </x:row>
    <x:row r="192" ht="15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10" t="n">
        <x:v>46043</x:v>
      </x:c>
      <x:c r="K192" s="8" t="n">
        <x:f>INDEX('Сводка'!$S$3:$S$397,U192)</x:f>
        <x:v>-41</x:v>
      </x:c>
      <x:c r="L192" s="8" t="n">
        <x:f>INDEX('Сводка'!$S$3:$S$397,V192)</x:f>
        <x:v>-39</x:v>
      </x:c>
      <x:c r="M192" s="8" t="n">
        <x:f>INDEX($K$388:$N$400,W192,1)+INDEX($K$388:$N$400,W192,2)*(2*(J192-$T$405)/(T192-$T$405)-1)^1+INDEX($K$388:$N$400,W192,3)*(2*(J192-$T$405)/(T192-$T$405)-1)^2</x:f>
        <x:v>135.32756169919278</x:v>
      </x:c>
      <x:c r="N192" s="8" t="n">
        <x:f>K192-M192</x:f>
        <x:v>-176.32756169919278</x:v>
      </x:c>
      <x:c r="O192" s="8" t="n">
        <x:f>ABS(N192)</x:f>
        <x:v>176.32756169919278</x:v>
      </x:c>
      <x:c r="P192" s="8" t="n">
        <x:f>N192^2</x:f>
        <x:v>31091.40901478264</x:v>
      </x:c>
      <x:c r="Q192" s="8" t="n">
        <x:f>K192-L192</x:f>
        <x:v>-2</x:v>
      </x:c>
      <x:c r="R192" s="9" t="n">
        <x:f>IF(AND(INDEX('Сводка'!$T$3:$T$397,U192)=0,INDEX('Сводка'!$T$3:$T$397,V192)=0),1,0)</x:f>
        <x:v>1</x:v>
      </x:c>
      <x:c r="S192" s="9" t="n">
        <x:f>IF(AND(R192=1,O192&lt;=$G$13),1,0)</x:f>
        <x:v>0</x:v>
      </x:c>
      <x:c r="T192" s="10" t="n">
        <x:f>EOMONTH(J192-'Сводка'!$B$11,-1)</x:f>
        <x:v>46022</x:v>
      </x:c>
      <x:c r="U192" s="4" t="n">
        <x:f>MATCH(J192,'Сводка'!$R$3:$R$397,0)</x:f>
        <x:v>203</x:v>
      </x:c>
      <x:c r="V192" s="4" t="n">
        <x:f>MATCH(J192-'Сводка'!$B$11,'Сводка'!$R$3:$R$397,0)</x:f>
        <x:v>202</x:v>
      </x:c>
      <x:c r="W192" s="4" t="n">
        <x:f>MATCH(T192,$J$388:$J$400,0)</x:f>
        <x:v>7</x:v>
      </x:c>
      <x:c r="X192" s="3"/>
      <x:c r="Y192" s="3"/>
      <x:c r="Z192" s="3"/>
    </x:row>
    <x:row r="193" ht="15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10" t="n">
        <x:v>46044</x:v>
      </x:c>
      <x:c r="K193" s="8" t="n">
        <x:f>INDEX('Сводка'!$S$3:$S$397,U193)</x:f>
        <x:v>-41</x:v>
      </x:c>
      <x:c r="L193" s="8" t="n">
        <x:f>INDEX('Сводка'!$S$3:$S$397,V193)</x:f>
        <x:v>-41</x:v>
      </x:c>
      <x:c r="M193" s="8" t="n">
        <x:f>INDEX($K$388:$N$400,W193,1)+INDEX($K$388:$N$400,W193,2)*(2*(J193-$T$405)/(T193-$T$405)-1)^1+INDEX($K$388:$N$400,W193,3)*(2*(J193-$T$405)/(T193-$T$405)-1)^2</x:f>
        <x:v>135.32645118633405</x:v>
      </x:c>
      <x:c r="N193" s="8" t="n">
        <x:f>K193-M193</x:f>
        <x:v>-176.32645118633405</x:v>
      </x:c>
      <x:c r="O193" s="8" t="n">
        <x:f>ABS(N193)</x:f>
        <x:v>176.32645118633405</x:v>
      </x:c>
      <x:c r="P193" s="8" t="n">
        <x:f>N193^2</x:f>
        <x:v>31091.017387966647</x:v>
      </x:c>
      <x:c r="Q193" s="8" t="n">
        <x:f>K193-L193</x:f>
        <x:v>0</x:v>
      </x:c>
      <x:c r="R193" s="9" t="n">
        <x:f>IF(AND(INDEX('Сводка'!$T$3:$T$397,U193)=0,INDEX('Сводка'!$T$3:$T$397,V193)=0),1,0)</x:f>
        <x:v>1</x:v>
      </x:c>
      <x:c r="S193" s="9" t="n">
        <x:f>IF(AND(R193=1,O193&lt;=$G$13),1,0)</x:f>
        <x:v>0</x:v>
      </x:c>
      <x:c r="T193" s="10" t="n">
        <x:f>EOMONTH(J193-'Сводка'!$B$11,-1)</x:f>
        <x:v>46022</x:v>
      </x:c>
      <x:c r="U193" s="4" t="n">
        <x:f>MATCH(J193,'Сводка'!$R$3:$R$397,0)</x:f>
        <x:v>204</x:v>
      </x:c>
      <x:c r="V193" s="4" t="n">
        <x:f>MATCH(J193-'Сводка'!$B$11,'Сводка'!$R$3:$R$397,0)</x:f>
        <x:v>203</x:v>
      </x:c>
      <x:c r="W193" s="4" t="n">
        <x:f>MATCH(T193,$J$388:$J$400,0)</x:f>
        <x:v>7</x:v>
      </x:c>
      <x:c r="X193" s="3"/>
      <x:c r="Y193" s="3"/>
      <x:c r="Z193" s="3"/>
    </x:row>
    <x:row r="194" ht="15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10" t="n">
        <x:v>46045</x:v>
      </x:c>
      <x:c r="K194" s="8" t="n">
        <x:f>INDEX('Сводка'!$S$3:$S$397,U194)</x:f>
        <x:v>-37</x:v>
      </x:c>
      <x:c r="L194" s="8" t="n">
        <x:f>INDEX('Сводка'!$S$3:$S$397,V194)</x:f>
        <x:v>-41</x:v>
      </x:c>
      <x:c r="M194" s="8" t="n">
        <x:f>INDEX($K$388:$N$400,W194,1)+INDEX($K$388:$N$400,W194,2)*(2*(J194-$T$405)/(T194-$T$405)-1)^1+INDEX($K$388:$N$400,W194,3)*(2*(J194-$T$405)/(T194-$T$405)-1)^2</x:f>
        <x:v>135.3253351816318</x:v>
      </x:c>
      <x:c r="N194" s="8" t="n">
        <x:f>K194-M194</x:f>
        <x:v>-172.3253351816318</x:v>
      </x:c>
      <x:c r="O194" s="8" t="n">
        <x:f>ABS(N194)</x:f>
        <x:v>172.3253351816318</x:v>
      </x:c>
      <x:c r="P194" s="8" t="n">
        <x:f>N194^2</x:f>
        <x:v>29696.021145461746</x:v>
      </x:c>
      <x:c r="Q194" s="8" t="n">
        <x:f>K194-L194</x:f>
        <x:v>4</x:v>
      </x:c>
      <x:c r="R194" s="9" t="n">
        <x:f>IF(AND(INDEX('Сводка'!$T$3:$T$397,U194)=0,INDEX('Сводка'!$T$3:$T$397,V194)=0),1,0)</x:f>
        <x:v>1</x:v>
      </x:c>
      <x:c r="S194" s="9" t="n">
        <x:f>IF(AND(R194=1,O194&lt;=$G$13),1,0)</x:f>
        <x:v>0</x:v>
      </x:c>
      <x:c r="T194" s="10" t="n">
        <x:f>EOMONTH(J194-'Сводка'!$B$11,-1)</x:f>
        <x:v>46022</x:v>
      </x:c>
      <x:c r="U194" s="4" t="n">
        <x:f>MATCH(J194,'Сводка'!$R$3:$R$397,0)</x:f>
        <x:v>205</x:v>
      </x:c>
      <x:c r="V194" s="4" t="n">
        <x:f>MATCH(J194-'Сводка'!$B$11,'Сводка'!$R$3:$R$397,0)</x:f>
        <x:v>204</x:v>
      </x:c>
      <x:c r="W194" s="4" t="n">
        <x:f>MATCH(T194,$J$388:$J$400,0)</x:f>
        <x:v>7</x:v>
      </x:c>
      <x:c r="X194" s="3"/>
      <x:c r="Y194" s="3"/>
      <x:c r="Z194" s="3"/>
    </x:row>
    <x:row r="195" ht="15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10" t="n">
        <x:v>46046</x:v>
      </x:c>
      <x:c r="K195" s="8" t="n">
        <x:f>INDEX('Сводка'!$S$3:$S$397,U195)</x:f>
        <x:v>-39</x:v>
      </x:c>
      <x:c r="L195" s="8" t="n">
        <x:f>INDEX('Сводка'!$S$3:$S$397,V195)</x:f>
        <x:v>-37</x:v>
      </x:c>
      <x:c r="M195" s="8" t="n">
        <x:f>INDEX($K$388:$N$400,W195,1)+INDEX($K$388:$N$400,W195,2)*(2*(J195-$T$405)/(T195-$T$405)-1)^1+INDEX($K$388:$N$400,W195,3)*(2*(J195-$T$405)/(T195-$T$405)-1)^2</x:f>
        <x:v>135.32421368508608</x:v>
      </x:c>
      <x:c r="N195" s="8" t="n">
        <x:f>K195-M195</x:f>
        <x:v>-174.32421368508608</x:v>
      </x:c>
      <x:c r="O195" s="8" t="n">
        <x:f>ABS(N195)</x:f>
        <x:v>174.32421368508608</x:v>
      </x:c>
      <x:c r="P195" s="8" t="n">
        <x:f>N195^2</x:f>
        <x:v>30388.931476923553</x:v>
      </x:c>
      <x:c r="Q195" s="8" t="n">
        <x:f>K195-L195</x:f>
        <x:v>-2</x:v>
      </x:c>
      <x:c r="R195" s="9" t="n">
        <x:f>IF(AND(INDEX('Сводка'!$T$3:$T$397,U195)=0,INDEX('Сводка'!$T$3:$T$397,V195)=0),1,0)</x:f>
        <x:v>1</x:v>
      </x:c>
      <x:c r="S195" s="9" t="n">
        <x:f>IF(AND(R195=1,O195&lt;=$G$13),1,0)</x:f>
        <x:v>0</x:v>
      </x:c>
      <x:c r="T195" s="10" t="n">
        <x:f>EOMONTH(J195-'Сводка'!$B$11,-1)</x:f>
        <x:v>46022</x:v>
      </x:c>
      <x:c r="U195" s="4" t="n">
        <x:f>MATCH(J195,'Сводка'!$R$3:$R$397,0)</x:f>
        <x:v>206</x:v>
      </x:c>
      <x:c r="V195" s="4" t="n">
        <x:f>MATCH(J195-'Сводка'!$B$11,'Сводка'!$R$3:$R$397,0)</x:f>
        <x:v>205</x:v>
      </x:c>
      <x:c r="W195" s="4" t="n">
        <x:f>MATCH(T195,$J$388:$J$400,0)</x:f>
        <x:v>7</x:v>
      </x:c>
      <x:c r="X195" s="3"/>
      <x:c r="Y195" s="3"/>
      <x:c r="Z195" s="3"/>
    </x:row>
    <x:row r="196" ht="15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10" t="n">
        <x:v>46047</x:v>
      </x:c>
      <x:c r="K196" s="8" t="n">
        <x:f>INDEX('Сводка'!$S$3:$S$397,U196)</x:f>
        <x:v>-36</x:v>
      </x:c>
      <x:c r="L196" s="8" t="n">
        <x:f>INDEX('Сводка'!$S$3:$S$397,V196)</x:f>
        <x:v>-39</x:v>
      </x:c>
      <x:c r="M196" s="8" t="n">
        <x:f>INDEX($K$388:$N$400,W196,1)+INDEX($K$388:$N$400,W196,2)*(2*(J196-$T$405)/(T196-$T$405)-1)^1+INDEX($K$388:$N$400,W196,3)*(2*(J196-$T$405)/(T196-$T$405)-1)^2</x:f>
        <x:v>135.32308669669686</x:v>
      </x:c>
      <x:c r="N196" s="8" t="n">
        <x:f>K196-M196</x:f>
        <x:v>-171.32308669669686</x:v>
      </x:c>
      <x:c r="O196" s="8" t="n">
        <x:f>ABS(N196)</x:f>
        <x:v>171.32308669669686</x:v>
      </x:c>
      <x:c r="P196" s="8" t="n">
        <x:f>N196^2</x:f>
        <x:v>29351.60003528391</x:v>
      </x:c>
      <x:c r="Q196" s="8" t="n">
        <x:f>K196-L196</x:f>
        <x:v>3</x:v>
      </x:c>
      <x:c r="R196" s="9" t="n">
        <x:f>IF(AND(INDEX('Сводка'!$T$3:$T$397,U196)=0,INDEX('Сводка'!$T$3:$T$397,V196)=0),1,0)</x:f>
        <x:v>1</x:v>
      </x:c>
      <x:c r="S196" s="9" t="n">
        <x:f>IF(AND(R196=1,O196&lt;=$G$13),1,0)</x:f>
        <x:v>0</x:v>
      </x:c>
      <x:c r="T196" s="10" t="n">
        <x:f>EOMONTH(J196-'Сводка'!$B$11,-1)</x:f>
        <x:v>46022</x:v>
      </x:c>
      <x:c r="U196" s="4" t="n">
        <x:f>MATCH(J196,'Сводка'!$R$3:$R$397,0)</x:f>
        <x:v>207</x:v>
      </x:c>
      <x:c r="V196" s="4" t="n">
        <x:f>MATCH(J196-'Сводка'!$B$11,'Сводка'!$R$3:$R$397,0)</x:f>
        <x:v>206</x:v>
      </x:c>
      <x:c r="W196" s="4" t="n">
        <x:f>MATCH(T196,$J$388:$J$400,0)</x:f>
        <x:v>7</x:v>
      </x:c>
      <x:c r="X196" s="3"/>
      <x:c r="Y196" s="3"/>
      <x:c r="Z196" s="3"/>
    </x:row>
    <x:row r="197" ht="15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10" t="n">
        <x:v>46048</x:v>
      </x:c>
      <x:c r="K197" s="8" t="n">
        <x:f>INDEX('Сводка'!$S$3:$S$397,U197)</x:f>
        <x:v>-36</x:v>
      </x:c>
      <x:c r="L197" s="8" t="n">
        <x:f>INDEX('Сводка'!$S$3:$S$397,V197)</x:f>
        <x:v>-36</x:v>
      </x:c>
      <x:c r="M197" s="8" t="n">
        <x:f>INDEX($K$388:$N$400,W197,1)+INDEX($K$388:$N$400,W197,2)*(2*(J197-$T$405)/(T197-$T$405)-1)^1+INDEX($K$388:$N$400,W197,3)*(2*(J197-$T$405)/(T197-$T$405)-1)^2</x:f>
        <x:v>135.32195421646412</x:v>
      </x:c>
      <x:c r="N197" s="8" t="n">
        <x:f>K197-M197</x:f>
        <x:v>-171.32195421646412</x:v>
      </x:c>
      <x:c r="O197" s="8" t="n">
        <x:f>ABS(N197)</x:f>
        <x:v>171.32195421646412</x:v>
      </x:c>
      <x:c r="P197" s="8" t="n">
        <x:f>N197^2</x:f>
        <x:v>29351.211996548227</x:v>
      </x:c>
      <x:c r="Q197" s="8" t="n">
        <x:f>K197-L197</x:f>
        <x:v>0</x:v>
      </x:c>
      <x:c r="R197" s="9" t="n">
        <x:f>IF(AND(INDEX('Сводка'!$T$3:$T$397,U197)=0,INDEX('Сводка'!$T$3:$T$397,V197)=0),1,0)</x:f>
        <x:v>1</x:v>
      </x:c>
      <x:c r="S197" s="9" t="n">
        <x:f>IF(AND(R197=1,O197&lt;=$G$13),1,0)</x:f>
        <x:v>0</x:v>
      </x:c>
      <x:c r="T197" s="10" t="n">
        <x:f>EOMONTH(J197-'Сводка'!$B$11,-1)</x:f>
        <x:v>46022</x:v>
      </x:c>
      <x:c r="U197" s="4" t="n">
        <x:f>MATCH(J197,'Сводка'!$R$3:$R$397,0)</x:f>
        <x:v>208</x:v>
      </x:c>
      <x:c r="V197" s="4" t="n">
        <x:f>MATCH(J197-'Сводка'!$B$11,'Сводка'!$R$3:$R$397,0)</x:f>
        <x:v>207</x:v>
      </x:c>
      <x:c r="W197" s="4" t="n">
        <x:f>MATCH(T197,$J$388:$J$400,0)</x:f>
        <x:v>7</x:v>
      </x:c>
      <x:c r="X197" s="3"/>
      <x:c r="Y197" s="3"/>
      <x:c r="Z197" s="3"/>
    </x:row>
    <x:row r="198" ht="15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10" t="n">
        <x:v>46049</x:v>
      </x:c>
      <x:c r="K198" s="8" t="n">
        <x:f>INDEX('Сводка'!$S$3:$S$397,U198)</x:f>
        <x:v>-38</x:v>
      </x:c>
      <x:c r="L198" s="8" t="n">
        <x:f>INDEX('Сводка'!$S$3:$S$397,V198)</x:f>
        <x:v>-36</x:v>
      </x:c>
      <x:c r="M198" s="8" t="n">
        <x:f>INDEX($K$388:$N$400,W198,1)+INDEX($K$388:$N$400,W198,2)*(2*(J198-$T$405)/(T198-$T$405)-1)^1+INDEX($K$388:$N$400,W198,3)*(2*(J198-$T$405)/(T198-$T$405)-1)^2</x:f>
        <x:v>135.3208162443879</x:v>
      </x:c>
      <x:c r="N198" s="8" t="n">
        <x:f>K198-M198</x:f>
        <x:v>-173.3208162443879</x:v>
      </x:c>
      <x:c r="O198" s="8" t="n">
        <x:f>ABS(N198)</x:f>
        <x:v>173.3208162443879</x:v>
      </x:c>
      <x:c r="P198" s="8" t="n">
        <x:f>N198^2</x:f>
        <x:v>30040.105343620882</x:v>
      </x:c>
      <x:c r="Q198" s="8" t="n">
        <x:f>K198-L198</x:f>
        <x:v>-2</x:v>
      </x:c>
      <x:c r="R198" s="9" t="n">
        <x:f>IF(AND(INDEX('Сводка'!$T$3:$T$397,U198)=0,INDEX('Сводка'!$T$3:$T$397,V198)=0),1,0)</x:f>
        <x:v>1</x:v>
      </x:c>
      <x:c r="S198" s="9" t="n">
        <x:f>IF(AND(R198=1,O198&lt;=$G$13),1,0)</x:f>
        <x:v>0</x:v>
      </x:c>
      <x:c r="T198" s="10" t="n">
        <x:f>EOMONTH(J198-'Сводка'!$B$11,-1)</x:f>
        <x:v>46022</x:v>
      </x:c>
      <x:c r="U198" s="4" t="n">
        <x:f>MATCH(J198,'Сводка'!$R$3:$R$397,0)</x:f>
        <x:v>209</x:v>
      </x:c>
      <x:c r="V198" s="4" t="n">
        <x:f>MATCH(J198-'Сводка'!$B$11,'Сводка'!$R$3:$R$397,0)</x:f>
        <x:v>208</x:v>
      </x:c>
      <x:c r="W198" s="4" t="n">
        <x:f>MATCH(T198,$J$388:$J$400,0)</x:f>
        <x:v>7</x:v>
      </x:c>
      <x:c r="X198" s="3"/>
      <x:c r="Y198" s="3"/>
      <x:c r="Z198" s="3"/>
    </x:row>
    <x:row r="199" ht="15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10" t="n">
        <x:v>46050</x:v>
      </x:c>
      <x:c r="K199" s="8" t="n">
        <x:f>INDEX('Сводка'!$S$3:$S$397,U199)</x:f>
        <x:v>-33</x:v>
      </x:c>
      <x:c r="L199" s="8" t="n">
        <x:f>INDEX('Сводка'!$S$3:$S$397,V199)</x:f>
        <x:v>-38</x:v>
      </x:c>
      <x:c r="M199" s="8" t="n">
        <x:f>INDEX($K$388:$N$400,W199,1)+INDEX($K$388:$N$400,W199,2)*(2*(J199-$T$405)/(T199-$T$405)-1)^1+INDEX($K$388:$N$400,W199,3)*(2*(J199-$T$405)/(T199-$T$405)-1)^2</x:f>
        <x:v>135.3196727804682</x:v>
      </x:c>
      <x:c r="N199" s="8" t="n">
        <x:f>K199-M199</x:f>
        <x:v>-168.3196727804682</x:v>
      </x:c>
      <x:c r="O199" s="8" t="n">
        <x:f>ABS(N199)</x:f>
        <x:v>168.3196727804682</x:v>
      </x:c>
      <x:c r="P199" s="8" t="n">
        <x:f>N199^2</x:f>
        <x:v>28331.51224492389</x:v>
      </x:c>
      <x:c r="Q199" s="8" t="n">
        <x:f>K199-L199</x:f>
        <x:v>5</x:v>
      </x:c>
      <x:c r="R199" s="9" t="n">
        <x:f>IF(AND(INDEX('Сводка'!$T$3:$T$397,U199)=0,INDEX('Сводка'!$T$3:$T$397,V199)=0),1,0)</x:f>
        <x:v>1</x:v>
      </x:c>
      <x:c r="S199" s="9" t="n">
        <x:f>IF(AND(R199=1,O199&lt;=$G$13),1,0)</x:f>
        <x:v>0</x:v>
      </x:c>
      <x:c r="T199" s="10" t="n">
        <x:f>EOMONTH(J199-'Сводка'!$B$11,-1)</x:f>
        <x:v>46022</x:v>
      </x:c>
      <x:c r="U199" s="4" t="n">
        <x:f>MATCH(J199,'Сводка'!$R$3:$R$397,0)</x:f>
        <x:v>210</x:v>
      </x:c>
      <x:c r="V199" s="4" t="n">
        <x:f>MATCH(J199-'Сводка'!$B$11,'Сводка'!$R$3:$R$397,0)</x:f>
        <x:v>209</x:v>
      </x:c>
      <x:c r="W199" s="4" t="n">
        <x:f>MATCH(T199,$J$388:$J$400,0)</x:f>
        <x:v>7</x:v>
      </x:c>
      <x:c r="X199" s="3"/>
      <x:c r="Y199" s="3"/>
      <x:c r="Z199" s="3"/>
    </x:row>
    <x:row r="200" ht="15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10" t="n">
        <x:v>46051</x:v>
      </x:c>
      <x:c r="K200" s="8" t="n">
        <x:f>INDEX('Сводка'!$S$3:$S$397,U200)</x:f>
        <x:v>-33</x:v>
      </x:c>
      <x:c r="L200" s="8" t="n">
        <x:f>INDEX('Сводка'!$S$3:$S$397,V200)</x:f>
        <x:v>-33</x:v>
      </x:c>
      <x:c r="M200" s="8" t="n">
        <x:f>INDEX($K$388:$N$400,W200,1)+INDEX($K$388:$N$400,W200,2)*(2*(J200-$T$405)/(T200-$T$405)-1)^1+INDEX($K$388:$N$400,W200,3)*(2*(J200-$T$405)/(T200-$T$405)-1)^2</x:f>
        <x:v>135.31852382470504</x:v>
      </x:c>
      <x:c r="N200" s="8" t="n">
        <x:f>K200-M200</x:f>
        <x:v>-168.31852382470504</x:v>
      </x:c>
      <x:c r="O200" s="8" t="n">
        <x:f>ABS(N200)</x:f>
        <x:v>168.31852382470504</x:v>
      </x:c>
      <x:c r="P200" s="8" t="n">
        <x:f>N200^2</x:f>
        <x:v>28331.125462527798</x:v>
      </x:c>
      <x:c r="Q200" s="8" t="n">
        <x:f>K200-L200</x:f>
        <x:v>0</x:v>
      </x:c>
      <x:c r="R200" s="9" t="n">
        <x:f>IF(AND(INDEX('Сводка'!$T$3:$T$397,U200)=0,INDEX('Сводка'!$T$3:$T$397,V200)=0),1,0)</x:f>
        <x:v>1</x:v>
      </x:c>
      <x:c r="S200" s="9" t="n">
        <x:f>IF(AND(R200=1,O200&lt;=$G$13),1,0)</x:f>
        <x:v>0</x:v>
      </x:c>
      <x:c r="T200" s="10" t="n">
        <x:f>EOMONTH(J200-'Сводка'!$B$11,-1)</x:f>
        <x:v>46022</x:v>
      </x:c>
      <x:c r="U200" s="4" t="n">
        <x:f>MATCH(J200,'Сводка'!$R$3:$R$397,0)</x:f>
        <x:v>211</x:v>
      </x:c>
      <x:c r="V200" s="4" t="n">
        <x:f>MATCH(J200-'Сводка'!$B$11,'Сводка'!$R$3:$R$397,0)</x:f>
        <x:v>210</x:v>
      </x:c>
      <x:c r="W200" s="4" t="n">
        <x:f>MATCH(T200,$J$388:$J$400,0)</x:f>
        <x:v>7</x:v>
      </x:c>
      <x:c r="X200" s="3"/>
      <x:c r="Y200" s="3"/>
      <x:c r="Z200" s="3"/>
    </x:row>
    <x:row r="201" ht="15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10" t="n">
        <x:v>46052</x:v>
      </x:c>
      <x:c r="K201" s="8" t="n">
        <x:f>INDEX('Сводка'!$S$3:$S$397,U201)</x:f>
        <x:v>-36</x:v>
      </x:c>
      <x:c r="L201" s="8" t="n">
        <x:f>INDEX('Сводка'!$S$3:$S$397,V201)</x:f>
        <x:v>-33</x:v>
      </x:c>
      <x:c r="M201" s="8" t="n">
        <x:f>INDEX($K$388:$N$400,W201,1)+INDEX($K$388:$N$400,W201,2)*(2*(J201-$T$405)/(T201-$T$405)-1)^1+INDEX($K$388:$N$400,W201,3)*(2*(J201-$T$405)/(T201-$T$405)-1)^2</x:f>
        <x:v>135.31736937709832</x:v>
      </x:c>
      <x:c r="N201" s="8" t="n">
        <x:f>K201-M201</x:f>
        <x:v>-171.31736937709832</x:v>
      </x:c>
      <x:c r="O201" s="8" t="n">
        <x:f>ABS(N201)</x:f>
        <x:v>171.31736937709832</x:v>
      </x:c>
      <x:c r="P201" s="8" t="n">
        <x:f>N201^2</x:f>
        <x:v>29349.641050289145</x:v>
      </x:c>
      <x:c r="Q201" s="8" t="n">
        <x:f>K201-L201</x:f>
        <x:v>-3</x:v>
      </x:c>
      <x:c r="R201" s="9" t="n">
        <x:f>IF(AND(INDEX('Сводка'!$T$3:$T$397,U201)=0,INDEX('Сводка'!$T$3:$T$397,V201)=0),1,0)</x:f>
        <x:v>1</x:v>
      </x:c>
      <x:c r="S201" s="9" t="n">
        <x:f>IF(AND(R201=1,O201&lt;=$G$13),1,0)</x:f>
        <x:v>0</x:v>
      </x:c>
      <x:c r="T201" s="10" t="n">
        <x:f>EOMONTH(J201-'Сводка'!$B$11,-1)</x:f>
        <x:v>46022</x:v>
      </x:c>
      <x:c r="U201" s="4" t="n">
        <x:f>MATCH(J201,'Сводка'!$R$3:$R$397,0)</x:f>
        <x:v>212</x:v>
      </x:c>
      <x:c r="V201" s="4" t="n">
        <x:f>MATCH(J201-'Сводка'!$B$11,'Сводка'!$R$3:$R$397,0)</x:f>
        <x:v>211</x:v>
      </x:c>
      <x:c r="W201" s="4" t="n">
        <x:f>MATCH(T201,$J$388:$J$400,0)</x:f>
        <x:v>7</x:v>
      </x:c>
      <x:c r="X201" s="3"/>
      <x:c r="Y201" s="3"/>
      <x:c r="Z201" s="3"/>
    </x:row>
    <x:row r="202" ht="15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10" t="n">
        <x:v>46053</x:v>
      </x:c>
      <x:c r="K202" s="8" t="n">
        <x:f>INDEX('Сводка'!$S$3:$S$397,U202)</x:f>
        <x:v>-32</x:v>
      </x:c>
      <x:c r="L202" s="8" t="n">
        <x:f>INDEX('Сводка'!$S$3:$S$397,V202)</x:f>
        <x:v>-36</x:v>
      </x:c>
      <x:c r="M202" s="8" t="n">
        <x:f>INDEX($K$388:$N$400,W202,1)+INDEX($K$388:$N$400,W202,2)*(2*(J202-$T$405)/(T202-$T$405)-1)^1+INDEX($K$388:$N$400,W202,3)*(2*(J202-$T$405)/(T202-$T$405)-1)^2</x:f>
        <x:v>135.31620943764813</x:v>
      </x:c>
      <x:c r="N202" s="8" t="n">
        <x:f>K202-M202</x:f>
        <x:v>-167.31620943764813</x:v>
      </x:c>
      <x:c r="O202" s="8" t="n">
        <x:f>ABS(N202)</x:f>
        <x:v>167.31620943764813</x:v>
      </x:c>
      <x:c r="P202" s="8" t="n">
        <x:f>N202^2</x:f>
        <x:v>27994.713940582933</x:v>
      </x:c>
      <x:c r="Q202" s="8" t="n">
        <x:f>K202-L202</x:f>
        <x:v>4</x:v>
      </x:c>
      <x:c r="R202" s="9" t="n">
        <x:f>IF(AND(INDEX('Сводка'!$T$3:$T$397,U202)=0,INDEX('Сводка'!$T$3:$T$397,V202)=0),1,0)</x:f>
        <x:v>1</x:v>
      </x:c>
      <x:c r="S202" s="9" t="n">
        <x:f>IF(AND(R202=1,O202&lt;=$G$13),1,0)</x:f>
        <x:v>0</x:v>
      </x:c>
      <x:c r="T202" s="10" t="n">
        <x:f>EOMONTH(J202-'Сводка'!$B$11,-1)</x:f>
        <x:v>46022</x:v>
      </x:c>
      <x:c r="U202" s="4" t="n">
        <x:f>MATCH(J202,'Сводка'!$R$3:$R$397,0)</x:f>
        <x:v>213</x:v>
      </x:c>
      <x:c r="V202" s="4" t="n">
        <x:f>MATCH(J202-'Сводка'!$B$11,'Сводка'!$R$3:$R$397,0)</x:f>
        <x:v>212</x:v>
      </x:c>
      <x:c r="W202" s="4" t="n">
        <x:f>MATCH(T202,$J$388:$J$400,0)</x:f>
        <x:v>7</x:v>
      </x:c>
      <x:c r="X202" s="3"/>
      <x:c r="Y202" s="3"/>
      <x:c r="Z202" s="3"/>
    </x:row>
    <x:row r="203" ht="15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10" t="n">
        <x:v>46054</x:v>
      </x:c>
      <x:c r="K203" s="8" t="n">
        <x:f>INDEX('Сводка'!$S$3:$S$397,U203)</x:f>
        <x:v>-34</x:v>
      </x:c>
      <x:c r="L203" s="8" t="n">
        <x:f>INDEX('Сводка'!$S$3:$S$397,V203)</x:f>
        <x:v>-32</x:v>
      </x:c>
      <x:c r="M203" s="8" t="n">
        <x:f>INDEX($K$388:$N$400,W203,1)+INDEX($K$388:$N$400,W203,2)*(2*(J203-$T$405)/(T203-$T$405)-1)^1+INDEX($K$388:$N$400,W203,3)*(2*(J203-$T$405)/(T203-$T$405)-1)^2</x:f>
        <x:v>135.31504400635447</x:v>
      </x:c>
      <x:c r="N203" s="8" t="n">
        <x:f>K203-M203</x:f>
        <x:v>-169.31504400635447</x:v>
      </x:c>
      <x:c r="O203" s="8" t="n">
        <x:f>ABS(N203)</x:f>
        <x:v>169.31504400635447</x:v>
      </x:c>
      <x:c r="P203" s="8" t="n">
        <x:f>N203^2</x:f>
        <x:v>28667.58412687375</x:v>
      </x:c>
      <x:c r="Q203" s="8" t="n">
        <x:f>K203-L203</x:f>
        <x:v>-2</x:v>
      </x:c>
      <x:c r="R203" s="9" t="n">
        <x:f>IF(AND(INDEX('Сводка'!$T$3:$T$397,U203)=0,INDEX('Сводка'!$T$3:$T$397,V203)=0),1,0)</x:f>
        <x:v>1</x:v>
      </x:c>
      <x:c r="S203" s="9" t="n">
        <x:f>IF(AND(R203=1,O203&lt;=$G$13),1,0)</x:f>
        <x:v>0</x:v>
      </x:c>
      <x:c r="T203" s="10" t="n">
        <x:f>EOMONTH(J203-'Сводка'!$B$11,-1)</x:f>
        <x:v>46022</x:v>
      </x:c>
      <x:c r="U203" s="4" t="n">
        <x:f>MATCH(J203,'Сводка'!$R$3:$R$397,0)</x:f>
        <x:v>214</x:v>
      </x:c>
      <x:c r="V203" s="4" t="n">
        <x:f>MATCH(J203-'Сводка'!$B$11,'Сводка'!$R$3:$R$397,0)</x:f>
        <x:v>213</x:v>
      </x:c>
      <x:c r="W203" s="4" t="n">
        <x:f>MATCH(T203,$J$388:$J$400,0)</x:f>
        <x:v>7</x:v>
      </x:c>
      <x:c r="X203" s="3"/>
      <x:c r="Y203" s="3"/>
      <x:c r="Z203" s="3"/>
    </x:row>
    <x:row r="204" ht="15" customHeight="1">
      <x:c r="A204" s="3"/>
      <x:c r="B204" s="3"/>
      <x:c r="C204" s="3"/>
      <x:c r="D204" s="3"/>
      <x:c r="E204" s="3"/>
      <x:c r="F204" s="3"/>
      <x:c r="G204" s="3"/>
      <x:c r="H204" s="3"/>
      <x:c r="I204" s="3"/>
      <x:c r="J204" s="10" t="n">
        <x:v>46055</x:v>
      </x:c>
      <x:c r="K204" s="8" t="n">
        <x:f>INDEX('Сводка'!$S$3:$S$397,U204)</x:f>
        <x:v>-33</x:v>
      </x:c>
      <x:c r="L204" s="8" t="n">
        <x:f>INDEX('Сводка'!$S$3:$S$397,V204)</x:f>
        <x:v>-34</x:v>
      </x:c>
      <x:c r="M204" s="8" t="n">
        <x:f>INDEX($K$388:$N$400,W204,1)+INDEX($K$388:$N$400,W204,2)*(2*(J204-$T$405)/(T204-$T$405)-1)^1+INDEX($K$388:$N$400,W204,3)*(2*(J204-$T$405)/(T204-$T$405)-1)^2</x:f>
        <x:v>129.8441560113032</x:v>
      </x:c>
      <x:c r="N204" s="8" t="n">
        <x:f>K204-M204</x:f>
        <x:v>-162.8441560113032</x:v>
      </x:c>
      <x:c r="O204" s="8" t="n">
        <x:f>ABS(N204)</x:f>
        <x:v>162.8441560113032</x:v>
      </x:c>
      <x:c r="P204" s="8" t="n">
        <x:f>N204^2</x:f>
        <x:v>26518.219147033655</x:v>
      </x:c>
      <x:c r="Q204" s="8" t="n">
        <x:f>K204-L204</x:f>
        <x:v>1</x:v>
      </x:c>
      <x:c r="R204" s="9" t="n">
        <x:f>IF(AND(INDEX('Сводка'!$T$3:$T$397,U204)=0,INDEX('Сводка'!$T$3:$T$397,V204)=0),1,0)</x:f>
        <x:v>1</x:v>
      </x:c>
      <x:c r="S204" s="9" t="n">
        <x:f>IF(AND(R204=1,O204&lt;=$G$13),1,0)</x:f>
        <x:v>0</x:v>
      </x:c>
      <x:c r="T204" s="10" t="n">
        <x:f>EOMONTH(J204-'Сводка'!$B$11,-1)</x:f>
        <x:v>46053</x:v>
      </x:c>
      <x:c r="U204" s="4" t="n">
        <x:f>MATCH(J204,'Сводка'!$R$3:$R$397,0)</x:f>
        <x:v>215</x:v>
      </x:c>
      <x:c r="V204" s="4" t="n">
        <x:f>MATCH(J204-'Сводка'!$B$11,'Сводка'!$R$3:$R$397,0)</x:f>
        <x:v>214</x:v>
      </x:c>
      <x:c r="W204" s="4" t="n">
        <x:f>MATCH(T204,$J$388:$J$400,0)</x:f>
        <x:v>8</x:v>
      </x:c>
      <x:c r="X204" s="3"/>
      <x:c r="Y204" s="3"/>
      <x:c r="Z204" s="3"/>
    </x:row>
    <x:row r="205" ht="15" customHeight="1">
      <x:c r="A205" s="3"/>
      <x:c r="B205" s="3"/>
      <x:c r="C205" s="3"/>
      <x:c r="D205" s="3"/>
      <x:c r="E205" s="3"/>
      <x:c r="F205" s="3"/>
      <x:c r="G205" s="3"/>
      <x:c r="H205" s="3"/>
      <x:c r="I205" s="3"/>
      <x:c r="J205" s="10" t="n">
        <x:v>46056</x:v>
      </x:c>
      <x:c r="K205" s="8" t="n">
        <x:f>INDEX('Сводка'!$S$3:$S$397,U205)</x:f>
        <x:v>-36</x:v>
      </x:c>
      <x:c r="L205" s="8" t="n">
        <x:f>INDEX('Сводка'!$S$3:$S$397,V205)</x:f>
        <x:v>-33</x:v>
      </x:c>
      <x:c r="M205" s="8" t="n">
        <x:f>INDEX($K$388:$N$400,W205,1)+INDEX($K$388:$N$400,W205,2)*(2*(J205-$T$405)/(T205-$T$405)-1)^1+INDEX($K$388:$N$400,W205,3)*(2*(J205-$T$405)/(T205-$T$405)-1)^2</x:f>
        <x:v>129.84054676601335</x:v>
      </x:c>
      <x:c r="N205" s="8" t="n">
        <x:f>K205-M205</x:f>
        <x:v>-165.84054676601335</x:v>
      </x:c>
      <x:c r="O205" s="8" t="n">
        <x:f>ABS(N205)</x:f>
        <x:v>165.84054676601335</x:v>
      </x:c>
      <x:c r="P205" s="8" t="n">
        <x:f>N205^2</x:f>
        <x:v>27503.08695165026</x:v>
      </x:c>
      <x:c r="Q205" s="8" t="n">
        <x:f>K205-L205</x:f>
        <x:v>-3</x:v>
      </x:c>
      <x:c r="R205" s="9" t="n">
        <x:f>IF(AND(INDEX('Сводка'!$T$3:$T$397,U205)=0,INDEX('Сводка'!$T$3:$T$397,V205)=0),1,0)</x:f>
        <x:v>1</x:v>
      </x:c>
      <x:c r="S205" s="9" t="n">
        <x:f>IF(AND(R205=1,O205&lt;=$G$13),1,0)</x:f>
        <x:v>0</x:v>
      </x:c>
      <x:c r="T205" s="10" t="n">
        <x:f>EOMONTH(J205-'Сводка'!$B$11,-1)</x:f>
        <x:v>46053</x:v>
      </x:c>
      <x:c r="U205" s="4" t="n">
        <x:f>MATCH(J205,'Сводка'!$R$3:$R$397,0)</x:f>
        <x:v>216</x:v>
      </x:c>
      <x:c r="V205" s="4" t="n">
        <x:f>MATCH(J205-'Сводка'!$B$11,'Сводка'!$R$3:$R$397,0)</x:f>
        <x:v>215</x:v>
      </x:c>
      <x:c r="W205" s="4" t="n">
        <x:f>MATCH(T205,$J$388:$J$400,0)</x:f>
        <x:v>8</x:v>
      </x:c>
      <x:c r="X205" s="3"/>
      <x:c r="Y205" s="3"/>
      <x:c r="Z205" s="3"/>
    </x:row>
    <x:row r="206" ht="15" customHeight="1">
      <x:c r="A206" s="3"/>
      <x:c r="B206" s="3"/>
      <x:c r="C206" s="3"/>
      <x:c r="D206" s="3"/>
      <x:c r="E206" s="3"/>
      <x:c r="F206" s="3"/>
      <x:c r="G206" s="3"/>
      <x:c r="H206" s="3"/>
      <x:c r="I206" s="3"/>
      <x:c r="J206" s="10" t="n">
        <x:v>46057</x:v>
      </x:c>
      <x:c r="K206" s="8" t="n">
        <x:f>INDEX('Сводка'!$S$3:$S$397,U206)</x:f>
        <x:v>-34</x:v>
      </x:c>
      <x:c r="L206" s="8" t="n">
        <x:f>INDEX('Сводка'!$S$3:$S$397,V206)</x:f>
        <x:v>-36</x:v>
      </x:c>
      <x:c r="M206" s="8" t="n">
        <x:f>INDEX($K$388:$N$400,W206,1)+INDEX($K$388:$N$400,W206,2)*(2*(J206-$T$405)/(T206-$T$405)-1)^1+INDEX($K$388:$N$400,W206,3)*(2*(J206-$T$405)/(T206-$T$405)-1)^2</x:f>
        <x:v>129.83693157254606</x:v>
      </x:c>
      <x:c r="N206" s="8" t="n">
        <x:f>K206-M206</x:f>
        <x:v>-163.83693157254606</x:v>
      </x:c>
      <x:c r="O206" s="8" t="n">
        <x:f>ABS(N206)</x:f>
        <x:v>163.83693157254606</x:v>
      </x:c>
      <x:c r="P206" s="8" t="n">
        <x:f>N206^2</x:f>
        <x:v>26842.540147107142</x:v>
      </x:c>
      <x:c r="Q206" s="8" t="n">
        <x:f>K206-L206</x:f>
        <x:v>2</x:v>
      </x:c>
      <x:c r="R206" s="9" t="n">
        <x:f>IF(AND(INDEX('Сводка'!$T$3:$T$397,U206)=0,INDEX('Сводка'!$T$3:$T$397,V206)=0),1,0)</x:f>
        <x:v>1</x:v>
      </x:c>
      <x:c r="S206" s="9" t="n">
        <x:f>IF(AND(R206=1,O206&lt;=$G$13),1,0)</x:f>
        <x:v>0</x:v>
      </x:c>
      <x:c r="T206" s="10" t="n">
        <x:f>EOMONTH(J206-'Сводка'!$B$11,-1)</x:f>
        <x:v>46053</x:v>
      </x:c>
      <x:c r="U206" s="4" t="n">
        <x:f>MATCH(J206,'Сводка'!$R$3:$R$397,0)</x:f>
        <x:v>217</x:v>
      </x:c>
      <x:c r="V206" s="4" t="n">
        <x:f>MATCH(J206-'Сводка'!$B$11,'Сводка'!$R$3:$R$397,0)</x:f>
        <x:v>216</x:v>
      </x:c>
      <x:c r="W206" s="4" t="n">
        <x:f>MATCH(T206,$J$388:$J$400,0)</x:f>
        <x:v>8</x:v>
      </x:c>
      <x:c r="X206" s="3"/>
      <x:c r="Y206" s="3"/>
      <x:c r="Z206" s="3"/>
    </x:row>
    <x:row r="207" ht="15" customHeight="1">
      <x:c r="A207" s="3"/>
      <x:c r="B207" s="3"/>
      <x:c r="C207" s="3"/>
      <x:c r="D207" s="3"/>
      <x:c r="E207" s="3"/>
      <x:c r="F207" s="3"/>
      <x:c r="G207" s="3"/>
      <x:c r="H207" s="3"/>
      <x:c r="I207" s="3"/>
      <x:c r="J207" s="10" t="n">
        <x:v>46058</x:v>
      </x:c>
      <x:c r="K207" s="8" t="n">
        <x:f>INDEX('Сводка'!$S$3:$S$397,U207)</x:f>
        <x:v>-35</x:v>
      </x:c>
      <x:c r="L207" s="8" t="n">
        <x:f>INDEX('Сводка'!$S$3:$S$397,V207)</x:f>
        <x:v>-34</x:v>
      </x:c>
      <x:c r="M207" s="8" t="n">
        <x:f>INDEX($K$388:$N$400,W207,1)+INDEX($K$388:$N$400,W207,2)*(2*(J207-$T$405)/(T207-$T$405)-1)^1+INDEX($K$388:$N$400,W207,3)*(2*(J207-$T$405)/(T207-$T$405)-1)^2</x:f>
        <x:v>129.83331043090138</x:v>
      </x:c>
      <x:c r="N207" s="8" t="n">
        <x:f>K207-M207</x:f>
        <x:v>-164.83331043090138</x:v>
      </x:c>
      <x:c r="O207" s="8" t="n">
        <x:f>ABS(N207)</x:f>
        <x:v>164.83331043090138</x:v>
      </x:c>
      <x:c r="P207" s="8" t="n">
        <x:f>N207^2</x:f>
        <x:v>27170.0202276099</x:v>
      </x:c>
      <x:c r="Q207" s="8" t="n">
        <x:f>K207-L207</x:f>
        <x:v>-1</x:v>
      </x:c>
      <x:c r="R207" s="9" t="n">
        <x:f>IF(AND(INDEX('Сводка'!$T$3:$T$397,U207)=0,INDEX('Сводка'!$T$3:$T$397,V207)=0),1,0)</x:f>
        <x:v>1</x:v>
      </x:c>
      <x:c r="S207" s="9" t="n">
        <x:f>IF(AND(R207=1,O207&lt;=$G$13),1,0)</x:f>
        <x:v>0</x:v>
      </x:c>
      <x:c r="T207" s="10" t="n">
        <x:f>EOMONTH(J207-'Сводка'!$B$11,-1)</x:f>
        <x:v>46053</x:v>
      </x:c>
      <x:c r="U207" s="4" t="n">
        <x:f>MATCH(J207,'Сводка'!$R$3:$R$397,0)</x:f>
        <x:v>218</x:v>
      </x:c>
      <x:c r="V207" s="4" t="n">
        <x:f>MATCH(J207-'Сводка'!$B$11,'Сводка'!$R$3:$R$397,0)</x:f>
        <x:v>217</x:v>
      </x:c>
      <x:c r="W207" s="4" t="n">
        <x:f>MATCH(T207,$J$388:$J$400,0)</x:f>
        <x:v>8</x:v>
      </x:c>
      <x:c r="X207" s="3"/>
      <x:c r="Y207" s="3"/>
      <x:c r="Z207" s="3"/>
    </x:row>
    <x:row r="208" ht="15" customHeight="1">
      <x:c r="A208" s="3"/>
      <x:c r="B208" s="3"/>
      <x:c r="C208" s="3"/>
      <x:c r="D208" s="3"/>
      <x:c r="E208" s="3"/>
      <x:c r="F208" s="3"/>
      <x:c r="G208" s="3"/>
      <x:c r="H208" s="3"/>
      <x:c r="I208" s="3"/>
      <x:c r="J208" s="10" t="n">
        <x:v>46059</x:v>
      </x:c>
      <x:c r="K208" s="8" t="n">
        <x:f>INDEX('Сводка'!$S$3:$S$397,U208)</x:f>
        <x:v>-38</x:v>
      </x:c>
      <x:c r="L208" s="8" t="n">
        <x:f>INDEX('Сводка'!$S$3:$S$397,V208)</x:f>
        <x:v>-35</x:v>
      </x:c>
      <x:c r="M208" s="8" t="n">
        <x:f>INDEX($K$388:$N$400,W208,1)+INDEX($K$388:$N$400,W208,2)*(2*(J208-$T$405)/(T208-$T$405)-1)^1+INDEX($K$388:$N$400,W208,3)*(2*(J208-$T$405)/(T208-$T$405)-1)^2</x:f>
        <x:v>129.8296833410793</x:v>
      </x:c>
      <x:c r="N208" s="8" t="n">
        <x:f>K208-M208</x:f>
        <x:v>-167.8296833410793</x:v>
      </x:c>
      <x:c r="O208" s="8" t="n">
        <x:f>ABS(N208)</x:f>
        <x:v>167.8296833410793</x:v>
      </x:c>
      <x:c r="P208" s="8" t="n">
        <x:f>N208^2</x:f>
        <x:v>28166.802610366947</x:v>
      </x:c>
      <x:c r="Q208" s="8" t="n">
        <x:f>K208-L208</x:f>
        <x:v>-3</x:v>
      </x:c>
      <x:c r="R208" s="9" t="n">
        <x:f>IF(AND(INDEX('Сводка'!$T$3:$T$397,U208)=0,INDEX('Сводка'!$T$3:$T$397,V208)=0),1,0)</x:f>
        <x:v>1</x:v>
      </x:c>
      <x:c r="S208" s="9" t="n">
        <x:f>IF(AND(R208=1,O208&lt;=$G$13),1,0)</x:f>
        <x:v>0</x:v>
      </x:c>
      <x:c r="T208" s="10" t="n">
        <x:f>EOMONTH(J208-'Сводка'!$B$11,-1)</x:f>
        <x:v>46053</x:v>
      </x:c>
      <x:c r="U208" s="4" t="n">
        <x:f>MATCH(J208,'Сводка'!$R$3:$R$397,0)</x:f>
        <x:v>219</x:v>
      </x:c>
      <x:c r="V208" s="4" t="n">
        <x:f>MATCH(J208-'Сводка'!$B$11,'Сводка'!$R$3:$R$397,0)</x:f>
        <x:v>218</x:v>
      </x:c>
      <x:c r="W208" s="4" t="n">
        <x:f>MATCH(T208,$J$388:$J$400,0)</x:f>
        <x:v>8</x:v>
      </x:c>
      <x:c r="X208" s="3"/>
      <x:c r="Y208" s="3"/>
      <x:c r="Z208" s="3"/>
    </x:row>
    <x:row r="209" ht="15" customHeight="1">
      <x:c r="A209" s="3"/>
      <x:c r="B209" s="3"/>
      <x:c r="C209" s="3"/>
      <x:c r="D209" s="3"/>
      <x:c r="E209" s="3"/>
      <x:c r="F209" s="3"/>
      <x:c r="G209" s="3"/>
      <x:c r="H209" s="3"/>
      <x:c r="I209" s="3"/>
      <x:c r="J209" s="10" t="n">
        <x:v>46060</x:v>
      </x:c>
      <x:c r="K209" s="8" t="n">
        <x:f>INDEX('Сводка'!$S$3:$S$397,U209)</x:f>
        <x:v>-41</x:v>
      </x:c>
      <x:c r="L209" s="8" t="n">
        <x:f>INDEX('Сводка'!$S$3:$S$397,V209)</x:f>
        <x:v>-38</x:v>
      </x:c>
      <x:c r="M209" s="8" t="n">
        <x:f>INDEX($K$388:$N$400,W209,1)+INDEX($K$388:$N$400,W209,2)*(2*(J209-$T$405)/(T209-$T$405)-1)^1+INDEX($K$388:$N$400,W209,3)*(2*(J209-$T$405)/(T209-$T$405)-1)^2</x:f>
        <x:v>129.8260503030798</x:v>
      </x:c>
      <x:c r="N209" s="8" t="n">
        <x:f>K209-M209</x:f>
        <x:v>-170.8260503030798</x:v>
      </x:c>
      <x:c r="O209" s="8" t="n">
        <x:f>ABS(N209)</x:f>
        <x:v>170.8260503030798</x:v>
      </x:c>
      <x:c r="P209" s="8" t="n">
        <x:f>N209^2</x:f>
        <x:v>29181.539462150347</x:v>
      </x:c>
      <x:c r="Q209" s="8" t="n">
        <x:f>K209-L209</x:f>
        <x:v>-3</x:v>
      </x:c>
      <x:c r="R209" s="9" t="n">
        <x:f>IF(AND(INDEX('Сводка'!$T$3:$T$397,U209)=0,INDEX('Сводка'!$T$3:$T$397,V209)=0),1,0)</x:f>
        <x:v>1</x:v>
      </x:c>
      <x:c r="S209" s="9" t="n">
        <x:f>IF(AND(R209=1,O209&lt;=$G$13),1,0)</x:f>
        <x:v>0</x:v>
      </x:c>
      <x:c r="T209" s="10" t="n">
        <x:f>EOMONTH(J209-'Сводка'!$B$11,-1)</x:f>
        <x:v>46053</x:v>
      </x:c>
      <x:c r="U209" s="4" t="n">
        <x:f>MATCH(J209,'Сводка'!$R$3:$R$397,0)</x:f>
        <x:v>220</x:v>
      </x:c>
      <x:c r="V209" s="4" t="n">
        <x:f>MATCH(J209-'Сводка'!$B$11,'Сводка'!$R$3:$R$397,0)</x:f>
        <x:v>219</x:v>
      </x:c>
      <x:c r="W209" s="4" t="n">
        <x:f>MATCH(T209,$J$388:$J$400,0)</x:f>
        <x:v>8</x:v>
      </x:c>
      <x:c r="X209" s="3"/>
      <x:c r="Y209" s="3"/>
      <x:c r="Z209" s="3"/>
    </x:row>
    <x:row r="210" ht="15" customHeight="1">
      <x:c r="A210" s="3"/>
      <x:c r="B210" s="3"/>
      <x:c r="C210" s="3"/>
      <x:c r="D210" s="3"/>
      <x:c r="E210" s="3"/>
      <x:c r="F210" s="3"/>
      <x:c r="G210" s="3"/>
      <x:c r="H210" s="3"/>
      <x:c r="I210" s="3"/>
      <x:c r="J210" s="10" t="n">
        <x:v>46061</x:v>
      </x:c>
      <x:c r="K210" s="8" t="n">
        <x:f>INDEX('Сводка'!$S$3:$S$397,U210)</x:f>
        <x:v>-43</x:v>
      </x:c>
      <x:c r="L210" s="8" t="n">
        <x:f>INDEX('Сводка'!$S$3:$S$397,V210)</x:f>
        <x:v>-41</x:v>
      </x:c>
      <x:c r="M210" s="8" t="n">
        <x:f>INDEX($K$388:$N$400,W210,1)+INDEX($K$388:$N$400,W210,2)*(2*(J210-$T$405)/(T210-$T$405)-1)^1+INDEX($K$388:$N$400,W210,3)*(2*(J210-$T$405)/(T210-$T$405)-1)^2</x:f>
        <x:v>129.8224113169029</x:v>
      </x:c>
      <x:c r="N210" s="8" t="n">
        <x:f>K210-M210</x:f>
        <x:v>-172.8224113169029</x:v>
      </x:c>
      <x:c r="O210" s="8" t="n">
        <x:f>ABS(N210)</x:f>
        <x:v>172.8224113169029</x:v>
      </x:c>
      <x:c r="P210" s="8" t="n">
        <x:f>N210^2</x:f>
        <x:v>29867.58585338877</x:v>
      </x:c>
      <x:c r="Q210" s="8" t="n">
        <x:f>K210-L210</x:f>
        <x:v>-2</x:v>
      </x:c>
      <x:c r="R210" s="9" t="n">
        <x:f>IF(AND(INDEX('Сводка'!$T$3:$T$397,U210)=0,INDEX('Сводка'!$T$3:$T$397,V210)=0),1,0)</x:f>
        <x:v>1</x:v>
      </x:c>
      <x:c r="S210" s="9" t="n">
        <x:f>IF(AND(R210=1,O210&lt;=$G$13),1,0)</x:f>
        <x:v>0</x:v>
      </x:c>
      <x:c r="T210" s="10" t="n">
        <x:f>EOMONTH(J210-'Сводка'!$B$11,-1)</x:f>
        <x:v>46053</x:v>
      </x:c>
      <x:c r="U210" s="4" t="n">
        <x:f>MATCH(J210,'Сводка'!$R$3:$R$397,0)</x:f>
        <x:v>221</x:v>
      </x:c>
      <x:c r="V210" s="4" t="n">
        <x:f>MATCH(J210-'Сводка'!$B$11,'Сводка'!$R$3:$R$397,0)</x:f>
        <x:v>220</x:v>
      </x:c>
      <x:c r="W210" s="4" t="n">
        <x:f>MATCH(T210,$J$388:$J$400,0)</x:f>
        <x:v>8</x:v>
      </x:c>
      <x:c r="X210" s="3"/>
      <x:c r="Y210" s="3"/>
      <x:c r="Z210" s="3"/>
    </x:row>
    <x:row r="211" ht="15" customHeight="1">
      <x:c r="A211" s="3"/>
      <x:c r="B211" s="3"/>
      <x:c r="C211" s="3"/>
      <x:c r="D211" s="3"/>
      <x:c r="E211" s="3"/>
      <x:c r="F211" s="3"/>
      <x:c r="G211" s="3"/>
      <x:c r="H211" s="3"/>
      <x:c r="I211" s="3"/>
      <x:c r="J211" s="10" t="n">
        <x:v>46062</x:v>
      </x:c>
      <x:c r="K211" s="8" t="n">
        <x:f>INDEX('Сводка'!$S$3:$S$397,U211)</x:f>
        <x:v>-43</x:v>
      </x:c>
      <x:c r="L211" s="8" t="n">
        <x:f>INDEX('Сводка'!$S$3:$S$397,V211)</x:f>
        <x:v>-43</x:v>
      </x:c>
      <x:c r="M211" s="8" t="n">
        <x:f>INDEX($K$388:$N$400,W211,1)+INDEX($K$388:$N$400,W211,2)*(2*(J211-$T$405)/(T211-$T$405)-1)^1+INDEX($K$388:$N$400,W211,3)*(2*(J211-$T$405)/(T211-$T$405)-1)^2</x:f>
        <x:v>129.81876638254857</x:v>
      </x:c>
      <x:c r="N211" s="8" t="n">
        <x:f>K211-M211</x:f>
        <x:v>-172.81876638254857</x:v>
      </x:c>
      <x:c r="O211" s="8" t="n">
        <x:f>ABS(N211)</x:f>
        <x:v>172.81876638254857</x:v>
      </x:c>
      <x:c r="P211" s="8" t="n">
        <x:f>N211^2</x:f>
        <x:v>29866.3260139859</x:v>
      </x:c>
      <x:c r="Q211" s="8" t="n">
        <x:f>K211-L211</x:f>
        <x:v>0</x:v>
      </x:c>
      <x:c r="R211" s="9" t="n">
        <x:f>IF(AND(INDEX('Сводка'!$T$3:$T$397,U211)=0,INDEX('Сводка'!$T$3:$T$397,V211)=0),1,0)</x:f>
        <x:v>1</x:v>
      </x:c>
      <x:c r="S211" s="9" t="n">
        <x:f>IF(AND(R211=1,O211&lt;=$G$13),1,0)</x:f>
        <x:v>0</x:v>
      </x:c>
      <x:c r="T211" s="10" t="n">
        <x:f>EOMONTH(J211-'Сводка'!$B$11,-1)</x:f>
        <x:v>46053</x:v>
      </x:c>
      <x:c r="U211" s="4" t="n">
        <x:f>MATCH(J211,'Сводка'!$R$3:$R$397,0)</x:f>
        <x:v>222</x:v>
      </x:c>
      <x:c r="V211" s="4" t="n">
        <x:f>MATCH(J211-'Сводка'!$B$11,'Сводка'!$R$3:$R$397,0)</x:f>
        <x:v>221</x:v>
      </x:c>
      <x:c r="W211" s="4" t="n">
        <x:f>MATCH(T211,$J$388:$J$400,0)</x:f>
        <x:v>8</x:v>
      </x:c>
      <x:c r="X211" s="3"/>
      <x:c r="Y211" s="3"/>
      <x:c r="Z211" s="3"/>
    </x:row>
    <x:row r="212" ht="15" customHeight="1">
      <x:c r="A212" s="3"/>
      <x:c r="B212" s="3"/>
      <x:c r="C212" s="3"/>
      <x:c r="D212" s="3"/>
      <x:c r="E212" s="3"/>
      <x:c r="F212" s="3"/>
      <x:c r="G212" s="3"/>
      <x:c r="H212" s="3"/>
      <x:c r="I212" s="3"/>
      <x:c r="J212" s="10" t="n">
        <x:v>46063</x:v>
      </x:c>
      <x:c r="K212" s="8" t="n">
        <x:f>INDEX('Сводка'!$S$3:$S$397,U212)</x:f>
        <x:v>-44</x:v>
      </x:c>
      <x:c r="L212" s="8" t="n">
        <x:f>INDEX('Сводка'!$S$3:$S$397,V212)</x:f>
        <x:v>-43</x:v>
      </x:c>
      <x:c r="M212" s="8" t="n">
        <x:f>INDEX($K$388:$N$400,W212,1)+INDEX($K$388:$N$400,W212,2)*(2*(J212-$T$405)/(T212-$T$405)-1)^1+INDEX($K$388:$N$400,W212,3)*(2*(J212-$T$405)/(T212-$T$405)-1)^2</x:f>
        <x:v>129.81511550001684</x:v>
      </x:c>
      <x:c r="N212" s="8" t="n">
        <x:f>K212-M212</x:f>
        <x:v>-173.81511550001684</x:v>
      </x:c>
      <x:c r="O212" s="8" t="n">
        <x:f>ABS(N212)</x:f>
        <x:v>173.81511550001684</x:v>
      </x:c>
      <x:c r="P212" s="8" t="n">
        <x:f>N212^2</x:f>
        <x:v>30211.694376284195</x:v>
      </x:c>
      <x:c r="Q212" s="8" t="n">
        <x:f>K212-L212</x:f>
        <x:v>-1</x:v>
      </x:c>
      <x:c r="R212" s="9" t="n">
        <x:f>IF(AND(INDEX('Сводка'!$T$3:$T$397,U212)=0,INDEX('Сводка'!$T$3:$T$397,V212)=0),1,0)</x:f>
        <x:v>1</x:v>
      </x:c>
      <x:c r="S212" s="9" t="n">
        <x:f>IF(AND(R212=1,O212&lt;=$G$13),1,0)</x:f>
        <x:v>0</x:v>
      </x:c>
      <x:c r="T212" s="10" t="n">
        <x:f>EOMONTH(J212-'Сводка'!$B$11,-1)</x:f>
        <x:v>46053</x:v>
      </x:c>
      <x:c r="U212" s="4" t="n">
        <x:f>MATCH(J212,'Сводка'!$R$3:$R$397,0)</x:f>
        <x:v>223</x:v>
      </x:c>
      <x:c r="V212" s="4" t="n">
        <x:f>MATCH(J212-'Сводка'!$B$11,'Сводка'!$R$3:$R$397,0)</x:f>
        <x:v>222</x:v>
      </x:c>
      <x:c r="W212" s="4" t="n">
        <x:f>MATCH(T212,$J$388:$J$400,0)</x:f>
        <x:v>8</x:v>
      </x:c>
      <x:c r="X212" s="3"/>
      <x:c r="Y212" s="3"/>
      <x:c r="Z212" s="3"/>
    </x:row>
    <x:row r="213" ht="15" customHeight="1">
      <x:c r="A213" s="3"/>
      <x:c r="B213" s="3"/>
      <x:c r="C213" s="3"/>
      <x:c r="D213" s="3"/>
      <x:c r="E213" s="3"/>
      <x:c r="F213" s="3"/>
      <x:c r="G213" s="3"/>
      <x:c r="H213" s="3"/>
      <x:c r="I213" s="3"/>
      <x:c r="J213" s="10" t="n">
        <x:v>46064</x:v>
      </x:c>
      <x:c r="K213" s="8" t="n">
        <x:f>INDEX('Сводка'!$S$3:$S$397,U213)</x:f>
        <x:v>-44</x:v>
      </x:c>
      <x:c r="L213" s="8" t="n">
        <x:f>INDEX('Сводка'!$S$3:$S$397,V213)</x:f>
        <x:v>-44</x:v>
      </x:c>
      <x:c r="M213" s="8" t="n">
        <x:f>INDEX($K$388:$N$400,W213,1)+INDEX($K$388:$N$400,W213,2)*(2*(J213-$T$405)/(T213-$T$405)-1)^1+INDEX($K$388:$N$400,W213,3)*(2*(J213-$T$405)/(T213-$T$405)-1)^2</x:f>
        <x:v>129.8114586693077</x:v>
      </x:c>
      <x:c r="N213" s="8" t="n">
        <x:f>K213-M213</x:f>
        <x:v>-173.8114586693077</x:v>
      </x:c>
      <x:c r="O213" s="8" t="n">
        <x:f>ABS(N213)</x:f>
        <x:v>173.8114586693077</x:v>
      </x:c>
      <x:c r="P213" s="8" t="n">
        <x:f>N213^2</x:f>
        <x:v>30210.42316475246</x:v>
      </x:c>
      <x:c r="Q213" s="8" t="n">
        <x:f>K213-L213</x:f>
        <x:v>0</x:v>
      </x:c>
      <x:c r="R213" s="9" t="n">
        <x:f>IF(AND(INDEX('Сводка'!$T$3:$T$397,U213)=0,INDEX('Сводка'!$T$3:$T$397,V213)=0),1,0)</x:f>
        <x:v>1</x:v>
      </x:c>
      <x:c r="S213" s="9" t="n">
        <x:f>IF(AND(R213=1,O213&lt;=$G$13),1,0)</x:f>
        <x:v>0</x:v>
      </x:c>
      <x:c r="T213" s="10" t="n">
        <x:f>EOMONTH(J213-'Сводка'!$B$11,-1)</x:f>
        <x:v>46053</x:v>
      </x:c>
      <x:c r="U213" s="4" t="n">
        <x:f>MATCH(J213,'Сводка'!$R$3:$R$397,0)</x:f>
        <x:v>224</x:v>
      </x:c>
      <x:c r="V213" s="4" t="n">
        <x:f>MATCH(J213-'Сводка'!$B$11,'Сводка'!$R$3:$R$397,0)</x:f>
        <x:v>223</x:v>
      </x:c>
      <x:c r="W213" s="4" t="n">
        <x:f>MATCH(T213,$J$388:$J$400,0)</x:f>
        <x:v>8</x:v>
      </x:c>
      <x:c r="X213" s="3"/>
      <x:c r="Y213" s="3"/>
      <x:c r="Z213" s="3"/>
    </x:row>
    <x:row r="214" ht="15" customHeight="1">
      <x:c r="A214" s="3"/>
      <x:c r="B214" s="3"/>
      <x:c r="C214" s="3"/>
      <x:c r="D214" s="3"/>
      <x:c r="E214" s="3"/>
      <x:c r="F214" s="3"/>
      <x:c r="G214" s="3"/>
      <x:c r="H214" s="3"/>
      <x:c r="I214" s="3"/>
      <x:c r="J214" s="10" t="n">
        <x:v>46065</x:v>
      </x:c>
      <x:c r="K214" s="8" t="n">
        <x:f>INDEX('Сводка'!$S$3:$S$397,U214)</x:f>
        <x:v>-44</x:v>
      </x:c>
      <x:c r="L214" s="8" t="n">
        <x:f>INDEX('Сводка'!$S$3:$S$397,V214)</x:f>
        <x:v>-44</x:v>
      </x:c>
      <x:c r="M214" s="8" t="n">
        <x:f>INDEX($K$388:$N$400,W214,1)+INDEX($K$388:$N$400,W214,2)*(2*(J214-$T$405)/(T214-$T$405)-1)^1+INDEX($K$388:$N$400,W214,3)*(2*(J214-$T$405)/(T214-$T$405)-1)^2</x:f>
        <x:v>129.8077958904212</x:v>
      </x:c>
      <x:c r="N214" s="8" t="n">
        <x:f>K214-M214</x:f>
        <x:v>-173.8077958904212</x:v>
      </x:c>
      <x:c r="O214" s="8" t="n">
        <x:f>ABS(N214)</x:f>
        <x:v>173.8077958904212</x:v>
      </x:c>
      <x:c r="P214" s="8" t="n">
        <x:f>N214^2</x:f>
        <x:v>30209.149912286317</x:v>
      </x:c>
      <x:c r="Q214" s="8" t="n">
        <x:f>K214-L214</x:f>
        <x:v>0</x:v>
      </x:c>
      <x:c r="R214" s="9" t="n">
        <x:f>IF(AND(INDEX('Сводка'!$T$3:$T$397,U214)=0,INDEX('Сводка'!$T$3:$T$397,V214)=0),1,0)</x:f>
        <x:v>1</x:v>
      </x:c>
      <x:c r="S214" s="9" t="n">
        <x:f>IF(AND(R214=1,O214&lt;=$G$13),1,0)</x:f>
        <x:v>0</x:v>
      </x:c>
      <x:c r="T214" s="10" t="n">
        <x:f>EOMONTH(J214-'Сводка'!$B$11,-1)</x:f>
        <x:v>46053</x:v>
      </x:c>
      <x:c r="U214" s="4" t="n">
        <x:f>MATCH(J214,'Сводка'!$R$3:$R$397,0)</x:f>
        <x:v>225</x:v>
      </x:c>
      <x:c r="V214" s="4" t="n">
        <x:f>MATCH(J214-'Сводка'!$B$11,'Сводка'!$R$3:$R$397,0)</x:f>
        <x:v>224</x:v>
      </x:c>
      <x:c r="W214" s="4" t="n">
        <x:f>MATCH(T214,$J$388:$J$400,0)</x:f>
        <x:v>8</x:v>
      </x:c>
      <x:c r="X214" s="3"/>
      <x:c r="Y214" s="3"/>
      <x:c r="Z214" s="3"/>
    </x:row>
    <x:row r="215" ht="15" customHeight="1">
      <x:c r="A215" s="3"/>
      <x:c r="B215" s="3"/>
      <x:c r="C215" s="3"/>
      <x:c r="D215" s="3"/>
      <x:c r="E215" s="3"/>
      <x:c r="F215" s="3"/>
      <x:c r="G215" s="3"/>
      <x:c r="H215" s="3"/>
      <x:c r="I215" s="3"/>
      <x:c r="J215" s="10" t="n">
        <x:v>46066</x:v>
      </x:c>
      <x:c r="K215" s="8" t="n">
        <x:f>INDEX('Сводка'!$S$3:$S$397,U215)</x:f>
        <x:v>-41</x:v>
      </x:c>
      <x:c r="L215" s="8" t="n">
        <x:f>INDEX('Сводка'!$S$3:$S$397,V215)</x:f>
        <x:v>-44</x:v>
      </x:c>
      <x:c r="M215" s="8" t="n">
        <x:f>INDEX($K$388:$N$400,W215,1)+INDEX($K$388:$N$400,W215,2)*(2*(J215-$T$405)/(T215-$T$405)-1)^1+INDEX($K$388:$N$400,W215,3)*(2*(J215-$T$405)/(T215-$T$405)-1)^2</x:f>
        <x:v>129.80412716335724</x:v>
      </x:c>
      <x:c r="N215" s="8" t="n">
        <x:f>K215-M215</x:f>
        <x:v>-170.80412716335724</x:v>
      </x:c>
      <x:c r="O215" s="8" t="n">
        <x:f>ABS(N215)</x:f>
        <x:v>170.80412716335724</x:v>
      </x:c>
      <x:c r="P215" s="8" t="n">
        <x:f>N215^2</x:f>
        <x:v>29174.04985603631</x:v>
      </x:c>
      <x:c r="Q215" s="8" t="n">
        <x:f>K215-L215</x:f>
        <x:v>3</x:v>
      </x:c>
      <x:c r="R215" s="9" t="n">
        <x:f>IF(AND(INDEX('Сводка'!$T$3:$T$397,U215)=0,INDEX('Сводка'!$T$3:$T$397,V215)=0),1,0)</x:f>
        <x:v>1</x:v>
      </x:c>
      <x:c r="S215" s="9" t="n">
        <x:f>IF(AND(R215=1,O215&lt;=$G$13),1,0)</x:f>
        <x:v>0</x:v>
      </x:c>
      <x:c r="T215" s="10" t="n">
        <x:f>EOMONTH(J215-'Сводка'!$B$11,-1)</x:f>
        <x:v>46053</x:v>
      </x:c>
      <x:c r="U215" s="4" t="n">
        <x:f>MATCH(J215,'Сводка'!$R$3:$R$397,0)</x:f>
        <x:v>226</x:v>
      </x:c>
      <x:c r="V215" s="4" t="n">
        <x:f>MATCH(J215-'Сводка'!$B$11,'Сводка'!$R$3:$R$397,0)</x:f>
        <x:v>225</x:v>
      </x:c>
      <x:c r="W215" s="4" t="n">
        <x:f>MATCH(T215,$J$388:$J$400,0)</x:f>
        <x:v>8</x:v>
      </x:c>
      <x:c r="X215" s="3"/>
      <x:c r="Y215" s="3"/>
      <x:c r="Z215" s="3"/>
    </x:row>
    <x:row r="216" ht="15" customHeight="1">
      <x:c r="A216" s="3"/>
      <x:c r="B216" s="3"/>
      <x:c r="C216" s="3"/>
      <x:c r="D216" s="3"/>
      <x:c r="E216" s="3"/>
      <x:c r="F216" s="3"/>
      <x:c r="G216" s="3"/>
      <x:c r="H216" s="3"/>
      <x:c r="I216" s="3"/>
      <x:c r="J216" s="10" t="n">
        <x:v>46067</x:v>
      </x:c>
      <x:c r="K216" s="8" t="n">
        <x:f>INDEX('Сводка'!$S$3:$S$397,U216)</x:f>
        <x:v>-39</x:v>
      </x:c>
      <x:c r="L216" s="8" t="n">
        <x:f>INDEX('Сводка'!$S$3:$S$397,V216)</x:f>
        <x:v>-41</x:v>
      </x:c>
      <x:c r="M216" s="8" t="n">
        <x:f>INDEX($K$388:$N$400,W216,1)+INDEX($K$388:$N$400,W216,2)*(2*(J216-$T$405)/(T216-$T$405)-1)^1+INDEX($K$388:$N$400,W216,3)*(2*(J216-$T$405)/(T216-$T$405)-1)^2</x:f>
        <x:v>129.80045248811587</x:v>
      </x:c>
      <x:c r="N216" s="8" t="n">
        <x:f>K216-M216</x:f>
        <x:v>-168.80045248811587</x:v>
      </x:c>
      <x:c r="O216" s="8" t="n">
        <x:f>ABS(N216)</x:f>
        <x:v>168.80045248811587</x:v>
      </x:c>
      <x:c r="P216" s="8" t="n">
        <x:f>N216^2</x:f>
        <x:v>28493.592760192663</x:v>
      </x:c>
      <x:c r="Q216" s="8" t="n">
        <x:f>K216-L216</x:f>
        <x:v>2</x:v>
      </x:c>
      <x:c r="R216" s="9" t="n">
        <x:f>IF(AND(INDEX('Сводка'!$T$3:$T$397,U216)=0,INDEX('Сводка'!$T$3:$T$397,V216)=0),1,0)</x:f>
        <x:v>1</x:v>
      </x:c>
      <x:c r="S216" s="9" t="n">
        <x:f>IF(AND(R216=1,O216&lt;=$G$13),1,0)</x:f>
        <x:v>0</x:v>
      </x:c>
      <x:c r="T216" s="10" t="n">
        <x:f>EOMONTH(J216-'Сводка'!$B$11,-1)</x:f>
        <x:v>46053</x:v>
      </x:c>
      <x:c r="U216" s="4" t="n">
        <x:f>MATCH(J216,'Сводка'!$R$3:$R$397,0)</x:f>
        <x:v>227</x:v>
      </x:c>
      <x:c r="V216" s="4" t="n">
        <x:f>MATCH(J216-'Сводка'!$B$11,'Сводка'!$R$3:$R$397,0)</x:f>
        <x:v>226</x:v>
      </x:c>
      <x:c r="W216" s="4" t="n">
        <x:f>MATCH(T216,$J$388:$J$400,0)</x:f>
        <x:v>8</x:v>
      </x:c>
      <x:c r="X216" s="3"/>
      <x:c r="Y216" s="3"/>
      <x:c r="Z216" s="3"/>
    </x:row>
    <x:row r="217" ht="15" customHeight="1">
      <x:c r="A217" s="3"/>
      <x:c r="B217" s="3"/>
      <x:c r="C217" s="3"/>
      <x:c r="D217" s="3"/>
      <x:c r="E217" s="3"/>
      <x:c r="F217" s="3"/>
      <x:c r="G217" s="3"/>
      <x:c r="H217" s="3"/>
      <x:c r="I217" s="3"/>
      <x:c r="J217" s="10" t="n">
        <x:v>46068</x:v>
      </x:c>
      <x:c r="K217" s="8" t="n">
        <x:f>INDEX('Сводка'!$S$3:$S$397,U217)</x:f>
        <x:v>-38</x:v>
      </x:c>
      <x:c r="L217" s="8" t="n">
        <x:f>INDEX('Сводка'!$S$3:$S$397,V217)</x:f>
        <x:v>-39</x:v>
      </x:c>
      <x:c r="M217" s="8" t="n">
        <x:f>INDEX($K$388:$N$400,W217,1)+INDEX($K$388:$N$400,W217,2)*(2*(J217-$T$405)/(T217-$T$405)-1)^1+INDEX($K$388:$N$400,W217,3)*(2*(J217-$T$405)/(T217-$T$405)-1)^2</x:f>
        <x:v>129.7967718646971</x:v>
      </x:c>
      <x:c r="N217" s="8" t="n">
        <x:f>K217-M217</x:f>
        <x:v>-167.7967718646971</x:v>
      </x:c>
      <x:c r="O217" s="8" t="n">
        <x:f>ABS(N217)</x:f>
        <x:v>167.7967718646971</x:v>
      </x:c>
      <x:c r="P217" s="8" t="n">
        <x:f>N217^2</x:f>
        <x:v>28155.756648213202</x:v>
      </x:c>
      <x:c r="Q217" s="8" t="n">
        <x:f>K217-L217</x:f>
        <x:v>1</x:v>
      </x:c>
      <x:c r="R217" s="9" t="n">
        <x:f>IF(AND(INDEX('Сводка'!$T$3:$T$397,U217)=0,INDEX('Сводка'!$T$3:$T$397,V217)=0),1,0)</x:f>
        <x:v>1</x:v>
      </x:c>
      <x:c r="S217" s="9" t="n">
        <x:f>IF(AND(R217=1,O217&lt;=$G$13),1,0)</x:f>
        <x:v>0</x:v>
      </x:c>
      <x:c r="T217" s="10" t="n">
        <x:f>EOMONTH(J217-'Сводка'!$B$11,-1)</x:f>
        <x:v>46053</x:v>
      </x:c>
      <x:c r="U217" s="4" t="n">
        <x:f>MATCH(J217,'Сводка'!$R$3:$R$397,0)</x:f>
        <x:v>228</x:v>
      </x:c>
      <x:c r="V217" s="4" t="n">
        <x:f>MATCH(J217-'Сводка'!$B$11,'Сводка'!$R$3:$R$397,0)</x:f>
        <x:v>227</x:v>
      </x:c>
      <x:c r="W217" s="4" t="n">
        <x:f>MATCH(T217,$J$388:$J$400,0)</x:f>
        <x:v>8</x:v>
      </x:c>
      <x:c r="X217" s="3"/>
      <x:c r="Y217" s="3"/>
      <x:c r="Z217" s="3"/>
    </x:row>
    <x:row r="218" ht="15" customHeight="1">
      <x:c r="A218" s="3"/>
      <x:c r="B218" s="3"/>
      <x:c r="C218" s="3"/>
      <x:c r="D218" s="3"/>
      <x:c r="E218" s="3"/>
      <x:c r="F218" s="3"/>
      <x:c r="G218" s="3"/>
      <x:c r="H218" s="3"/>
      <x:c r="I218" s="3"/>
      <x:c r="J218" s="10" t="n">
        <x:v>46069</x:v>
      </x:c>
      <x:c r="K218" s="8" t="n">
        <x:f>INDEX('Сводка'!$S$3:$S$397,U218)</x:f>
        <x:v>-38</x:v>
      </x:c>
      <x:c r="L218" s="8" t="n">
        <x:f>INDEX('Сводка'!$S$3:$S$397,V218)</x:f>
        <x:v>-38</x:v>
      </x:c>
      <x:c r="M218" s="8" t="n">
        <x:f>INDEX($K$388:$N$400,W218,1)+INDEX($K$388:$N$400,W218,2)*(2*(J218-$T$405)/(T218-$T$405)-1)^1+INDEX($K$388:$N$400,W218,3)*(2*(J218-$T$405)/(T218-$T$405)-1)^2</x:f>
        <x:v>129.79308529310094</x:v>
      </x:c>
      <x:c r="N218" s="8" t="n">
        <x:f>K218-M218</x:f>
        <x:v>-167.79308529310094</x:v>
      </x:c>
      <x:c r="O218" s="8" t="n">
        <x:f>ABS(N218)</x:f>
        <x:v>167.79308529310094</x:v>
      </x:c>
      <x:c r="P218" s="8" t="n">
        <x:f>N218^2</x:f>
        <x:v>28154.51947217785</x:v>
      </x:c>
      <x:c r="Q218" s="8" t="n">
        <x:f>K218-L218</x:f>
        <x:v>0</x:v>
      </x:c>
      <x:c r="R218" s="9" t="n">
        <x:f>IF(AND(INDEX('Сводка'!$T$3:$T$397,U218)=0,INDEX('Сводка'!$T$3:$T$397,V218)=0),1,0)</x:f>
        <x:v>1</x:v>
      </x:c>
      <x:c r="S218" s="9" t="n">
        <x:f>IF(AND(R218=1,O218&lt;=$G$13),1,0)</x:f>
        <x:v>0</x:v>
      </x:c>
      <x:c r="T218" s="10" t="n">
        <x:f>EOMONTH(J218-'Сводка'!$B$11,-1)</x:f>
        <x:v>46053</x:v>
      </x:c>
      <x:c r="U218" s="4" t="n">
        <x:f>MATCH(J218,'Сводка'!$R$3:$R$397,0)</x:f>
        <x:v>229</x:v>
      </x:c>
      <x:c r="V218" s="4" t="n">
        <x:f>MATCH(J218-'Сводка'!$B$11,'Сводка'!$R$3:$R$397,0)</x:f>
        <x:v>228</x:v>
      </x:c>
      <x:c r="W218" s="4" t="n">
        <x:f>MATCH(T218,$J$388:$J$400,0)</x:f>
        <x:v>8</x:v>
      </x:c>
      <x:c r="X218" s="3"/>
      <x:c r="Y218" s="3"/>
      <x:c r="Z218" s="3"/>
    </x:row>
    <x:row r="219" ht="15" customHeight="1">
      <x:c r="A219" s="3"/>
      <x:c r="B219" s="3"/>
      <x:c r="C219" s="3"/>
      <x:c r="D219" s="3"/>
      <x:c r="E219" s="3"/>
      <x:c r="F219" s="3"/>
      <x:c r="G219" s="3"/>
      <x:c r="H219" s="3"/>
      <x:c r="I219" s="3"/>
      <x:c r="J219" s="10" t="n">
        <x:v>46070</x:v>
      </x:c>
      <x:c r="K219" s="8" t="n">
        <x:f>INDEX('Сводка'!$S$3:$S$397,U219)</x:f>
        <x:v>-40</x:v>
      </x:c>
      <x:c r="L219" s="8" t="n">
        <x:f>INDEX('Сводка'!$S$3:$S$397,V219)</x:f>
        <x:v>-38</x:v>
      </x:c>
      <x:c r="M219" s="8" t="n">
        <x:f>INDEX($K$388:$N$400,W219,1)+INDEX($K$388:$N$400,W219,2)*(2*(J219-$T$405)/(T219-$T$405)-1)^1+INDEX($K$388:$N$400,W219,3)*(2*(J219-$T$405)/(T219-$T$405)-1)^2</x:f>
        <x:v>129.78939277332734</x:v>
      </x:c>
      <x:c r="N219" s="8" t="n">
        <x:f>K219-M219</x:f>
        <x:v>-169.78939277332734</x:v>
      </x:c>
      <x:c r="O219" s="8" t="n">
        <x:f>ABS(N219)</x:f>
        <x:v>169.78939277332734</x:v>
      </x:c>
      <x:c r="P219" s="8" t="n">
        <x:f>N219^2</x:f>
        <x:v>28828.43789833522</x:v>
      </x:c>
      <x:c r="Q219" s="8" t="n">
        <x:f>K219-L219</x:f>
        <x:v>-2</x:v>
      </x:c>
      <x:c r="R219" s="9" t="n">
        <x:f>IF(AND(INDEX('Сводка'!$T$3:$T$397,U219)=0,INDEX('Сводка'!$T$3:$T$397,V219)=0),1,0)</x:f>
        <x:v>1</x:v>
      </x:c>
      <x:c r="S219" s="9" t="n">
        <x:f>IF(AND(R219=1,O219&lt;=$G$13),1,0)</x:f>
        <x:v>0</x:v>
      </x:c>
      <x:c r="T219" s="10" t="n">
        <x:f>EOMONTH(J219-'Сводка'!$B$11,-1)</x:f>
        <x:v>46053</x:v>
      </x:c>
      <x:c r="U219" s="4" t="n">
        <x:f>MATCH(J219,'Сводка'!$R$3:$R$397,0)</x:f>
        <x:v>230</x:v>
      </x:c>
      <x:c r="V219" s="4" t="n">
        <x:f>MATCH(J219-'Сводка'!$B$11,'Сводка'!$R$3:$R$397,0)</x:f>
        <x:v>229</x:v>
      </x:c>
      <x:c r="W219" s="4" t="n">
        <x:f>MATCH(T219,$J$388:$J$400,0)</x:f>
        <x:v>8</x:v>
      </x:c>
      <x:c r="X219" s="3"/>
      <x:c r="Y219" s="3"/>
      <x:c r="Z219" s="3"/>
    </x:row>
    <x:row r="220" ht="15" customHeight="1">
      <x:c r="A220" s="3"/>
      <x:c r="B220" s="3"/>
      <x:c r="C220" s="3"/>
      <x:c r="D220" s="3"/>
      <x:c r="E220" s="3"/>
      <x:c r="F220" s="3"/>
      <x:c r="G220" s="3"/>
      <x:c r="H220" s="3"/>
      <x:c r="I220" s="3"/>
      <x:c r="J220" s="10" t="n">
        <x:v>46071</x:v>
      </x:c>
      <x:c r="K220" s="8" t="n">
        <x:f>INDEX('Сводка'!$S$3:$S$397,U220)</x:f>
        <x:v>-40</x:v>
      </x:c>
      <x:c r="L220" s="8" t="n">
        <x:f>INDEX('Сводка'!$S$3:$S$397,V220)</x:f>
        <x:v>-40</x:v>
      </x:c>
      <x:c r="M220" s="8" t="n">
        <x:f>INDEX($K$388:$N$400,W220,1)+INDEX($K$388:$N$400,W220,2)*(2*(J220-$T$405)/(T220-$T$405)-1)^1+INDEX($K$388:$N$400,W220,3)*(2*(J220-$T$405)/(T220-$T$405)-1)^2</x:f>
        <x:v>129.78569430537632</x:v>
      </x:c>
      <x:c r="N220" s="8" t="n">
        <x:f>K220-M220</x:f>
        <x:v>-169.78569430537632</x:v>
      </x:c>
      <x:c r="O220" s="8" t="n">
        <x:f>ABS(N220)</x:f>
        <x:v>169.78569430537632</x:v>
      </x:c>
      <x:c r="P220" s="8" t="n">
        <x:f>N220^2</x:f>
        <x:v>28827.181990758698</x:v>
      </x:c>
      <x:c r="Q220" s="8" t="n">
        <x:f>K220-L220</x:f>
        <x:v>0</x:v>
      </x:c>
      <x:c r="R220" s="9" t="n">
        <x:f>IF(AND(INDEX('Сводка'!$T$3:$T$397,U220)=0,INDEX('Сводка'!$T$3:$T$397,V220)=0),1,0)</x:f>
        <x:v>1</x:v>
      </x:c>
      <x:c r="S220" s="9" t="n">
        <x:f>IF(AND(R220=1,O220&lt;=$G$13),1,0)</x:f>
        <x:v>0</x:v>
      </x:c>
      <x:c r="T220" s="10" t="n">
        <x:f>EOMONTH(J220-'Сводка'!$B$11,-1)</x:f>
        <x:v>46053</x:v>
      </x:c>
      <x:c r="U220" s="4" t="n">
        <x:f>MATCH(J220,'Сводка'!$R$3:$R$397,0)</x:f>
        <x:v>231</x:v>
      </x:c>
      <x:c r="V220" s="4" t="n">
        <x:f>MATCH(J220-'Сводка'!$B$11,'Сводка'!$R$3:$R$397,0)</x:f>
        <x:v>230</x:v>
      </x:c>
      <x:c r="W220" s="4" t="n">
        <x:f>MATCH(T220,$J$388:$J$400,0)</x:f>
        <x:v>8</x:v>
      </x:c>
      <x:c r="X220" s="3"/>
      <x:c r="Y220" s="3"/>
      <x:c r="Z220" s="3"/>
    </x:row>
    <x:row r="221" ht="15" customHeight="1">
      <x:c r="A221" s="3"/>
      <x:c r="B221" s="3"/>
      <x:c r="C221" s="3"/>
      <x:c r="D221" s="3"/>
      <x:c r="E221" s="3"/>
      <x:c r="F221" s="3"/>
      <x:c r="G221" s="3"/>
      <x:c r="H221" s="3"/>
      <x:c r="I221" s="3"/>
      <x:c r="J221" s="10" t="n">
        <x:v>46072</x:v>
      </x:c>
      <x:c r="K221" s="8" t="n">
        <x:f>INDEX('Сводка'!$S$3:$S$397,U221)</x:f>
        <x:v>-42</x:v>
      </x:c>
      <x:c r="L221" s="8" t="n">
        <x:f>INDEX('Сводка'!$S$3:$S$397,V221)</x:f>
        <x:v>-40</x:v>
      </x:c>
      <x:c r="M221" s="8" t="n">
        <x:f>INDEX($K$388:$N$400,W221,1)+INDEX($K$388:$N$400,W221,2)*(2*(J221-$T$405)/(T221-$T$405)-1)^1+INDEX($K$388:$N$400,W221,3)*(2*(J221-$T$405)/(T221-$T$405)-1)^2</x:f>
        <x:v>129.78198988924797</x:v>
      </x:c>
      <x:c r="N221" s="8" t="n">
        <x:f>K221-M221</x:f>
        <x:v>-171.78198988924797</x:v>
      </x:c>
      <x:c r="O221" s="8" t="n">
        <x:f>ABS(N221)</x:f>
        <x:v>171.78198988924797</x:v>
      </x:c>
      <x:c r="P221" s="8" t="n">
        <x:f>N221^2</x:f>
        <x:v>29509.052050309692</x:v>
      </x:c>
      <x:c r="Q221" s="8" t="n">
        <x:f>K221-L221</x:f>
        <x:v>-2</x:v>
      </x:c>
      <x:c r="R221" s="9" t="n">
        <x:f>IF(AND(INDEX('Сводка'!$T$3:$T$397,U221)=0,INDEX('Сводка'!$T$3:$T$397,V221)=0),1,0)</x:f>
        <x:v>1</x:v>
      </x:c>
      <x:c r="S221" s="9" t="n">
        <x:f>IF(AND(R221=1,O221&lt;=$G$13),1,0)</x:f>
        <x:v>0</x:v>
      </x:c>
      <x:c r="T221" s="10" t="n">
        <x:f>EOMONTH(J221-'Сводка'!$B$11,-1)</x:f>
        <x:v>46053</x:v>
      </x:c>
      <x:c r="U221" s="4" t="n">
        <x:f>MATCH(J221,'Сводка'!$R$3:$R$397,0)</x:f>
        <x:v>232</x:v>
      </x:c>
      <x:c r="V221" s="4" t="n">
        <x:f>MATCH(J221-'Сводка'!$B$11,'Сводка'!$R$3:$R$397,0)</x:f>
        <x:v>231</x:v>
      </x:c>
      <x:c r="W221" s="4" t="n">
        <x:f>MATCH(T221,$J$388:$J$400,0)</x:f>
        <x:v>8</x:v>
      </x:c>
      <x:c r="X221" s="3"/>
      <x:c r="Y221" s="3"/>
      <x:c r="Z221" s="3"/>
    </x:row>
    <x:row r="222" ht="15" customHeight="1">
      <x:c r="A222" s="3"/>
      <x:c r="B222" s="3"/>
      <x:c r="C222" s="3"/>
      <x:c r="D222" s="3"/>
      <x:c r="E222" s="3"/>
      <x:c r="F222" s="3"/>
      <x:c r="G222" s="3"/>
      <x:c r="H222" s="3"/>
      <x:c r="I222" s="3"/>
      <x:c r="J222" s="10" t="n">
        <x:v>46073</x:v>
      </x:c>
      <x:c r="K222" s="8" t="n">
        <x:f>INDEX('Сводка'!$S$3:$S$397,U222)</x:f>
        <x:v>-43</x:v>
      </x:c>
      <x:c r="L222" s="8" t="n">
        <x:f>INDEX('Сводка'!$S$3:$S$397,V222)</x:f>
        <x:v>-42</x:v>
      </x:c>
      <x:c r="M222" s="8" t="n">
        <x:f>INDEX($K$388:$N$400,W222,1)+INDEX($K$388:$N$400,W222,2)*(2*(J222-$T$405)/(T222-$T$405)-1)^1+INDEX($K$388:$N$400,W222,3)*(2*(J222-$T$405)/(T222-$T$405)-1)^2</x:f>
        <x:v>129.77827952494215</x:v>
      </x:c>
      <x:c r="N222" s="8" t="n">
        <x:f>K222-M222</x:f>
        <x:v>-172.77827952494215</x:v>
      </x:c>
      <x:c r="O222" s="8" t="n">
        <x:f>ABS(N222)</x:f>
        <x:v>172.77827952494215</x:v>
      </x:c>
      <x:c r="P222" s="8" t="n">
        <x:f>N222^2</x:f>
        <x:v>29852.333875599044</x:v>
      </x:c>
      <x:c r="Q222" s="8" t="n">
        <x:f>K222-L222</x:f>
        <x:v>-1</x:v>
      </x:c>
      <x:c r="R222" s="9" t="n">
        <x:f>IF(AND(INDEX('Сводка'!$T$3:$T$397,U222)=0,INDEX('Сводка'!$T$3:$T$397,V222)=0),1,0)</x:f>
        <x:v>1</x:v>
      </x:c>
      <x:c r="S222" s="9" t="n">
        <x:f>IF(AND(R222=1,O222&lt;=$G$13),1,0)</x:f>
        <x:v>0</x:v>
      </x:c>
      <x:c r="T222" s="10" t="n">
        <x:f>EOMONTH(J222-'Сводка'!$B$11,-1)</x:f>
        <x:v>46053</x:v>
      </x:c>
      <x:c r="U222" s="4" t="n">
        <x:f>MATCH(J222,'Сводка'!$R$3:$R$397,0)</x:f>
        <x:v>233</x:v>
      </x:c>
      <x:c r="V222" s="4" t="n">
        <x:f>MATCH(J222-'Сводка'!$B$11,'Сводка'!$R$3:$R$397,0)</x:f>
        <x:v>232</x:v>
      </x:c>
      <x:c r="W222" s="4" t="n">
        <x:f>MATCH(T222,$J$388:$J$400,0)</x:f>
        <x:v>8</x:v>
      </x:c>
      <x:c r="X222" s="3"/>
      <x:c r="Y222" s="3"/>
      <x:c r="Z222" s="3"/>
    </x:row>
    <x:row r="223" ht="15" customHeight="1">
      <x:c r="A223" s="3"/>
      <x:c r="B223" s="3"/>
      <x:c r="C223" s="3"/>
      <x:c r="D223" s="3"/>
      <x:c r="E223" s="3"/>
      <x:c r="F223" s="3"/>
      <x:c r="G223" s="3"/>
      <x:c r="H223" s="3"/>
      <x:c r="I223" s="3"/>
      <x:c r="J223" s="10" t="n">
        <x:v>46074</x:v>
      </x:c>
      <x:c r="K223" s="8" t="n">
        <x:f>INDEX('Сводка'!$S$3:$S$397,U223)</x:f>
        <x:v>-43</x:v>
      </x:c>
      <x:c r="L223" s="8" t="n">
        <x:f>INDEX('Сводка'!$S$3:$S$397,V223)</x:f>
        <x:v>-43</x:v>
      </x:c>
      <x:c r="M223" s="8" t="n">
        <x:f>INDEX($K$388:$N$400,W223,1)+INDEX($K$388:$N$400,W223,2)*(2*(J223-$T$405)/(T223-$T$405)-1)^1+INDEX($K$388:$N$400,W223,3)*(2*(J223-$T$405)/(T223-$T$405)-1)^2</x:f>
        <x:v>129.77456321245896</x:v>
      </x:c>
      <x:c r="N223" s="8" t="n">
        <x:f>K223-M223</x:f>
        <x:v>-172.77456321245896</x:v>
      </x:c>
      <x:c r="O223" s="8" t="n">
        <x:f>ABS(N223)</x:f>
        <x:v>172.77456321245896</x:v>
      </x:c>
      <x:c r="P223" s="8" t="n">
        <x:f>N223^2</x:f>
        <x:v>29851.049693255976</x:v>
      </x:c>
      <x:c r="Q223" s="8" t="n">
        <x:f>K223-L223</x:f>
        <x:v>0</x:v>
      </x:c>
      <x:c r="R223" s="9" t="n">
        <x:f>IF(AND(INDEX('Сводка'!$T$3:$T$397,U223)=0,INDEX('Сводка'!$T$3:$T$397,V223)=0),1,0)</x:f>
        <x:v>1</x:v>
      </x:c>
      <x:c r="S223" s="9" t="n">
        <x:f>IF(AND(R223=1,O223&lt;=$G$13),1,0)</x:f>
        <x:v>0</x:v>
      </x:c>
      <x:c r="T223" s="10" t="n">
        <x:f>EOMONTH(J223-'Сводка'!$B$11,-1)</x:f>
        <x:v>46053</x:v>
      </x:c>
      <x:c r="U223" s="4" t="n">
        <x:f>MATCH(J223,'Сводка'!$R$3:$R$397,0)</x:f>
        <x:v>234</x:v>
      </x:c>
      <x:c r="V223" s="4" t="n">
        <x:f>MATCH(J223-'Сводка'!$B$11,'Сводка'!$R$3:$R$397,0)</x:f>
        <x:v>233</x:v>
      </x:c>
      <x:c r="W223" s="4" t="n">
        <x:f>MATCH(T223,$J$388:$J$400,0)</x:f>
        <x:v>8</x:v>
      </x:c>
      <x:c r="X223" s="3"/>
      <x:c r="Y223" s="3"/>
      <x:c r="Z223" s="3"/>
    </x:row>
    <x:row r="224" ht="15" customHeight="1">
      <x:c r="A224" s="3"/>
      <x:c r="B224" s="3"/>
      <x:c r="C224" s="3"/>
      <x:c r="D224" s="3"/>
      <x:c r="E224" s="3"/>
      <x:c r="F224" s="3"/>
      <x:c r="G224" s="3"/>
      <x:c r="H224" s="3"/>
      <x:c r="I224" s="3"/>
      <x:c r="J224" s="10" t="n">
        <x:v>46075</x:v>
      </x:c>
      <x:c r="K224" s="8" t="n">
        <x:f>INDEX('Сводка'!$S$3:$S$397,U224)</x:f>
        <x:v>-43</x:v>
      </x:c>
      <x:c r="L224" s="8" t="n">
        <x:f>INDEX('Сводка'!$S$3:$S$397,V224)</x:f>
        <x:v>-43</x:v>
      </x:c>
      <x:c r="M224" s="8" t="n">
        <x:f>INDEX($K$388:$N$400,W224,1)+INDEX($K$388:$N$400,W224,2)*(2*(J224-$T$405)/(T224-$T$405)-1)^1+INDEX($K$388:$N$400,W224,3)*(2*(J224-$T$405)/(T224-$T$405)-1)^2</x:f>
        <x:v>129.77084095179828</x:v>
      </x:c>
      <x:c r="N224" s="8" t="n">
        <x:f>K224-M224</x:f>
        <x:v>-172.77084095179828</x:v>
      </x:c>
      <x:c r="O224" s="8" t="n">
        <x:f>ABS(N224)</x:f>
        <x:v>172.77084095179828</x:v>
      </x:c>
      <x:c r="P224" s="8" t="n">
        <x:f>N224^2</x:f>
        <x:v>29849.76348319158</x:v>
      </x:c>
      <x:c r="Q224" s="8" t="n">
        <x:f>K224-L224</x:f>
        <x:v>0</x:v>
      </x:c>
      <x:c r="R224" s="9" t="n">
        <x:f>IF(AND(INDEX('Сводка'!$T$3:$T$397,U224)=0,INDEX('Сводка'!$T$3:$T$397,V224)=0),1,0)</x:f>
        <x:v>1</x:v>
      </x:c>
      <x:c r="S224" s="9" t="n">
        <x:f>IF(AND(R224=1,O224&lt;=$G$13),1,0)</x:f>
        <x:v>0</x:v>
      </x:c>
      <x:c r="T224" s="10" t="n">
        <x:f>EOMONTH(J224-'Сводка'!$B$11,-1)</x:f>
        <x:v>46053</x:v>
      </x:c>
      <x:c r="U224" s="4" t="n">
        <x:f>MATCH(J224,'Сводка'!$R$3:$R$397,0)</x:f>
        <x:v>235</x:v>
      </x:c>
      <x:c r="V224" s="4" t="n">
        <x:f>MATCH(J224-'Сводка'!$B$11,'Сводка'!$R$3:$R$397,0)</x:f>
        <x:v>234</x:v>
      </x:c>
      <x:c r="W224" s="4" t="n">
        <x:f>MATCH(T224,$J$388:$J$400,0)</x:f>
        <x:v>8</x:v>
      </x:c>
      <x:c r="X224" s="3"/>
      <x:c r="Y224" s="3"/>
      <x:c r="Z224" s="3"/>
    </x:row>
    <x:row r="225" ht="15" customHeight="1">
      <x:c r="A225" s="3"/>
      <x:c r="B225" s="3"/>
      <x:c r="C225" s="3"/>
      <x:c r="D225" s="3"/>
      <x:c r="E225" s="3"/>
      <x:c r="F225" s="3"/>
      <x:c r="G225" s="3"/>
      <x:c r="H225" s="3"/>
      <x:c r="I225" s="3"/>
      <x:c r="J225" s="10" t="n">
        <x:v>46076</x:v>
      </x:c>
      <x:c r="K225" s="8" t="n">
        <x:f>INDEX('Сводка'!$S$3:$S$397,U225)</x:f>
        <x:v>-44</x:v>
      </x:c>
      <x:c r="L225" s="8" t="n">
        <x:f>INDEX('Сводка'!$S$3:$S$397,V225)</x:f>
        <x:v>-43</x:v>
      </x:c>
      <x:c r="M225" s="8" t="n">
        <x:f>INDEX($K$388:$N$400,W225,1)+INDEX($K$388:$N$400,W225,2)*(2*(J225-$T$405)/(T225-$T$405)-1)^1+INDEX($K$388:$N$400,W225,3)*(2*(J225-$T$405)/(T225-$T$405)-1)^2</x:f>
        <x:v>129.76711274296025</x:v>
      </x:c>
      <x:c r="N225" s="8" t="n">
        <x:f>K225-M225</x:f>
        <x:v>-173.76711274296025</x:v>
      </x:c>
      <x:c r="O225" s="8" t="n">
        <x:f>ABS(N225)</x:f>
        <x:v>173.76711274296025</x:v>
      </x:c>
      <x:c r="P225" s="8" t="n">
        <x:f>N225^2</x:f>
        <x:v>30195.00947102466</x:v>
      </x:c>
      <x:c r="Q225" s="8" t="n">
        <x:f>K225-L225</x:f>
        <x:v>-1</x:v>
      </x:c>
      <x:c r="R225" s="9" t="n">
        <x:f>IF(AND(INDEX('Сводка'!$T$3:$T$397,U225)=0,INDEX('Сводка'!$T$3:$T$397,V225)=0),1,0)</x:f>
        <x:v>1</x:v>
      </x:c>
      <x:c r="S225" s="9" t="n">
        <x:f>IF(AND(R225=1,O225&lt;=$G$13),1,0)</x:f>
        <x:v>0</x:v>
      </x:c>
      <x:c r="T225" s="10" t="n">
        <x:f>EOMONTH(J225-'Сводка'!$B$11,-1)</x:f>
        <x:v>46053</x:v>
      </x:c>
      <x:c r="U225" s="4" t="n">
        <x:f>MATCH(J225,'Сводка'!$R$3:$R$397,0)</x:f>
        <x:v>236</x:v>
      </x:c>
      <x:c r="V225" s="4" t="n">
        <x:f>MATCH(J225-'Сводка'!$B$11,'Сводка'!$R$3:$R$397,0)</x:f>
        <x:v>235</x:v>
      </x:c>
      <x:c r="W225" s="4" t="n">
        <x:f>MATCH(T225,$J$388:$J$400,0)</x:f>
        <x:v>8</x:v>
      </x:c>
      <x:c r="X225" s="3"/>
      <x:c r="Y225" s="3"/>
      <x:c r="Z225" s="3"/>
    </x:row>
    <x:row r="226" ht="15" customHeight="1">
      <x:c r="A226" s="3"/>
      <x:c r="B226" s="3"/>
      <x:c r="C226" s="3"/>
      <x:c r="D226" s="3"/>
      <x:c r="E226" s="3"/>
      <x:c r="F226" s="3"/>
      <x:c r="G226" s="3"/>
      <x:c r="H226" s="3"/>
      <x:c r="I226" s="3"/>
      <x:c r="J226" s="10" t="n">
        <x:v>46077</x:v>
      </x:c>
      <x:c r="K226" s="8" t="n">
        <x:f>INDEX('Сводка'!$S$3:$S$397,U226)</x:f>
        <x:v>-46</x:v>
      </x:c>
      <x:c r="L226" s="8" t="n">
        <x:f>INDEX('Сводка'!$S$3:$S$397,V226)</x:f>
        <x:v>-44</x:v>
      </x:c>
      <x:c r="M226" s="8" t="n">
        <x:f>INDEX($K$388:$N$400,W226,1)+INDEX($K$388:$N$400,W226,2)*(2*(J226-$T$405)/(T226-$T$405)-1)^1+INDEX($K$388:$N$400,W226,3)*(2*(J226-$T$405)/(T226-$T$405)-1)^2</x:f>
        <x:v>129.76337858594482</x:v>
      </x:c>
      <x:c r="N226" s="8" t="n">
        <x:f>K226-M226</x:f>
        <x:v>-175.76337858594482</x:v>
      </x:c>
      <x:c r="O226" s="8" t="n">
        <x:f>ABS(N226)</x:f>
        <x:v>175.76337858594482</x:v>
      </x:c>
      <x:c r="P226" s="8" t="n">
        <x:f>N226^2</x:f>
        <x:v>30892.765251946166</x:v>
      </x:c>
      <x:c r="Q226" s="8" t="n">
        <x:f>K226-L226</x:f>
        <x:v>-2</x:v>
      </x:c>
      <x:c r="R226" s="9" t="n">
        <x:f>IF(AND(INDEX('Сводка'!$T$3:$T$397,U226)=0,INDEX('Сводка'!$T$3:$T$397,V226)=0),1,0)</x:f>
        <x:v>1</x:v>
      </x:c>
      <x:c r="S226" s="9" t="n">
        <x:f>IF(AND(R226=1,O226&lt;=$G$13),1,0)</x:f>
        <x:v>0</x:v>
      </x:c>
      <x:c r="T226" s="10" t="n">
        <x:f>EOMONTH(J226-'Сводка'!$B$11,-1)</x:f>
        <x:v>46053</x:v>
      </x:c>
      <x:c r="U226" s="4" t="n">
        <x:f>MATCH(J226,'Сводка'!$R$3:$R$397,0)</x:f>
        <x:v>237</x:v>
      </x:c>
      <x:c r="V226" s="4" t="n">
        <x:f>MATCH(J226-'Сводка'!$B$11,'Сводка'!$R$3:$R$397,0)</x:f>
        <x:v>236</x:v>
      </x:c>
      <x:c r="W226" s="4" t="n">
        <x:f>MATCH(T226,$J$388:$J$400,0)</x:f>
        <x:v>8</x:v>
      </x:c>
      <x:c r="X226" s="3"/>
      <x:c r="Y226" s="3"/>
      <x:c r="Z226" s="3"/>
    </x:row>
    <x:row r="227" ht="15" customHeight="1">
      <x:c r="A227" s="3"/>
      <x:c r="B227" s="3"/>
      <x:c r="C227" s="3"/>
      <x:c r="D227" s="3"/>
      <x:c r="E227" s="3"/>
      <x:c r="F227" s="3"/>
      <x:c r="G227" s="3"/>
      <x:c r="H227" s="3"/>
      <x:c r="I227" s="3"/>
      <x:c r="J227" s="10" t="n">
        <x:v>46078</x:v>
      </x:c>
      <x:c r="K227" s="8" t="n">
        <x:f>INDEX('Сводка'!$S$3:$S$397,U227)</x:f>
        <x:v>-46</x:v>
      </x:c>
      <x:c r="L227" s="8" t="n">
        <x:f>INDEX('Сводка'!$S$3:$S$397,V227)</x:f>
        <x:v>-46</x:v>
      </x:c>
      <x:c r="M227" s="8" t="n">
        <x:f>INDEX($K$388:$N$400,W227,1)+INDEX($K$388:$N$400,W227,2)*(2*(J227-$T$405)/(T227-$T$405)-1)^1+INDEX($K$388:$N$400,W227,3)*(2*(J227-$T$405)/(T227-$T$405)-1)^2</x:f>
        <x:v>129.759638480752</x:v>
      </x:c>
      <x:c r="N227" s="8" t="n">
        <x:f>K227-M227</x:f>
        <x:v>-175.759638480752</x:v>
      </x:c>
      <x:c r="O227" s="8" t="n">
        <x:f>ABS(N227)</x:f>
        <x:v>175.759638480752</x:v>
      </x:c>
      <x:c r="P227" s="8" t="n">
        <x:f>N227^2</x:f>
        <x:v>30891.450518884634</x:v>
      </x:c>
      <x:c r="Q227" s="8" t="n">
        <x:f>K227-L227</x:f>
        <x:v>0</x:v>
      </x:c>
      <x:c r="R227" s="9" t="n">
        <x:f>IF(AND(INDEX('Сводка'!$T$3:$T$397,U227)=0,INDEX('Сводка'!$T$3:$T$397,V227)=0),1,0)</x:f>
        <x:v>1</x:v>
      </x:c>
      <x:c r="S227" s="9" t="n">
        <x:f>IF(AND(R227=1,O227&lt;=$G$13),1,0)</x:f>
        <x:v>0</x:v>
      </x:c>
      <x:c r="T227" s="10" t="n">
        <x:f>EOMONTH(J227-'Сводка'!$B$11,-1)</x:f>
        <x:v>46053</x:v>
      </x:c>
      <x:c r="U227" s="4" t="n">
        <x:f>MATCH(J227,'Сводка'!$R$3:$R$397,0)</x:f>
        <x:v>238</x:v>
      </x:c>
      <x:c r="V227" s="4" t="n">
        <x:f>MATCH(J227-'Сводка'!$B$11,'Сводка'!$R$3:$R$397,0)</x:f>
        <x:v>237</x:v>
      </x:c>
      <x:c r="W227" s="4" t="n">
        <x:f>MATCH(T227,$J$388:$J$400,0)</x:f>
        <x:v>8</x:v>
      </x:c>
      <x:c r="X227" s="3"/>
      <x:c r="Y227" s="3"/>
      <x:c r="Z227" s="3"/>
    </x:row>
    <x:row r="228" ht="15" customHeight="1">
      <x:c r="A228" s="3"/>
      <x:c r="B228" s="3"/>
      <x:c r="C228" s="3"/>
      <x:c r="D228" s="3"/>
      <x:c r="E228" s="3"/>
      <x:c r="F228" s="3"/>
      <x:c r="G228" s="3"/>
      <x:c r="H228" s="3"/>
      <x:c r="I228" s="3"/>
      <x:c r="J228" s="10" t="n">
        <x:v>46079</x:v>
      </x:c>
      <x:c r="K228" s="8" t="n">
        <x:f>INDEX('Сводка'!$S$3:$S$397,U228)</x:f>
        <x:v>-48</x:v>
      </x:c>
      <x:c r="L228" s="8" t="n">
        <x:f>INDEX('Сводка'!$S$3:$S$397,V228)</x:f>
        <x:v>-46</x:v>
      </x:c>
      <x:c r="M228" s="8" t="n">
        <x:f>INDEX($K$388:$N$400,W228,1)+INDEX($K$388:$N$400,W228,2)*(2*(J228-$T$405)/(T228-$T$405)-1)^1+INDEX($K$388:$N$400,W228,3)*(2*(J228-$T$405)/(T228-$T$405)-1)^2</x:f>
        <x:v>129.7558924273817</x:v>
      </x:c>
      <x:c r="N228" s="8" t="n">
        <x:f>K228-M228</x:f>
        <x:v>-177.7558924273817</x:v>
      </x:c>
      <x:c r="O228" s="8" t="n">
        <x:f>ABS(N228)</x:f>
        <x:v>177.7558924273817</x:v>
      </x:c>
      <x:c r="P228" s="8" t="n">
        <x:f>N228^2</x:f>
        <x:v>31597.157292654894</x:v>
      </x:c>
      <x:c r="Q228" s="8" t="n">
        <x:f>K228-L228</x:f>
        <x:v>-2</x:v>
      </x:c>
      <x:c r="R228" s="9" t="n">
        <x:f>IF(AND(INDEX('Сводка'!$T$3:$T$397,U228)=0,INDEX('Сводка'!$T$3:$T$397,V228)=0),1,0)</x:f>
        <x:v>1</x:v>
      </x:c>
      <x:c r="S228" s="9" t="n">
        <x:f>IF(AND(R228=1,O228&lt;=$G$13),1,0)</x:f>
        <x:v>0</x:v>
      </x:c>
      <x:c r="T228" s="10" t="n">
        <x:f>EOMONTH(J228-'Сводка'!$B$11,-1)</x:f>
        <x:v>46053</x:v>
      </x:c>
      <x:c r="U228" s="4" t="n">
        <x:f>MATCH(J228,'Сводка'!$R$3:$R$397,0)</x:f>
        <x:v>239</x:v>
      </x:c>
      <x:c r="V228" s="4" t="n">
        <x:f>MATCH(J228-'Сводка'!$B$11,'Сводка'!$R$3:$R$397,0)</x:f>
        <x:v>238</x:v>
      </x:c>
      <x:c r="W228" s="4" t="n">
        <x:f>MATCH(T228,$J$388:$J$400,0)</x:f>
        <x:v>8</x:v>
      </x:c>
      <x:c r="X228" s="3"/>
      <x:c r="Y228" s="3"/>
      <x:c r="Z228" s="3"/>
    </x:row>
    <x:row r="229" ht="15" customHeight="1">
      <x:c r="A229" s="3"/>
      <x:c r="B229" s="3"/>
      <x:c r="C229" s="3"/>
      <x:c r="D229" s="3"/>
      <x:c r="E229" s="3"/>
      <x:c r="F229" s="3"/>
      <x:c r="G229" s="3"/>
      <x:c r="H229" s="3"/>
      <x:c r="I229" s="3"/>
      <x:c r="J229" s="10" t="n">
        <x:v>46080</x:v>
      </x:c>
      <x:c r="K229" s="8" t="n">
        <x:f>INDEX('Сводка'!$S$3:$S$397,U229)</x:f>
        <x:v>-51</x:v>
      </x:c>
      <x:c r="L229" s="8" t="n">
        <x:f>INDEX('Сводка'!$S$3:$S$397,V229)</x:f>
        <x:v>-48</x:v>
      </x:c>
      <x:c r="M229" s="8" t="n">
        <x:f>INDEX($K$388:$N$400,W229,1)+INDEX($K$388:$N$400,W229,2)*(2*(J229-$T$405)/(T229-$T$405)-1)^1+INDEX($K$388:$N$400,W229,3)*(2*(J229-$T$405)/(T229-$T$405)-1)^2</x:f>
        <x:v>129.75214042583403</x:v>
      </x:c>
      <x:c r="N229" s="8" t="n">
        <x:f>K229-M229</x:f>
        <x:v>-180.75214042583403</x:v>
      </x:c>
      <x:c r="O229" s="8" t="n">
        <x:f>ABS(N229)</x:f>
        <x:v>180.75214042583403</x:v>
      </x:c>
      <x:c r="P229" s="8" t="n">
        <x:f>N229^2</x:f>
        <x:v>32671.336268520423</x:v>
      </x:c>
      <x:c r="Q229" s="8" t="n">
        <x:f>K229-L229</x:f>
        <x:v>-3</x:v>
      </x:c>
      <x:c r="R229" s="9" t="n">
        <x:f>IF(AND(INDEX('Сводка'!$T$3:$T$397,U229)=0,INDEX('Сводка'!$T$3:$T$397,V229)=0),1,0)</x:f>
        <x:v>1</x:v>
      </x:c>
      <x:c r="S229" s="9" t="n">
        <x:f>IF(AND(R229=1,O229&lt;=$G$13),1,0)</x:f>
        <x:v>0</x:v>
      </x:c>
      <x:c r="T229" s="10" t="n">
        <x:f>EOMONTH(J229-'Сводка'!$B$11,-1)</x:f>
        <x:v>46053</x:v>
      </x:c>
      <x:c r="U229" s="4" t="n">
        <x:f>MATCH(J229,'Сводка'!$R$3:$R$397,0)</x:f>
        <x:v>240</x:v>
      </x:c>
      <x:c r="V229" s="4" t="n">
        <x:f>MATCH(J229-'Сводка'!$B$11,'Сводка'!$R$3:$R$397,0)</x:f>
        <x:v>239</x:v>
      </x:c>
      <x:c r="W229" s="4" t="n">
        <x:f>MATCH(T229,$J$388:$J$400,0)</x:f>
        <x:v>8</x:v>
      </x:c>
      <x:c r="X229" s="3"/>
      <x:c r="Y229" s="3"/>
      <x:c r="Z229" s="3"/>
    </x:row>
    <x:row r="230" ht="15" customHeight="1">
      <x:c r="A230" s="3"/>
      <x:c r="B230" s="3"/>
      <x:c r="C230" s="3"/>
      <x:c r="D230" s="3"/>
      <x:c r="E230" s="3"/>
      <x:c r="F230" s="3"/>
      <x:c r="G230" s="3"/>
      <x:c r="H230" s="3"/>
      <x:c r="I230" s="3"/>
      <x:c r="J230" s="10" t="n">
        <x:v>46081</x:v>
      </x:c>
      <x:c r="K230" s="8" t="n">
        <x:f>INDEX('Сводка'!$S$3:$S$397,U230)</x:f>
        <x:v>-54</x:v>
      </x:c>
      <x:c r="L230" s="8" t="n">
        <x:f>INDEX('Сводка'!$S$3:$S$397,V230)</x:f>
        <x:v>-51</x:v>
      </x:c>
      <x:c r="M230" s="8" t="n">
        <x:f>INDEX($K$388:$N$400,W230,1)+INDEX($K$388:$N$400,W230,2)*(2*(J230-$T$405)/(T230-$T$405)-1)^1+INDEX($K$388:$N$400,W230,3)*(2*(J230-$T$405)/(T230-$T$405)-1)^2</x:f>
        <x:v>129.74838247610896</x:v>
      </x:c>
      <x:c r="N230" s="8" t="n">
        <x:f>K230-M230</x:f>
        <x:v>-183.74838247610896</x:v>
      </x:c>
      <x:c r="O230" s="8" t="n">
        <x:f>ABS(N230)</x:f>
        <x:v>183.74838247610896</x:v>
      </x:c>
      <x:c r="P230" s="8" t="n">
        <x:f>N230^2</x:f>
        <x:v>33763.46806258643</x:v>
      </x:c>
      <x:c r="Q230" s="8" t="n">
        <x:f>K230-L230</x:f>
        <x:v>-3</x:v>
      </x:c>
      <x:c r="R230" s="9" t="n">
        <x:f>IF(AND(INDEX('Сводка'!$T$3:$T$397,U230)=0,INDEX('Сводка'!$T$3:$T$397,V230)=0),1,0)</x:f>
        <x:v>1</x:v>
      </x:c>
      <x:c r="S230" s="9" t="n">
        <x:f>IF(AND(R230=1,O230&lt;=$G$13),1,0)</x:f>
        <x:v>0</x:v>
      </x:c>
      <x:c r="T230" s="10" t="n">
        <x:f>EOMONTH(J230-'Сводка'!$B$11,-1)</x:f>
        <x:v>46053</x:v>
      </x:c>
      <x:c r="U230" s="4" t="n">
        <x:f>MATCH(J230,'Сводка'!$R$3:$R$397,0)</x:f>
        <x:v>241</x:v>
      </x:c>
      <x:c r="V230" s="4" t="n">
        <x:f>MATCH(J230-'Сводка'!$B$11,'Сводка'!$R$3:$R$397,0)</x:f>
        <x:v>240</x:v>
      </x:c>
      <x:c r="W230" s="4" t="n">
        <x:f>MATCH(T230,$J$388:$J$400,0)</x:f>
        <x:v>8</x:v>
      </x:c>
      <x:c r="X230" s="3"/>
      <x:c r="Y230" s="3"/>
      <x:c r="Z230" s="3"/>
    </x:row>
    <x:row r="231" ht="15" customHeight="1">
      <x:c r="A231" s="3"/>
      <x:c r="B231" s="3"/>
      <x:c r="C231" s="3"/>
      <x:c r="D231" s="3"/>
      <x:c r="E231" s="3"/>
      <x:c r="F231" s="3"/>
      <x:c r="G231" s="3"/>
      <x:c r="H231" s="3"/>
      <x:c r="I231" s="3"/>
      <x:c r="J231" s="10" t="n">
        <x:v>46082</x:v>
      </x:c>
      <x:c r="K231" s="8" t="n">
        <x:f>INDEX('Сводка'!$S$3:$S$397,U231)</x:f>
        <x:v>-55</x:v>
      </x:c>
      <x:c r="L231" s="8" t="n">
        <x:f>INDEX('Сводка'!$S$3:$S$397,V231)</x:f>
        <x:v>-54</x:v>
      </x:c>
      <x:c r="M231" s="8" t="n">
        <x:f>INDEX($K$388:$N$400,W231,1)+INDEX($K$388:$N$400,W231,2)*(2*(J231-$T$405)/(T231-$T$405)-1)^1+INDEX($K$388:$N$400,W231,3)*(2*(J231-$T$405)/(T231-$T$405)-1)^2</x:f>
        <x:v>129.74461857820648</x:v>
      </x:c>
      <x:c r="N231" s="8" t="n">
        <x:f>K231-M231</x:f>
        <x:v>-184.74461857820648</x:v>
      </x:c>
      <x:c r="O231" s="8" t="n">
        <x:f>ABS(N231)</x:f>
        <x:v>184.74461857820648</x:v>
      </x:c>
      <x:c r="P231" s="8" t="n">
        <x:f>N231^2</x:f>
        <x:v>34130.574093607</x:v>
      </x:c>
      <x:c r="Q231" s="8" t="n">
        <x:f>K231-L231</x:f>
        <x:v>-1</x:v>
      </x:c>
      <x:c r="R231" s="9" t="n">
        <x:f>IF(AND(INDEX('Сводка'!$T$3:$T$397,U231)=0,INDEX('Сводка'!$T$3:$T$397,V231)=0),1,0)</x:f>
        <x:v>1</x:v>
      </x:c>
      <x:c r="S231" s="9" t="n">
        <x:f>IF(AND(R231=1,O231&lt;=$G$13),1,0)</x:f>
        <x:v>0</x:v>
      </x:c>
      <x:c r="T231" s="10" t="n">
        <x:f>EOMONTH(J231-'Сводка'!$B$11,-1)</x:f>
        <x:v>46053</x:v>
      </x:c>
      <x:c r="U231" s="4" t="n">
        <x:f>MATCH(J231,'Сводка'!$R$3:$R$397,0)</x:f>
        <x:v>242</x:v>
      </x:c>
      <x:c r="V231" s="4" t="n">
        <x:f>MATCH(J231-'Сводка'!$B$11,'Сводка'!$R$3:$R$397,0)</x:f>
        <x:v>241</x:v>
      </x:c>
      <x:c r="W231" s="4" t="n">
        <x:f>MATCH(T231,$J$388:$J$400,0)</x:f>
        <x:v>8</x:v>
      </x:c>
      <x:c r="X231" s="3"/>
      <x:c r="Y231" s="3"/>
      <x:c r="Z231" s="3"/>
    </x:row>
    <x:row r="232" ht="15" customHeight="1">
      <x:c r="A232" s="3"/>
      <x:c r="B232" s="3"/>
      <x:c r="C232" s="3"/>
      <x:c r="D232" s="3"/>
      <x:c r="E232" s="3"/>
      <x:c r="F232" s="3"/>
      <x:c r="G232" s="3"/>
      <x:c r="H232" s="3"/>
      <x:c r="I232" s="3"/>
      <x:c r="J232" s="10" t="n">
        <x:v>46083</x:v>
      </x:c>
      <x:c r="K232" s="8" t="n">
        <x:f>INDEX('Сводка'!$S$3:$S$397,U232)</x:f>
        <x:v>-57</x:v>
      </x:c>
      <x:c r="L232" s="8" t="n">
        <x:f>INDEX('Сводка'!$S$3:$S$397,V232)</x:f>
        <x:v>-55</x:v>
      </x:c>
      <x:c r="M232" s="8" t="n">
        <x:f>INDEX($K$388:$N$400,W232,1)+INDEX($K$388:$N$400,W232,2)*(2*(J232-$T$405)/(T232-$T$405)-1)^1+INDEX($K$388:$N$400,W232,3)*(2*(J232-$T$405)/(T232-$T$405)-1)^2</x:f>
        <x:v>124.38737021930473</x:v>
      </x:c>
      <x:c r="N232" s="8" t="n">
        <x:f>K232-M232</x:f>
        <x:v>-181.38737021930473</x:v>
      </x:c>
      <x:c r="O232" s="8" t="n">
        <x:f>ABS(N232)</x:f>
        <x:v>181.38737021930473</x:v>
      </x:c>
      <x:c r="P232" s="8" t="n">
        <x:f>N232^2</x:f>
        <x:v>32901.37807507512</x:v>
      </x:c>
      <x:c r="Q232" s="8" t="n">
        <x:f>K232-L232</x:f>
        <x:v>-2</x:v>
      </x:c>
      <x:c r="R232" s="9" t="n">
        <x:f>IF(AND(INDEX('Сводка'!$T$3:$T$397,U232)=0,INDEX('Сводка'!$T$3:$T$397,V232)=0),1,0)</x:f>
        <x:v>1</x:v>
      </x:c>
      <x:c r="S232" s="9" t="n">
        <x:f>IF(AND(R232=1,O232&lt;=$G$13),1,0)</x:f>
        <x:v>0</x:v>
      </x:c>
      <x:c r="T232" s="10" t="n">
        <x:f>EOMONTH(J232-'Сводка'!$B$11,-1)</x:f>
        <x:v>46081</x:v>
      </x:c>
      <x:c r="U232" s="4" t="n">
        <x:f>MATCH(J232,'Сводка'!$R$3:$R$397,0)</x:f>
        <x:v>243</x:v>
      </x:c>
      <x:c r="V232" s="4" t="n">
        <x:f>MATCH(J232-'Сводка'!$B$11,'Сводка'!$R$3:$R$397,0)</x:f>
        <x:v>242</x:v>
      </x:c>
      <x:c r="W232" s="4" t="n">
        <x:f>MATCH(T232,$J$388:$J$400,0)</x:f>
        <x:v>9</x:v>
      </x:c>
      <x:c r="X232" s="3"/>
      <x:c r="Y232" s="3"/>
      <x:c r="Z232" s="3"/>
    </x:row>
    <x:row r="233" ht="15" customHeight="1">
      <x:c r="A233" s="3"/>
      <x:c r="B233" s="3"/>
      <x:c r="C233" s="3"/>
      <x:c r="D233" s="3"/>
      <x:c r="E233" s="3"/>
      <x:c r="F233" s="3"/>
      <x:c r="G233" s="3"/>
      <x:c r="H233" s="3"/>
      <x:c r="I233" s="3"/>
      <x:c r="J233" s="10" t="n">
        <x:v>46084</x:v>
      </x:c>
      <x:c r="K233" s="8" t="n">
        <x:f>INDEX('Сводка'!$S$3:$S$397,U233)</x:f>
        <x:v>-58</x:v>
      </x:c>
      <x:c r="L233" s="8" t="n">
        <x:f>INDEX('Сводка'!$S$3:$S$397,V233)</x:f>
        <x:v>-57</x:v>
      </x:c>
      <x:c r="M233" s="8" t="n">
        <x:f>INDEX($K$388:$N$400,W233,1)+INDEX($K$388:$N$400,W233,2)*(2*(J233-$T$405)/(T233-$T$405)-1)^1+INDEX($K$388:$N$400,W233,3)*(2*(J233-$T$405)/(T233-$T$405)-1)^2</x:f>
        <x:v>124.38122052989485</x:v>
      </x:c>
      <x:c r="N233" s="8" t="n">
        <x:f>K233-M233</x:f>
        <x:v>-182.38122052989485</x:v>
      </x:c>
      <x:c r="O233" s="8" t="n">
        <x:f>ABS(N233)</x:f>
        <x:v>182.38122052989485</x:v>
      </x:c>
      <x:c r="P233" s="8" t="n">
        <x:f>N233^2</x:f>
        <x:v>33262.90960197414</x:v>
      </x:c>
      <x:c r="Q233" s="8" t="n">
        <x:f>K233-L233</x:f>
        <x:v>-1</x:v>
      </x:c>
      <x:c r="R233" s="9" t="n">
        <x:f>IF(AND(INDEX('Сводка'!$T$3:$T$397,U233)=0,INDEX('Сводка'!$T$3:$T$397,V233)=0),1,0)</x:f>
        <x:v>1</x:v>
      </x:c>
      <x:c r="S233" s="9" t="n">
        <x:f>IF(AND(R233=1,O233&lt;=$G$13),1,0)</x:f>
        <x:v>0</x:v>
      </x:c>
      <x:c r="T233" s="10" t="n">
        <x:f>EOMONTH(J233-'Сводка'!$B$11,-1)</x:f>
        <x:v>46081</x:v>
      </x:c>
      <x:c r="U233" s="4" t="n">
        <x:f>MATCH(J233,'Сводка'!$R$3:$R$397,0)</x:f>
        <x:v>244</x:v>
      </x:c>
      <x:c r="V233" s="4" t="n">
        <x:f>MATCH(J233-'Сводка'!$B$11,'Сводка'!$R$3:$R$397,0)</x:f>
        <x:v>243</x:v>
      </x:c>
      <x:c r="W233" s="4" t="n">
        <x:f>MATCH(T233,$J$388:$J$400,0)</x:f>
        <x:v>9</x:v>
      </x:c>
      <x:c r="X233" s="3"/>
      <x:c r="Y233" s="3"/>
      <x:c r="Z233" s="3"/>
    </x:row>
    <x:row r="234" ht="15" customHeight="1">
      <x:c r="A234" s="3"/>
      <x:c r="B234" s="3"/>
      <x:c r="C234" s="3"/>
      <x:c r="D234" s="3"/>
      <x:c r="E234" s="3"/>
      <x:c r="F234" s="3"/>
      <x:c r="G234" s="3"/>
      <x:c r="H234" s="3"/>
      <x:c r="I234" s="3"/>
      <x:c r="J234" s="10" t="n">
        <x:v>46085</x:v>
      </x:c>
      <x:c r="K234" s="8" t="n">
        <x:f>INDEX('Сводка'!$S$3:$S$397,U234)</x:f>
        <x:v>-58</x:v>
      </x:c>
      <x:c r="L234" s="8" t="n">
        <x:f>INDEX('Сводка'!$S$3:$S$397,V234)</x:f>
        <x:v>-58</x:v>
      </x:c>
      <x:c r="M234" s="8" t="n">
        <x:f>INDEX($K$388:$N$400,W234,1)+INDEX($K$388:$N$400,W234,2)*(2*(J234-$T$405)/(T234-$T$405)-1)^1+INDEX($K$388:$N$400,W234,3)*(2*(J234-$T$405)/(T234-$T$405)-1)^2</x:f>
        <x:v>124.37506444840517</x:v>
      </x:c>
      <x:c r="N234" s="8" t="n">
        <x:f>K234-M234</x:f>
        <x:v>-182.37506444840517</x:v>
      </x:c>
      <x:c r="O234" s="8" t="n">
        <x:f>ABS(N234)</x:f>
        <x:v>182.37506444840517</x:v>
      </x:c>
      <x:c r="P234" s="8" t="n">
        <x:f>N234^2</x:f>
        <x:v>33260.66413255994</x:v>
      </x:c>
      <x:c r="Q234" s="8" t="n">
        <x:f>K234-L234</x:f>
        <x:v>0</x:v>
      </x:c>
      <x:c r="R234" s="9" t="n">
        <x:f>IF(AND(INDEX('Сводка'!$T$3:$T$397,U234)=0,INDEX('Сводка'!$T$3:$T$397,V234)=0),1,0)</x:f>
        <x:v>1</x:v>
      </x:c>
      <x:c r="S234" s="9" t="n">
        <x:f>IF(AND(R234=1,O234&lt;=$G$13),1,0)</x:f>
        <x:v>0</x:v>
      </x:c>
      <x:c r="T234" s="10" t="n">
        <x:f>EOMONTH(J234-'Сводка'!$B$11,-1)</x:f>
        <x:v>46081</x:v>
      </x:c>
      <x:c r="U234" s="4" t="n">
        <x:f>MATCH(J234,'Сводка'!$R$3:$R$397,0)</x:f>
        <x:v>245</x:v>
      </x:c>
      <x:c r="V234" s="4" t="n">
        <x:f>MATCH(J234-'Сводка'!$B$11,'Сводка'!$R$3:$R$397,0)</x:f>
        <x:v>244</x:v>
      </x:c>
      <x:c r="W234" s="4" t="n">
        <x:f>MATCH(T234,$J$388:$J$400,0)</x:f>
        <x:v>9</x:v>
      </x:c>
      <x:c r="X234" s="3"/>
      <x:c r="Y234" s="3"/>
      <x:c r="Z234" s="3"/>
    </x:row>
    <x:row r="235" ht="15" customHeight="1">
      <x:c r="A235" s="3"/>
      <x:c r="B235" s="3"/>
      <x:c r="C235" s="3"/>
      <x:c r="D235" s="3"/>
      <x:c r="E235" s="3"/>
      <x:c r="F235" s="3"/>
      <x:c r="G235" s="3"/>
      <x:c r="H235" s="3"/>
      <x:c r="I235" s="3"/>
      <x:c r="J235" s="10" t="n">
        <x:v>46086</x:v>
      </x:c>
      <x:c r="K235" s="8" t="n">
        <x:f>INDEX('Сводка'!$S$3:$S$397,U235)</x:f>
        <x:v>-58</x:v>
      </x:c>
      <x:c r="L235" s="8" t="n">
        <x:f>INDEX('Сводка'!$S$3:$S$397,V235)</x:f>
        <x:v>-58</x:v>
      </x:c>
      <x:c r="M235" s="8" t="n">
        <x:f>INDEX($K$388:$N$400,W235,1)+INDEX($K$388:$N$400,W235,2)*(2*(J235-$T$405)/(T235-$T$405)-1)^1+INDEX($K$388:$N$400,W235,3)*(2*(J235-$T$405)/(T235-$T$405)-1)^2</x:f>
        <x:v>124.3689019748357</x:v>
      </x:c>
      <x:c r="N235" s="8" t="n">
        <x:f>K235-M235</x:f>
        <x:v>-182.3689019748357</x:v>
      </x:c>
      <x:c r="O235" s="8" t="n">
        <x:f>ABS(N235)</x:f>
        <x:v>182.3689019748357</x:v>
      </x:c>
      <x:c r="P235" s="8" t="n">
        <x:f>N235^2</x:f>
        <x:v>33258.41640750723</x:v>
      </x:c>
      <x:c r="Q235" s="8" t="n">
        <x:f>K235-L235</x:f>
        <x:v>0</x:v>
      </x:c>
      <x:c r="R235" s="9" t="n">
        <x:f>IF(AND(INDEX('Сводка'!$T$3:$T$397,U235)=0,INDEX('Сводка'!$T$3:$T$397,V235)=0),1,0)</x:f>
        <x:v>1</x:v>
      </x:c>
      <x:c r="S235" s="9" t="n">
        <x:f>IF(AND(R235=1,O235&lt;=$G$13),1,0)</x:f>
        <x:v>0</x:v>
      </x:c>
      <x:c r="T235" s="10" t="n">
        <x:f>EOMONTH(J235-'Сводка'!$B$11,-1)</x:f>
        <x:v>46081</x:v>
      </x:c>
      <x:c r="U235" s="4" t="n">
        <x:f>MATCH(J235,'Сводка'!$R$3:$R$397,0)</x:f>
        <x:v>246</x:v>
      </x:c>
      <x:c r="V235" s="4" t="n">
        <x:f>MATCH(J235-'Сводка'!$B$11,'Сводка'!$R$3:$R$397,0)</x:f>
        <x:v>245</x:v>
      </x:c>
      <x:c r="W235" s="4" t="n">
        <x:f>MATCH(T235,$J$388:$J$400,0)</x:f>
        <x:v>9</x:v>
      </x:c>
      <x:c r="X235" s="3"/>
      <x:c r="Y235" s="3"/>
      <x:c r="Z235" s="3"/>
    </x:row>
    <x:row r="236" ht="15" customHeight="1">
      <x:c r="A236" s="3"/>
      <x:c r="B236" s="3"/>
      <x:c r="C236" s="3"/>
      <x:c r="D236" s="3"/>
      <x:c r="E236" s="3"/>
      <x:c r="F236" s="3"/>
      <x:c r="G236" s="3"/>
      <x:c r="H236" s="3"/>
      <x:c r="I236" s="3"/>
      <x:c r="J236" s="10" t="n">
        <x:v>46087</x:v>
      </x:c>
      <x:c r="K236" s="8" t="n">
        <x:f>INDEX('Сводка'!$S$3:$S$397,U236)</x:f>
        <x:v>-57</x:v>
      </x:c>
      <x:c r="L236" s="8" t="n">
        <x:f>INDEX('Сводка'!$S$3:$S$397,V236)</x:f>
        <x:v>-58</x:v>
      </x:c>
      <x:c r="M236" s="8" t="n">
        <x:f>INDEX($K$388:$N$400,W236,1)+INDEX($K$388:$N$400,W236,2)*(2*(J236-$T$405)/(T236-$T$405)-1)^1+INDEX($K$388:$N$400,W236,3)*(2*(J236-$T$405)/(T236-$T$405)-1)^2</x:f>
        <x:v>124.36273310918637</x:v>
      </x:c>
      <x:c r="N236" s="8" t="n">
        <x:f>K236-M236</x:f>
        <x:v>-181.36273310918637</x:v>
      </x:c>
      <x:c r="O236" s="8" t="n">
        <x:f>ABS(N236)</x:f>
        <x:v>181.36273310918637</x:v>
      </x:c>
      <x:c r="P236" s="8" t="n">
        <x:f>N236^2</x:f>
        <x:v>32892.44096083396</x:v>
      </x:c>
      <x:c r="Q236" s="8" t="n">
        <x:f>K236-L236</x:f>
        <x:v>1</x:v>
      </x:c>
      <x:c r="R236" s="9" t="n">
        <x:f>IF(AND(INDEX('Сводка'!$T$3:$T$397,U236)=0,INDEX('Сводка'!$T$3:$T$397,V236)=0),1,0)</x:f>
        <x:v>1</x:v>
      </x:c>
      <x:c r="S236" s="9" t="n">
        <x:f>IF(AND(R236=1,O236&lt;=$G$13),1,0)</x:f>
        <x:v>0</x:v>
      </x:c>
      <x:c r="T236" s="10" t="n">
        <x:f>EOMONTH(J236-'Сводка'!$B$11,-1)</x:f>
        <x:v>46081</x:v>
      </x:c>
      <x:c r="U236" s="4" t="n">
        <x:f>MATCH(J236,'Сводка'!$R$3:$R$397,0)</x:f>
        <x:v>247</x:v>
      </x:c>
      <x:c r="V236" s="4" t="n">
        <x:f>MATCH(J236-'Сводка'!$B$11,'Сводка'!$R$3:$R$397,0)</x:f>
        <x:v>246</x:v>
      </x:c>
      <x:c r="W236" s="4" t="n">
        <x:f>MATCH(T236,$J$388:$J$400,0)</x:f>
        <x:v>9</x:v>
      </x:c>
      <x:c r="X236" s="3"/>
      <x:c r="Y236" s="3"/>
      <x:c r="Z236" s="3"/>
    </x:row>
    <x:row r="237" ht="15" customHeight="1">
      <x:c r="A237" s="3"/>
      <x:c r="B237" s="3"/>
      <x:c r="C237" s="3"/>
      <x:c r="D237" s="3"/>
      <x:c r="E237" s="3"/>
      <x:c r="F237" s="3"/>
      <x:c r="G237" s="3"/>
      <x:c r="H237" s="3"/>
      <x:c r="I237" s="3"/>
      <x:c r="J237" s="10" t="n">
        <x:v>46088</x:v>
      </x:c>
      <x:c r="K237" s="8" t="n">
        <x:f>INDEX('Сводка'!$S$3:$S$397,U237)</x:f>
        <x:v>-57</x:v>
      </x:c>
      <x:c r="L237" s="8" t="n">
        <x:f>INDEX('Сводка'!$S$3:$S$397,V237)</x:f>
        <x:v>-57</x:v>
      </x:c>
      <x:c r="M237" s="8" t="n">
        <x:f>INDEX($K$388:$N$400,W237,1)+INDEX($K$388:$N$400,W237,2)*(2*(J237-$T$405)/(T237-$T$405)-1)^1+INDEX($K$388:$N$400,W237,3)*(2*(J237-$T$405)/(T237-$T$405)-1)^2</x:f>
        <x:v>124.35655785145727</x:v>
      </x:c>
      <x:c r="N237" s="8" t="n">
        <x:f>K237-M237</x:f>
        <x:v>-181.35655785145727</x:v>
      </x:c>
      <x:c r="O237" s="8" t="n">
        <x:f>ABS(N237)</x:f>
        <x:v>181.35655785145727</x:v>
      </x:c>
      <x:c r="P237" s="8" t="n">
        <x:f>N237^2</x:f>
        <x:v>32890.20107572897</x:v>
      </x:c>
      <x:c r="Q237" s="8" t="n">
        <x:f>K237-L237</x:f>
        <x:v>0</x:v>
      </x:c>
      <x:c r="R237" s="9" t="n">
        <x:f>IF(AND(INDEX('Сводка'!$T$3:$T$397,U237)=0,INDEX('Сводка'!$T$3:$T$397,V237)=0),1,0)</x:f>
        <x:v>1</x:v>
      </x:c>
      <x:c r="S237" s="9" t="n">
        <x:f>IF(AND(R237=1,O237&lt;=$G$13),1,0)</x:f>
        <x:v>0</x:v>
      </x:c>
      <x:c r="T237" s="10" t="n">
        <x:f>EOMONTH(J237-'Сводка'!$B$11,-1)</x:f>
        <x:v>46081</x:v>
      </x:c>
      <x:c r="U237" s="4" t="n">
        <x:f>MATCH(J237,'Сводка'!$R$3:$R$397,0)</x:f>
        <x:v>248</x:v>
      </x:c>
      <x:c r="V237" s="4" t="n">
        <x:f>MATCH(J237-'Сводка'!$B$11,'Сводка'!$R$3:$R$397,0)</x:f>
        <x:v>247</x:v>
      </x:c>
      <x:c r="W237" s="4" t="n">
        <x:f>MATCH(T237,$J$388:$J$400,0)</x:f>
        <x:v>9</x:v>
      </x:c>
      <x:c r="X237" s="3"/>
      <x:c r="Y237" s="3"/>
      <x:c r="Z237" s="3"/>
    </x:row>
    <x:row r="238" ht="15" customHeight="1">
      <x:c r="A238" s="3"/>
      <x:c r="B238" s="3"/>
      <x:c r="C238" s="3"/>
      <x:c r="D238" s="3"/>
      <x:c r="E238" s="3"/>
      <x:c r="F238" s="3"/>
      <x:c r="G238" s="3"/>
      <x:c r="H238" s="3"/>
      <x:c r="I238" s="3"/>
      <x:c r="J238" s="10" t="n">
        <x:v>46089</x:v>
      </x:c>
      <x:c r="K238" s="8" t="n">
        <x:f>INDEX('Сводка'!$S$3:$S$397,U238)</x:f>
        <x:v>-59</x:v>
      </x:c>
      <x:c r="L238" s="8" t="n">
        <x:f>INDEX('Сводка'!$S$3:$S$397,V238)</x:f>
        <x:v>-57</x:v>
      </x:c>
      <x:c r="M238" s="8" t="n">
        <x:f>INDEX($K$388:$N$400,W238,1)+INDEX($K$388:$N$400,W238,2)*(2*(J238-$T$405)/(T238-$T$405)-1)^1+INDEX($K$388:$N$400,W238,3)*(2*(J238-$T$405)/(T238-$T$405)-1)^2</x:f>
        <x:v>124.3503762016484</x:v>
      </x:c>
      <x:c r="N238" s="8" t="n">
        <x:f>K238-M238</x:f>
        <x:v>-183.3503762016484</x:v>
      </x:c>
      <x:c r="O238" s="8" t="n">
        <x:f>ABS(N238)</x:f>
        <x:v>183.3503762016484</x:v>
      </x:c>
      <x:c r="P238" s="8" t="n">
        <x:f>N238^2</x:f>
        <x:v>33617.360453286</x:v>
      </x:c>
      <x:c r="Q238" s="8" t="n">
        <x:f>K238-L238</x:f>
        <x:v>-2</x:v>
      </x:c>
      <x:c r="R238" s="9" t="n">
        <x:f>IF(AND(INDEX('Сводка'!$T$3:$T$397,U238)=0,INDEX('Сводка'!$T$3:$T$397,V238)=0),1,0)</x:f>
        <x:v>1</x:v>
      </x:c>
      <x:c r="S238" s="9" t="n">
        <x:f>IF(AND(R238=1,O238&lt;=$G$13),1,0)</x:f>
        <x:v>0</x:v>
      </x:c>
      <x:c r="T238" s="10" t="n">
        <x:f>EOMONTH(J238-'Сводка'!$B$11,-1)</x:f>
        <x:v>46081</x:v>
      </x:c>
      <x:c r="U238" s="4" t="n">
        <x:f>MATCH(J238,'Сводка'!$R$3:$R$397,0)</x:f>
        <x:v>249</x:v>
      </x:c>
      <x:c r="V238" s="4" t="n">
        <x:f>MATCH(J238-'Сводка'!$B$11,'Сводка'!$R$3:$R$397,0)</x:f>
        <x:v>248</x:v>
      </x:c>
      <x:c r="W238" s="4" t="n">
        <x:f>MATCH(T238,$J$388:$J$400,0)</x:f>
        <x:v>9</x:v>
      </x:c>
      <x:c r="X238" s="3"/>
      <x:c r="Y238" s="3"/>
      <x:c r="Z238" s="3"/>
    </x:row>
    <x:row r="239" ht="15" customHeight="1">
      <x:c r="A239" s="3"/>
      <x:c r="B239" s="3"/>
      <x:c r="C239" s="3"/>
      <x:c r="D239" s="3"/>
      <x:c r="E239" s="3"/>
      <x:c r="F239" s="3"/>
      <x:c r="G239" s="3"/>
      <x:c r="H239" s="3"/>
      <x:c r="I239" s="3"/>
      <x:c r="J239" s="10" t="n">
        <x:v>46090</x:v>
      </x:c>
      <x:c r="K239" s="8" t="n">
        <x:f>INDEX('Сводка'!$S$3:$S$397,U239)</x:f>
        <x:v>-61</x:v>
      </x:c>
      <x:c r="L239" s="8" t="n">
        <x:f>INDEX('Сводка'!$S$3:$S$397,V239)</x:f>
        <x:v>-59</x:v>
      </x:c>
      <x:c r="M239" s="8" t="n">
        <x:f>INDEX($K$388:$N$400,W239,1)+INDEX($K$388:$N$400,W239,2)*(2*(J239-$T$405)/(T239-$T$405)-1)^1+INDEX($K$388:$N$400,W239,3)*(2*(J239-$T$405)/(T239-$T$405)-1)^2</x:f>
        <x:v>124.34418815975968</x:v>
      </x:c>
      <x:c r="N239" s="8" t="n">
        <x:f>K239-M239</x:f>
        <x:v>-185.34418815975968</x:v>
      </x:c>
      <x:c r="O239" s="8" t="n">
        <x:f>ABS(N239)</x:f>
        <x:v>185.34418815975968</x:v>
      </x:c>
      <x:c r="P239" s="8" t="n">
        <x:f>N239^2</x:f>
        <x:v>34352.4680846004</x:v>
      </x:c>
      <x:c r="Q239" s="8" t="n">
        <x:f>K239-L239</x:f>
        <x:v>-2</x:v>
      </x:c>
      <x:c r="R239" s="9" t="n">
        <x:f>IF(AND(INDEX('Сводка'!$T$3:$T$397,U239)=0,INDEX('Сводка'!$T$3:$T$397,V239)=0),1,0)</x:f>
        <x:v>1</x:v>
      </x:c>
      <x:c r="S239" s="9" t="n">
        <x:f>IF(AND(R239=1,O239&lt;=$G$13),1,0)</x:f>
        <x:v>0</x:v>
      </x:c>
      <x:c r="T239" s="10" t="n">
        <x:f>EOMONTH(J239-'Сводка'!$B$11,-1)</x:f>
        <x:v>46081</x:v>
      </x:c>
      <x:c r="U239" s="4" t="n">
        <x:f>MATCH(J239,'Сводка'!$R$3:$R$397,0)</x:f>
        <x:v>250</x:v>
      </x:c>
      <x:c r="V239" s="4" t="n">
        <x:f>MATCH(J239-'Сводка'!$B$11,'Сводка'!$R$3:$R$397,0)</x:f>
        <x:v>249</x:v>
      </x:c>
      <x:c r="W239" s="4" t="n">
        <x:f>MATCH(T239,$J$388:$J$400,0)</x:f>
        <x:v>9</x:v>
      </x:c>
      <x:c r="X239" s="3"/>
      <x:c r="Y239" s="3"/>
      <x:c r="Z239" s="3"/>
    </x:row>
    <x:row r="240" ht="15" customHeight="1">
      <x:c r="A240" s="3"/>
      <x:c r="B240" s="3"/>
      <x:c r="C240" s="3"/>
      <x:c r="D240" s="3"/>
      <x:c r="E240" s="3"/>
      <x:c r="F240" s="3"/>
      <x:c r="G240" s="3"/>
      <x:c r="H240" s="3"/>
      <x:c r="I240" s="3"/>
      <x:c r="J240" s="10" t="n">
        <x:v>46091</x:v>
      </x:c>
      <x:c r="K240" s="8" t="n">
        <x:f>INDEX('Сводка'!$S$3:$S$397,U240)</x:f>
        <x:v>-64</x:v>
      </x:c>
      <x:c r="L240" s="8" t="n">
        <x:f>INDEX('Сводка'!$S$3:$S$397,V240)</x:f>
        <x:v>-61</x:v>
      </x:c>
      <x:c r="M240" s="8" t="n">
        <x:f>INDEX($K$388:$N$400,W240,1)+INDEX($K$388:$N$400,W240,2)*(2*(J240-$T$405)/(T240-$T$405)-1)^1+INDEX($K$388:$N$400,W240,3)*(2*(J240-$T$405)/(T240-$T$405)-1)^2</x:f>
        <x:v>124.33799372579112</x:v>
      </x:c>
      <x:c r="N240" s="8" t="n">
        <x:f>K240-M240</x:f>
        <x:v>-188.33799372579114</x:v>
      </x:c>
      <x:c r="O240" s="8" t="n">
        <x:f>ABS(N240)</x:f>
        <x:v>188.33799372579114</x:v>
      </x:c>
      <x:c r="P240" s="8" t="n">
        <x:f>N240^2</x:f>
        <x:v>35471.19988065614</x:v>
      </x:c>
      <x:c r="Q240" s="8" t="n">
        <x:f>K240-L240</x:f>
        <x:v>-3</x:v>
      </x:c>
      <x:c r="R240" s="9" t="n">
        <x:f>IF(AND(INDEX('Сводка'!$T$3:$T$397,U240)=0,INDEX('Сводка'!$T$3:$T$397,V240)=0),1,0)</x:f>
        <x:v>1</x:v>
      </x:c>
      <x:c r="S240" s="9" t="n">
        <x:f>IF(AND(R240=1,O240&lt;=$G$13),1,0)</x:f>
        <x:v>0</x:v>
      </x:c>
      <x:c r="T240" s="10" t="n">
        <x:f>EOMONTH(J240-'Сводка'!$B$11,-1)</x:f>
        <x:v>46081</x:v>
      </x:c>
      <x:c r="U240" s="4" t="n">
        <x:f>MATCH(J240,'Сводка'!$R$3:$R$397,0)</x:f>
        <x:v>251</x:v>
      </x:c>
      <x:c r="V240" s="4" t="n">
        <x:f>MATCH(J240-'Сводка'!$B$11,'Сводка'!$R$3:$R$397,0)</x:f>
        <x:v>250</x:v>
      </x:c>
      <x:c r="W240" s="4" t="n">
        <x:f>MATCH(T240,$J$388:$J$400,0)</x:f>
        <x:v>9</x:v>
      </x:c>
      <x:c r="X240" s="3"/>
      <x:c r="Y240" s="3"/>
      <x:c r="Z240" s="3"/>
    </x:row>
    <x:row r="241" ht="15" customHeight="1">
      <x:c r="A241" s="3"/>
      <x:c r="B241" s="3"/>
      <x:c r="C241" s="3"/>
      <x:c r="D241" s="3"/>
      <x:c r="E241" s="3"/>
      <x:c r="F241" s="3"/>
      <x:c r="G241" s="3"/>
      <x:c r="H241" s="3"/>
      <x:c r="I241" s="3"/>
      <x:c r="J241" s="10" t="n">
        <x:v>46092</x:v>
      </x:c>
      <x:c r="K241" s="8" t="n">
        <x:f>INDEX('Сводка'!$S$3:$S$397,U241)</x:f>
        <x:v>-69</x:v>
      </x:c>
      <x:c r="L241" s="8" t="n">
        <x:f>INDEX('Сводка'!$S$3:$S$397,V241)</x:f>
        <x:v>-64</x:v>
      </x:c>
      <x:c r="M241" s="8" t="n">
        <x:f>INDEX($K$388:$N$400,W241,1)+INDEX($K$388:$N$400,W241,2)*(2*(J241-$T$405)/(T241-$T$405)-1)^1+INDEX($K$388:$N$400,W241,3)*(2*(J241-$T$405)/(T241-$T$405)-1)^2</x:f>
        <x:v>124.33179289974282</x:v>
      </x:c>
      <x:c r="N241" s="8" t="n">
        <x:f>K241-M241</x:f>
        <x:v>-193.33179289974282</x:v>
      </x:c>
      <x:c r="O241" s="8" t="n">
        <x:f>ABS(N241)</x:f>
        <x:v>193.33179289974282</x:v>
      </x:c>
      <x:c r="P241" s="8" t="n">
        <x:f>N241^2</x:f>
        <x:v>37377.18214582905</x:v>
      </x:c>
      <x:c r="Q241" s="8" t="n">
        <x:f>K241-L241</x:f>
        <x:v>-5</x:v>
      </x:c>
      <x:c r="R241" s="9" t="n">
        <x:f>IF(AND(INDEX('Сводка'!$T$3:$T$397,U241)=0,INDEX('Сводка'!$T$3:$T$397,V241)=0),1,0)</x:f>
        <x:v>1</x:v>
      </x:c>
      <x:c r="S241" s="9" t="n">
        <x:f>IF(AND(R241=1,O241&lt;=$G$13),1,0)</x:f>
        <x:v>0</x:v>
      </x:c>
      <x:c r="T241" s="10" t="n">
        <x:f>EOMONTH(J241-'Сводка'!$B$11,-1)</x:f>
        <x:v>46081</x:v>
      </x:c>
      <x:c r="U241" s="4" t="n">
        <x:f>MATCH(J241,'Сводка'!$R$3:$R$397,0)</x:f>
        <x:v>252</x:v>
      </x:c>
      <x:c r="V241" s="4" t="n">
        <x:f>MATCH(J241-'Сводка'!$B$11,'Сводка'!$R$3:$R$397,0)</x:f>
        <x:v>251</x:v>
      </x:c>
      <x:c r="W241" s="4" t="n">
        <x:f>MATCH(T241,$J$388:$J$400,0)</x:f>
        <x:v>9</x:v>
      </x:c>
      <x:c r="X241" s="3"/>
      <x:c r="Y241" s="3"/>
      <x:c r="Z241" s="3"/>
    </x:row>
    <x:row r="242" ht="15" customHeight="1">
      <x:c r="A242" s="3"/>
      <x:c r="B242" s="3"/>
      <x:c r="C242" s="3"/>
      <x:c r="D242" s="3"/>
      <x:c r="E242" s="3"/>
      <x:c r="F242" s="3"/>
      <x:c r="G242" s="3"/>
      <x:c r="H242" s="3"/>
      <x:c r="I242" s="3"/>
      <x:c r="J242" s="10" t="n">
        <x:v>46093</x:v>
      </x:c>
      <x:c r="K242" s="8" t="n">
        <x:f>INDEX('Сводка'!$S$3:$S$397,U242)</x:f>
        <x:v>-73</x:v>
      </x:c>
      <x:c r="L242" s="8" t="n">
        <x:f>INDEX('Сводка'!$S$3:$S$397,V242)</x:f>
        <x:v>-69</x:v>
      </x:c>
      <x:c r="M242" s="8" t="n">
        <x:f>INDEX($K$388:$N$400,W242,1)+INDEX($K$388:$N$400,W242,2)*(2*(J242-$T$405)/(T242-$T$405)-1)^1+INDEX($K$388:$N$400,W242,3)*(2*(J242-$T$405)/(T242-$T$405)-1)^2</x:f>
        <x:v>124.32558568161468</x:v>
      </x:c>
      <x:c r="N242" s="8" t="n">
        <x:f>K242-M242</x:f>
        <x:v>-197.32558568161468</x:v>
      </x:c>
      <x:c r="O242" s="8" t="n">
        <x:f>ABS(N242)</x:f>
        <x:v>197.32558568161468</x:v>
      </x:c>
      <x:c r="P242" s="8" t="n">
        <x:f>N242^2</x:f>
        <x:v>38937.38676459226</x:v>
      </x:c>
      <x:c r="Q242" s="8" t="n">
        <x:f>K242-L242</x:f>
        <x:v>-4</x:v>
      </x:c>
      <x:c r="R242" s="9" t="n">
        <x:f>IF(AND(INDEX('Сводка'!$T$3:$T$397,U242)=0,INDEX('Сводка'!$T$3:$T$397,V242)=0),1,0)</x:f>
        <x:v>1</x:v>
      </x:c>
      <x:c r="S242" s="9" t="n">
        <x:f>IF(AND(R242=1,O242&lt;=$G$13),1,0)</x:f>
        <x:v>0</x:v>
      </x:c>
      <x:c r="T242" s="10" t="n">
        <x:f>EOMONTH(J242-'Сводка'!$B$11,-1)</x:f>
        <x:v>46081</x:v>
      </x:c>
      <x:c r="U242" s="4" t="n">
        <x:f>MATCH(J242,'Сводка'!$R$3:$R$397,0)</x:f>
        <x:v>253</x:v>
      </x:c>
      <x:c r="V242" s="4" t="n">
        <x:f>MATCH(J242-'Сводка'!$B$11,'Сводка'!$R$3:$R$397,0)</x:f>
        <x:v>252</x:v>
      </x:c>
      <x:c r="W242" s="4" t="n">
        <x:f>MATCH(T242,$J$388:$J$400,0)</x:f>
        <x:v>9</x:v>
      </x:c>
      <x:c r="X242" s="3"/>
      <x:c r="Y242" s="3"/>
      <x:c r="Z242" s="3"/>
    </x:row>
    <x:row r="243" ht="15" customHeight="1">
      <x:c r="A243" s="3"/>
      <x:c r="B243" s="3"/>
      <x:c r="C243" s="3"/>
      <x:c r="D243" s="3"/>
      <x:c r="E243" s="3"/>
      <x:c r="F243" s="3"/>
      <x:c r="G243" s="3"/>
      <x:c r="H243" s="3"/>
      <x:c r="I243" s="3"/>
      <x:c r="J243" s="10" t="n">
        <x:v>46094</x:v>
      </x:c>
      <x:c r="K243" s="8" t="n">
        <x:f>INDEX('Сводка'!$S$3:$S$397,U243)</x:f>
        <x:v>-73</x:v>
      </x:c>
      <x:c r="L243" s="8" t="n">
        <x:f>INDEX('Сводка'!$S$3:$S$397,V243)</x:f>
        <x:v>-73</x:v>
      </x:c>
      <x:c r="M243" s="8" t="n">
        <x:f>INDEX($K$388:$N$400,W243,1)+INDEX($K$388:$N$400,W243,2)*(2*(J243-$T$405)/(T243-$T$405)-1)^1+INDEX($K$388:$N$400,W243,3)*(2*(J243-$T$405)/(T243-$T$405)-1)^2</x:f>
        <x:v>124.31937207140675</x:v>
      </x:c>
      <x:c r="N243" s="8" t="n">
        <x:f>K243-M243</x:f>
        <x:v>-197.31937207140675</x:v>
      </x:c>
      <x:c r="O243" s="8" t="n">
        <x:f>ABS(N243)</x:f>
        <x:v>197.31937207140675</x:v>
      </x:c>
      <x:c r="P243" s="8" t="n">
        <x:f>N243^2</x:f>
        <x:v>38934.93459465425</x:v>
      </x:c>
      <x:c r="Q243" s="8" t="n">
        <x:f>K243-L243</x:f>
        <x:v>0</x:v>
      </x:c>
      <x:c r="R243" s="9" t="n">
        <x:f>IF(AND(INDEX('Сводка'!$T$3:$T$397,U243)=0,INDEX('Сводка'!$T$3:$T$397,V243)=0),1,0)</x:f>
        <x:v>1</x:v>
      </x:c>
      <x:c r="S243" s="9" t="n">
        <x:f>IF(AND(R243=1,O243&lt;=$G$13),1,0)</x:f>
        <x:v>0</x:v>
      </x:c>
      <x:c r="T243" s="10" t="n">
        <x:f>EOMONTH(J243-'Сводка'!$B$11,-1)</x:f>
        <x:v>46081</x:v>
      </x:c>
      <x:c r="U243" s="4" t="n">
        <x:f>MATCH(J243,'Сводка'!$R$3:$R$397,0)</x:f>
        <x:v>254</x:v>
      </x:c>
      <x:c r="V243" s="4" t="n">
        <x:f>MATCH(J243-'Сводка'!$B$11,'Сводка'!$R$3:$R$397,0)</x:f>
        <x:v>253</x:v>
      </x:c>
      <x:c r="W243" s="4" t="n">
        <x:f>MATCH(T243,$J$388:$J$400,0)</x:f>
        <x:v>9</x:v>
      </x:c>
      <x:c r="X243" s="3"/>
      <x:c r="Y243" s="3"/>
      <x:c r="Z243" s="3"/>
    </x:row>
    <x:row r="244" ht="15" customHeight="1">
      <x:c r="A244" s="3"/>
      <x:c r="B244" s="3"/>
      <x:c r="C244" s="3"/>
      <x:c r="D244" s="3"/>
      <x:c r="E244" s="3"/>
      <x:c r="F244" s="3"/>
      <x:c r="G244" s="3"/>
      <x:c r="H244" s="3"/>
      <x:c r="I244" s="3"/>
      <x:c r="J244" s="10" t="n">
        <x:v>46095</x:v>
      </x:c>
      <x:c r="K244" s="8" t="n">
        <x:f>INDEX('Сводка'!$S$3:$S$397,U244)</x:f>
        <x:v>-75</x:v>
      </x:c>
      <x:c r="L244" s="8" t="n">
        <x:f>INDEX('Сводка'!$S$3:$S$397,V244)</x:f>
        <x:v>-73</x:v>
      </x:c>
      <x:c r="M244" s="8" t="n">
        <x:f>INDEX($K$388:$N$400,W244,1)+INDEX($K$388:$N$400,W244,2)*(2*(J244-$T$405)/(T244-$T$405)-1)^1+INDEX($K$388:$N$400,W244,3)*(2*(J244-$T$405)/(T244-$T$405)-1)^2</x:f>
        <x:v>124.313152069119</x:v>
      </x:c>
      <x:c r="N244" s="8" t="n">
        <x:f>K244-M244</x:f>
        <x:v>-199.31315206911898</x:v>
      </x:c>
      <x:c r="O244" s="8" t="n">
        <x:f>ABS(N244)</x:f>
        <x:v>199.31315206911898</x:v>
      </x:c>
      <x:c r="P244" s="8" t="n">
        <x:f>N244^2</x:f>
        <x:v>39725.73258772775</x:v>
      </x:c>
      <x:c r="Q244" s="8" t="n">
        <x:f>K244-L244</x:f>
        <x:v>-2</x:v>
      </x:c>
      <x:c r="R244" s="9" t="n">
        <x:f>IF(AND(INDEX('Сводка'!$T$3:$T$397,U244)=0,INDEX('Сводка'!$T$3:$T$397,V244)=0),1,0)</x:f>
        <x:v>1</x:v>
      </x:c>
      <x:c r="S244" s="9" t="n">
        <x:f>IF(AND(R244=1,O244&lt;=$G$13),1,0)</x:f>
        <x:v>0</x:v>
      </x:c>
      <x:c r="T244" s="10" t="n">
        <x:f>EOMONTH(J244-'Сводка'!$B$11,-1)</x:f>
        <x:v>46081</x:v>
      </x:c>
      <x:c r="U244" s="4" t="n">
        <x:f>MATCH(J244,'Сводка'!$R$3:$R$397,0)</x:f>
        <x:v>255</x:v>
      </x:c>
      <x:c r="V244" s="4" t="n">
        <x:f>MATCH(J244-'Сводка'!$B$11,'Сводка'!$R$3:$R$397,0)</x:f>
        <x:v>254</x:v>
      </x:c>
      <x:c r="W244" s="4" t="n">
        <x:f>MATCH(T244,$J$388:$J$400,0)</x:f>
        <x:v>9</x:v>
      </x:c>
      <x:c r="X244" s="3"/>
      <x:c r="Y244" s="3"/>
      <x:c r="Z244" s="3"/>
    </x:row>
    <x:row r="245" ht="15" customHeight="1">
      <x:c r="A245" s="3"/>
      <x:c r="B245" s="3"/>
      <x:c r="C245" s="3"/>
      <x:c r="D245" s="3"/>
      <x:c r="E245" s="3"/>
      <x:c r="F245" s="3"/>
      <x:c r="G245" s="3"/>
      <x:c r="H245" s="3"/>
      <x:c r="I245" s="3"/>
      <x:c r="J245" s="10" t="n">
        <x:v>46096</x:v>
      </x:c>
      <x:c r="K245" s="8" t="n">
        <x:f>INDEX('Сводка'!$S$3:$S$397,U245)</x:f>
        <x:v>-76</x:v>
      </x:c>
      <x:c r="L245" s="8" t="n">
        <x:f>INDEX('Сводка'!$S$3:$S$397,V245)</x:f>
        <x:v>-75</x:v>
      </x:c>
      <x:c r="M245" s="8" t="n">
        <x:f>INDEX($K$388:$N$400,W245,1)+INDEX($K$388:$N$400,W245,2)*(2*(J245-$T$405)/(T245-$T$405)-1)^1+INDEX($K$388:$N$400,W245,3)*(2*(J245-$T$405)/(T245-$T$405)-1)^2</x:f>
        <x:v>124.30692567475145</x:v>
      </x:c>
      <x:c r="N245" s="8" t="n">
        <x:f>K245-M245</x:f>
        <x:v>-200.30692567475145</x:v>
      </x:c>
      <x:c r="O245" s="8" t="n">
        <x:f>ABS(N245)</x:f>
        <x:v>200.30692567475145</x:v>
      </x:c>
      <x:c r="P245" s="8" t="n">
        <x:f>N245^2</x:f>
        <x:v>40122.864473270405</x:v>
      </x:c>
      <x:c r="Q245" s="8" t="n">
        <x:f>K245-L245</x:f>
        <x:v>-1</x:v>
      </x:c>
      <x:c r="R245" s="9" t="n">
        <x:f>IF(AND(INDEX('Сводка'!$T$3:$T$397,U245)=0,INDEX('Сводка'!$T$3:$T$397,V245)=0),1,0)</x:f>
        <x:v>1</x:v>
      </x:c>
      <x:c r="S245" s="9" t="n">
        <x:f>IF(AND(R245=1,O245&lt;=$G$13),1,0)</x:f>
        <x:v>0</x:v>
      </x:c>
      <x:c r="T245" s="10" t="n">
        <x:f>EOMONTH(J245-'Сводка'!$B$11,-1)</x:f>
        <x:v>46081</x:v>
      </x:c>
      <x:c r="U245" s="4" t="n">
        <x:f>MATCH(J245,'Сводка'!$R$3:$R$397,0)</x:f>
        <x:v>256</x:v>
      </x:c>
      <x:c r="V245" s="4" t="n">
        <x:f>MATCH(J245-'Сводка'!$B$11,'Сводка'!$R$3:$R$397,0)</x:f>
        <x:v>255</x:v>
      </x:c>
      <x:c r="W245" s="4" t="n">
        <x:f>MATCH(T245,$J$388:$J$400,0)</x:f>
        <x:v>9</x:v>
      </x:c>
      <x:c r="X245" s="3"/>
      <x:c r="Y245" s="3"/>
      <x:c r="Z245" s="3"/>
    </x:row>
    <x:row r="246" ht="15" customHeight="1">
      <x:c r="A246" s="3"/>
      <x:c r="B246" s="3"/>
      <x:c r="C246" s="3"/>
      <x:c r="D246" s="3"/>
      <x:c r="E246" s="3"/>
      <x:c r="F246" s="3"/>
      <x:c r="G246" s="3"/>
      <x:c r="H246" s="3"/>
      <x:c r="I246" s="3"/>
      <x:c r="J246" s="10" t="n">
        <x:v>46097</x:v>
      </x:c>
      <x:c r="K246" s="8" t="n">
        <x:f>INDEX('Сводка'!$S$3:$S$397,U246)</x:f>
        <x:v>-76</x:v>
      </x:c>
      <x:c r="L246" s="8" t="n">
        <x:f>INDEX('Сводка'!$S$3:$S$397,V246)</x:f>
        <x:v>-76</x:v>
      </x:c>
      <x:c r="M246" s="8" t="n">
        <x:f>INDEX($K$388:$N$400,W246,1)+INDEX($K$388:$N$400,W246,2)*(2*(J246-$T$405)/(T246-$T$405)-1)^1+INDEX($K$388:$N$400,W246,3)*(2*(J246-$T$405)/(T246-$T$405)-1)^2</x:f>
        <x:v>124.3006928883041</x:v>
      </x:c>
      <x:c r="N246" s="8" t="n">
        <x:f>K246-M246</x:f>
        <x:v>-200.3006928883041</x:v>
      </x:c>
      <x:c r="O246" s="8" t="n">
        <x:f>ABS(N246)</x:f>
        <x:v>200.3006928883041</x:v>
      </x:c>
      <x:c r="P246" s="8" t="n">
        <x:f>N246^2</x:f>
        <x:v>40120.36757153471</x:v>
      </x:c>
      <x:c r="Q246" s="8" t="n">
        <x:f>K246-L246</x:f>
        <x:v>0</x:v>
      </x:c>
      <x:c r="R246" s="9" t="n">
        <x:f>IF(AND(INDEX('Сводка'!$T$3:$T$397,U246)=0,INDEX('Сводка'!$T$3:$T$397,V246)=0),1,0)</x:f>
        <x:v>1</x:v>
      </x:c>
      <x:c r="S246" s="9" t="n">
        <x:f>IF(AND(R246=1,O246&lt;=$G$13),1,0)</x:f>
        <x:v>0</x:v>
      </x:c>
      <x:c r="T246" s="10" t="n">
        <x:f>EOMONTH(J246-'Сводка'!$B$11,-1)</x:f>
        <x:v>46081</x:v>
      </x:c>
      <x:c r="U246" s="4" t="n">
        <x:f>MATCH(J246,'Сводка'!$R$3:$R$397,0)</x:f>
        <x:v>257</x:v>
      </x:c>
      <x:c r="V246" s="4" t="n">
        <x:f>MATCH(J246-'Сводка'!$B$11,'Сводка'!$R$3:$R$397,0)</x:f>
        <x:v>256</x:v>
      </x:c>
      <x:c r="W246" s="4" t="n">
        <x:f>MATCH(T246,$J$388:$J$400,0)</x:f>
        <x:v>9</x:v>
      </x:c>
      <x:c r="X246" s="3"/>
      <x:c r="Y246" s="3"/>
      <x:c r="Z246" s="3"/>
    </x:row>
    <x:row r="247" ht="15" customHeight="1">
      <x:c r="A247" s="3"/>
      <x:c r="B247" s="3"/>
      <x:c r="C247" s="3"/>
      <x:c r="D247" s="3"/>
      <x:c r="E247" s="3"/>
      <x:c r="F247" s="3"/>
      <x:c r="G247" s="3"/>
      <x:c r="H247" s="3"/>
      <x:c r="I247" s="3"/>
      <x:c r="J247" s="10" t="n">
        <x:v>46098</x:v>
      </x:c>
      <x:c r="K247" s="8" t="n">
        <x:f>INDEX('Сводка'!$S$3:$S$397,U247)</x:f>
        <x:v>-76</x:v>
      </x:c>
      <x:c r="L247" s="8" t="n">
        <x:f>INDEX('Сводка'!$S$3:$S$397,V247)</x:f>
        <x:v>-76</x:v>
      </x:c>
      <x:c r="M247" s="8" t="n">
        <x:f>INDEX($K$388:$N$400,W247,1)+INDEX($K$388:$N$400,W247,2)*(2*(J247-$T$405)/(T247-$T$405)-1)^1+INDEX($K$388:$N$400,W247,3)*(2*(J247-$T$405)/(T247-$T$405)-1)^2</x:f>
        <x:v>124.29445370977696</x:v>
      </x:c>
      <x:c r="N247" s="8" t="n">
        <x:f>K247-M247</x:f>
        <x:v>-200.29445370977697</x:v>
      </x:c>
      <x:c r="O247" s="8" t="n">
        <x:f>ABS(N247)</x:f>
        <x:v>200.29445370977697</x:v>
      </x:c>
      <x:c r="P247" s="8" t="n">
        <x:f>N247^2</x:f>
        <x:v>40117.86818689799</x:v>
      </x:c>
      <x:c r="Q247" s="8" t="n">
        <x:f>K247-L247</x:f>
        <x:v>0</x:v>
      </x:c>
      <x:c r="R247" s="9" t="n">
        <x:f>IF(AND(INDEX('Сводка'!$T$3:$T$397,U247)=0,INDEX('Сводка'!$T$3:$T$397,V247)=0),1,0)</x:f>
        <x:v>1</x:v>
      </x:c>
      <x:c r="S247" s="9" t="n">
        <x:f>IF(AND(R247=1,O247&lt;=$G$13),1,0)</x:f>
        <x:v>0</x:v>
      </x:c>
      <x:c r="T247" s="10" t="n">
        <x:f>EOMONTH(J247-'Сводка'!$B$11,-1)</x:f>
        <x:v>46081</x:v>
      </x:c>
      <x:c r="U247" s="4" t="n">
        <x:f>MATCH(J247,'Сводка'!$R$3:$R$397,0)</x:f>
        <x:v>258</x:v>
      </x:c>
      <x:c r="V247" s="4" t="n">
        <x:f>MATCH(J247-'Сводка'!$B$11,'Сводка'!$R$3:$R$397,0)</x:f>
        <x:v>257</x:v>
      </x:c>
      <x:c r="W247" s="4" t="n">
        <x:f>MATCH(T247,$J$388:$J$400,0)</x:f>
        <x:v>9</x:v>
      </x:c>
      <x:c r="X247" s="3"/>
      <x:c r="Y247" s="3"/>
      <x:c r="Z247" s="3"/>
    </x:row>
    <x:row r="248" ht="15" customHeight="1">
      <x:c r="A248" s="3"/>
      <x:c r="B248" s="3"/>
      <x:c r="C248" s="3"/>
      <x:c r="D248" s="3"/>
      <x:c r="E248" s="3"/>
      <x:c r="F248" s="3"/>
      <x:c r="G248" s="3"/>
      <x:c r="H248" s="3"/>
      <x:c r="I248" s="3"/>
      <x:c r="J248" s="10" t="n">
        <x:v>46099</x:v>
      </x:c>
      <x:c r="K248" s="8" t="n">
        <x:f>INDEX('Сводка'!$S$3:$S$397,U248)</x:f>
        <x:v>-74</x:v>
      </x:c>
      <x:c r="L248" s="8" t="n">
        <x:f>INDEX('Сводка'!$S$3:$S$397,V248)</x:f>
        <x:v>-76</x:v>
      </x:c>
      <x:c r="M248" s="8" t="n">
        <x:f>INDEX($K$388:$N$400,W248,1)+INDEX($K$388:$N$400,W248,2)*(2*(J248-$T$405)/(T248-$T$405)-1)^1+INDEX($K$388:$N$400,W248,3)*(2*(J248-$T$405)/(T248-$T$405)-1)^2</x:f>
        <x:v>124.28820813916997</x:v>
      </x:c>
      <x:c r="N248" s="8" t="n">
        <x:f>K248-M248</x:f>
        <x:v>-198.28820813916997</x:v>
      </x:c>
      <x:c r="O248" s="8" t="n">
        <x:f>ABS(N248)</x:f>
        <x:v>198.28820813916997</x:v>
      </x:c>
      <x:c r="P248" s="8" t="n">
        <x:f>N248^2</x:f>
        <x:v>39318.21348704279</x:v>
      </x:c>
      <x:c r="Q248" s="8" t="n">
        <x:f>K248-L248</x:f>
        <x:v>2</x:v>
      </x:c>
      <x:c r="R248" s="9" t="n">
        <x:f>IF(AND(INDEX('Сводка'!$T$3:$T$397,U248)=0,INDEX('Сводка'!$T$3:$T$397,V248)=0),1,0)</x:f>
        <x:v>1</x:v>
      </x:c>
      <x:c r="S248" s="9" t="n">
        <x:f>IF(AND(R248=1,O248&lt;=$G$13),1,0)</x:f>
        <x:v>0</x:v>
      </x:c>
      <x:c r="T248" s="10" t="n">
        <x:f>EOMONTH(J248-'Сводка'!$B$11,-1)</x:f>
        <x:v>46081</x:v>
      </x:c>
      <x:c r="U248" s="4" t="n">
        <x:f>MATCH(J248,'Сводка'!$R$3:$R$397,0)</x:f>
        <x:v>259</x:v>
      </x:c>
      <x:c r="V248" s="4" t="n">
        <x:f>MATCH(J248-'Сводка'!$B$11,'Сводка'!$R$3:$R$397,0)</x:f>
        <x:v>258</x:v>
      </x:c>
      <x:c r="W248" s="4" t="n">
        <x:f>MATCH(T248,$J$388:$J$400,0)</x:f>
        <x:v>9</x:v>
      </x:c>
      <x:c r="X248" s="3"/>
      <x:c r="Y248" s="3"/>
      <x:c r="Z248" s="3"/>
    </x:row>
    <x:row r="249" ht="15" customHeight="1">
      <x:c r="A249" s="3"/>
      <x:c r="B249" s="3"/>
      <x:c r="C249" s="3"/>
      <x:c r="D249" s="3"/>
      <x:c r="E249" s="3"/>
      <x:c r="F249" s="3"/>
      <x:c r="G249" s="3"/>
      <x:c r="H249" s="3"/>
      <x:c r="I249" s="3"/>
      <x:c r="J249" s="10" t="n">
        <x:v>46100</x:v>
      </x:c>
      <x:c r="K249" s="8" t="n">
        <x:f>INDEX('Сводка'!$S$3:$S$397,U249)</x:f>
        <x:v>-73</x:v>
      </x:c>
      <x:c r="L249" s="8" t="n">
        <x:f>INDEX('Сводка'!$S$3:$S$397,V249)</x:f>
        <x:v>-74</x:v>
      </x:c>
      <x:c r="M249" s="8" t="n">
        <x:f>INDEX($K$388:$N$400,W249,1)+INDEX($K$388:$N$400,W249,2)*(2*(J249-$T$405)/(T249-$T$405)-1)^1+INDEX($K$388:$N$400,W249,3)*(2*(J249-$T$405)/(T249-$T$405)-1)^2</x:f>
        <x:v>124.28195617648316</x:v>
      </x:c>
      <x:c r="N249" s="8" t="n">
        <x:f>K249-M249</x:f>
        <x:v>-197.28195617648316</x:v>
      </x:c>
      <x:c r="O249" s="8" t="n">
        <x:f>ABS(N249)</x:f>
        <x:v>197.28195617648316</x:v>
      </x:c>
      <x:c r="P249" s="8" t="n">
        <x:f>N249^2</x:f>
        <x:v>38920.17023281982</x:v>
      </x:c>
      <x:c r="Q249" s="8" t="n">
        <x:f>K249-L249</x:f>
        <x:v>1</x:v>
      </x:c>
      <x:c r="R249" s="9" t="n">
        <x:f>IF(AND(INDEX('Сводка'!$T$3:$T$397,U249)=0,INDEX('Сводка'!$T$3:$T$397,V249)=0),1,0)</x:f>
        <x:v>1</x:v>
      </x:c>
      <x:c r="S249" s="9" t="n">
        <x:f>IF(AND(R249=1,O249&lt;=$G$13),1,0)</x:f>
        <x:v>0</x:v>
      </x:c>
      <x:c r="T249" s="10" t="n">
        <x:f>EOMONTH(J249-'Сводка'!$B$11,-1)</x:f>
        <x:v>46081</x:v>
      </x:c>
      <x:c r="U249" s="4" t="n">
        <x:f>MATCH(J249,'Сводка'!$R$3:$R$397,0)</x:f>
        <x:v>260</x:v>
      </x:c>
      <x:c r="V249" s="4" t="n">
        <x:f>MATCH(J249-'Сводка'!$B$11,'Сводка'!$R$3:$R$397,0)</x:f>
        <x:v>259</x:v>
      </x:c>
      <x:c r="W249" s="4" t="n">
        <x:f>MATCH(T249,$J$388:$J$400,0)</x:f>
        <x:v>9</x:v>
      </x:c>
      <x:c r="X249" s="3"/>
      <x:c r="Y249" s="3"/>
      <x:c r="Z249" s="3"/>
    </x:row>
    <x:row r="250" ht="15" customHeight="1">
      <x:c r="A250" s="3"/>
      <x:c r="B250" s="3"/>
      <x:c r="C250" s="3"/>
      <x:c r="D250" s="3"/>
      <x:c r="E250" s="3"/>
      <x:c r="F250" s="3"/>
      <x:c r="G250" s="3"/>
      <x:c r="H250" s="3"/>
      <x:c r="I250" s="3"/>
      <x:c r="J250" s="10" t="n">
        <x:v>46101</x:v>
      </x:c>
      <x:c r="K250" s="8" t="n">
        <x:f>INDEX('Сводка'!$S$3:$S$397,U250)</x:f>
        <x:v>-73</x:v>
      </x:c>
      <x:c r="L250" s="8" t="n">
        <x:f>INDEX('Сводка'!$S$3:$S$397,V250)</x:f>
        <x:v>-73</x:v>
      </x:c>
      <x:c r="M250" s="8" t="n">
        <x:f>INDEX($K$388:$N$400,W250,1)+INDEX($K$388:$N$400,W250,2)*(2*(J250-$T$405)/(T250-$T$405)-1)^1+INDEX($K$388:$N$400,W250,3)*(2*(J250-$T$405)/(T250-$T$405)-1)^2</x:f>
        <x:v>124.27569782171662</x:v>
      </x:c>
      <x:c r="N250" s="8" t="n">
        <x:f>K250-M250</x:f>
        <x:v>-197.27569782171662</x:v>
      </x:c>
      <x:c r="O250" s="8" t="n">
        <x:f>ABS(N250)</x:f>
        <x:v>197.27569782171662</x:v>
      </x:c>
      <x:c r="P250" s="8" t="n">
        <x:f>N250^2</x:f>
        <x:v>38917.70095104525</x:v>
      </x:c>
      <x:c r="Q250" s="8" t="n">
        <x:f>K250-L250</x:f>
        <x:v>0</x:v>
      </x:c>
      <x:c r="R250" s="9" t="n">
        <x:f>IF(AND(INDEX('Сводка'!$T$3:$T$397,U250)=0,INDEX('Сводка'!$T$3:$T$397,V250)=0),1,0)</x:f>
        <x:v>1</x:v>
      </x:c>
      <x:c r="S250" s="9" t="n">
        <x:f>IF(AND(R250=1,O250&lt;=$G$13),1,0)</x:f>
        <x:v>0</x:v>
      </x:c>
      <x:c r="T250" s="10" t="n">
        <x:f>EOMONTH(J250-'Сводка'!$B$11,-1)</x:f>
        <x:v>46081</x:v>
      </x:c>
      <x:c r="U250" s="4" t="n">
        <x:f>MATCH(J250,'Сводка'!$R$3:$R$397,0)</x:f>
        <x:v>261</x:v>
      </x:c>
      <x:c r="V250" s="4" t="n">
        <x:f>MATCH(J250-'Сводка'!$B$11,'Сводка'!$R$3:$R$397,0)</x:f>
        <x:v>260</x:v>
      </x:c>
      <x:c r="W250" s="4" t="n">
        <x:f>MATCH(T250,$J$388:$J$400,0)</x:f>
        <x:v>9</x:v>
      </x:c>
      <x:c r="X250" s="3"/>
      <x:c r="Y250" s="3"/>
      <x:c r="Z250" s="3"/>
    </x:row>
    <x:row r="251" ht="15" customHeight="1">
      <x:c r="A251" s="3"/>
      <x:c r="B251" s="3"/>
      <x:c r="C251" s="3"/>
      <x:c r="D251" s="3"/>
      <x:c r="E251" s="3"/>
      <x:c r="F251" s="3"/>
      <x:c r="G251" s="3"/>
      <x:c r="H251" s="3"/>
      <x:c r="I251" s="3"/>
      <x:c r="J251" s="10" t="n">
        <x:v>46102</x:v>
      </x:c>
      <x:c r="K251" s="8" t="n">
        <x:f>INDEX('Сводка'!$S$3:$S$397,U251)</x:f>
        <x:v>-71</x:v>
      </x:c>
      <x:c r="L251" s="8" t="n">
        <x:f>INDEX('Сводка'!$S$3:$S$397,V251)</x:f>
        <x:v>-73</x:v>
      </x:c>
      <x:c r="M251" s="8" t="n">
        <x:f>INDEX($K$388:$N$400,W251,1)+INDEX($K$388:$N$400,W251,2)*(2*(J251-$T$405)/(T251-$T$405)-1)^1+INDEX($K$388:$N$400,W251,3)*(2*(J251-$T$405)/(T251-$T$405)-1)^2</x:f>
        <x:v>124.26943307487021</x:v>
      </x:c>
      <x:c r="N251" s="8" t="n">
        <x:f>K251-M251</x:f>
        <x:v>-195.26943307487022</x:v>
      </x:c>
      <x:c r="O251" s="8" t="n">
        <x:f>ABS(N251)</x:f>
        <x:v>195.26943307487022</x:v>
      </x:c>
      <x:c r="P251" s="8" t="n">
        <x:f>N251^2</x:f>
        <x:v>38130.15149338122</x:v>
      </x:c>
      <x:c r="Q251" s="8" t="n">
        <x:f>K251-L251</x:f>
        <x:v>2</x:v>
      </x:c>
      <x:c r="R251" s="9" t="n">
        <x:f>IF(AND(INDEX('Сводка'!$T$3:$T$397,U251)=0,INDEX('Сводка'!$T$3:$T$397,V251)=0),1,0)</x:f>
        <x:v>1</x:v>
      </x:c>
      <x:c r="S251" s="9" t="n">
        <x:f>IF(AND(R251=1,O251&lt;=$G$13),1,0)</x:f>
        <x:v>0</x:v>
      </x:c>
      <x:c r="T251" s="10" t="n">
        <x:f>EOMONTH(J251-'Сводка'!$B$11,-1)</x:f>
        <x:v>46081</x:v>
      </x:c>
      <x:c r="U251" s="4" t="n">
        <x:f>MATCH(J251,'Сводка'!$R$3:$R$397,0)</x:f>
        <x:v>262</x:v>
      </x:c>
      <x:c r="V251" s="4" t="n">
        <x:f>MATCH(J251-'Сводка'!$B$11,'Сводка'!$R$3:$R$397,0)</x:f>
        <x:v>261</x:v>
      </x:c>
      <x:c r="W251" s="4" t="n">
        <x:f>MATCH(T251,$J$388:$J$400,0)</x:f>
        <x:v>9</x:v>
      </x:c>
      <x:c r="X251" s="3"/>
      <x:c r="Y251" s="3"/>
      <x:c r="Z251" s="3"/>
    </x:row>
    <x:row r="252" ht="15" customHeight="1">
      <x:c r="A252" s="3"/>
      <x:c r="B252" s="3"/>
      <x:c r="C252" s="3"/>
      <x:c r="D252" s="3"/>
      <x:c r="E252" s="3"/>
      <x:c r="F252" s="3"/>
      <x:c r="G252" s="3"/>
      <x:c r="H252" s="3"/>
      <x:c r="I252" s="3"/>
      <x:c r="J252" s="10" t="n">
        <x:v>46103</x:v>
      </x:c>
      <x:c r="K252" s="8" t="n">
        <x:f>INDEX('Сводка'!$S$3:$S$397,U252)</x:f>
        <x:v>-71</x:v>
      </x:c>
      <x:c r="L252" s="8" t="n">
        <x:f>INDEX('Сводка'!$S$3:$S$397,V252)</x:f>
        <x:v>-71</x:v>
      </x:c>
      <x:c r="M252" s="8" t="n">
        <x:f>INDEX($K$388:$N$400,W252,1)+INDEX($K$388:$N$400,W252,2)*(2*(J252-$T$405)/(T252-$T$405)-1)^1+INDEX($K$388:$N$400,W252,3)*(2*(J252-$T$405)/(T252-$T$405)-1)^2</x:f>
        <x:v>124.26316193594403</x:v>
      </x:c>
      <x:c r="N252" s="8" t="n">
        <x:f>K252-M252</x:f>
        <x:v>-195.26316193594403</x:v>
      </x:c>
      <x:c r="O252" s="8" t="n">
        <x:f>ABS(N252)</x:f>
        <x:v>195.26316193594403</x:v>
      </x:c>
      <x:c r="P252" s="8" t="n">
        <x:f>N252^2</x:f>
        <x:v>38127.7024092227</x:v>
      </x:c>
      <x:c r="Q252" s="8" t="n">
        <x:f>K252-L252</x:f>
        <x:v>0</x:v>
      </x:c>
      <x:c r="R252" s="9" t="n">
        <x:f>IF(AND(INDEX('Сводка'!$T$3:$T$397,U252)=0,INDEX('Сводка'!$T$3:$T$397,V252)=0),1,0)</x:f>
        <x:v>1</x:v>
      </x:c>
      <x:c r="S252" s="9" t="n">
        <x:f>IF(AND(R252=1,O252&lt;=$G$13),1,0)</x:f>
        <x:v>0</x:v>
      </x:c>
      <x:c r="T252" s="10" t="n">
        <x:f>EOMONTH(J252-'Сводка'!$B$11,-1)</x:f>
        <x:v>46081</x:v>
      </x:c>
      <x:c r="U252" s="4" t="n">
        <x:f>MATCH(J252,'Сводка'!$R$3:$R$397,0)</x:f>
        <x:v>263</x:v>
      </x:c>
      <x:c r="V252" s="4" t="n">
        <x:f>MATCH(J252-'Сводка'!$B$11,'Сводка'!$R$3:$R$397,0)</x:f>
        <x:v>262</x:v>
      </x:c>
      <x:c r="W252" s="4" t="n">
        <x:f>MATCH(T252,$J$388:$J$400,0)</x:f>
        <x:v>9</x:v>
      </x:c>
      <x:c r="X252" s="3"/>
      <x:c r="Y252" s="3"/>
      <x:c r="Z252" s="3"/>
    </x:row>
    <x:row r="253" ht="15" customHeight="1">
      <x:c r="A253" s="3"/>
      <x:c r="B253" s="3"/>
      <x:c r="C253" s="3"/>
      <x:c r="D253" s="3"/>
      <x:c r="E253" s="3"/>
      <x:c r="F253" s="3"/>
      <x:c r="G253" s="3"/>
      <x:c r="H253" s="3"/>
      <x:c r="I253" s="3"/>
      <x:c r="J253" s="10" t="n">
        <x:v>46104</x:v>
      </x:c>
      <x:c r="K253" s="8" t="n">
        <x:f>INDEX('Сводка'!$S$3:$S$397,U253)</x:f>
        <x:v>-71</x:v>
      </x:c>
      <x:c r="L253" s="8" t="n">
        <x:f>INDEX('Сводка'!$S$3:$S$397,V253)</x:f>
        <x:v>-71</x:v>
      </x:c>
      <x:c r="M253" s="8" t="n">
        <x:f>INDEX($K$388:$N$400,W253,1)+INDEX($K$388:$N$400,W253,2)*(2*(J253-$T$405)/(T253-$T$405)-1)^1+INDEX($K$388:$N$400,W253,3)*(2*(J253-$T$405)/(T253-$T$405)-1)^2</x:f>
        <x:v>124.25688440493803</x:v>
      </x:c>
      <x:c r="N253" s="8" t="n">
        <x:f>K253-M253</x:f>
        <x:v>-195.25688440493803</x:v>
      </x:c>
      <x:c r="O253" s="8" t="n">
        <x:f>ABS(N253)</x:f>
        <x:v>195.25688440493803</x:v>
      </x:c>
      <x:c r="P253" s="8" t="n">
        <x:f>N253^2</x:f>
        <x:v>38125.25090752333</x:v>
      </x:c>
      <x:c r="Q253" s="8" t="n">
        <x:f>K253-L253</x:f>
        <x:v>0</x:v>
      </x:c>
      <x:c r="R253" s="9" t="n">
        <x:f>IF(AND(INDEX('Сводка'!$T$3:$T$397,U253)=0,INDEX('Сводка'!$T$3:$T$397,V253)=0),1,0)</x:f>
        <x:v>1</x:v>
      </x:c>
      <x:c r="S253" s="9" t="n">
        <x:f>IF(AND(R253=1,O253&lt;=$G$13),1,0)</x:f>
        <x:v>0</x:v>
      </x:c>
      <x:c r="T253" s="10" t="n">
        <x:f>EOMONTH(J253-'Сводка'!$B$11,-1)</x:f>
        <x:v>46081</x:v>
      </x:c>
      <x:c r="U253" s="4" t="n">
        <x:f>MATCH(J253,'Сводка'!$R$3:$R$397,0)</x:f>
        <x:v>264</x:v>
      </x:c>
      <x:c r="V253" s="4" t="n">
        <x:f>MATCH(J253-'Сводка'!$B$11,'Сводка'!$R$3:$R$397,0)</x:f>
        <x:v>263</x:v>
      </x:c>
      <x:c r="W253" s="4" t="n">
        <x:f>MATCH(T253,$J$388:$J$400,0)</x:f>
        <x:v>9</x:v>
      </x:c>
      <x:c r="X253" s="3"/>
      <x:c r="Y253" s="3"/>
      <x:c r="Z253" s="3"/>
    </x:row>
    <x:row r="254" ht="15" customHeight="1">
      <x:c r="A254" s="3"/>
      <x:c r="B254" s="3"/>
      <x:c r="C254" s="3"/>
      <x:c r="D254" s="3"/>
      <x:c r="E254" s="3"/>
      <x:c r="F254" s="3"/>
      <x:c r="G254" s="3"/>
      <x:c r="H254" s="3"/>
      <x:c r="I254" s="3"/>
      <x:c r="J254" s="10" t="n">
        <x:v>46105</x:v>
      </x:c>
      <x:c r="K254" s="8" t="n">
        <x:f>INDEX('Сводка'!$S$3:$S$397,U254)</x:f>
        <x:v>-71</x:v>
      </x:c>
      <x:c r="L254" s="8" t="n">
        <x:f>INDEX('Сводка'!$S$3:$S$397,V254)</x:f>
        <x:v>-71</x:v>
      </x:c>
      <x:c r="M254" s="8" t="n">
        <x:f>INDEX($K$388:$N$400,W254,1)+INDEX($K$388:$N$400,W254,2)*(2*(J254-$T$405)/(T254-$T$405)-1)^1+INDEX($K$388:$N$400,W254,3)*(2*(J254-$T$405)/(T254-$T$405)-1)^2</x:f>
        <x:v>124.25060048185222</x:v>
      </x:c>
      <x:c r="N254" s="8" t="n">
        <x:f>K254-M254</x:f>
        <x:v>-195.25060048185222</x:v>
      </x:c>
      <x:c r="O254" s="8" t="n">
        <x:f>ABS(N254)</x:f>
        <x:v>195.25060048185222</x:v>
      </x:c>
      <x:c r="P254" s="8" t="n">
        <x:f>N254^2</x:f>
        <x:v>38122.79698852387</x:v>
      </x:c>
      <x:c r="Q254" s="8" t="n">
        <x:f>K254-L254</x:f>
        <x:v>0</x:v>
      </x:c>
      <x:c r="R254" s="9" t="n">
        <x:f>IF(AND(INDEX('Сводка'!$T$3:$T$397,U254)=0,INDEX('Сводка'!$T$3:$T$397,V254)=0),1,0)</x:f>
        <x:v>1</x:v>
      </x:c>
      <x:c r="S254" s="9" t="n">
        <x:f>IF(AND(R254=1,O254&lt;=$G$13),1,0)</x:f>
        <x:v>0</x:v>
      </x:c>
      <x:c r="T254" s="10" t="n">
        <x:f>EOMONTH(J254-'Сводка'!$B$11,-1)</x:f>
        <x:v>46081</x:v>
      </x:c>
      <x:c r="U254" s="4" t="n">
        <x:f>MATCH(J254,'Сводка'!$R$3:$R$397,0)</x:f>
        <x:v>265</x:v>
      </x:c>
      <x:c r="V254" s="4" t="n">
        <x:f>MATCH(J254-'Сводка'!$B$11,'Сводка'!$R$3:$R$397,0)</x:f>
        <x:v>264</x:v>
      </x:c>
      <x:c r="W254" s="4" t="n">
        <x:f>MATCH(T254,$J$388:$J$400,0)</x:f>
        <x:v>9</x:v>
      </x:c>
      <x:c r="X254" s="3"/>
      <x:c r="Y254" s="3"/>
      <x:c r="Z254" s="3"/>
    </x:row>
    <x:row r="255" ht="15" customHeight="1">
      <x:c r="A255" s="3"/>
      <x:c r="B255" s="3"/>
      <x:c r="C255" s="3"/>
      <x:c r="D255" s="3"/>
      <x:c r="E255" s="3"/>
      <x:c r="F255" s="3"/>
      <x:c r="G255" s="3"/>
      <x:c r="H255" s="3"/>
      <x:c r="I255" s="3"/>
      <x:c r="J255" s="10" t="n">
        <x:v>46106</x:v>
      </x:c>
      <x:c r="K255" s="8" t="n">
        <x:f>INDEX('Сводка'!$S$3:$S$397,U255)</x:f>
        <x:v>-72</x:v>
      </x:c>
      <x:c r="L255" s="8" t="n">
        <x:f>INDEX('Сводка'!$S$3:$S$397,V255)</x:f>
        <x:v>-71</x:v>
      </x:c>
      <x:c r="M255" s="8" t="n">
        <x:f>INDEX($K$388:$N$400,W255,1)+INDEX($K$388:$N$400,W255,2)*(2*(J255-$T$405)/(T255-$T$405)-1)^1+INDEX($K$388:$N$400,W255,3)*(2*(J255-$T$405)/(T255-$T$405)-1)^2</x:f>
        <x:v>124.2443101666866</x:v>
      </x:c>
      <x:c r="N255" s="8" t="n">
        <x:f>K255-M255</x:f>
        <x:v>-196.2443101666866</x:v>
      </x:c>
      <x:c r="O255" s="8" t="n">
        <x:f>ABS(N255)</x:f>
        <x:v>196.2443101666866</x:v>
      </x:c>
      <x:c r="P255" s="8" t="n">
        <x:f>N255^2</x:f>
        <x:v>38511.82927279869</x:v>
      </x:c>
      <x:c r="Q255" s="8" t="n">
        <x:f>K255-L255</x:f>
        <x:v>-1</x:v>
      </x:c>
      <x:c r="R255" s="9" t="n">
        <x:f>IF(AND(INDEX('Сводка'!$T$3:$T$397,U255)=0,INDEX('Сводка'!$T$3:$T$397,V255)=0),1,0)</x:f>
        <x:v>1</x:v>
      </x:c>
      <x:c r="S255" s="9" t="n">
        <x:f>IF(AND(R255=1,O255&lt;=$G$13),1,0)</x:f>
        <x:v>0</x:v>
      </x:c>
      <x:c r="T255" s="10" t="n">
        <x:f>EOMONTH(J255-'Сводка'!$B$11,-1)</x:f>
        <x:v>46081</x:v>
      </x:c>
      <x:c r="U255" s="4" t="n">
        <x:f>MATCH(J255,'Сводка'!$R$3:$R$397,0)</x:f>
        <x:v>266</x:v>
      </x:c>
      <x:c r="V255" s="4" t="n">
        <x:f>MATCH(J255-'Сводка'!$B$11,'Сводка'!$R$3:$R$397,0)</x:f>
        <x:v>265</x:v>
      </x:c>
      <x:c r="W255" s="4" t="n">
        <x:f>MATCH(T255,$J$388:$J$400,0)</x:f>
        <x:v>9</x:v>
      </x:c>
      <x:c r="X255" s="3"/>
      <x:c r="Y255" s="3"/>
      <x:c r="Z255" s="3"/>
    </x:row>
    <x:row r="256" ht="15" customHeight="1">
      <x:c r="A256" s="3"/>
      <x:c r="B256" s="3"/>
      <x:c r="C256" s="3"/>
      <x:c r="D256" s="3"/>
      <x:c r="E256" s="3"/>
      <x:c r="F256" s="3"/>
      <x:c r="G256" s="3"/>
      <x:c r="H256" s="3"/>
      <x:c r="I256" s="3"/>
      <x:c r="J256" s="10" t="n">
        <x:v>46107</x:v>
      </x:c>
      <x:c r="K256" s="8" t="n">
        <x:f>INDEX('Сводка'!$S$3:$S$397,U256)</x:f>
        <x:v>-72</x:v>
      </x:c>
      <x:c r="L256" s="8" t="n">
        <x:f>INDEX('Сводка'!$S$3:$S$397,V256)</x:f>
        <x:v>-72</x:v>
      </x:c>
      <x:c r="M256" s="8" t="n">
        <x:f>INDEX($K$388:$N$400,W256,1)+INDEX($K$388:$N$400,W256,2)*(2*(J256-$T$405)/(T256-$T$405)-1)^1+INDEX($K$388:$N$400,W256,3)*(2*(J256-$T$405)/(T256-$T$405)-1)^2</x:f>
        <x:v>124.23801345944118</x:v>
      </x:c>
      <x:c r="N256" s="8" t="n">
        <x:f>K256-M256</x:f>
        <x:v>-196.23801345944116</x:v>
      </x:c>
      <x:c r="O256" s="8" t="n">
        <x:f>ABS(N256)</x:f>
        <x:v>196.23801345944116</x:v>
      </x:c>
      <x:c r="P256" s="8" t="n">
        <x:f>N256^2</x:f>
        <x:v>38509.35792650781</x:v>
      </x:c>
      <x:c r="Q256" s="8" t="n">
        <x:f>K256-L256</x:f>
        <x:v>0</x:v>
      </x:c>
      <x:c r="R256" s="9" t="n">
        <x:f>IF(AND(INDEX('Сводка'!$T$3:$T$397,U256)=0,INDEX('Сводка'!$T$3:$T$397,V256)=0),1,0)</x:f>
        <x:v>1</x:v>
      </x:c>
      <x:c r="S256" s="9" t="n">
        <x:f>IF(AND(R256=1,O256&lt;=$G$13),1,0)</x:f>
        <x:v>0</x:v>
      </x:c>
      <x:c r="T256" s="10" t="n">
        <x:f>EOMONTH(J256-'Сводка'!$B$11,-1)</x:f>
        <x:v>46081</x:v>
      </x:c>
      <x:c r="U256" s="4" t="n">
        <x:f>MATCH(J256,'Сводка'!$R$3:$R$397,0)</x:f>
        <x:v>267</x:v>
      </x:c>
      <x:c r="V256" s="4" t="n">
        <x:f>MATCH(J256-'Сводка'!$B$11,'Сводка'!$R$3:$R$397,0)</x:f>
        <x:v>266</x:v>
      </x:c>
      <x:c r="W256" s="4" t="n">
        <x:f>MATCH(T256,$J$388:$J$400,0)</x:f>
        <x:v>9</x:v>
      </x:c>
      <x:c r="X256" s="3"/>
      <x:c r="Y256" s="3"/>
      <x:c r="Z256" s="3"/>
    </x:row>
    <x:row r="257" ht="15" customHeight="1">
      <x:c r="A257" s="3"/>
      <x:c r="B257" s="3"/>
      <x:c r="C257" s="3"/>
      <x:c r="D257" s="3"/>
      <x:c r="E257" s="3"/>
      <x:c r="F257" s="3"/>
      <x:c r="G257" s="3"/>
      <x:c r="H257" s="3"/>
      <x:c r="I257" s="3"/>
      <x:c r="J257" s="10" t="n">
        <x:v>46108</x:v>
      </x:c>
      <x:c r="K257" s="8" t="n">
        <x:f>INDEX('Сводка'!$S$3:$S$397,U257)</x:f>
        <x:v>-71</x:v>
      </x:c>
      <x:c r="L257" s="8" t="n">
        <x:f>INDEX('Сводка'!$S$3:$S$397,V257)</x:f>
        <x:v>-72</x:v>
      </x:c>
      <x:c r="M257" s="8" t="n">
        <x:f>INDEX($K$388:$N$400,W257,1)+INDEX($K$388:$N$400,W257,2)*(2*(J257-$T$405)/(T257-$T$405)-1)^1+INDEX($K$388:$N$400,W257,3)*(2*(J257-$T$405)/(T257-$T$405)-1)^2</x:f>
        <x:v>124.23171036011595</x:v>
      </x:c>
      <x:c r="N257" s="8" t="n">
        <x:f>K257-M257</x:f>
        <x:v>-195.23171036011595</x:v>
      </x:c>
      <x:c r="O257" s="8" t="n">
        <x:f>ABS(N257)</x:f>
        <x:v>195.23171036011595</x:v>
      </x:c>
      <x:c r="P257" s="8" t="n">
        <x:f>N257^2</x:f>
        <x:v>38115.420730136204</x:v>
      </x:c>
      <x:c r="Q257" s="8" t="n">
        <x:f>K257-L257</x:f>
        <x:v>1</x:v>
      </x:c>
      <x:c r="R257" s="9" t="n">
        <x:f>IF(AND(INDEX('Сводка'!$T$3:$T$397,U257)=0,INDEX('Сводка'!$T$3:$T$397,V257)=0),1,0)</x:f>
        <x:v>1</x:v>
      </x:c>
      <x:c r="S257" s="9" t="n">
        <x:f>IF(AND(R257=1,O257&lt;=$G$13),1,0)</x:f>
        <x:v>0</x:v>
      </x:c>
      <x:c r="T257" s="10" t="n">
        <x:f>EOMONTH(J257-'Сводка'!$B$11,-1)</x:f>
        <x:v>46081</x:v>
      </x:c>
      <x:c r="U257" s="4" t="n">
        <x:f>MATCH(J257,'Сводка'!$R$3:$R$397,0)</x:f>
        <x:v>268</x:v>
      </x:c>
      <x:c r="V257" s="4" t="n">
        <x:f>MATCH(J257-'Сводка'!$B$11,'Сводка'!$R$3:$R$397,0)</x:f>
        <x:v>267</x:v>
      </x:c>
      <x:c r="W257" s="4" t="n">
        <x:f>MATCH(T257,$J$388:$J$400,0)</x:f>
        <x:v>9</x:v>
      </x:c>
      <x:c r="X257" s="3"/>
      <x:c r="Y257" s="3"/>
      <x:c r="Z257" s="3"/>
    </x:row>
    <x:row r="258" ht="15" customHeight="1">
      <x:c r="A258" s="3"/>
      <x:c r="B258" s="3"/>
      <x:c r="C258" s="3"/>
      <x:c r="D258" s="3"/>
      <x:c r="E258" s="3"/>
      <x:c r="F258" s="3"/>
      <x:c r="G258" s="3"/>
      <x:c r="H258" s="3"/>
      <x:c r="I258" s="3"/>
      <x:c r="J258" s="10" t="n">
        <x:v>46109</x:v>
      </x:c>
      <x:c r="K258" s="8" t="n">
        <x:f>INDEX('Сводка'!$S$3:$S$397,U258)</x:f>
        <x:v>-71</x:v>
      </x:c>
      <x:c r="L258" s="8" t="n">
        <x:f>INDEX('Сводка'!$S$3:$S$397,V258)</x:f>
        <x:v>-71</x:v>
      </x:c>
      <x:c r="M258" s="8" t="n">
        <x:f>INDEX($K$388:$N$400,W258,1)+INDEX($K$388:$N$400,W258,2)*(2*(J258-$T$405)/(T258-$T$405)-1)^1+INDEX($K$388:$N$400,W258,3)*(2*(J258-$T$405)/(T258-$T$405)-1)^2</x:f>
        <x:v>124.22540086871092</x:v>
      </x:c>
      <x:c r="N258" s="8" t="n">
        <x:f>K258-M258</x:f>
        <x:v>-195.22540086871092</x:v>
      </x:c>
      <x:c r="O258" s="8" t="n">
        <x:f>ABS(N258)</x:f>
        <x:v>195.22540086871092</x:v>
      </x:c>
      <x:c r="P258" s="8" t="n">
        <x:f>N258^2</x:f>
        <x:v>38112.957144348875</x:v>
      </x:c>
      <x:c r="Q258" s="8" t="n">
        <x:f>K258-L258</x:f>
        <x:v>0</x:v>
      </x:c>
      <x:c r="R258" s="9" t="n">
        <x:f>IF(AND(INDEX('Сводка'!$T$3:$T$397,U258)=0,INDEX('Сводка'!$T$3:$T$397,V258)=0),1,0)</x:f>
        <x:v>1</x:v>
      </x:c>
      <x:c r="S258" s="9" t="n">
        <x:f>IF(AND(R258=1,O258&lt;=$G$13),1,0)</x:f>
        <x:v>0</x:v>
      </x:c>
      <x:c r="T258" s="10" t="n">
        <x:f>EOMONTH(J258-'Сводка'!$B$11,-1)</x:f>
        <x:v>46081</x:v>
      </x:c>
      <x:c r="U258" s="4" t="n">
        <x:f>MATCH(J258,'Сводка'!$R$3:$R$397,0)</x:f>
        <x:v>269</x:v>
      </x:c>
      <x:c r="V258" s="4" t="n">
        <x:f>MATCH(J258-'Сводка'!$B$11,'Сводка'!$R$3:$R$397,0)</x:f>
        <x:v>268</x:v>
      </x:c>
      <x:c r="W258" s="4" t="n">
        <x:f>MATCH(T258,$J$388:$J$400,0)</x:f>
        <x:v>9</x:v>
      </x:c>
      <x:c r="X258" s="3"/>
      <x:c r="Y258" s="3"/>
      <x:c r="Z258" s="3"/>
    </x:row>
    <x:row r="259" ht="15" customHeight="1">
      <x:c r="A259" s="3"/>
      <x:c r="B259" s="3"/>
      <x:c r="C259" s="3"/>
      <x:c r="D259" s="3"/>
      <x:c r="E259" s="3"/>
      <x:c r="F259" s="3"/>
      <x:c r="G259" s="3"/>
      <x:c r="H259" s="3"/>
      <x:c r="I259" s="3"/>
      <x:c r="J259" s="10" t="n">
        <x:v>46110</x:v>
      </x:c>
      <x:c r="K259" s="8" t="n">
        <x:f>INDEX('Сводка'!$S$3:$S$397,U259)</x:f>
        <x:v>-71</x:v>
      </x:c>
      <x:c r="L259" s="8" t="n">
        <x:f>INDEX('Сводка'!$S$3:$S$397,V259)</x:f>
        <x:v>-71</x:v>
      </x:c>
      <x:c r="M259" s="8" t="n">
        <x:f>INDEX($K$388:$N$400,W259,1)+INDEX($K$388:$N$400,W259,2)*(2*(J259-$T$405)/(T259-$T$405)-1)^1+INDEX($K$388:$N$400,W259,3)*(2*(J259-$T$405)/(T259-$T$405)-1)^2</x:f>
        <x:v>124.21908498522608</x:v>
      </x:c>
      <x:c r="N259" s="8" t="n">
        <x:f>K259-M259</x:f>
        <x:v>-195.21908498522606</x:v>
      </x:c>
      <x:c r="O259" s="8" t="n">
        <x:f>ABS(N259)</x:f>
        <x:v>195.21908498522606</x:v>
      </x:c>
      <x:c r="P259" s="8" t="n">
        <x:f>N259^2</x:f>
        <x:v>38110.49114246891</x:v>
      </x:c>
      <x:c r="Q259" s="8" t="n">
        <x:f>K259-L259</x:f>
        <x:v>0</x:v>
      </x:c>
      <x:c r="R259" s="9" t="n">
        <x:f>IF(AND(INDEX('Сводка'!$T$3:$T$397,U259)=0,INDEX('Сводка'!$T$3:$T$397,V259)=0),1,0)</x:f>
        <x:v>1</x:v>
      </x:c>
      <x:c r="S259" s="9" t="n">
        <x:f>IF(AND(R259=1,O259&lt;=$G$13),1,0)</x:f>
        <x:v>0</x:v>
      </x:c>
      <x:c r="T259" s="10" t="n">
        <x:f>EOMONTH(J259-'Сводка'!$B$11,-1)</x:f>
        <x:v>46081</x:v>
      </x:c>
      <x:c r="U259" s="4" t="n">
        <x:f>MATCH(J259,'Сводка'!$R$3:$R$397,0)</x:f>
        <x:v>270</x:v>
      </x:c>
      <x:c r="V259" s="4" t="n">
        <x:f>MATCH(J259-'Сводка'!$B$11,'Сводка'!$R$3:$R$397,0)</x:f>
        <x:v>269</x:v>
      </x:c>
      <x:c r="W259" s="4" t="n">
        <x:f>MATCH(T259,$J$388:$J$400,0)</x:f>
        <x:v>9</x:v>
      </x:c>
      <x:c r="X259" s="3"/>
      <x:c r="Y259" s="3"/>
      <x:c r="Z259" s="3"/>
    </x:row>
    <x:row r="260" ht="15" customHeight="1">
      <x:c r="A260" s="3"/>
      <x:c r="B260" s="3"/>
      <x:c r="C260" s="3"/>
      <x:c r="D260" s="3"/>
      <x:c r="E260" s="3"/>
      <x:c r="F260" s="3"/>
      <x:c r="G260" s="3"/>
      <x:c r="H260" s="3"/>
      <x:c r="I260" s="3"/>
      <x:c r="J260" s="10" t="n">
        <x:v>46111</x:v>
      </x:c>
      <x:c r="K260" s="8" t="n">
        <x:f>INDEX('Сводка'!$S$3:$S$397,U260)</x:f>
        <x:v>-69</x:v>
      </x:c>
      <x:c r="L260" s="8" t="n">
        <x:f>INDEX('Сводка'!$S$3:$S$397,V260)</x:f>
        <x:v>-71</x:v>
      </x:c>
      <x:c r="M260" s="8" t="n">
        <x:f>INDEX($K$388:$N$400,W260,1)+INDEX($K$388:$N$400,W260,2)*(2*(J260-$T$405)/(T260-$T$405)-1)^1+INDEX($K$388:$N$400,W260,3)*(2*(J260-$T$405)/(T260-$T$405)-1)^2</x:f>
        <x:v>124.21276270966143</x:v>
      </x:c>
      <x:c r="N260" s="8" t="n">
        <x:f>K260-M260</x:f>
        <x:v>-193.21276270966143</x:v>
      </x:c>
      <x:c r="O260" s="8" t="n">
        <x:f>ABS(N260)</x:f>
        <x:v>193.21276270966143</x:v>
      </x:c>
      <x:c r="P260" s="8" t="n">
        <x:f>N260^2</x:f>
        <x:v>37331.17167389994</x:v>
      </x:c>
      <x:c r="Q260" s="8" t="n">
        <x:f>K260-L260</x:f>
        <x:v>2</x:v>
      </x:c>
      <x:c r="R260" s="9" t="n">
        <x:f>IF(AND(INDEX('Сводка'!$T$3:$T$397,U260)=0,INDEX('Сводка'!$T$3:$T$397,V260)=0),1,0)</x:f>
        <x:v>1</x:v>
      </x:c>
      <x:c r="S260" s="9" t="n">
        <x:f>IF(AND(R260=1,O260&lt;=$G$13),1,0)</x:f>
        <x:v>0</x:v>
      </x:c>
      <x:c r="T260" s="10" t="n">
        <x:f>EOMONTH(J260-'Сводка'!$B$11,-1)</x:f>
        <x:v>46081</x:v>
      </x:c>
      <x:c r="U260" s="4" t="n">
        <x:f>MATCH(J260,'Сводка'!$R$3:$R$397,0)</x:f>
        <x:v>271</x:v>
      </x:c>
      <x:c r="V260" s="4" t="n">
        <x:f>MATCH(J260-'Сводка'!$B$11,'Сводка'!$R$3:$R$397,0)</x:f>
        <x:v>270</x:v>
      </x:c>
      <x:c r="W260" s="4" t="n">
        <x:f>MATCH(T260,$J$388:$J$400,0)</x:f>
        <x:v>9</x:v>
      </x:c>
      <x:c r="X260" s="3"/>
      <x:c r="Y260" s="3"/>
      <x:c r="Z260" s="3"/>
    </x:row>
    <x:row r="261" ht="15" customHeight="1">
      <x:c r="A261" s="3"/>
      <x:c r="B261" s="3"/>
      <x:c r="C261" s="3"/>
      <x:c r="D261" s="3"/>
      <x:c r="E261" s="3"/>
      <x:c r="F261" s="3"/>
      <x:c r="G261" s="3"/>
      <x:c r="H261" s="3"/>
      <x:c r="I261" s="3"/>
      <x:c r="J261" s="10" t="n">
        <x:v>46112</x:v>
      </x:c>
      <x:c r="K261" s="8" t="n">
        <x:f>INDEX('Сводка'!$S$3:$S$397,U261)</x:f>
        <x:v>-67</x:v>
      </x:c>
      <x:c r="L261" s="8" t="n">
        <x:f>INDEX('Сводка'!$S$3:$S$397,V261)</x:f>
        <x:v>-69</x:v>
      </x:c>
      <x:c r="M261" s="8" t="n">
        <x:f>INDEX($K$388:$N$400,W261,1)+INDEX($K$388:$N$400,W261,2)*(2*(J261-$T$405)/(T261-$T$405)-1)^1+INDEX($K$388:$N$400,W261,3)*(2*(J261-$T$405)/(T261-$T$405)-1)^2</x:f>
        <x:v>124.20643404201698</x:v>
      </x:c>
      <x:c r="N261" s="8" t="n">
        <x:f>K261-M261</x:f>
        <x:v>-191.20643404201698</x:v>
      </x:c>
      <x:c r="O261" s="8" t="n">
        <x:f>ABS(N261)</x:f>
        <x:v>191.20643404201698</x:v>
      </x:c>
      <x:c r="P261" s="8" t="n">
        <x:f>N261^2</x:f>
        <x:v>36559.900419064186</x:v>
      </x:c>
      <x:c r="Q261" s="8" t="n">
        <x:f>K261-L261</x:f>
        <x:v>2</x:v>
      </x:c>
      <x:c r="R261" s="9" t="n">
        <x:f>IF(AND(INDEX('Сводка'!$T$3:$T$397,U261)=0,INDEX('Сводка'!$T$3:$T$397,V261)=0),1,0)</x:f>
        <x:v>1</x:v>
      </x:c>
      <x:c r="S261" s="9" t="n">
        <x:f>IF(AND(R261=1,O261&lt;=$G$13),1,0)</x:f>
        <x:v>0</x:v>
      </x:c>
      <x:c r="T261" s="10" t="n">
        <x:f>EOMONTH(J261-'Сводка'!$B$11,-1)</x:f>
        <x:v>46081</x:v>
      </x:c>
      <x:c r="U261" s="4" t="n">
        <x:f>MATCH(J261,'Сводка'!$R$3:$R$397,0)</x:f>
        <x:v>272</x:v>
      </x:c>
      <x:c r="V261" s="4" t="n">
        <x:f>MATCH(J261-'Сводка'!$B$11,'Сводка'!$R$3:$R$397,0)</x:f>
        <x:v>271</x:v>
      </x:c>
      <x:c r="W261" s="4" t="n">
        <x:f>MATCH(T261,$J$388:$J$400,0)</x:f>
        <x:v>9</x:v>
      </x:c>
      <x:c r="X261" s="3"/>
      <x:c r="Y261" s="3"/>
      <x:c r="Z261" s="3"/>
    </x:row>
    <x:row r="262" ht="15" customHeight="1">
      <x:c r="A262" s="3"/>
      <x:c r="B262" s="3"/>
      <x:c r="C262" s="3"/>
      <x:c r="D262" s="3"/>
      <x:c r="E262" s="3"/>
      <x:c r="F262" s="3"/>
      <x:c r="G262" s="3"/>
      <x:c r="H262" s="3"/>
      <x:c r="I262" s="3"/>
      <x:c r="J262" s="10" t="n">
        <x:v>46113</x:v>
      </x:c>
      <x:c r="K262" s="8" t="n">
        <x:f>INDEX('Сводка'!$S$3:$S$397,U262)</x:f>
        <x:v>-65</x:v>
      </x:c>
      <x:c r="L262" s="8" t="n">
        <x:f>INDEX('Сводка'!$S$3:$S$397,V262)</x:f>
        <x:v>-67</x:v>
      </x:c>
      <x:c r="M262" s="8" t="n">
        <x:f>INDEX($K$388:$N$400,W262,1)+INDEX($K$388:$N$400,W262,2)*(2*(J262-$T$405)/(T262-$T$405)-1)^1+INDEX($K$388:$N$400,W262,3)*(2*(J262-$T$405)/(T262-$T$405)-1)^2</x:f>
        <x:v>124.2000989822927</x:v>
      </x:c>
      <x:c r="N262" s="8" t="n">
        <x:f>K262-M262</x:f>
        <x:v>-189.2000989822927</x:v>
      </x:c>
      <x:c r="O262" s="8" t="n">
        <x:f>ABS(N262)</x:f>
        <x:v>189.2000989822927</x:v>
      </x:c>
      <x:c r="P262" s="8" t="n">
        <x:f>N262^2</x:f>
        <x:v>35796.67745490935</x:v>
      </x:c>
      <x:c r="Q262" s="8" t="n">
        <x:f>K262-L262</x:f>
        <x:v>2</x:v>
      </x:c>
      <x:c r="R262" s="9" t="n">
        <x:f>IF(AND(INDEX('Сводка'!$T$3:$T$397,U262)=0,INDEX('Сводка'!$T$3:$T$397,V262)=0),1,0)</x:f>
        <x:v>1</x:v>
      </x:c>
      <x:c r="S262" s="9" t="n">
        <x:f>IF(AND(R262=1,O262&lt;=$G$13),1,0)</x:f>
        <x:v>0</x:v>
      </x:c>
      <x:c r="T262" s="10" t="n">
        <x:f>EOMONTH(J262-'Сводка'!$B$11,-1)</x:f>
        <x:v>46081</x:v>
      </x:c>
      <x:c r="U262" s="4" t="n">
        <x:f>MATCH(J262,'Сводка'!$R$3:$R$397,0)</x:f>
        <x:v>273</x:v>
      </x:c>
      <x:c r="V262" s="4" t="n">
        <x:f>MATCH(J262-'Сводка'!$B$11,'Сводка'!$R$3:$R$397,0)</x:f>
        <x:v>272</x:v>
      </x:c>
      <x:c r="W262" s="4" t="n">
        <x:f>MATCH(T262,$J$388:$J$400,0)</x:f>
        <x:v>9</x:v>
      </x:c>
      <x:c r="X262" s="3"/>
      <x:c r="Y262" s="3"/>
      <x:c r="Z262" s="3"/>
    </x:row>
    <x:row r="263" ht="15" customHeight="1">
      <x:c r="A263" s="3"/>
      <x:c r="B263" s="3"/>
      <x:c r="C263" s="3"/>
      <x:c r="D263" s="3"/>
      <x:c r="E263" s="3"/>
      <x:c r="F263" s="3"/>
      <x:c r="G263" s="3"/>
      <x:c r="H263" s="3"/>
      <x:c r="I263" s="3"/>
      <x:c r="J263" s="10" t="n">
        <x:v>46114</x:v>
      </x:c>
      <x:c r="K263" s="8" t="n">
        <x:f>INDEX('Сводка'!$S$3:$S$397,U263)</x:f>
        <x:v>-59</x:v>
      </x:c>
      <x:c r="L263" s="8" t="n">
        <x:f>INDEX('Сводка'!$S$3:$S$397,V263)</x:f>
        <x:v>-65</x:v>
      </x:c>
      <x:c r="M263" s="8" t="n">
        <x:f>INDEX($K$388:$N$400,W263,1)+INDEX($K$388:$N$400,W263,2)*(2*(J263-$T$405)/(T263-$T$405)-1)^1+INDEX($K$388:$N$400,W263,3)*(2*(J263-$T$405)/(T263-$T$405)-1)^2</x:f>
        <x:v>117.60558732788975</x:v>
      </x:c>
      <x:c r="N263" s="8" t="n">
        <x:f>K263-M263</x:f>
        <x:v>-176.60558732788974</x:v>
      </x:c>
      <x:c r="O263" s="8" t="n">
        <x:f>ABS(N263)</x:f>
        <x:v>176.60558732788974</x:v>
      </x:c>
      <x:c r="P263" s="8" t="n">
        <x:f>N263^2</x:f>
        <x:v>31189.53347542889</x:v>
      </x:c>
      <x:c r="Q263" s="8" t="n">
        <x:f>K263-L263</x:f>
        <x:v>6</x:v>
      </x:c>
      <x:c r="R263" s="9" t="n">
        <x:f>IF(AND(INDEX('Сводка'!$T$3:$T$397,U263)=0,INDEX('Сводка'!$T$3:$T$397,V263)=0),1,0)</x:f>
        <x:v>1</x:v>
      </x:c>
      <x:c r="S263" s="9" t="n">
        <x:f>IF(AND(R263=1,O263&lt;=$G$13),1,0)</x:f>
        <x:v>0</x:v>
      </x:c>
      <x:c r="T263" s="10" t="n">
        <x:f>EOMONTH(J263-'Сводка'!$B$11,-1)</x:f>
        <x:v>46112</x:v>
      </x:c>
      <x:c r="U263" s="4" t="n">
        <x:f>MATCH(J263,'Сводка'!$R$3:$R$397,0)</x:f>
        <x:v>274</x:v>
      </x:c>
      <x:c r="V263" s="4" t="n">
        <x:f>MATCH(J263-'Сводка'!$B$11,'Сводка'!$R$3:$R$397,0)</x:f>
        <x:v>273</x:v>
      </x:c>
      <x:c r="W263" s="4" t="n">
        <x:f>MATCH(T263,$J$388:$J$400,0)</x:f>
        <x:v>10</x:v>
      </x:c>
      <x:c r="X263" s="3"/>
      <x:c r="Y263" s="3"/>
      <x:c r="Z263" s="3"/>
    </x:row>
    <x:row r="264" ht="15" customHeight="1">
      <x:c r="A264" s="3"/>
      <x:c r="B264" s="3"/>
      <x:c r="C264" s="3"/>
      <x:c r="D264" s="3"/>
      <x:c r="E264" s="3"/>
      <x:c r="F264" s="3"/>
      <x:c r="G264" s="3"/>
      <x:c r="H264" s="3"/>
      <x:c r="I264" s="3"/>
      <x:c r="J264" s="10" t="n">
        <x:v>46115</x:v>
      </x:c>
      <x:c r="K264" s="8" t="n">
        <x:f>INDEX('Сводка'!$S$3:$S$397,U264)</x:f>
        <x:v>-52</x:v>
      </x:c>
      <x:c r="L264" s="8" t="n">
        <x:f>INDEX('Сводка'!$S$3:$S$397,V264)</x:f>
        <x:v>-59</x:v>
      </x:c>
      <x:c r="M264" s="8" t="n">
        <x:f>INDEX($K$388:$N$400,W264,1)+INDEX($K$388:$N$400,W264,2)*(2*(J264-$T$405)/(T264-$T$405)-1)^1+INDEX($K$388:$N$400,W264,3)*(2*(J264-$T$405)/(T264-$T$405)-1)^2</x:f>
        <x:v>117.59632884387392</x:v>
      </x:c>
      <x:c r="N264" s="8" t="n">
        <x:f>K264-M264</x:f>
        <x:v>-169.59632884387392</x:v>
      </x:c>
      <x:c r="O264" s="8" t="n">
        <x:f>ABS(N264)</x:f>
        <x:v>169.59632884387392</x:v>
      </x:c>
      <x:c r="P264" s="8" t="n">
        <x:f>N264^2</x:f>
        <x:v>28762.91475731942</x:v>
      </x:c>
      <x:c r="Q264" s="8" t="n">
        <x:f>K264-L264</x:f>
        <x:v>7</x:v>
      </x:c>
      <x:c r="R264" s="9" t="n">
        <x:f>IF(AND(INDEX('Сводка'!$T$3:$T$397,U264)=0,INDEX('Сводка'!$T$3:$T$397,V264)=0),1,0)</x:f>
        <x:v>1</x:v>
      </x:c>
      <x:c r="S264" s="9" t="n">
        <x:f>IF(AND(R264=1,O264&lt;=$G$13),1,0)</x:f>
        <x:v>0</x:v>
      </x:c>
      <x:c r="T264" s="10" t="n">
        <x:f>EOMONTH(J264-'Сводка'!$B$11,-1)</x:f>
        <x:v>46112</x:v>
      </x:c>
      <x:c r="U264" s="4" t="n">
        <x:f>MATCH(J264,'Сводка'!$R$3:$R$397,0)</x:f>
        <x:v>275</x:v>
      </x:c>
      <x:c r="V264" s="4" t="n">
        <x:f>MATCH(J264-'Сводка'!$B$11,'Сводка'!$R$3:$R$397,0)</x:f>
        <x:v>274</x:v>
      </x:c>
      <x:c r="W264" s="4" t="n">
        <x:f>MATCH(T264,$J$388:$J$400,0)</x:f>
        <x:v>10</x:v>
      </x:c>
      <x:c r="X264" s="3"/>
      <x:c r="Y264" s="3"/>
      <x:c r="Z264" s="3"/>
    </x:row>
    <x:row r="265" ht="15" customHeight="1">
      <x:c r="A265" s="3"/>
      <x:c r="B265" s="3"/>
      <x:c r="C265" s="3"/>
      <x:c r="D265" s="3"/>
      <x:c r="E265" s="3"/>
      <x:c r="F265" s="3"/>
      <x:c r="G265" s="3"/>
      <x:c r="H265" s="3"/>
      <x:c r="I265" s="3"/>
      <x:c r="J265" s="10" t="n">
        <x:v>46116</x:v>
      </x:c>
      <x:c r="K265" s="8" t="n">
        <x:f>INDEX('Сводка'!$S$3:$S$397,U265)</x:f>
        <x:v>-42</x:v>
      </x:c>
      <x:c r="L265" s="8" t="n">
        <x:f>INDEX('Сводка'!$S$3:$S$397,V265)</x:f>
        <x:v>-52</x:v>
      </x:c>
      <x:c r="M265" s="8" t="n">
        <x:f>INDEX($K$388:$N$400,W265,1)+INDEX($K$388:$N$400,W265,2)*(2*(J265-$T$405)/(T265-$T$405)-1)^1+INDEX($K$388:$N$400,W265,3)*(2*(J265-$T$405)/(T265-$T$405)-1)^2</x:f>
        <x:v>117.58706342545783</x:v>
      </x:c>
      <x:c r="N265" s="8" t="n">
        <x:f>K265-M265</x:f>
        <x:v>-159.5870634254578</x:v>
      </x:c>
      <x:c r="O265" s="8" t="n">
        <x:f>ABS(N265)</x:f>
        <x:v>159.5870634254578</x:v>
      </x:c>
      <x:c r="P265" s="8" t="n">
        <x:f>N265^2</x:f>
        <x:v>25468.030812761095</x:v>
      </x:c>
      <x:c r="Q265" s="8" t="n">
        <x:f>K265-L265</x:f>
        <x:v>10</x:v>
      </x:c>
      <x:c r="R265" s="9" t="n">
        <x:f>IF(AND(INDEX('Сводка'!$T$3:$T$397,U265)=0,INDEX('Сводка'!$T$3:$T$397,V265)=0),1,0)</x:f>
        <x:v>1</x:v>
      </x:c>
      <x:c r="S265" s="9" t="n">
        <x:f>IF(AND(R265=1,O265&lt;=$G$13),1,0)</x:f>
        <x:v>0</x:v>
      </x:c>
      <x:c r="T265" s="10" t="n">
        <x:f>EOMONTH(J265-'Сводка'!$B$11,-1)</x:f>
        <x:v>46112</x:v>
      </x:c>
      <x:c r="U265" s="4" t="n">
        <x:f>MATCH(J265,'Сводка'!$R$3:$R$397,0)</x:f>
        <x:v>276</x:v>
      </x:c>
      <x:c r="V265" s="4" t="n">
        <x:f>MATCH(J265-'Сводка'!$B$11,'Сводка'!$R$3:$R$397,0)</x:f>
        <x:v>275</x:v>
      </x:c>
      <x:c r="W265" s="4" t="n">
        <x:f>MATCH(T265,$J$388:$J$400,0)</x:f>
        <x:v>10</x:v>
      </x:c>
      <x:c r="X265" s="3"/>
      <x:c r="Y265" s="3"/>
      <x:c r="Z265" s="3"/>
    </x:row>
    <x:row r="266" ht="15" customHeight="1">
      <x:c r="A266" s="3"/>
      <x:c r="B266" s="3"/>
      <x:c r="C266" s="3"/>
      <x:c r="D266" s="3"/>
      <x:c r="E266" s="3"/>
      <x:c r="F266" s="3"/>
      <x:c r="G266" s="3"/>
      <x:c r="H266" s="3"/>
      <x:c r="I266" s="3"/>
      <x:c r="J266" s="10" t="n">
        <x:v>46117</x:v>
      </x:c>
      <x:c r="K266" s="8" t="n">
        <x:f>INDEX('Сводка'!$S$3:$S$397,U266)</x:f>
        <x:v>-35</x:v>
      </x:c>
      <x:c r="L266" s="8" t="n">
        <x:f>INDEX('Сводка'!$S$3:$S$397,V266)</x:f>
        <x:v>-42</x:v>
      </x:c>
      <x:c r="M266" s="8" t="n">
        <x:f>INDEX($K$388:$N$400,W266,1)+INDEX($K$388:$N$400,W266,2)*(2*(J266-$T$405)/(T266-$T$405)-1)^1+INDEX($K$388:$N$400,W266,3)*(2*(J266-$T$405)/(T266-$T$405)-1)^2</x:f>
        <x:v>117.57779107264162</x:v>
      </x:c>
      <x:c r="N266" s="8" t="n">
        <x:f>K266-M266</x:f>
        <x:v>-152.57779107264162</x:v>
      </x:c>
      <x:c r="O266" s="8" t="n">
        <x:f>ABS(N266)</x:f>
        <x:v>152.57779107264162</x:v>
      </x:c>
      <x:c r="P266" s="8" t="n">
        <x:f>N266^2</x:f>
        <x:v>23279.982328606675</x:v>
      </x:c>
      <x:c r="Q266" s="8" t="n">
        <x:f>K266-L266</x:f>
        <x:v>7</x:v>
      </x:c>
      <x:c r="R266" s="9" t="n">
        <x:f>IF(AND(INDEX('Сводка'!$T$3:$T$397,U266)=0,INDEX('Сводка'!$T$3:$T$397,V266)=0),1,0)</x:f>
        <x:v>1</x:v>
      </x:c>
      <x:c r="S266" s="9" t="n">
        <x:f>IF(AND(R266=1,O266&lt;=$G$13),1,0)</x:f>
        <x:v>0</x:v>
      </x:c>
      <x:c r="T266" s="10" t="n">
        <x:f>EOMONTH(J266-'Сводка'!$B$11,-1)</x:f>
        <x:v>46112</x:v>
      </x:c>
      <x:c r="U266" s="4" t="n">
        <x:f>MATCH(J266,'Сводка'!$R$3:$R$397,0)</x:f>
        <x:v>277</x:v>
      </x:c>
      <x:c r="V266" s="4" t="n">
        <x:f>MATCH(J266-'Сводка'!$B$11,'Сводка'!$R$3:$R$397,0)</x:f>
        <x:v>276</x:v>
      </x:c>
      <x:c r="W266" s="4" t="n">
        <x:f>MATCH(T266,$J$388:$J$400,0)</x:f>
        <x:v>10</x:v>
      </x:c>
      <x:c r="X266" s="3"/>
      <x:c r="Y266" s="3"/>
      <x:c r="Z266" s="3"/>
    </x:row>
    <x:row r="267" ht="15" customHeight="1">
      <x:c r="A267" s="3"/>
      <x:c r="B267" s="3"/>
      <x:c r="C267" s="3"/>
      <x:c r="D267" s="3"/>
      <x:c r="E267" s="3"/>
      <x:c r="F267" s="3"/>
      <x:c r="G267" s="3"/>
      <x:c r="H267" s="3"/>
      <x:c r="I267" s="3"/>
      <x:c r="J267" s="10" t="n">
        <x:v>46118</x:v>
      </x:c>
      <x:c r="K267" s="8" t="n">
        <x:f>INDEX('Сводка'!$S$3:$S$397,U267)</x:f>
        <x:v>-17</x:v>
      </x:c>
      <x:c r="L267" s="8" t="n">
        <x:f>INDEX('Сводка'!$S$3:$S$397,V267)</x:f>
        <x:v>-35</x:v>
      </x:c>
      <x:c r="M267" s="8" t="n">
        <x:f>INDEX($K$388:$N$400,W267,1)+INDEX($K$388:$N$400,W267,2)*(2*(J267-$T$405)/(T267-$T$405)-1)^1+INDEX($K$388:$N$400,W267,3)*(2*(J267-$T$405)/(T267-$T$405)-1)^2</x:f>
        <x:v>117.56851178542517</x:v>
      </x:c>
      <x:c r="N267" s="8" t="n">
        <x:f>K267-M267</x:f>
        <x:v>-134.5685117854252</x:v>
      </x:c>
      <x:c r="O267" s="8" t="n">
        <x:f>ABS(N267)</x:f>
        <x:v>134.5685117854252</x:v>
      </x:c>
      <x:c r="P267" s="8" t="n">
        <x:f>N267^2</x:f>
        <x:v>18108.68436414412</x:v>
      </x:c>
      <x:c r="Q267" s="8" t="n">
        <x:f>K267-L267</x:f>
        <x:v>18</x:v>
      </x:c>
      <x:c r="R267" s="9" t="n">
        <x:f>IF(AND(INDEX('Сводка'!$T$3:$T$397,U267)=0,INDEX('Сводка'!$T$3:$T$397,V267)=0),1,0)</x:f>
        <x:v>1</x:v>
      </x:c>
      <x:c r="S267" s="9" t="n">
        <x:f>IF(AND(R267=1,O267&lt;=$G$13),1,0)</x:f>
        <x:v>0</x:v>
      </x:c>
      <x:c r="T267" s="10" t="n">
        <x:f>EOMONTH(J267-'Сводка'!$B$11,-1)</x:f>
        <x:v>46112</x:v>
      </x:c>
      <x:c r="U267" s="4" t="n">
        <x:f>MATCH(J267,'Сводка'!$R$3:$R$397,0)</x:f>
        <x:v>278</x:v>
      </x:c>
      <x:c r="V267" s="4" t="n">
        <x:f>MATCH(J267-'Сводка'!$B$11,'Сводка'!$R$3:$R$397,0)</x:f>
        <x:v>277</x:v>
      </x:c>
      <x:c r="W267" s="4" t="n">
        <x:f>MATCH(T267,$J$388:$J$400,0)</x:f>
        <x:v>10</x:v>
      </x:c>
      <x:c r="X267" s="3"/>
      <x:c r="Y267" s="3"/>
      <x:c r="Z267" s="3"/>
    </x:row>
    <x:row r="268" ht="15" customHeight="1">
      <x:c r="A268" s="3"/>
      <x:c r="B268" s="3"/>
      <x:c r="C268" s="3"/>
      <x:c r="D268" s="3"/>
      <x:c r="E268" s="3"/>
      <x:c r="F268" s="3"/>
      <x:c r="G268" s="3"/>
      <x:c r="H268" s="3"/>
      <x:c r="I268" s="3"/>
      <x:c r="J268" s="10" t="n">
        <x:v>46119</x:v>
      </x:c>
      <x:c r="K268" s="8" t="n">
        <x:f>INDEX('Сводка'!$S$3:$S$397,U268)</x:f>
        <x:v>-3</x:v>
      </x:c>
      <x:c r="L268" s="8" t="n">
        <x:f>INDEX('Сводка'!$S$3:$S$397,V268)</x:f>
        <x:v>-17</x:v>
      </x:c>
      <x:c r="M268" s="8" t="n">
        <x:f>INDEX($K$388:$N$400,W268,1)+INDEX($K$388:$N$400,W268,2)*(2*(J268-$T$405)/(T268-$T$405)-1)^1+INDEX($K$388:$N$400,W268,3)*(2*(J268-$T$405)/(T268-$T$405)-1)^2</x:f>
        <x:v>117.55922556380854</x:v>
      </x:c>
      <x:c r="N268" s="8" t="n">
        <x:f>K268-M268</x:f>
        <x:v>-120.55922556380854</x:v>
      </x:c>
      <x:c r="O268" s="8" t="n">
        <x:f>ABS(N268)</x:f>
        <x:v>120.55922556380854</x:v>
      </x:c>
      <x:c r="P268" s="8" t="n">
        <x:f>N268^2</x:f>
        <x:v>14534.526868545267</x:v>
      </x:c>
      <x:c r="Q268" s="8" t="n">
        <x:f>K268-L268</x:f>
        <x:v>14</x:v>
      </x:c>
      <x:c r="R268" s="9" t="n">
        <x:f>IF(AND(INDEX('Сводка'!$T$3:$T$397,U268)=0,INDEX('Сводка'!$T$3:$T$397,V268)=0),1,0)</x:f>
        <x:v>1</x:v>
      </x:c>
      <x:c r="S268" s="9" t="n">
        <x:f>IF(AND(R268=1,O268&lt;=$G$13),1,0)</x:f>
        <x:v>0</x:v>
      </x:c>
      <x:c r="T268" s="10" t="n">
        <x:f>EOMONTH(J268-'Сводка'!$B$11,-1)</x:f>
        <x:v>46112</x:v>
      </x:c>
      <x:c r="U268" s="4" t="n">
        <x:f>MATCH(J268,'Сводка'!$R$3:$R$397,0)</x:f>
        <x:v>279</x:v>
      </x:c>
      <x:c r="V268" s="4" t="n">
        <x:f>MATCH(J268-'Сводка'!$B$11,'Сводка'!$R$3:$R$397,0)</x:f>
        <x:v>278</x:v>
      </x:c>
      <x:c r="W268" s="4" t="n">
        <x:f>MATCH(T268,$J$388:$J$400,0)</x:f>
        <x:v>10</x:v>
      </x:c>
      <x:c r="X268" s="3"/>
      <x:c r="Y268" s="3"/>
      <x:c r="Z268" s="3"/>
    </x:row>
    <x:row r="269" ht="15" customHeight="1">
      <x:c r="A269" s="3"/>
      <x:c r="B269" s="3"/>
      <x:c r="C269" s="3"/>
      <x:c r="D269" s="3"/>
      <x:c r="E269" s="3"/>
      <x:c r="F269" s="3"/>
      <x:c r="G269" s="3"/>
      <x:c r="H269" s="3"/>
      <x:c r="I269" s="3"/>
      <x:c r="J269" s="10" t="n">
        <x:v>46120</x:v>
      </x:c>
      <x:c r="K269" s="8" t="n">
        <x:f>INDEX('Сводка'!$S$3:$S$397,U269)</x:f>
        <x:v>17</x:v>
      </x:c>
      <x:c r="L269" s="8" t="n">
        <x:f>INDEX('Сводка'!$S$3:$S$397,V269)</x:f>
        <x:v>-3</x:v>
      </x:c>
      <x:c r="M269" s="8" t="n">
        <x:f>INDEX($K$388:$N$400,W269,1)+INDEX($K$388:$N$400,W269,2)*(2*(J269-$T$405)/(T269-$T$405)-1)^1+INDEX($K$388:$N$400,W269,3)*(2*(J269-$T$405)/(T269-$T$405)-1)^2</x:f>
        <x:v>117.5499324077917</x:v>
      </x:c>
      <x:c r="N269" s="8" t="n">
        <x:f>K269-M269</x:f>
        <x:v>-100.5499324077917</x:v>
      </x:c>
      <x:c r="O269" s="8" t="n">
        <x:f>ABS(N269)</x:f>
        <x:v>100.5499324077917</x:v>
      </x:c>
      <x:c r="P269" s="8" t="n">
        <x:f>N269^2</x:f>
        <x:v>10110.28890721148</x:v>
      </x:c>
      <x:c r="Q269" s="8" t="n">
        <x:f>K269-L269</x:f>
        <x:v>20</x:v>
      </x:c>
      <x:c r="R269" s="9" t="n">
        <x:f>IF(AND(INDEX('Сводка'!$T$3:$T$397,U269)=0,INDEX('Сводка'!$T$3:$T$397,V269)=0),1,0)</x:f>
        <x:v>1</x:v>
      </x:c>
      <x:c r="S269" s="9" t="n">
        <x:f>IF(AND(R269=1,O269&lt;=$G$13),1,0)</x:f>
        <x:v>0</x:v>
      </x:c>
      <x:c r="T269" s="10" t="n">
        <x:f>EOMONTH(J269-'Сводка'!$B$11,-1)</x:f>
        <x:v>46112</x:v>
      </x:c>
      <x:c r="U269" s="4" t="n">
        <x:f>MATCH(J269,'Сводка'!$R$3:$R$397,0)</x:f>
        <x:v>280</x:v>
      </x:c>
      <x:c r="V269" s="4" t="n">
        <x:f>MATCH(J269-'Сводка'!$B$11,'Сводка'!$R$3:$R$397,0)</x:f>
        <x:v>279</x:v>
      </x:c>
      <x:c r="W269" s="4" t="n">
        <x:f>MATCH(T269,$J$388:$J$400,0)</x:f>
        <x:v>10</x:v>
      </x:c>
      <x:c r="X269" s="3"/>
      <x:c r="Y269" s="3"/>
      <x:c r="Z269" s="3"/>
    </x:row>
    <x:row r="270" ht="15" customHeight="1">
      <x:c r="A270" s="3"/>
      <x:c r="B270" s="3"/>
      <x:c r="C270" s="3"/>
      <x:c r="D270" s="3"/>
      <x:c r="E270" s="3"/>
      <x:c r="F270" s="3"/>
      <x:c r="G270" s="3"/>
      <x:c r="H270" s="3"/>
      <x:c r="I270" s="3"/>
      <x:c r="J270" s="10" t="n">
        <x:v>46121</x:v>
      </x:c>
      <x:c r="K270" s="8" t="n">
        <x:f>INDEX('Сводка'!$S$3:$S$397,U270)</x:f>
        <x:v>44</x:v>
      </x:c>
      <x:c r="L270" s="8" t="n">
        <x:f>INDEX('Сводка'!$S$3:$S$397,V270)</x:f>
        <x:v>17</x:v>
      </x:c>
      <x:c r="M270" s="8" t="n">
        <x:f>INDEX($K$388:$N$400,W270,1)+INDEX($K$388:$N$400,W270,2)*(2*(J270-$T$405)/(T270-$T$405)-1)^1+INDEX($K$388:$N$400,W270,3)*(2*(J270-$T$405)/(T270-$T$405)-1)^2</x:f>
        <x:v>117.54063231737472</x:v>
      </x:c>
      <x:c r="N270" s="8" t="n">
        <x:f>K270-M270</x:f>
        <x:v>-73.54063231737472</x:v>
      </x:c>
      <x:c r="O270" s="8" t="n">
        <x:f>ABS(N270)</x:f>
        <x:v>73.54063231737472</x:v>
      </x:c>
      <x:c r="P270" s="8" t="n">
        <x:f>N270^2</x:f>
        <x:v>5408.224601639298</x:v>
      </x:c>
      <x:c r="Q270" s="8" t="n">
        <x:f>K270-L270</x:f>
        <x:v>27</x:v>
      </x:c>
      <x:c r="R270" s="9" t="n">
        <x:f>IF(AND(INDEX('Сводка'!$T$3:$T$397,U270)=0,INDEX('Сводка'!$T$3:$T$397,V270)=0),1,0)</x:f>
        <x:v>1</x:v>
      </x:c>
      <x:c r="S270" s="9" t="n">
        <x:f>IF(AND(R270=1,O270&lt;=$G$13),1,0)</x:f>
        <x:v>0</x:v>
      </x:c>
      <x:c r="T270" s="10" t="n">
        <x:f>EOMONTH(J270-'Сводка'!$B$11,-1)</x:f>
        <x:v>46112</x:v>
      </x:c>
      <x:c r="U270" s="4" t="n">
        <x:f>MATCH(J270,'Сводка'!$R$3:$R$397,0)</x:f>
        <x:v>281</x:v>
      </x:c>
      <x:c r="V270" s="4" t="n">
        <x:f>MATCH(J270-'Сводка'!$B$11,'Сводка'!$R$3:$R$397,0)</x:f>
        <x:v>280</x:v>
      </x:c>
      <x:c r="W270" s="4" t="n">
        <x:f>MATCH(T270,$J$388:$J$400,0)</x:f>
        <x:v>10</x:v>
      </x:c>
      <x:c r="X270" s="3"/>
      <x:c r="Y270" s="3"/>
      <x:c r="Z270" s="3"/>
    </x:row>
    <x:row r="271" ht="15" customHeight="1">
      <x:c r="A271" s="3"/>
      <x:c r="B271" s="3"/>
      <x:c r="C271" s="3"/>
      <x:c r="D271" s="3"/>
      <x:c r="E271" s="3"/>
      <x:c r="F271" s="3"/>
      <x:c r="G271" s="3"/>
      <x:c r="H271" s="3"/>
      <x:c r="I271" s="3"/>
      <x:c r="J271" s="10" t="n">
        <x:v>46122</x:v>
      </x:c>
      <x:c r="K271" s="8" t="n">
        <x:f>INDEX('Сводка'!$S$3:$S$397,U271)</x:f>
        <x:v>82</x:v>
      </x:c>
      <x:c r="L271" s="8" t="n">
        <x:f>INDEX('Сводка'!$S$3:$S$397,V271)</x:f>
        <x:v>44</x:v>
      </x:c>
      <x:c r="M271" s="8" t="n">
        <x:f>INDEX($K$388:$N$400,W271,1)+INDEX($K$388:$N$400,W271,2)*(2*(J271-$T$405)/(T271-$T$405)-1)^1+INDEX($K$388:$N$400,W271,3)*(2*(J271-$T$405)/(T271-$T$405)-1)^2</x:f>
        <x:v>117.5313252925575</x:v>
      </x:c>
      <x:c r="N271" s="8" t="n">
        <x:f>K271-M271</x:f>
        <x:v>-35.5313252925575</x:v>
      </x:c>
      <x:c r="O271" s="8" t="n">
        <x:f>ABS(N271)</x:f>
        <x:v>35.5313252925575</x:v>
      </x:c>
      <x:c r="P271" s="8" t="n">
        <x:f>N271^2</x:f>
        <x:v>1262.4750770455362</x:v>
      </x:c>
      <x:c r="Q271" s="8" t="n">
        <x:f>K271-L271</x:f>
        <x:v>38</x:v>
      </x:c>
      <x:c r="R271" s="9" t="n">
        <x:f>IF(AND(INDEX('Сводка'!$T$3:$T$397,U271)=0,INDEX('Сводка'!$T$3:$T$397,V271)=0),1,0)</x:f>
        <x:v>1</x:v>
      </x:c>
      <x:c r="S271" s="9" t="n">
        <x:f>IF(AND(R271=1,O271&lt;=$G$13),1,0)</x:f>
        <x:v>0</x:v>
      </x:c>
      <x:c r="T271" s="10" t="n">
        <x:f>EOMONTH(J271-'Сводка'!$B$11,-1)</x:f>
        <x:v>46112</x:v>
      </x:c>
      <x:c r="U271" s="4" t="n">
        <x:f>MATCH(J271,'Сводка'!$R$3:$R$397,0)</x:f>
        <x:v>282</x:v>
      </x:c>
      <x:c r="V271" s="4" t="n">
        <x:f>MATCH(J271-'Сводка'!$B$11,'Сводка'!$R$3:$R$397,0)</x:f>
        <x:v>281</x:v>
      </x:c>
      <x:c r="W271" s="4" t="n">
        <x:f>MATCH(T271,$J$388:$J$400,0)</x:f>
        <x:v>10</x:v>
      </x:c>
      <x:c r="X271" s="3"/>
      <x:c r="Y271" s="3"/>
      <x:c r="Z271" s="3"/>
    </x:row>
    <x:row r="272" ht="15" customHeight="1">
      <x:c r="A272" s="3"/>
      <x:c r="B272" s="3"/>
      <x:c r="C272" s="3"/>
      <x:c r="D272" s="3"/>
      <x:c r="E272" s="3"/>
      <x:c r="F272" s="3"/>
      <x:c r="G272" s="3"/>
      <x:c r="H272" s="3"/>
      <x:c r="I272" s="3"/>
      <x:c r="J272" s="10" t="n">
        <x:v>46123</x:v>
      </x:c>
      <x:c r="K272" s="8" t="n">
        <x:f>INDEX('Сводка'!$S$3:$S$397,U272)</x:f>
        <x:v>96</x:v>
      </x:c>
      <x:c r="L272" s="8" t="n">
        <x:f>INDEX('Сводка'!$S$3:$S$397,V272)</x:f>
        <x:v>82</x:v>
      </x:c>
      <x:c r="M272" s="8" t="n">
        <x:f>INDEX($K$388:$N$400,W272,1)+INDEX($K$388:$N$400,W272,2)*(2*(J272-$T$405)/(T272-$T$405)-1)^1+INDEX($K$388:$N$400,W272,3)*(2*(J272-$T$405)/(T272-$T$405)-1)^2</x:f>
        <x:v>117.5220113333401</x:v>
      </x:c>
      <x:c r="N272" s="8" t="n">
        <x:f>K272-M272</x:f>
        <x:v>-21.522011333340103</x:v>
      </x:c>
      <x:c r="O272" s="8" t="n">
        <x:f>ABS(N272)</x:f>
        <x:v>21.522011333340103</x:v>
      </x:c>
      <x:c r="P272" s="8" t="n">
        <x:f>N272^2</x:f>
        <x:v>463.1969718324198</x:v>
      </x:c>
      <x:c r="Q272" s="8" t="n">
        <x:f>K272-L272</x:f>
        <x:v>14</x:v>
      </x:c>
      <x:c r="R272" s="9" t="n">
        <x:f>IF(AND(INDEX('Сводка'!$T$3:$T$397,U272)=0,INDEX('Сводка'!$T$3:$T$397,V272)=0),1,0)</x:f>
        <x:v>1</x:v>
      </x:c>
      <x:c r="S272" s="9" t="n">
        <x:f>IF(AND(R272=1,O272&lt;=$G$13),1,0)</x:f>
        <x:v>0</x:v>
      </x:c>
      <x:c r="T272" s="10" t="n">
        <x:f>EOMONTH(J272-'Сводка'!$B$11,-1)</x:f>
        <x:v>46112</x:v>
      </x:c>
      <x:c r="U272" s="4" t="n">
        <x:f>MATCH(J272,'Сводка'!$R$3:$R$397,0)</x:f>
        <x:v>283</x:v>
      </x:c>
      <x:c r="V272" s="4" t="n">
        <x:f>MATCH(J272-'Сводка'!$B$11,'Сводка'!$R$3:$R$397,0)</x:f>
        <x:v>282</x:v>
      </x:c>
      <x:c r="W272" s="4" t="n">
        <x:f>MATCH(T272,$J$388:$J$400,0)</x:f>
        <x:v>10</x:v>
      </x:c>
      <x:c r="X272" s="3"/>
      <x:c r="Y272" s="3"/>
      <x:c r="Z272" s="3"/>
    </x:row>
    <x:row r="273" ht="15" customHeight="1">
      <x:c r="A273" s="3"/>
      <x:c r="B273" s="3"/>
      <x:c r="C273" s="3"/>
      <x:c r="D273" s="3"/>
      <x:c r="E273" s="3"/>
      <x:c r="F273" s="3"/>
      <x:c r="G273" s="3"/>
      <x:c r="H273" s="3"/>
      <x:c r="I273" s="3"/>
      <x:c r="J273" s="10" t="n">
        <x:v>46124</x:v>
      </x:c>
      <x:c r="K273" s="8" t="n">
        <x:f>INDEX('Сводка'!$S$3:$S$397,U273)</x:f>
        <x:v>163</x:v>
      </x:c>
      <x:c r="L273" s="8" t="n">
        <x:f>INDEX('Сводка'!$S$3:$S$397,V273)</x:f>
        <x:v>96</x:v>
      </x:c>
      <x:c r="M273" s="8" t="n">
        <x:f>INDEX($K$388:$N$400,W273,1)+INDEX($K$388:$N$400,W273,2)*(2*(J273-$T$405)/(T273-$T$405)-1)^1+INDEX($K$388:$N$400,W273,3)*(2*(J273-$T$405)/(T273-$T$405)-1)^2</x:f>
        <x:v>117.51269043972249</x:v>
      </x:c>
      <x:c r="N273" s="8" t="n">
        <x:f>K273-M273</x:f>
        <x:v>45.48730956027751</x:v>
      </x:c>
      <x:c r="O273" s="8" t="n">
        <x:f>ABS(N273)</x:f>
        <x:v>45.48730956027751</x:v>
      </x:c>
      <x:c r="P273" s="8" t="n">
        <x:f>N273^2</x:f>
        <x:v>2069.0953310325135</x:v>
      </x:c>
      <x:c r="Q273" s="8" t="n">
        <x:f>K273-L273</x:f>
        <x:v>67</x:v>
      </x:c>
      <x:c r="R273" s="9" t="n">
        <x:f>IF(AND(INDEX('Сводка'!$T$3:$T$397,U273)=0,INDEX('Сводка'!$T$3:$T$397,V273)=0),1,0)</x:f>
        <x:v>1</x:v>
      </x:c>
      <x:c r="S273" s="9" t="n">
        <x:f>IF(AND(R273=1,O273&lt;=$G$13),1,0)</x:f>
        <x:v>0</x:v>
      </x:c>
      <x:c r="T273" s="10" t="n">
        <x:f>EOMONTH(J273-'Сводка'!$B$11,-1)</x:f>
        <x:v>46112</x:v>
      </x:c>
      <x:c r="U273" s="4" t="n">
        <x:f>MATCH(J273,'Сводка'!$R$3:$R$397,0)</x:f>
        <x:v>284</x:v>
      </x:c>
      <x:c r="V273" s="4" t="n">
        <x:f>MATCH(J273-'Сводка'!$B$11,'Сводка'!$R$3:$R$397,0)</x:f>
        <x:v>283</x:v>
      </x:c>
      <x:c r="W273" s="4" t="n">
        <x:f>MATCH(T273,$J$388:$J$400,0)</x:f>
        <x:v>10</x:v>
      </x:c>
      <x:c r="X273" s="3"/>
      <x:c r="Y273" s="3"/>
      <x:c r="Z273" s="3"/>
    </x:row>
    <x:row r="274" ht="15" customHeight="1">
      <x:c r="A274" s="3"/>
      <x:c r="B274" s="3"/>
      <x:c r="C274" s="3"/>
      <x:c r="D274" s="3"/>
      <x:c r="E274" s="3"/>
      <x:c r="F274" s="3"/>
      <x:c r="G274" s="3"/>
      <x:c r="H274" s="3"/>
      <x:c r="I274" s="3"/>
      <x:c r="J274" s="10" t="n">
        <x:v>46125</x:v>
      </x:c>
      <x:c r="K274" s="8" t="n">
        <x:f>INDEX('Сводка'!$S$3:$S$397,U274)</x:f>
        <x:v>100</x:v>
      </x:c>
      <x:c r="L274" s="8" t="n">
        <x:f>INDEX('Сводка'!$S$3:$S$397,V274)</x:f>
        <x:v>163</x:v>
      </x:c>
      <x:c r="M274" s="8" t="n">
        <x:f>INDEX($K$388:$N$400,W274,1)+INDEX($K$388:$N$400,W274,2)*(2*(J274-$T$405)/(T274-$T$405)-1)^1+INDEX($K$388:$N$400,W274,3)*(2*(J274-$T$405)/(T274-$T$405)-1)^2</x:f>
        <x:v>117.50336261170472</x:v>
      </x:c>
      <x:c r="N274" s="8" t="n">
        <x:f>K274-M274</x:f>
        <x:v>-17.503362611704716</x:v>
      </x:c>
      <x:c r="O274" s="8" t="n">
        <x:f>ABS(N274)</x:f>
        <x:v>17.503362611704716</x:v>
      </x:c>
      <x:c r="P274" s="8" t="n">
        <x:f>N274^2</x:f>
        <x:v>306.3677027168225</x:v>
      </x:c>
      <x:c r="Q274" s="8" t="n">
        <x:f>K274-L274</x:f>
        <x:v>-63</x:v>
      </x:c>
      <x:c r="R274" s="9" t="n">
        <x:f>IF(AND(INDEX('Сводка'!$T$3:$T$397,U274)=0,INDEX('Сводка'!$T$3:$T$397,V274)=0),1,0)</x:f>
        <x:v>1</x:v>
      </x:c>
      <x:c r="S274" s="9" t="n">
        <x:f>IF(AND(R274=1,O274&lt;=$G$13),1,0)</x:f>
        <x:v>0</x:v>
      </x:c>
      <x:c r="T274" s="10" t="n">
        <x:f>EOMONTH(J274-'Сводка'!$B$11,-1)</x:f>
        <x:v>46112</x:v>
      </x:c>
      <x:c r="U274" s="4" t="n">
        <x:f>MATCH(J274,'Сводка'!$R$3:$R$397,0)</x:f>
        <x:v>285</x:v>
      </x:c>
      <x:c r="V274" s="4" t="n">
        <x:f>MATCH(J274-'Сводка'!$B$11,'Сводка'!$R$3:$R$397,0)</x:f>
        <x:v>284</x:v>
      </x:c>
      <x:c r="W274" s="4" t="n">
        <x:f>MATCH(T274,$J$388:$J$400,0)</x:f>
        <x:v>10</x:v>
      </x:c>
      <x:c r="X274" s="3"/>
      <x:c r="Y274" s="3"/>
      <x:c r="Z274" s="3"/>
    </x:row>
    <x:row r="275" ht="15" customHeight="1">
      <x:c r="A275" s="3"/>
      <x:c r="B275" s="3"/>
      <x:c r="C275" s="3"/>
      <x:c r="D275" s="3"/>
      <x:c r="E275" s="3"/>
      <x:c r="F275" s="3"/>
      <x:c r="G275" s="3"/>
      <x:c r="H275" s="3"/>
      <x:c r="I275" s="3"/>
      <x:c r="J275" s="10" t="n">
        <x:v>46126</x:v>
      </x:c>
      <x:c r="K275" s="8" t="n">
        <x:f>INDEX('Сводка'!$S$3:$S$397,U275)</x:f>
        <x:v>36</x:v>
      </x:c>
      <x:c r="L275" s="8" t="n">
        <x:f>INDEX('Сводка'!$S$3:$S$397,V275)</x:f>
        <x:v>100</x:v>
      </x:c>
      <x:c r="M275" s="8" t="n">
        <x:f>INDEX($K$388:$N$400,W275,1)+INDEX($K$388:$N$400,W275,2)*(2*(J275-$T$405)/(T275-$T$405)-1)^1+INDEX($K$388:$N$400,W275,3)*(2*(J275-$T$405)/(T275-$T$405)-1)^2</x:f>
        <x:v>117.49402784928671</x:v>
      </x:c>
      <x:c r="N275" s="8" t="n">
        <x:f>K275-M275</x:f>
        <x:v>-81.49402784928671</x:v>
      </x:c>
      <x:c r="O275" s="8" t="n">
        <x:f>ABS(N275)</x:f>
        <x:v>81.49402784928671</x:v>
      </x:c>
      <x:c r="P275" s="8" t="n">
        <x:f>N275^2</x:f>
        <x:v>6641.276575100318</x:v>
      </x:c>
      <x:c r="Q275" s="8" t="n">
        <x:f>K275-L275</x:f>
        <x:v>-64</x:v>
      </x:c>
      <x:c r="R275" s="9" t="n">
        <x:f>IF(AND(INDEX('Сводка'!$T$3:$T$397,U275)=0,INDEX('Сводка'!$T$3:$T$397,V275)=0),1,0)</x:f>
        <x:v>1</x:v>
      </x:c>
      <x:c r="S275" s="9" t="n">
        <x:f>IF(AND(R275=1,O275&lt;=$G$13),1,0)</x:f>
        <x:v>0</x:v>
      </x:c>
      <x:c r="T275" s="10" t="n">
        <x:f>EOMONTH(J275-'Сводка'!$B$11,-1)</x:f>
        <x:v>46112</x:v>
      </x:c>
      <x:c r="U275" s="4" t="n">
        <x:f>MATCH(J275,'Сводка'!$R$3:$R$397,0)</x:f>
        <x:v>286</x:v>
      </x:c>
      <x:c r="V275" s="4" t="n">
        <x:f>MATCH(J275-'Сводка'!$B$11,'Сводка'!$R$3:$R$397,0)</x:f>
        <x:v>285</x:v>
      </x:c>
      <x:c r="W275" s="4" t="n">
        <x:f>MATCH(T275,$J$388:$J$400,0)</x:f>
        <x:v>10</x:v>
      </x:c>
      <x:c r="X275" s="3"/>
      <x:c r="Y275" s="3"/>
      <x:c r="Z275" s="3"/>
    </x:row>
    <x:row r="276" ht="15" customHeight="1">
      <x:c r="A276" s="3"/>
      <x:c r="B276" s="3"/>
      <x:c r="C276" s="3"/>
      <x:c r="D276" s="3"/>
      <x:c r="E276" s="3"/>
      <x:c r="F276" s="3"/>
      <x:c r="G276" s="3"/>
      <x:c r="H276" s="3"/>
      <x:c r="I276" s="3"/>
      <x:c r="J276" s="10" t="n">
        <x:v>46127</x:v>
      </x:c>
      <x:c r="K276" s="8" t="n">
        <x:f>INDEX('Сводка'!$S$3:$S$397,U276)</x:f>
        <x:v>-4</x:v>
      </x:c>
      <x:c r="L276" s="8" t="n">
        <x:f>INDEX('Сводка'!$S$3:$S$397,V276)</x:f>
        <x:v>36</x:v>
      </x:c>
      <x:c r="M276" s="8" t="n">
        <x:f>INDEX($K$388:$N$400,W276,1)+INDEX($K$388:$N$400,W276,2)*(2*(J276-$T$405)/(T276-$T$405)-1)^1+INDEX($K$388:$N$400,W276,3)*(2*(J276-$T$405)/(T276-$T$405)-1)^2</x:f>
        <x:v>117.48468615246854</x:v>
      </x:c>
      <x:c r="N276" s="8" t="n">
        <x:f>K276-M276</x:f>
        <x:v>-121.48468615246854</x:v>
      </x:c>
      <x:c r="O276" s="8" t="n">
        <x:f>ABS(N276)</x:f>
        <x:v>121.48468615246854</x:v>
      </x:c>
      <x:c r="P276" s="8" t="n">
        <x:f>N276^2</x:f>
        <x:v>14758.528969563782</x:v>
      </x:c>
      <x:c r="Q276" s="8" t="n">
        <x:f>K276-L276</x:f>
        <x:v>-40</x:v>
      </x:c>
      <x:c r="R276" s="9" t="n">
        <x:f>IF(AND(INDEX('Сводка'!$T$3:$T$397,U276)=0,INDEX('Сводка'!$T$3:$T$397,V276)=0),1,0)</x:f>
        <x:v>1</x:v>
      </x:c>
      <x:c r="S276" s="9" t="n">
        <x:f>IF(AND(R276=1,O276&lt;=$G$13),1,0)</x:f>
        <x:v>0</x:v>
      </x:c>
      <x:c r="T276" s="10" t="n">
        <x:f>EOMONTH(J276-'Сводка'!$B$11,-1)</x:f>
        <x:v>46112</x:v>
      </x:c>
      <x:c r="U276" s="4" t="n">
        <x:f>MATCH(J276,'Сводка'!$R$3:$R$397,0)</x:f>
        <x:v>287</x:v>
      </x:c>
      <x:c r="V276" s="4" t="n">
        <x:f>MATCH(J276-'Сводка'!$B$11,'Сводка'!$R$3:$R$397,0)</x:f>
        <x:v>286</x:v>
      </x:c>
      <x:c r="W276" s="4" t="n">
        <x:f>MATCH(T276,$J$388:$J$400,0)</x:f>
        <x:v>10</x:v>
      </x:c>
      <x:c r="X276" s="3"/>
      <x:c r="Y276" s="3"/>
      <x:c r="Z276" s="3"/>
    </x:row>
    <x:row r="277" ht="15" customHeight="1">
      <x:c r="A277" s="3"/>
      <x:c r="B277" s="3"/>
      <x:c r="C277" s="3"/>
      <x:c r="D277" s="3"/>
      <x:c r="E277" s="3"/>
      <x:c r="F277" s="3"/>
      <x:c r="G277" s="3"/>
      <x:c r="H277" s="3"/>
      <x:c r="I277" s="3"/>
      <x:c r="J277" s="10" t="n">
        <x:v>46128</x:v>
      </x:c>
      <x:c r="K277" s="8" t="n">
        <x:f>INDEX('Сводка'!$S$3:$S$397,U277)</x:f>
        <x:v>-14</x:v>
      </x:c>
      <x:c r="L277" s="8" t="n">
        <x:f>INDEX('Сводка'!$S$3:$S$397,V277)</x:f>
        <x:v>-4</x:v>
      </x:c>
      <x:c r="M277" s="8" t="n">
        <x:f>INDEX($K$388:$N$400,W277,1)+INDEX($K$388:$N$400,W277,2)*(2*(J277-$T$405)/(T277-$T$405)-1)^1+INDEX($K$388:$N$400,W277,3)*(2*(J277-$T$405)/(T277-$T$405)-1)^2</x:f>
        <x:v>117.47533752125018</x:v>
      </x:c>
      <x:c r="N277" s="8" t="n">
        <x:f>K277-M277</x:f>
        <x:v>-131.4753375212502</x:v>
      </x:c>
      <x:c r="O277" s="8" t="n">
        <x:f>ABS(N277)</x:f>
        <x:v>131.4753375212502</x:v>
      </x:c>
      <x:c r="P277" s="8" t="n">
        <x:f>N277^2</x:f>
        <x:v>17285.76437632666</x:v>
      </x:c>
      <x:c r="Q277" s="8" t="n">
        <x:f>K277-L277</x:f>
        <x:v>-10</x:v>
      </x:c>
      <x:c r="R277" s="9" t="n">
        <x:f>IF(AND(INDEX('Сводка'!$T$3:$T$397,U277)=0,INDEX('Сводка'!$T$3:$T$397,V277)=0),1,0)</x:f>
        <x:v>1</x:v>
      </x:c>
      <x:c r="S277" s="9" t="n">
        <x:f>IF(AND(R277=1,O277&lt;=$G$13),1,0)</x:f>
        <x:v>0</x:v>
      </x:c>
      <x:c r="T277" s="10" t="n">
        <x:f>EOMONTH(J277-'Сводка'!$B$11,-1)</x:f>
        <x:v>46112</x:v>
      </x:c>
      <x:c r="U277" s="4" t="n">
        <x:f>MATCH(J277,'Сводка'!$R$3:$R$397,0)</x:f>
        <x:v>288</x:v>
      </x:c>
      <x:c r="V277" s="4" t="n">
        <x:f>MATCH(J277-'Сводка'!$B$11,'Сводка'!$R$3:$R$397,0)</x:f>
        <x:v>287</x:v>
      </x:c>
      <x:c r="W277" s="4" t="n">
        <x:f>MATCH(T277,$J$388:$J$400,0)</x:f>
        <x:v>10</x:v>
      </x:c>
      <x:c r="X277" s="3"/>
      <x:c r="Y277" s="3"/>
      <x:c r="Z277" s="3"/>
    </x:row>
    <x:row r="278" ht="15" customHeight="1">
      <x:c r="A278" s="3"/>
      <x:c r="B278" s="3"/>
      <x:c r="C278" s="3"/>
      <x:c r="D278" s="3"/>
      <x:c r="E278" s="3"/>
      <x:c r="F278" s="3"/>
      <x:c r="G278" s="3"/>
      <x:c r="H278" s="3"/>
      <x:c r="I278" s="3"/>
      <x:c r="J278" s="10" t="n">
        <x:v>46129</x:v>
      </x:c>
      <x:c r="K278" s="8" t="n">
        <x:f>INDEX('Сводка'!$S$3:$S$397,U278)</x:f>
        <x:v>-6</x:v>
      </x:c>
      <x:c r="L278" s="8" t="n">
        <x:f>INDEX('Сводка'!$S$3:$S$397,V278)</x:f>
        <x:v>-14</x:v>
      </x:c>
      <x:c r="M278" s="8" t="n">
        <x:f>INDEX($K$388:$N$400,W278,1)+INDEX($K$388:$N$400,W278,2)*(2*(J278-$T$405)/(T278-$T$405)-1)^1+INDEX($K$388:$N$400,W278,3)*(2*(J278-$T$405)/(T278-$T$405)-1)^2</x:f>
        <x:v>117.46598195563159</x:v>
      </x:c>
      <x:c r="N278" s="8" t="n">
        <x:f>K278-M278</x:f>
        <x:v>-123.46598195563159</x:v>
      </x:c>
      <x:c r="O278" s="8" t="n">
        <x:f>ABS(N278)</x:f>
        <x:v>123.46598195563159</x:v>
      </x:c>
      <x:c r="P278" s="8" t="n">
        <x:f>N278^2</x:f>
        <x:v>15243.848700268345</x:v>
      </x:c>
      <x:c r="Q278" s="8" t="n">
        <x:f>K278-L278</x:f>
        <x:v>8</x:v>
      </x:c>
      <x:c r="R278" s="9" t="n">
        <x:f>IF(AND(INDEX('Сводка'!$T$3:$T$397,U278)=0,INDEX('Сводка'!$T$3:$T$397,V278)=0),1,0)</x:f>
        <x:v>1</x:v>
      </x:c>
      <x:c r="S278" s="9" t="n">
        <x:f>IF(AND(R278=1,O278&lt;=$G$13),1,0)</x:f>
        <x:v>0</x:v>
      </x:c>
      <x:c r="T278" s="10" t="n">
        <x:f>EOMONTH(J278-'Сводка'!$B$11,-1)</x:f>
        <x:v>46112</x:v>
      </x:c>
      <x:c r="U278" s="4" t="n">
        <x:f>MATCH(J278,'Сводка'!$R$3:$R$397,0)</x:f>
        <x:v>289</x:v>
      </x:c>
      <x:c r="V278" s="4" t="n">
        <x:f>MATCH(J278-'Сводка'!$B$11,'Сводка'!$R$3:$R$397,0)</x:f>
        <x:v>288</x:v>
      </x:c>
      <x:c r="W278" s="4" t="n">
        <x:f>MATCH(T278,$J$388:$J$400,0)</x:f>
        <x:v>10</x:v>
      </x:c>
      <x:c r="X278" s="3"/>
      <x:c r="Y278" s="3"/>
      <x:c r="Z278" s="3"/>
    </x:row>
    <x:row r="279" ht="15" customHeight="1">
      <x:c r="A279" s="3"/>
      <x:c r="B279" s="3"/>
      <x:c r="C279" s="3"/>
      <x:c r="D279" s="3"/>
      <x:c r="E279" s="3"/>
      <x:c r="F279" s="3"/>
      <x:c r="G279" s="3"/>
      <x:c r="H279" s="3"/>
      <x:c r="I279" s="3"/>
      <x:c r="J279" s="10" t="n">
        <x:v>46130</x:v>
      </x:c>
      <x:c r="K279" s="8" t="n">
        <x:f>INDEX('Сводка'!$S$3:$S$397,U279)</x:f>
        <x:v>-4</x:v>
      </x:c>
      <x:c r="L279" s="8" t="n">
        <x:f>INDEX('Сводка'!$S$3:$S$397,V279)</x:f>
        <x:v>-6</x:v>
      </x:c>
      <x:c r="M279" s="8" t="n">
        <x:f>INDEX($K$388:$N$400,W279,1)+INDEX($K$388:$N$400,W279,2)*(2*(J279-$T$405)/(T279-$T$405)-1)^1+INDEX($K$388:$N$400,W279,3)*(2*(J279-$T$405)/(T279-$T$405)-1)^2</x:f>
        <x:v>117.45661945561285</x:v>
      </x:c>
      <x:c r="N279" s="8" t="n">
        <x:f>K279-M279</x:f>
        <x:v>-121.45661945561285</x:v>
      </x:c>
      <x:c r="O279" s="8" t="n">
        <x:f>ABS(N279)</x:f>
        <x:v>121.45661945561285</x:v>
      </x:c>
      <x:c r="P279" s="8" t="n">
        <x:f>N279^2</x:f>
        <x:v>14751.710409585554</x:v>
      </x:c>
      <x:c r="Q279" s="8" t="n">
        <x:f>K279-L279</x:f>
        <x:v>2</x:v>
      </x:c>
      <x:c r="R279" s="9" t="n">
        <x:f>IF(AND(INDEX('Сводка'!$T$3:$T$397,U279)=0,INDEX('Сводка'!$T$3:$T$397,V279)=0),1,0)</x:f>
        <x:v>1</x:v>
      </x:c>
      <x:c r="S279" s="9" t="n">
        <x:f>IF(AND(R279=1,O279&lt;=$G$13),1,0)</x:f>
        <x:v>0</x:v>
      </x:c>
      <x:c r="T279" s="10" t="n">
        <x:f>EOMONTH(J279-'Сводка'!$B$11,-1)</x:f>
        <x:v>46112</x:v>
      </x:c>
      <x:c r="U279" s="4" t="n">
        <x:f>MATCH(J279,'Сводка'!$R$3:$R$397,0)</x:f>
        <x:v>290</x:v>
      </x:c>
      <x:c r="V279" s="4" t="n">
        <x:f>MATCH(J279-'Сводка'!$B$11,'Сводка'!$R$3:$R$397,0)</x:f>
        <x:v>289</x:v>
      </x:c>
      <x:c r="W279" s="4" t="n">
        <x:f>MATCH(T279,$J$388:$J$400,0)</x:f>
        <x:v>10</x:v>
      </x:c>
      <x:c r="X279" s="3"/>
      <x:c r="Y279" s="3"/>
      <x:c r="Z279" s="3"/>
    </x:row>
    <x:row r="280" ht="15" customHeight="1">
      <x:c r="A280" s="3"/>
      <x:c r="B280" s="3"/>
      <x:c r="C280" s="3"/>
      <x:c r="D280" s="3"/>
      <x:c r="E280" s="3"/>
      <x:c r="F280" s="3"/>
      <x:c r="G280" s="3"/>
      <x:c r="H280" s="3"/>
      <x:c r="I280" s="3"/>
      <x:c r="J280" s="10" t="n">
        <x:v>46131</x:v>
      </x:c>
      <x:c r="K280" s="8" t="n">
        <x:f>INDEX('Сводка'!$S$3:$S$397,U280)</x:f>
        <x:v>64</x:v>
      </x:c>
      <x:c r="L280" s="8" t="n">
        <x:f>INDEX('Сводка'!$S$3:$S$397,V280)</x:f>
        <x:v>-4</x:v>
      </x:c>
      <x:c r="M280" s="8" t="n">
        <x:f>INDEX($K$388:$N$400,W280,1)+INDEX($K$388:$N$400,W280,2)*(2*(J280-$T$405)/(T280-$T$405)-1)^1+INDEX($K$388:$N$400,W280,3)*(2*(J280-$T$405)/(T280-$T$405)-1)^2</x:f>
        <x:v>117.44725002119387</x:v>
      </x:c>
      <x:c r="N280" s="8" t="n">
        <x:f>K280-M280</x:f>
        <x:v>-53.44725002119387</x:v>
      </x:c>
      <x:c r="O280" s="8" t="n">
        <x:f>ABS(N280)</x:f>
        <x:v>53.44725002119387</x:v>
      </x:c>
      <x:c r="P280" s="8" t="n">
        <x:f>N280^2</x:f>
        <x:v>2856.6085348280076</x:v>
      </x:c>
      <x:c r="Q280" s="8" t="n">
        <x:f>K280-L280</x:f>
        <x:v>68</x:v>
      </x:c>
      <x:c r="R280" s="9" t="n">
        <x:f>IF(AND(INDEX('Сводка'!$T$3:$T$397,U280)=0,INDEX('Сводка'!$T$3:$T$397,V280)=0),1,0)</x:f>
        <x:v>1</x:v>
      </x:c>
      <x:c r="S280" s="9" t="n">
        <x:f>IF(AND(R280=1,O280&lt;=$G$13),1,0)</x:f>
        <x:v>0</x:v>
      </x:c>
      <x:c r="T280" s="10" t="n">
        <x:f>EOMONTH(J280-'Сводка'!$B$11,-1)</x:f>
        <x:v>46112</x:v>
      </x:c>
      <x:c r="U280" s="4" t="n">
        <x:f>MATCH(J280,'Сводка'!$R$3:$R$397,0)</x:f>
        <x:v>291</x:v>
      </x:c>
      <x:c r="V280" s="4" t="n">
        <x:f>MATCH(J280-'Сводка'!$B$11,'Сводка'!$R$3:$R$397,0)</x:f>
        <x:v>290</x:v>
      </x:c>
      <x:c r="W280" s="4" t="n">
        <x:f>MATCH(T280,$J$388:$J$400,0)</x:f>
        <x:v>10</x:v>
      </x:c>
      <x:c r="X280" s="3"/>
      <x:c r="Y280" s="3"/>
      <x:c r="Z280" s="3"/>
    </x:row>
    <x:row r="281" ht="15" customHeight="1">
      <x:c r="A281" s="3"/>
      <x:c r="B281" s="3"/>
      <x:c r="C281" s="3"/>
      <x:c r="D281" s="3"/>
      <x:c r="E281" s="3"/>
      <x:c r="F281" s="3"/>
      <x:c r="G281" s="3"/>
      <x:c r="H281" s="3"/>
      <x:c r="I281" s="3"/>
      <x:c r="J281" s="10" t="n">
        <x:v>46132</x:v>
      </x:c>
      <x:c r="K281" s="8" t="n">
        <x:f>INDEX('Сводка'!$S$3:$S$397,U281)</x:f>
        <x:v>82</x:v>
      </x:c>
      <x:c r="L281" s="8" t="n">
        <x:f>INDEX('Сводка'!$S$3:$S$397,V281)</x:f>
        <x:v>64</x:v>
      </x:c>
      <x:c r="M281" s="8" t="n">
        <x:f>INDEX($K$388:$N$400,W281,1)+INDEX($K$388:$N$400,W281,2)*(2*(J281-$T$405)/(T281-$T$405)-1)^1+INDEX($K$388:$N$400,W281,3)*(2*(J281-$T$405)/(T281-$T$405)-1)^2</x:f>
        <x:v>117.43787365237473</x:v>
      </x:c>
      <x:c r="N281" s="8" t="n">
        <x:f>K281-M281</x:f>
        <x:v>-35.43787365237473</x:v>
      </x:c>
      <x:c r="O281" s="8" t="n">
        <x:f>ABS(N281)</x:f>
        <x:v>35.43787365237473</x:v>
      </x:c>
      <x:c r="P281" s="8" t="n">
        <x:f>N281^2</x:f>
        <x:v>1255.8428890016753</x:v>
      </x:c>
      <x:c r="Q281" s="8" t="n">
        <x:f>K281-L281</x:f>
        <x:v>18</x:v>
      </x:c>
      <x:c r="R281" s="9" t="n">
        <x:f>IF(AND(INDEX('Сводка'!$T$3:$T$397,U281)=0,INDEX('Сводка'!$T$3:$T$397,V281)=0),1,0)</x:f>
        <x:v>1</x:v>
      </x:c>
      <x:c r="S281" s="9" t="n">
        <x:f>IF(AND(R281=1,O281&lt;=$G$13),1,0)</x:f>
        <x:v>0</x:v>
      </x:c>
      <x:c r="T281" s="10" t="n">
        <x:f>EOMONTH(J281-'Сводка'!$B$11,-1)</x:f>
        <x:v>46112</x:v>
      </x:c>
      <x:c r="U281" s="4" t="n">
        <x:f>MATCH(J281,'Сводка'!$R$3:$R$397,0)</x:f>
        <x:v>292</x:v>
      </x:c>
      <x:c r="V281" s="4" t="n">
        <x:f>MATCH(J281-'Сводка'!$B$11,'Сводка'!$R$3:$R$397,0)</x:f>
        <x:v>291</x:v>
      </x:c>
      <x:c r="W281" s="4" t="n">
        <x:f>MATCH(T281,$J$388:$J$400,0)</x:f>
        <x:v>10</x:v>
      </x:c>
      <x:c r="X281" s="3"/>
      <x:c r="Y281" s="3"/>
      <x:c r="Z281" s="3"/>
    </x:row>
    <x:row r="282" ht="15" customHeight="1">
      <x:c r="A282" s="3"/>
      <x:c r="B282" s="3"/>
      <x:c r="C282" s="3"/>
      <x:c r="D282" s="3"/>
      <x:c r="E282" s="3"/>
      <x:c r="F282" s="3"/>
      <x:c r="G282" s="3"/>
      <x:c r="H282" s="3"/>
      <x:c r="I282" s="3"/>
      <x:c r="J282" s="10" t="n">
        <x:v>46133</x:v>
      </x:c>
      <x:c r="K282" s="8" t="n">
        <x:f>INDEX('Сводка'!$S$3:$S$397,U282)</x:f>
        <x:v>64</x:v>
      </x:c>
      <x:c r="L282" s="8" t="n">
        <x:f>INDEX('Сводка'!$S$3:$S$397,V282)</x:f>
        <x:v>82</x:v>
      </x:c>
      <x:c r="M282" s="8" t="n">
        <x:f>INDEX($K$388:$N$400,W282,1)+INDEX($K$388:$N$400,W282,2)*(2*(J282-$T$405)/(T282-$T$405)-1)^1+INDEX($K$388:$N$400,W282,3)*(2*(J282-$T$405)/(T282-$T$405)-1)^2</x:f>
        <x:v>117.42849034915542</x:v>
      </x:c>
      <x:c r="N282" s="8" t="n">
        <x:f>K282-M282</x:f>
        <x:v>-53.428490349155425</x:v>
      </x:c>
      <x:c r="O282" s="8" t="n">
        <x:f>ABS(N282)</x:f>
        <x:v>53.428490349155425</x:v>
      </x:c>
      <x:c r="P282" s="8" t="n">
        <x:f>N282^2</x:f>
        <x:v>2854.6035809897944</x:v>
      </x:c>
      <x:c r="Q282" s="8" t="n">
        <x:f>K282-L282</x:f>
        <x:v>-18</x:v>
      </x:c>
      <x:c r="R282" s="9" t="n">
        <x:f>IF(AND(INDEX('Сводка'!$T$3:$T$397,U282)=0,INDEX('Сводка'!$T$3:$T$397,V282)=0),1,0)</x:f>
        <x:v>1</x:v>
      </x:c>
      <x:c r="S282" s="9" t="n">
        <x:f>IF(AND(R282=1,O282&lt;=$G$13),1,0)</x:f>
        <x:v>0</x:v>
      </x:c>
      <x:c r="T282" s="10" t="n">
        <x:f>EOMONTH(J282-'Сводка'!$B$11,-1)</x:f>
        <x:v>46112</x:v>
      </x:c>
      <x:c r="U282" s="4" t="n">
        <x:f>MATCH(J282,'Сводка'!$R$3:$R$397,0)</x:f>
        <x:v>293</x:v>
      </x:c>
      <x:c r="V282" s="4" t="n">
        <x:f>MATCH(J282-'Сводка'!$B$11,'Сводка'!$R$3:$R$397,0)</x:f>
        <x:v>292</x:v>
      </x:c>
      <x:c r="W282" s="4" t="n">
        <x:f>MATCH(T282,$J$388:$J$400,0)</x:f>
        <x:v>10</x:v>
      </x:c>
      <x:c r="X282" s="3"/>
      <x:c r="Y282" s="3"/>
      <x:c r="Z282" s="3"/>
    </x:row>
    <x:row r="283" ht="15" customHeight="1">
      <x:c r="A283" s="3"/>
      <x:c r="B283" s="3"/>
      <x:c r="C283" s="3"/>
      <x:c r="D283" s="3"/>
      <x:c r="E283" s="3"/>
      <x:c r="F283" s="3"/>
      <x:c r="G283" s="3"/>
      <x:c r="H283" s="3"/>
      <x:c r="I283" s="3"/>
      <x:c r="J283" s="10" t="n">
        <x:v>46134</x:v>
      </x:c>
      <x:c r="K283" s="8" t="n">
        <x:f>INDEX('Сводка'!$S$3:$S$397,U283)</x:f>
        <x:v>63</x:v>
      </x:c>
      <x:c r="L283" s="8" t="n">
        <x:f>INDEX('Сводка'!$S$3:$S$397,V283)</x:f>
        <x:v>64</x:v>
      </x:c>
      <x:c r="M283" s="8" t="n">
        <x:f>INDEX($K$388:$N$400,W283,1)+INDEX($K$388:$N$400,W283,2)*(2*(J283-$T$405)/(T283-$T$405)-1)^1+INDEX($K$388:$N$400,W283,3)*(2*(J283-$T$405)/(T283-$T$405)-1)^2</x:f>
        <x:v>117.41910011153584</x:v>
      </x:c>
      <x:c r="N283" s="8" t="n">
        <x:f>K283-M283</x:f>
        <x:v>-54.41910011153584</x:v>
      </x:c>
      <x:c r="O283" s="8" t="n">
        <x:f>ABS(N283)</x:f>
        <x:v>54.41910011153584</x:v>
      </x:c>
      <x:c r="P283" s="8" t="n">
        <x:f>N283^2</x:f>
        <x:v>2961.43845694936</x:v>
      </x:c>
      <x:c r="Q283" s="8" t="n">
        <x:f>K283-L283</x:f>
        <x:v>-1</x:v>
      </x:c>
      <x:c r="R283" s="9" t="n">
        <x:f>IF(AND(INDEX('Сводка'!$T$3:$T$397,U283)=0,INDEX('Сводка'!$T$3:$T$397,V283)=0),1,0)</x:f>
        <x:v>1</x:v>
      </x:c>
      <x:c r="S283" s="9" t="n">
        <x:f>IF(AND(R283=1,O283&lt;=$G$13),1,0)</x:f>
        <x:v>0</x:v>
      </x:c>
      <x:c r="T283" s="10" t="n">
        <x:f>EOMONTH(J283-'Сводка'!$B$11,-1)</x:f>
        <x:v>46112</x:v>
      </x:c>
      <x:c r="U283" s="4" t="n">
        <x:f>MATCH(J283,'Сводка'!$R$3:$R$397,0)</x:f>
        <x:v>294</x:v>
      </x:c>
      <x:c r="V283" s="4" t="n">
        <x:f>MATCH(J283-'Сводка'!$B$11,'Сводка'!$R$3:$R$397,0)</x:f>
        <x:v>293</x:v>
      </x:c>
      <x:c r="W283" s="4" t="n">
        <x:f>MATCH(T283,$J$388:$J$400,0)</x:f>
        <x:v>10</x:v>
      </x:c>
      <x:c r="X283" s="3"/>
      <x:c r="Y283" s="3"/>
      <x:c r="Z283" s="3"/>
    </x:row>
    <x:row r="284" ht="15" customHeight="1">
      <x:c r="A284" s="3"/>
      <x:c r="B284" s="3"/>
      <x:c r="C284" s="3"/>
      <x:c r="D284" s="3"/>
      <x:c r="E284" s="3"/>
      <x:c r="F284" s="3"/>
      <x:c r="G284" s="3"/>
      <x:c r="H284" s="3"/>
      <x:c r="I284" s="3"/>
      <x:c r="J284" s="10" t="n">
        <x:v>46135</x:v>
      </x:c>
      <x:c r="K284" s="8" t="n">
        <x:f>INDEX('Сводка'!$S$3:$S$397,U284)</x:f>
        <x:v>55</x:v>
      </x:c>
      <x:c r="L284" s="8" t="n">
        <x:f>INDEX('Сводка'!$S$3:$S$397,V284)</x:f>
        <x:v>63</x:v>
      </x:c>
      <x:c r="M284" s="8" t="n">
        <x:f>INDEX($K$388:$N$400,W284,1)+INDEX($K$388:$N$400,W284,2)*(2*(J284-$T$405)/(T284-$T$405)-1)^1+INDEX($K$388:$N$400,W284,3)*(2*(J284-$T$405)/(T284-$T$405)-1)^2</x:f>
        <x:v>117.40970293951614</x:v>
      </x:c>
      <x:c r="N284" s="8" t="n">
        <x:f>K284-M284</x:f>
        <x:v>-62.40970293951614</x:v>
      </x:c>
      <x:c r="O284" s="8" t="n">
        <x:f>ABS(N284)</x:f>
        <x:v>62.40970293951614</x:v>
      </x:c>
      <x:c r="P284" s="8" t="n">
        <x:f>N284^2</x:f>
        <x:v>3894.9710209986492</x:v>
      </x:c>
      <x:c r="Q284" s="8" t="n">
        <x:f>K284-L284</x:f>
        <x:v>-8</x:v>
      </x:c>
      <x:c r="R284" s="9" t="n">
        <x:f>IF(AND(INDEX('Сводка'!$T$3:$T$397,U284)=0,INDEX('Сводка'!$T$3:$T$397,V284)=0),1,0)</x:f>
        <x:v>1</x:v>
      </x:c>
      <x:c r="S284" s="9" t="n">
        <x:f>IF(AND(R284=1,O284&lt;=$G$13),1,0)</x:f>
        <x:v>0</x:v>
      </x:c>
      <x:c r="T284" s="10" t="n">
        <x:f>EOMONTH(J284-'Сводка'!$B$11,-1)</x:f>
        <x:v>46112</x:v>
      </x:c>
      <x:c r="U284" s="4" t="n">
        <x:f>MATCH(J284,'Сводка'!$R$3:$R$397,0)</x:f>
        <x:v>295</x:v>
      </x:c>
      <x:c r="V284" s="4" t="n">
        <x:f>MATCH(J284-'Сводка'!$B$11,'Сводка'!$R$3:$R$397,0)</x:f>
        <x:v>294</x:v>
      </x:c>
      <x:c r="W284" s="4" t="n">
        <x:f>MATCH(T284,$J$388:$J$400,0)</x:f>
        <x:v>10</x:v>
      </x:c>
      <x:c r="X284" s="3"/>
      <x:c r="Y284" s="3"/>
      <x:c r="Z284" s="3"/>
    </x:row>
    <x:row r="285" ht="15" customHeight="1">
      <x:c r="A285" s="3"/>
      <x:c r="B285" s="3"/>
      <x:c r="C285" s="3"/>
      <x:c r="D285" s="3"/>
      <x:c r="E285" s="3"/>
      <x:c r="F285" s="3"/>
      <x:c r="G285" s="3"/>
      <x:c r="H285" s="3"/>
      <x:c r="I285" s="3"/>
      <x:c r="J285" s="10" t="n">
        <x:v>46136</x:v>
      </x:c>
      <x:c r="K285" s="8" t="n">
        <x:f>INDEX('Сводка'!$S$3:$S$397,U285)</x:f>
        <x:v>53</x:v>
      </x:c>
      <x:c r="L285" s="8" t="n">
        <x:f>INDEX('Сводка'!$S$3:$S$397,V285)</x:f>
        <x:v>55</x:v>
      </x:c>
      <x:c r="M285" s="8" t="n">
        <x:f>INDEX($K$388:$N$400,W285,1)+INDEX($K$388:$N$400,W285,2)*(2*(J285-$T$405)/(T285-$T$405)-1)^1+INDEX($K$388:$N$400,W285,3)*(2*(J285-$T$405)/(T285-$T$405)-1)^2</x:f>
        <x:v>117.40029883309622</x:v>
      </x:c>
      <x:c r="N285" s="8" t="n">
        <x:f>K285-M285</x:f>
        <x:v>-64.40029883309622</x:v>
      </x:c>
      <x:c r="O285" s="8" t="n">
        <x:f>ABS(N285)</x:f>
        <x:v>64.40029883309622</x:v>
      </x:c>
      <x:c r="P285" s="8" t="n">
        <x:f>N285^2</x:f>
        <x:v>4147.398489792094</x:v>
      </x:c>
      <x:c r="Q285" s="8" t="n">
        <x:f>K285-L285</x:f>
        <x:v>-2</x:v>
      </x:c>
      <x:c r="R285" s="9" t="n">
        <x:f>IF(AND(INDEX('Сводка'!$T$3:$T$397,U285)=0,INDEX('Сводка'!$T$3:$T$397,V285)=0),1,0)</x:f>
        <x:v>1</x:v>
      </x:c>
      <x:c r="S285" s="9" t="n">
        <x:f>IF(AND(R285=1,O285&lt;=$G$13),1,0)</x:f>
        <x:v>0</x:v>
      </x:c>
      <x:c r="T285" s="10" t="n">
        <x:f>EOMONTH(J285-'Сводка'!$B$11,-1)</x:f>
        <x:v>46112</x:v>
      </x:c>
      <x:c r="U285" s="4" t="n">
        <x:f>MATCH(J285,'Сводка'!$R$3:$R$397,0)</x:f>
        <x:v>296</x:v>
      </x:c>
      <x:c r="V285" s="4" t="n">
        <x:f>MATCH(J285-'Сводка'!$B$11,'Сводка'!$R$3:$R$397,0)</x:f>
        <x:v>295</x:v>
      </x:c>
      <x:c r="W285" s="4" t="n">
        <x:f>MATCH(T285,$J$388:$J$400,0)</x:f>
        <x:v>10</x:v>
      </x:c>
      <x:c r="X285" s="3"/>
      <x:c r="Y285" s="3"/>
      <x:c r="Z285" s="3"/>
    </x:row>
    <x:row r="286" ht="15" customHeight="1">
      <x:c r="A286" s="3"/>
      <x:c r="B286" s="3"/>
      <x:c r="C286" s="3"/>
      <x:c r="D286" s="3"/>
      <x:c r="E286" s="3"/>
      <x:c r="F286" s="3"/>
      <x:c r="G286" s="3"/>
      <x:c r="H286" s="3"/>
      <x:c r="I286" s="3"/>
      <x:c r="J286" s="10" t="n">
        <x:v>46137</x:v>
      </x:c>
      <x:c r="K286" s="8" t="n">
        <x:f>INDEX('Сводка'!$S$3:$S$397,U286)</x:f>
        <x:v>58</x:v>
      </x:c>
      <x:c r="L286" s="8" t="n">
        <x:f>INDEX('Сводка'!$S$3:$S$397,V286)</x:f>
        <x:v>53</x:v>
      </x:c>
      <x:c r="M286" s="8" t="n">
        <x:f>INDEX($K$388:$N$400,W286,1)+INDEX($K$388:$N$400,W286,2)*(2*(J286-$T$405)/(T286-$T$405)-1)^1+INDEX($K$388:$N$400,W286,3)*(2*(J286-$T$405)/(T286-$T$405)-1)^2</x:f>
        <x:v>117.3908877922761</x:v>
      </x:c>
      <x:c r="N286" s="8" t="n">
        <x:f>K286-M286</x:f>
        <x:v>-59.390887792276104</x:v>
      </x:c>
      <x:c r="O286" s="8" t="n">
        <x:f>ABS(N286)</x:f>
        <x:v>59.390887792276104</x:v>
      </x:c>
      <x:c r="P286" s="8" t="n">
        <x:f>N286^2</x:f>
        <x:v>3527.2775527547306</x:v>
      </x:c>
      <x:c r="Q286" s="8" t="n">
        <x:f>K286-L286</x:f>
        <x:v>5</x:v>
      </x:c>
      <x:c r="R286" s="9" t="n">
        <x:f>IF(AND(INDEX('Сводка'!$T$3:$T$397,U286)=0,INDEX('Сводка'!$T$3:$T$397,V286)=0),1,0)</x:f>
        <x:v>1</x:v>
      </x:c>
      <x:c r="S286" s="9" t="n">
        <x:f>IF(AND(R286=1,O286&lt;=$G$13),1,0)</x:f>
        <x:v>0</x:v>
      </x:c>
      <x:c r="T286" s="10" t="n">
        <x:f>EOMONTH(J286-'Сводка'!$B$11,-1)</x:f>
        <x:v>46112</x:v>
      </x:c>
      <x:c r="U286" s="4" t="n">
        <x:f>MATCH(J286,'Сводка'!$R$3:$R$397,0)</x:f>
        <x:v>297</x:v>
      </x:c>
      <x:c r="V286" s="4" t="n">
        <x:f>MATCH(J286-'Сводка'!$B$11,'Сводка'!$R$3:$R$397,0)</x:f>
        <x:v>296</x:v>
      </x:c>
      <x:c r="W286" s="4" t="n">
        <x:f>MATCH(T286,$J$388:$J$400,0)</x:f>
        <x:v>10</x:v>
      </x:c>
      <x:c r="X286" s="3"/>
      <x:c r="Y286" s="3"/>
      <x:c r="Z286" s="3"/>
    </x:row>
    <x:row r="287" ht="15" customHeight="1">
      <x:c r="A287" s="3"/>
      <x:c r="B287" s="3"/>
      <x:c r="C287" s="3"/>
      <x:c r="D287" s="3"/>
      <x:c r="E287" s="3"/>
      <x:c r="F287" s="3"/>
      <x:c r="G287" s="3"/>
      <x:c r="H287" s="3"/>
      <x:c r="I287" s="3"/>
      <x:c r="J287" s="10" t="n">
        <x:v>46138</x:v>
      </x:c>
      <x:c r="K287" s="8" t="n">
        <x:f>INDEX('Сводка'!$S$3:$S$397,U287)</x:f>
        <x:v>58</x:v>
      </x:c>
      <x:c r="L287" s="8" t="n">
        <x:f>INDEX('Сводка'!$S$3:$S$397,V287)</x:f>
        <x:v>58</x:v>
      </x:c>
      <x:c r="M287" s="8" t="n">
        <x:f>INDEX($K$388:$N$400,W287,1)+INDEX($K$388:$N$400,W287,2)*(2*(J287-$T$405)/(T287-$T$405)-1)^1+INDEX($K$388:$N$400,W287,3)*(2*(J287-$T$405)/(T287-$T$405)-1)^2</x:f>
        <x:v>117.38146981705577</x:v>
      </x:c>
      <x:c r="N287" s="8" t="n">
        <x:f>K287-M287</x:f>
        <x:v>-59.38146981705577</x:v>
      </x:c>
      <x:c r="O287" s="8" t="n">
        <x:f>ABS(N287)</x:f>
        <x:v>59.38146981705577</x:v>
      </x:c>
      <x:c r="P287" s="8" t="n">
        <x:f>N287^2</x:f>
        <x:v>3526.1589576339056</x:v>
      </x:c>
      <x:c r="Q287" s="8" t="n">
        <x:f>K287-L287</x:f>
        <x:v>0</x:v>
      </x:c>
      <x:c r="R287" s="9" t="n">
        <x:f>IF(AND(INDEX('Сводка'!$T$3:$T$397,U287)=0,INDEX('Сводка'!$T$3:$T$397,V287)=0),1,0)</x:f>
        <x:v>1</x:v>
      </x:c>
      <x:c r="S287" s="9" t="n">
        <x:f>IF(AND(R287=1,O287&lt;=$G$13),1,0)</x:f>
        <x:v>0</x:v>
      </x:c>
      <x:c r="T287" s="10" t="n">
        <x:f>EOMONTH(J287-'Сводка'!$B$11,-1)</x:f>
        <x:v>46112</x:v>
      </x:c>
      <x:c r="U287" s="4" t="n">
        <x:f>MATCH(J287,'Сводка'!$R$3:$R$397,0)</x:f>
        <x:v>298</x:v>
      </x:c>
      <x:c r="V287" s="4" t="n">
        <x:f>MATCH(J287-'Сводка'!$B$11,'Сводка'!$R$3:$R$397,0)</x:f>
        <x:v>297</x:v>
      </x:c>
      <x:c r="W287" s="4" t="n">
        <x:f>MATCH(T287,$J$388:$J$400,0)</x:f>
        <x:v>10</x:v>
      </x:c>
      <x:c r="X287" s="3"/>
      <x:c r="Y287" s="3"/>
      <x:c r="Z287" s="3"/>
    </x:row>
    <x:row r="288" ht="15" customHeight="1">
      <x:c r="A288" s="3"/>
      <x:c r="B288" s="3"/>
      <x:c r="C288" s="3"/>
      <x:c r="D288" s="3"/>
      <x:c r="E288" s="3"/>
      <x:c r="F288" s="3"/>
      <x:c r="G288" s="3"/>
      <x:c r="H288" s="3"/>
      <x:c r="I288" s="3"/>
      <x:c r="J288" s="10" t="n">
        <x:v>46139</x:v>
      </x:c>
      <x:c r="K288" s="8" t="n">
        <x:f>INDEX('Сводка'!$S$3:$S$397,U288)</x:f>
        <x:v>61</x:v>
      </x:c>
      <x:c r="L288" s="8" t="n">
        <x:f>INDEX('Сводка'!$S$3:$S$397,V288)</x:f>
        <x:v>58</x:v>
      </x:c>
      <x:c r="M288" s="8" t="n">
        <x:f>INDEX($K$388:$N$400,W288,1)+INDEX($K$388:$N$400,W288,2)*(2*(J288-$T$405)/(T288-$T$405)-1)^1+INDEX($K$388:$N$400,W288,3)*(2*(J288-$T$405)/(T288-$T$405)-1)^2</x:f>
        <x:v>117.3720449074353</x:v>
      </x:c>
      <x:c r="N288" s="8" t="n">
        <x:f>K288-M288</x:f>
        <x:v>-56.372044907435296</x:v>
      </x:c>
      <x:c r="O288" s="8" t="n">
        <x:f>ABS(N288)</x:f>
        <x:v>56.372044907435296</x:v>
      </x:c>
      <x:c r="P288" s="8" t="n">
        <x:f>N288^2</x:f>
        <x:v>3177.8074470459014</x:v>
      </x:c>
      <x:c r="Q288" s="8" t="n">
        <x:f>K288-L288</x:f>
        <x:v>3</x:v>
      </x:c>
      <x:c r="R288" s="9" t="n">
        <x:f>IF(AND(INDEX('Сводка'!$T$3:$T$397,U288)=0,INDEX('Сводка'!$T$3:$T$397,V288)=0),1,0)</x:f>
        <x:v>1</x:v>
      </x:c>
      <x:c r="S288" s="9" t="n">
        <x:f>IF(AND(R288=1,O288&lt;=$G$13),1,0)</x:f>
        <x:v>0</x:v>
      </x:c>
      <x:c r="T288" s="10" t="n">
        <x:f>EOMONTH(J288-'Сводка'!$B$11,-1)</x:f>
        <x:v>46112</x:v>
      </x:c>
      <x:c r="U288" s="4" t="n">
        <x:f>MATCH(J288,'Сводка'!$R$3:$R$397,0)</x:f>
        <x:v>299</x:v>
      </x:c>
      <x:c r="V288" s="4" t="n">
        <x:f>MATCH(J288-'Сводка'!$B$11,'Сводка'!$R$3:$R$397,0)</x:f>
        <x:v>298</x:v>
      </x:c>
      <x:c r="W288" s="4" t="n">
        <x:f>MATCH(T288,$J$388:$J$400,0)</x:f>
        <x:v>10</x:v>
      </x:c>
      <x:c r="X288" s="3"/>
      <x:c r="Y288" s="3"/>
      <x:c r="Z288" s="3"/>
    </x:row>
    <x:row r="289" ht="15" customHeight="1">
      <x:c r="A289" s="3"/>
      <x:c r="B289" s="3"/>
      <x:c r="C289" s="3"/>
      <x:c r="D289" s="3"/>
      <x:c r="E289" s="3"/>
      <x:c r="F289" s="3"/>
      <x:c r="G289" s="3"/>
      <x:c r="H289" s="3"/>
      <x:c r="I289" s="3"/>
      <x:c r="J289" s="10" t="n">
        <x:v>46140</x:v>
      </x:c>
      <x:c r="K289" s="8" t="n">
        <x:f>INDEX('Сводка'!$S$3:$S$397,U289)</x:f>
        <x:v>47</x:v>
      </x:c>
      <x:c r="L289" s="8" t="n">
        <x:f>INDEX('Сводка'!$S$3:$S$397,V289)</x:f>
        <x:v>61</x:v>
      </x:c>
      <x:c r="M289" s="8" t="n">
        <x:f>INDEX($K$388:$N$400,W289,1)+INDEX($K$388:$N$400,W289,2)*(2*(J289-$T$405)/(T289-$T$405)-1)^1+INDEX($K$388:$N$400,W289,3)*(2*(J289-$T$405)/(T289-$T$405)-1)^2</x:f>
        <x:v>117.36261306341459</x:v>
      </x:c>
      <x:c r="N289" s="8" t="n">
        <x:f>K289-M289</x:f>
        <x:v>-70.36261306341459</x:v>
      </x:c>
      <x:c r="O289" s="8" t="n">
        <x:f>ABS(N289)</x:f>
        <x:v>70.36261306341459</x:v>
      </x:c>
      <x:c r="P289" s="8" t="n">
        <x:f>N289^2</x:f>
        <x:v>4950.8973171118005</x:v>
      </x:c>
      <x:c r="Q289" s="8" t="n">
        <x:f>K289-L289</x:f>
        <x:v>-14</x:v>
      </x:c>
      <x:c r="R289" s="9" t="n">
        <x:f>IF(AND(INDEX('Сводка'!$T$3:$T$397,U289)=0,INDEX('Сводка'!$T$3:$T$397,V289)=0),1,0)</x:f>
        <x:v>1</x:v>
      </x:c>
      <x:c r="S289" s="9" t="n">
        <x:f>IF(AND(R289=1,O289&lt;=$G$13),1,0)</x:f>
        <x:v>0</x:v>
      </x:c>
      <x:c r="T289" s="10" t="n">
        <x:f>EOMONTH(J289-'Сводка'!$B$11,-1)</x:f>
        <x:v>46112</x:v>
      </x:c>
      <x:c r="U289" s="4" t="n">
        <x:f>MATCH(J289,'Сводка'!$R$3:$R$397,0)</x:f>
        <x:v>300</x:v>
      </x:c>
      <x:c r="V289" s="4" t="n">
        <x:f>MATCH(J289-'Сводка'!$B$11,'Сводка'!$R$3:$R$397,0)</x:f>
        <x:v>299</x:v>
      </x:c>
      <x:c r="W289" s="4" t="n">
        <x:f>MATCH(T289,$J$388:$J$400,0)</x:f>
        <x:v>10</x:v>
      </x:c>
      <x:c r="X289" s="3"/>
      <x:c r="Y289" s="3"/>
      <x:c r="Z289" s="3"/>
    </x:row>
    <x:row r="290" ht="15" customHeight="1">
      <x:c r="A290" s="3"/>
      <x:c r="B290" s="3"/>
      <x:c r="C290" s="3"/>
      <x:c r="D290" s="3"/>
      <x:c r="E290" s="3"/>
      <x:c r="F290" s="3"/>
      <x:c r="G290" s="3"/>
      <x:c r="H290" s="3"/>
      <x:c r="I290" s="3"/>
      <x:c r="J290" s="10" t="n">
        <x:v>46141</x:v>
      </x:c>
      <x:c r="K290" s="8" t="n">
        <x:f>INDEX('Сводка'!$S$3:$S$397,U290)</x:f>
        <x:v>37</x:v>
      </x:c>
      <x:c r="L290" s="8" t="n">
        <x:f>INDEX('Сводка'!$S$3:$S$397,V290)</x:f>
        <x:v>47</x:v>
      </x:c>
      <x:c r="M290" s="8" t="n">
        <x:f>INDEX($K$388:$N$400,W290,1)+INDEX($K$388:$N$400,W290,2)*(2*(J290-$T$405)/(T290-$T$405)-1)^1+INDEX($K$388:$N$400,W290,3)*(2*(J290-$T$405)/(T290-$T$405)-1)^2</x:f>
        <x:v>117.35317428499368</x:v>
      </x:c>
      <x:c r="N290" s="8" t="n">
        <x:f>K290-M290</x:f>
        <x:v>-80.35317428499368</x:v>
      </x:c>
      <x:c r="O290" s="8" t="n">
        <x:f>ABS(N290)</x:f>
        <x:v>80.35317428499368</x:v>
      </x:c>
      <x:c r="P290" s="8" t="n">
        <x:f>N290^2</x:f>
        <x:v>6456.632617674571</x:v>
      </x:c>
      <x:c r="Q290" s="8" t="n">
        <x:f>K290-L290</x:f>
        <x:v>-10</x:v>
      </x:c>
      <x:c r="R290" s="9" t="n">
        <x:f>IF(AND(INDEX('Сводка'!$T$3:$T$397,U290)=0,INDEX('Сводка'!$T$3:$T$397,V290)=0),1,0)</x:f>
        <x:v>1</x:v>
      </x:c>
      <x:c r="S290" s="9" t="n">
        <x:f>IF(AND(R290=1,O290&lt;=$G$13),1,0)</x:f>
        <x:v>0</x:v>
      </x:c>
      <x:c r="T290" s="10" t="n">
        <x:f>EOMONTH(J290-'Сводка'!$B$11,-1)</x:f>
        <x:v>46112</x:v>
      </x:c>
      <x:c r="U290" s="4" t="n">
        <x:f>MATCH(J290,'Сводка'!$R$3:$R$397,0)</x:f>
        <x:v>301</x:v>
      </x:c>
      <x:c r="V290" s="4" t="n">
        <x:f>MATCH(J290-'Сводка'!$B$11,'Сводка'!$R$3:$R$397,0)</x:f>
        <x:v>300</x:v>
      </x:c>
      <x:c r="W290" s="4" t="n">
        <x:f>MATCH(T290,$J$388:$J$400,0)</x:f>
        <x:v>10</x:v>
      </x:c>
      <x:c r="X290" s="3"/>
      <x:c r="Y290" s="3"/>
      <x:c r="Z290" s="3"/>
    </x:row>
    <x:row r="291" ht="15" customHeight="1">
      <x:c r="A291" s="3"/>
      <x:c r="B291" s="3"/>
      <x:c r="C291" s="3"/>
      <x:c r="D291" s="3"/>
      <x:c r="E291" s="3"/>
      <x:c r="F291" s="3"/>
      <x:c r="G291" s="3"/>
      <x:c r="H291" s="3"/>
      <x:c r="I291" s="3"/>
      <x:c r="J291" s="10" t="n">
        <x:v>46142</x:v>
      </x:c>
      <x:c r="K291" s="8" t="n">
        <x:f>INDEX('Сводка'!$S$3:$S$397,U291)</x:f>
        <x:v>33</x:v>
      </x:c>
      <x:c r="L291" s="8" t="n">
        <x:f>INDEX('Сводка'!$S$3:$S$397,V291)</x:f>
        <x:v>37</x:v>
      </x:c>
      <x:c r="M291" s="8" t="n">
        <x:f>INDEX($K$388:$N$400,W291,1)+INDEX($K$388:$N$400,W291,2)*(2*(J291-$T$405)/(T291-$T$405)-1)^1+INDEX($K$388:$N$400,W291,3)*(2*(J291-$T$405)/(T291-$T$405)-1)^2</x:f>
        <x:v>117.34372857217261</x:v>
      </x:c>
      <x:c r="N291" s="8" t="n">
        <x:f>K291-M291</x:f>
        <x:v>-84.34372857217261</x:v>
      </x:c>
      <x:c r="O291" s="8" t="n">
        <x:f>ABS(N291)</x:f>
        <x:v>84.34372857217261</x:v>
      </x:c>
      <x:c r="P291" s="8" t="n">
        <x:f>N291^2</x:f>
        <x:v>7113.864549456326</x:v>
      </x:c>
      <x:c r="Q291" s="8" t="n">
        <x:f>K291-L291</x:f>
        <x:v>-4</x:v>
      </x:c>
      <x:c r="R291" s="9" t="n">
        <x:f>IF(AND(INDEX('Сводка'!$T$3:$T$397,U291)=0,INDEX('Сводка'!$T$3:$T$397,V291)=0),1,0)</x:f>
        <x:v>1</x:v>
      </x:c>
      <x:c r="S291" s="9" t="n">
        <x:f>IF(AND(R291=1,O291&lt;=$G$13),1,0)</x:f>
        <x:v>0</x:v>
      </x:c>
      <x:c r="T291" s="10" t="n">
        <x:f>EOMONTH(J291-'Сводка'!$B$11,-1)</x:f>
        <x:v>46112</x:v>
      </x:c>
      <x:c r="U291" s="4" t="n">
        <x:f>MATCH(J291,'Сводка'!$R$3:$R$397,0)</x:f>
        <x:v>302</x:v>
      </x:c>
      <x:c r="V291" s="4" t="n">
        <x:f>MATCH(J291-'Сводка'!$B$11,'Сводка'!$R$3:$R$397,0)</x:f>
        <x:v>301</x:v>
      </x:c>
      <x:c r="W291" s="4" t="n">
        <x:f>MATCH(T291,$J$388:$J$400,0)</x:f>
        <x:v>10</x:v>
      </x:c>
      <x:c r="X291" s="3"/>
      <x:c r="Y291" s="3"/>
      <x:c r="Z291" s="3"/>
    </x:row>
    <x:row r="292" ht="15" customHeight="1">
      <x:c r="A292" s="3"/>
      <x:c r="B292" s="3"/>
      <x:c r="C292" s="3"/>
      <x:c r="D292" s="3"/>
      <x:c r="E292" s="3"/>
      <x:c r="F292" s="3"/>
      <x:c r="G292" s="3"/>
      <x:c r="H292" s="3"/>
      <x:c r="I292" s="3"/>
      <x:c r="J292" s="10" t="n">
        <x:v>46143</x:v>
      </x:c>
      <x:c r="K292" s="8" t="n">
        <x:f>INDEX('Сводка'!$S$3:$S$397,U292)</x:f>
        <x:v>44</x:v>
      </x:c>
      <x:c r="L292" s="8" t="n">
        <x:f>INDEX('Сводка'!$S$3:$S$397,V292)</x:f>
        <x:v>33</x:v>
      </x:c>
      <x:c r="M292" s="8" t="n">
        <x:f>INDEX($K$388:$N$400,W292,1)+INDEX($K$388:$N$400,W292,2)*(2*(J292-$T$405)/(T292-$T$405)-1)^1+INDEX($K$388:$N$400,W292,3)*(2*(J292-$T$405)/(T292-$T$405)-1)^2</x:f>
        <x:v>117.33427592495136</x:v>
      </x:c>
      <x:c r="N292" s="8" t="n">
        <x:f>K292-M292</x:f>
        <x:v>-73.33427592495136</x:v>
      </x:c>
      <x:c r="O292" s="8" t="n">
        <x:f>ABS(N292)</x:f>
        <x:v>73.33427592495136</x:v>
      </x:c>
      <x:c r="P292" s="8" t="n">
        <x:f>N292^2</x:f>
        <x:v>5377.9160254369</x:v>
      </x:c>
      <x:c r="Q292" s="8" t="n">
        <x:f>K292-L292</x:f>
        <x:v>11</x:v>
      </x:c>
      <x:c r="R292" s="9" t="n">
        <x:f>IF(AND(INDEX('Сводка'!$T$3:$T$397,U292)=0,INDEX('Сводка'!$T$3:$T$397,V292)=0),1,0)</x:f>
        <x:v>1</x:v>
      </x:c>
      <x:c r="S292" s="9" t="n">
        <x:f>IF(AND(R292=1,O292&lt;=$G$13),1,0)</x:f>
        <x:v>0</x:v>
      </x:c>
      <x:c r="T292" s="10" t="n">
        <x:f>EOMONTH(J292-'Сводка'!$B$11,-1)</x:f>
        <x:v>46112</x:v>
      </x:c>
      <x:c r="U292" s="4" t="n">
        <x:f>MATCH(J292,'Сводка'!$R$3:$R$397,0)</x:f>
        <x:v>303</x:v>
      </x:c>
      <x:c r="V292" s="4" t="n">
        <x:f>MATCH(J292-'Сводка'!$B$11,'Сводка'!$R$3:$R$397,0)</x:f>
        <x:v>302</x:v>
      </x:c>
      <x:c r="W292" s="4" t="n">
        <x:f>MATCH(T292,$J$388:$J$400,0)</x:f>
        <x:v>10</x:v>
      </x:c>
      <x:c r="X292" s="3"/>
      <x:c r="Y292" s="3"/>
      <x:c r="Z292" s="3"/>
    </x:row>
    <x:row r="293" ht="15" customHeight="1">
      <x:c r="A293" s="3"/>
      <x:c r="B293" s="3"/>
      <x:c r="C293" s="3"/>
      <x:c r="D293" s="3"/>
      <x:c r="E293" s="3"/>
      <x:c r="F293" s="3"/>
      <x:c r="G293" s="3"/>
      <x:c r="H293" s="3"/>
      <x:c r="I293" s="3"/>
      <x:c r="J293" s="10" t="n">
        <x:v>46144</x:v>
      </x:c>
      <x:c r="K293" s="8" t="n">
        <x:f>INDEX('Сводка'!$S$3:$S$397,U293)</x:f>
        <x:v>61</x:v>
      </x:c>
      <x:c r="L293" s="8" t="n">
        <x:f>INDEX('Сводка'!$S$3:$S$397,V293)</x:f>
        <x:v>44</x:v>
      </x:c>
      <x:c r="M293" s="8" t="n">
        <x:f>INDEX($K$388:$N$400,W293,1)+INDEX($K$388:$N$400,W293,2)*(2*(J293-$T$405)/(T293-$T$405)-1)^1+INDEX($K$388:$N$400,W293,3)*(2*(J293-$T$405)/(T293-$T$405)-1)^2</x:f>
        <x:v>114.45579216351794</x:v>
      </x:c>
      <x:c r="N293" s="8" t="n">
        <x:f>K293-M293</x:f>
        <x:v>-53.45579216351794</x:v>
      </x:c>
      <x:c r="O293" s="8" t="n">
        <x:f>ABS(N293)</x:f>
        <x:v>53.45579216351794</x:v>
      </x:c>
      <x:c r="P293" s="8" t="n">
        <x:f>N293^2</x:f>
        <x:v>2857.521715829226</x:v>
      </x:c>
      <x:c r="Q293" s="8" t="n">
        <x:f>K293-L293</x:f>
        <x:v>17</x:v>
      </x:c>
      <x:c r="R293" s="9" t="n">
        <x:f>IF(AND(INDEX('Сводка'!$T$3:$T$397,U293)=0,INDEX('Сводка'!$T$3:$T$397,V293)=0),1,0)</x:f>
        <x:v>1</x:v>
      </x:c>
      <x:c r="S293" s="9" t="n">
        <x:f>IF(AND(R293=1,O293&lt;=$G$13),1,0)</x:f>
        <x:v>0</x:v>
      </x:c>
      <x:c r="T293" s="10" t="n">
        <x:f>EOMONTH(J293-'Сводка'!$B$11,-1)</x:f>
        <x:v>46142</x:v>
      </x:c>
      <x:c r="U293" s="4" t="n">
        <x:f>MATCH(J293,'Сводка'!$R$3:$R$397,0)</x:f>
        <x:v>304</x:v>
      </x:c>
      <x:c r="V293" s="4" t="n">
        <x:f>MATCH(J293-'Сводка'!$B$11,'Сводка'!$R$3:$R$397,0)</x:f>
        <x:v>303</x:v>
      </x:c>
      <x:c r="W293" s="4" t="n">
        <x:f>MATCH(T293,$J$388:$J$400,0)</x:f>
        <x:v>11</x:v>
      </x:c>
      <x:c r="X293" s="3"/>
      <x:c r="Y293" s="3"/>
      <x:c r="Z293" s="3"/>
    </x:row>
    <x:row r="294" ht="15" customHeight="1">
      <x:c r="A294" s="3"/>
      <x:c r="B294" s="3"/>
      <x:c r="C294" s="3"/>
      <x:c r="D294" s="3"/>
      <x:c r="E294" s="3"/>
      <x:c r="F294" s="3"/>
      <x:c r="G294" s="3"/>
      <x:c r="H294" s="3"/>
      <x:c r="I294" s="3"/>
      <x:c r="J294" s="10" t="n">
        <x:v>46145</x:v>
      </x:c>
      <x:c r="K294" s="8" t="n">
        <x:f>INDEX('Сводка'!$S$3:$S$397,U294)</x:f>
        <x:v>76</x:v>
      </x:c>
      <x:c r="L294" s="8" t="n">
        <x:f>INDEX('Сводка'!$S$3:$S$397,V294)</x:f>
        <x:v>61</x:v>
      </x:c>
      <x:c r="M294" s="8" t="n">
        <x:f>INDEX($K$388:$N$400,W294,1)+INDEX($K$388:$N$400,W294,2)*(2*(J294-$T$405)/(T294-$T$405)-1)^1+INDEX($K$388:$N$400,W294,3)*(2*(J294-$T$405)/(T294-$T$405)-1)^2</x:f>
        <x:v>114.44506277272981</x:v>
      </x:c>
      <x:c r="N294" s="8" t="n">
        <x:f>K294-M294</x:f>
        <x:v>-38.44506277272981</x:v>
      </x:c>
      <x:c r="O294" s="8" t="n">
        <x:f>ABS(N294)</x:f>
        <x:v>38.44506277272981</x:v>
      </x:c>
      <x:c r="P294" s="8" t="n">
        <x:f>N294^2</x:f>
        <x:v>1478.0228515991357</x:v>
      </x:c>
      <x:c r="Q294" s="8" t="n">
        <x:f>K294-L294</x:f>
        <x:v>15</x:v>
      </x:c>
      <x:c r="R294" s="9" t="n">
        <x:f>IF(AND(INDEX('Сводка'!$T$3:$T$397,U294)=0,INDEX('Сводка'!$T$3:$T$397,V294)=0),1,0)</x:f>
        <x:v>1</x:v>
      </x:c>
      <x:c r="S294" s="9" t="n">
        <x:f>IF(AND(R294=1,O294&lt;=$G$13),1,0)</x:f>
        <x:v>0</x:v>
      </x:c>
      <x:c r="T294" s="10" t="n">
        <x:f>EOMONTH(J294-'Сводка'!$B$11,-1)</x:f>
        <x:v>46142</x:v>
      </x:c>
      <x:c r="U294" s="4" t="n">
        <x:f>MATCH(J294,'Сводка'!$R$3:$R$397,0)</x:f>
        <x:v>305</x:v>
      </x:c>
      <x:c r="V294" s="4" t="n">
        <x:f>MATCH(J294-'Сводка'!$B$11,'Сводка'!$R$3:$R$397,0)</x:f>
        <x:v>304</x:v>
      </x:c>
      <x:c r="W294" s="4" t="n">
        <x:f>MATCH(T294,$J$388:$J$400,0)</x:f>
        <x:v>11</x:v>
      </x:c>
      <x:c r="X294" s="3"/>
      <x:c r="Y294" s="3"/>
      <x:c r="Z294" s="3"/>
    </x:row>
    <x:row r="295" ht="15" customHeight="1">
      <x:c r="A295" s="3"/>
      <x:c r="B295" s="3"/>
      <x:c r="C295" s="3"/>
      <x:c r="D295" s="3"/>
      <x:c r="E295" s="3"/>
      <x:c r="F295" s="3"/>
      <x:c r="G295" s="3"/>
      <x:c r="H295" s="3"/>
      <x:c r="I295" s="3"/>
      <x:c r="J295" s="10" t="n">
        <x:v>46146</x:v>
      </x:c>
      <x:c r="K295" s="8" t="n">
        <x:f>INDEX('Сводка'!$S$3:$S$397,U295)</x:f>
        <x:v>83</x:v>
      </x:c>
      <x:c r="L295" s="8" t="n">
        <x:f>INDEX('Сводка'!$S$3:$S$397,V295)</x:f>
        <x:v>76</x:v>
      </x:c>
      <x:c r="M295" s="8" t="n">
        <x:f>INDEX($K$388:$N$400,W295,1)+INDEX($K$388:$N$400,W295,2)*(2*(J295-$T$405)/(T295-$T$405)-1)^1+INDEX($K$388:$N$400,W295,3)*(2*(J295-$T$405)/(T295-$T$405)-1)^2</x:f>
        <x:v>114.43432621306624</x:v>
      </x:c>
      <x:c r="N295" s="8" t="n">
        <x:f>K295-M295</x:f>
        <x:v>-31.434326213066242</x:v>
      </x:c>
      <x:c r="O295" s="8" t="n">
        <x:f>ABS(N295)</x:f>
        <x:v>31.434326213066242</x:v>
      </x:c>
      <x:c r="P295" s="8" t="n">
        <x:f>N295^2</x:f>
        <x:v>988.1168644694635</x:v>
      </x:c>
      <x:c r="Q295" s="8" t="n">
        <x:f>K295-L295</x:f>
        <x:v>7</x:v>
      </x:c>
      <x:c r="R295" s="9" t="n">
        <x:f>IF(AND(INDEX('Сводка'!$T$3:$T$397,U295)=0,INDEX('Сводка'!$T$3:$T$397,V295)=0),1,0)</x:f>
        <x:v>1</x:v>
      </x:c>
      <x:c r="S295" s="9" t="n">
        <x:f>IF(AND(R295=1,O295&lt;=$G$13),1,0)</x:f>
        <x:v>0</x:v>
      </x:c>
      <x:c r="T295" s="10" t="n">
        <x:f>EOMONTH(J295-'Сводка'!$B$11,-1)</x:f>
        <x:v>46142</x:v>
      </x:c>
      <x:c r="U295" s="4" t="n">
        <x:f>MATCH(J295,'Сводка'!$R$3:$R$397,0)</x:f>
        <x:v>306</x:v>
      </x:c>
      <x:c r="V295" s="4" t="n">
        <x:f>MATCH(J295-'Сводка'!$B$11,'Сводка'!$R$3:$R$397,0)</x:f>
        <x:v>305</x:v>
      </x:c>
      <x:c r="W295" s="4" t="n">
        <x:f>MATCH(T295,$J$388:$J$400,0)</x:f>
        <x:v>11</x:v>
      </x:c>
      <x:c r="X295" s="3"/>
      <x:c r="Y295" s="3"/>
      <x:c r="Z295" s="3"/>
    </x:row>
    <x:row r="296" ht="15" customHeight="1">
      <x:c r="A296" s="3"/>
      <x:c r="B296" s="3"/>
      <x:c r="C296" s="3"/>
      <x:c r="D296" s="3"/>
      <x:c r="E296" s="3"/>
      <x:c r="F296" s="3"/>
      <x:c r="G296" s="3"/>
      <x:c r="H296" s="3"/>
      <x:c r="I296" s="3"/>
      <x:c r="J296" s="10" t="n">
        <x:v>46147</x:v>
      </x:c>
      <x:c r="K296" s="8" t="n">
        <x:f>INDEX('Сводка'!$S$3:$S$397,U296)</x:f>
        <x:v>87</x:v>
      </x:c>
      <x:c r="L296" s="8" t="n">
        <x:f>INDEX('Сводка'!$S$3:$S$397,V296)</x:f>
        <x:v>83</x:v>
      </x:c>
      <x:c r="M296" s="8" t="n">
        <x:f>INDEX($K$388:$N$400,W296,1)+INDEX($K$388:$N$400,W296,2)*(2*(J296-$T$405)/(T296-$T$405)-1)^1+INDEX($K$388:$N$400,W296,3)*(2*(J296-$T$405)/(T296-$T$405)-1)^2</x:f>
        <x:v>114.4235824845271</x:v>
      </x:c>
      <x:c r="N296" s="8" t="n">
        <x:f>K296-M296</x:f>
        <x:v>-27.423582484527103</x:v>
      </x:c>
      <x:c r="O296" s="8" t="n">
        <x:f>ABS(N296)</x:f>
        <x:v>27.423582484527103</x:v>
      </x:c>
      <x:c r="P296" s="8" t="n">
        <x:f>N296^2</x:f>
        <x:v>752.0528762856617</x:v>
      </x:c>
      <x:c r="Q296" s="8" t="n">
        <x:f>K296-L296</x:f>
        <x:v>4</x:v>
      </x:c>
      <x:c r="R296" s="9" t="n">
        <x:f>IF(AND(INDEX('Сводка'!$T$3:$T$397,U296)=0,INDEX('Сводка'!$T$3:$T$397,V296)=0),1,0)</x:f>
        <x:v>1</x:v>
      </x:c>
      <x:c r="S296" s="9" t="n">
        <x:f>IF(AND(R296=1,O296&lt;=$G$13),1,0)</x:f>
        <x:v>0</x:v>
      </x:c>
      <x:c r="T296" s="10" t="n">
        <x:f>EOMONTH(J296-'Сводка'!$B$11,-1)</x:f>
        <x:v>46142</x:v>
      </x:c>
      <x:c r="U296" s="4" t="n">
        <x:f>MATCH(J296,'Сводка'!$R$3:$R$397,0)</x:f>
        <x:v>307</x:v>
      </x:c>
      <x:c r="V296" s="4" t="n">
        <x:f>MATCH(J296-'Сводка'!$B$11,'Сводка'!$R$3:$R$397,0)</x:f>
        <x:v>306</x:v>
      </x:c>
      <x:c r="W296" s="4" t="n">
        <x:f>MATCH(T296,$J$388:$J$400,0)</x:f>
        <x:v>11</x:v>
      </x:c>
      <x:c r="X296" s="3"/>
      <x:c r="Y296" s="3"/>
      <x:c r="Z296" s="3"/>
    </x:row>
    <x:row r="297" ht="15" customHeight="1">
      <x:c r="A297" s="3"/>
      <x:c r="B297" s="3"/>
      <x:c r="C297" s="3"/>
      <x:c r="D297" s="3"/>
      <x:c r="E297" s="3"/>
      <x:c r="F297" s="3"/>
      <x:c r="G297" s="3"/>
      <x:c r="H297" s="3"/>
      <x:c r="I297" s="3"/>
      <x:c r="J297" s="10" t="n">
        <x:v>46148</x:v>
      </x:c>
      <x:c r="K297" s="8" t="n">
        <x:f>INDEX('Сводка'!$S$3:$S$397,U297)</x:f>
        <x:v>92</x:v>
      </x:c>
      <x:c r="L297" s="8" t="n">
        <x:f>INDEX('Сводка'!$S$3:$S$397,V297)</x:f>
        <x:v>87</x:v>
      </x:c>
      <x:c r="M297" s="8" t="n">
        <x:f>INDEX($K$388:$N$400,W297,1)+INDEX($K$388:$N$400,W297,2)*(2*(J297-$T$405)/(T297-$T$405)-1)^1+INDEX($K$388:$N$400,W297,3)*(2*(J297-$T$405)/(T297-$T$405)-1)^2</x:f>
        <x:v>114.4128315871125</x:v>
      </x:c>
      <x:c r="N297" s="8" t="n">
        <x:f>K297-M297</x:f>
        <x:v>-22.412831587112507</x:v>
      </x:c>
      <x:c r="O297" s="8" t="n">
        <x:f>ABS(N297)</x:f>
        <x:v>22.412831587112507</x:v>
      </x:c>
      <x:c r="P297" s="8" t="n">
        <x:f>N297^2</x:f>
        <x:v>502.3350197522681</x:v>
      </x:c>
      <x:c r="Q297" s="8" t="n">
        <x:f>K297-L297</x:f>
        <x:v>5</x:v>
      </x:c>
      <x:c r="R297" s="9" t="n">
        <x:f>IF(AND(INDEX('Сводка'!$T$3:$T$397,U297)=0,INDEX('Сводка'!$T$3:$T$397,V297)=0),1,0)</x:f>
        <x:v>1</x:v>
      </x:c>
      <x:c r="S297" s="9" t="n">
        <x:f>IF(AND(R297=1,O297&lt;=$G$13),1,0)</x:f>
        <x:v>0</x:v>
      </x:c>
      <x:c r="T297" s="10" t="n">
        <x:f>EOMONTH(J297-'Сводка'!$B$11,-1)</x:f>
        <x:v>46142</x:v>
      </x:c>
      <x:c r="U297" s="4" t="n">
        <x:f>MATCH(J297,'Сводка'!$R$3:$R$397,0)</x:f>
        <x:v>308</x:v>
      </x:c>
      <x:c r="V297" s="4" t="n">
        <x:f>MATCH(J297-'Сводка'!$B$11,'Сводка'!$R$3:$R$397,0)</x:f>
        <x:v>307</x:v>
      </x:c>
      <x:c r="W297" s="4" t="n">
        <x:f>MATCH(T297,$J$388:$J$400,0)</x:f>
        <x:v>11</x:v>
      </x:c>
      <x:c r="X297" s="3"/>
      <x:c r="Y297" s="3"/>
      <x:c r="Z297" s="3"/>
    </x:row>
    <x:row r="298" ht="15" customHeight="1">
      <x:c r="A298" s="3"/>
      <x:c r="B298" s="3"/>
      <x:c r="C298" s="3"/>
      <x:c r="D298" s="3"/>
      <x:c r="E298" s="3"/>
      <x:c r="F298" s="3"/>
      <x:c r="G298" s="3"/>
      <x:c r="H298" s="3"/>
      <x:c r="I298" s="3"/>
      <x:c r="J298" s="10" t="n">
        <x:v>46149</x:v>
      </x:c>
      <x:c r="K298" s="8" t="n">
        <x:f>INDEX('Сводка'!$S$3:$S$397,U298)</x:f>
        <x:v>99</x:v>
      </x:c>
      <x:c r="L298" s="8" t="n">
        <x:f>INDEX('Сводка'!$S$3:$S$397,V298)</x:f>
        <x:v>92</x:v>
      </x:c>
      <x:c r="M298" s="8" t="n">
        <x:f>INDEX($K$388:$N$400,W298,1)+INDEX($K$388:$N$400,W298,2)*(2*(J298-$T$405)/(T298-$T$405)-1)^1+INDEX($K$388:$N$400,W298,3)*(2*(J298-$T$405)/(T298-$T$405)-1)^2</x:f>
        <x:v>114.40207352082237</x:v>
      </x:c>
      <x:c r="N298" s="8" t="n">
        <x:f>K298-M298</x:f>
        <x:v>-15.40207352082237</x:v>
      </x:c>
      <x:c r="O298" s="8" t="n">
        <x:f>ABS(N298)</x:f>
        <x:v>15.40207352082237</x:v>
      </x:c>
      <x:c r="P298" s="8" t="n">
        <x:f>N298^2</x:f>
        <x:v>237.22386874081758</x:v>
      </x:c>
      <x:c r="Q298" s="8" t="n">
        <x:f>K298-L298</x:f>
        <x:v>7</x:v>
      </x:c>
      <x:c r="R298" s="9" t="n">
        <x:f>IF(AND(INDEX('Сводка'!$T$3:$T$397,U298)=0,INDEX('Сводка'!$T$3:$T$397,V298)=0),1,0)</x:f>
        <x:v>1</x:v>
      </x:c>
      <x:c r="S298" s="9" t="n">
        <x:f>IF(AND(R298=1,O298&lt;=$G$13),1,0)</x:f>
        <x:v>0</x:v>
      </x:c>
      <x:c r="T298" s="10" t="n">
        <x:f>EOMONTH(J298-'Сводка'!$B$11,-1)</x:f>
        <x:v>46142</x:v>
      </x:c>
      <x:c r="U298" s="4" t="n">
        <x:f>MATCH(J298,'Сводка'!$R$3:$R$397,0)</x:f>
        <x:v>309</x:v>
      </x:c>
      <x:c r="V298" s="4" t="n">
        <x:f>MATCH(J298-'Сводка'!$B$11,'Сводка'!$R$3:$R$397,0)</x:f>
        <x:v>308</x:v>
      </x:c>
      <x:c r="W298" s="4" t="n">
        <x:f>MATCH(T298,$J$388:$J$400,0)</x:f>
        <x:v>11</x:v>
      </x:c>
      <x:c r="X298" s="3"/>
      <x:c r="Y298" s="3"/>
      <x:c r="Z298" s="3"/>
    </x:row>
    <x:row r="299" ht="15" customHeight="1">
      <x:c r="A299" s="3"/>
      <x:c r="B299" s="3"/>
      <x:c r="C299" s="3"/>
      <x:c r="D299" s="3"/>
      <x:c r="E299" s="3"/>
      <x:c r="F299" s="3"/>
      <x:c r="G299" s="3"/>
      <x:c r="H299" s="3"/>
      <x:c r="I299" s="3"/>
      <x:c r="J299" s="10" t="n">
        <x:v>46150</x:v>
      </x:c>
      <x:c r="K299" s="8" t="n">
        <x:f>INDEX('Сводка'!$S$3:$S$397,U299)</x:f>
        <x:v>108</x:v>
      </x:c>
      <x:c r="L299" s="8" t="n">
        <x:f>INDEX('Сводка'!$S$3:$S$397,V299)</x:f>
        <x:v>99</x:v>
      </x:c>
      <x:c r="M299" s="8" t="n">
        <x:f>INDEX($K$388:$N$400,W299,1)+INDEX($K$388:$N$400,W299,2)*(2*(J299-$T$405)/(T299-$T$405)-1)^1+INDEX($K$388:$N$400,W299,3)*(2*(J299-$T$405)/(T299-$T$405)-1)^2</x:f>
        <x:v>114.39130828565675</x:v>
      </x:c>
      <x:c r="N299" s="8" t="n">
        <x:f>K299-M299</x:f>
        <x:v>-6.3913082856567485</x:v>
      </x:c>
      <x:c r="O299" s="8" t="n">
        <x:f>ABS(N299)</x:f>
        <x:v>6.3913082856567485</x:v>
      </x:c>
      <x:c r="P299" s="8" t="n">
        <x:f>N299^2</x:f>
        <x:v>40.848821602304604</x:v>
      </x:c>
      <x:c r="Q299" s="8" t="n">
        <x:f>K299-L299</x:f>
        <x:v>9</x:v>
      </x:c>
      <x:c r="R299" s="9" t="n">
        <x:f>IF(AND(INDEX('Сводка'!$T$3:$T$397,U299)=0,INDEX('Сводка'!$T$3:$T$397,V299)=0),1,0)</x:f>
        <x:v>1</x:v>
      </x:c>
      <x:c r="S299" s="9" t="n">
        <x:f>IF(AND(R299=1,O299&lt;=$G$13),1,0)</x:f>
        <x:v>1</x:v>
      </x:c>
      <x:c r="T299" s="10" t="n">
        <x:f>EOMONTH(J299-'Сводка'!$B$11,-1)</x:f>
        <x:v>46142</x:v>
      </x:c>
      <x:c r="U299" s="4" t="n">
        <x:f>MATCH(J299,'Сводка'!$R$3:$R$397,0)</x:f>
        <x:v>310</x:v>
      </x:c>
      <x:c r="V299" s="4" t="n">
        <x:f>MATCH(J299-'Сводка'!$B$11,'Сводка'!$R$3:$R$397,0)</x:f>
        <x:v>309</x:v>
      </x:c>
      <x:c r="W299" s="4" t="n">
        <x:f>MATCH(T299,$J$388:$J$400,0)</x:f>
        <x:v>11</x:v>
      </x:c>
      <x:c r="X299" s="3"/>
      <x:c r="Y299" s="3"/>
      <x:c r="Z299" s="3"/>
    </x:row>
    <x:row r="300" ht="15" customHeight="1">
      <x:c r="A300" s="3"/>
      <x:c r="B300" s="3"/>
      <x:c r="C300" s="3"/>
      <x:c r="D300" s="3"/>
      <x:c r="E300" s="3"/>
      <x:c r="F300" s="3"/>
      <x:c r="G300" s="3"/>
      <x:c r="H300" s="3"/>
      <x:c r="I300" s="3"/>
      <x:c r="J300" s="10" t="n">
        <x:v>46151</x:v>
      </x:c>
      <x:c r="K300" s="8" t="n">
        <x:f>INDEX('Сводка'!$S$3:$S$397,U300)</x:f>
        <x:v>120</x:v>
      </x:c>
      <x:c r="L300" s="8" t="n">
        <x:f>INDEX('Сводка'!$S$3:$S$397,V300)</x:f>
        <x:v>108</x:v>
      </x:c>
      <x:c r="M300" s="8" t="n">
        <x:f>INDEX($K$388:$N$400,W300,1)+INDEX($K$388:$N$400,W300,2)*(2*(J300-$T$405)/(T300-$T$405)-1)^1+INDEX($K$388:$N$400,W300,3)*(2*(J300-$T$405)/(T300-$T$405)-1)^2</x:f>
        <x:v>114.38053588161564</x:v>
      </x:c>
      <x:c r="N300" s="8" t="n">
        <x:f>K300-M300</x:f>
        <x:v>5.619464118384357</x:v>
      </x:c>
      <x:c r="O300" s="8" t="n">
        <x:f>ABS(N300)</x:f>
        <x:v>5.619464118384357</x:v>
      </x:c>
      <x:c r="P300" s="8" t="n">
        <x:f>N300^2</x:f>
        <x:v>31.57837697780928</x:v>
      </x:c>
      <x:c r="Q300" s="8" t="n">
        <x:f>K300-L300</x:f>
        <x:v>12</x:v>
      </x:c>
      <x:c r="R300" s="9" t="n">
        <x:f>IF(AND(INDEX('Сводка'!$T$3:$T$397,U300)=0,INDEX('Сводка'!$T$3:$T$397,V300)=0),1,0)</x:f>
        <x:v>1</x:v>
      </x:c>
      <x:c r="S300" s="9" t="n">
        <x:f>IF(AND(R300=1,O300&lt;=$G$13),1,0)</x:f>
        <x:v>1</x:v>
      </x:c>
      <x:c r="T300" s="10" t="n">
        <x:f>EOMONTH(J300-'Сводка'!$B$11,-1)</x:f>
        <x:v>46142</x:v>
      </x:c>
      <x:c r="U300" s="4" t="n">
        <x:f>MATCH(J300,'Сводка'!$R$3:$R$397,0)</x:f>
        <x:v>311</x:v>
      </x:c>
      <x:c r="V300" s="4" t="n">
        <x:f>MATCH(J300-'Сводка'!$B$11,'Сводка'!$R$3:$R$397,0)</x:f>
        <x:v>310</x:v>
      </x:c>
      <x:c r="W300" s="4" t="n">
        <x:f>MATCH(T300,$J$388:$J$400,0)</x:f>
        <x:v>11</x:v>
      </x:c>
      <x:c r="X300" s="3"/>
      <x:c r="Y300" s="3"/>
      <x:c r="Z300" s="3"/>
    </x:row>
    <x:row r="301" ht="15" customHeight="1">
      <x:c r="A301" s="3"/>
      <x:c r="B301" s="3"/>
      <x:c r="C301" s="3"/>
      <x:c r="D301" s="3"/>
      <x:c r="E301" s="3"/>
      <x:c r="F301" s="3"/>
      <x:c r="G301" s="3"/>
      <x:c r="H301" s="3"/>
      <x:c r="I301" s="3"/>
      <x:c r="J301" s="10" t="n">
        <x:v>46152</x:v>
      </x:c>
      <x:c r="K301" s="8" t="n">
        <x:f>INDEX('Сводка'!$S$3:$S$397,U301)</x:f>
        <x:v>137</x:v>
      </x:c>
      <x:c r="L301" s="8" t="n">
        <x:f>INDEX('Сводка'!$S$3:$S$397,V301)</x:f>
        <x:v>120</x:v>
      </x:c>
      <x:c r="M301" s="8" t="n">
        <x:f>INDEX($K$388:$N$400,W301,1)+INDEX($K$388:$N$400,W301,2)*(2*(J301-$T$405)/(T301-$T$405)-1)^1+INDEX($K$388:$N$400,W301,3)*(2*(J301-$T$405)/(T301-$T$405)-1)^2</x:f>
        <x:v>114.36975630869898</x:v>
      </x:c>
      <x:c r="N301" s="8" t="n">
        <x:f>K301-M301</x:f>
        <x:v>22.63024369130102</x:v>
      </x:c>
      <x:c r="O301" s="8" t="n">
        <x:f>ABS(N301)</x:f>
        <x:v>22.63024369130102</x:v>
      </x:c>
      <x:c r="P301" s="8" t="n">
        <x:f>N301^2</x:f>
        <x:v>512.1279295276695</x:v>
      </x:c>
      <x:c r="Q301" s="8" t="n">
        <x:f>K301-L301</x:f>
        <x:v>17</x:v>
      </x:c>
      <x:c r="R301" s="9" t="n">
        <x:f>IF(AND(INDEX('Сводка'!$T$3:$T$397,U301)=0,INDEX('Сводка'!$T$3:$T$397,V301)=0),1,0)</x:f>
        <x:v>1</x:v>
      </x:c>
      <x:c r="S301" s="9" t="n">
        <x:f>IF(AND(R301=1,O301&lt;=$G$13),1,0)</x:f>
        <x:v>0</x:v>
      </x:c>
      <x:c r="T301" s="10" t="n">
        <x:f>EOMONTH(J301-'Сводка'!$B$11,-1)</x:f>
        <x:v>46142</x:v>
      </x:c>
      <x:c r="U301" s="4" t="n">
        <x:f>MATCH(J301,'Сводка'!$R$3:$R$397,0)</x:f>
        <x:v>312</x:v>
      </x:c>
      <x:c r="V301" s="4" t="n">
        <x:f>MATCH(J301-'Сводка'!$B$11,'Сводка'!$R$3:$R$397,0)</x:f>
        <x:v>311</x:v>
      </x:c>
      <x:c r="W301" s="4" t="n">
        <x:f>MATCH(T301,$J$388:$J$400,0)</x:f>
        <x:v>11</x:v>
      </x:c>
      <x:c r="X301" s="3"/>
      <x:c r="Y301" s="3"/>
      <x:c r="Z301" s="3"/>
    </x:row>
    <x:row r="302" ht="15" customHeight="1">
      <x:c r="A302" s="3"/>
      <x:c r="B302" s="3"/>
      <x:c r="C302" s="3"/>
      <x:c r="D302" s="3"/>
      <x:c r="E302" s="3"/>
      <x:c r="F302" s="3"/>
      <x:c r="G302" s="3"/>
      <x:c r="H302" s="3"/>
      <x:c r="I302" s="3"/>
      <x:c r="J302" s="10" t="n">
        <x:v>46153</x:v>
      </x:c>
      <x:c r="K302" s="8" t="n">
        <x:f>INDEX('Сводка'!$S$3:$S$397,U302)</x:f>
        <x:v>152</x:v>
      </x:c>
      <x:c r="L302" s="8" t="n">
        <x:f>INDEX('Сводка'!$S$3:$S$397,V302)</x:f>
        <x:v>137</x:v>
      </x:c>
      <x:c r="M302" s="8" t="n">
        <x:f>INDEX($K$388:$N$400,W302,1)+INDEX($K$388:$N$400,W302,2)*(2*(J302-$T$405)/(T302-$T$405)-1)^1+INDEX($K$388:$N$400,W302,3)*(2*(J302-$T$405)/(T302-$T$405)-1)^2</x:f>
        <x:v>114.35896956690686</x:v>
      </x:c>
      <x:c r="N302" s="8" t="n">
        <x:f>K302-M302</x:f>
        <x:v>37.641030433093135</x:v>
      </x:c>
      <x:c r="O302" s="8" t="n">
        <x:f>ABS(N302)</x:f>
        <x:v>37.641030433093135</x:v>
      </x:c>
      <x:c r="P302" s="8" t="n">
        <x:f>N302^2</x:f>
        <x:v>1416.8471720650437</x:v>
      </x:c>
      <x:c r="Q302" s="8" t="n">
        <x:f>K302-L302</x:f>
        <x:v>15</x:v>
      </x:c>
      <x:c r="R302" s="9" t="n">
        <x:f>IF(AND(INDEX('Сводка'!$T$3:$T$397,U302)=0,INDEX('Сводка'!$T$3:$T$397,V302)=0),1,0)</x:f>
        <x:v>1</x:v>
      </x:c>
      <x:c r="S302" s="9" t="n">
        <x:f>IF(AND(R302=1,O302&lt;=$G$13),1,0)</x:f>
        <x:v>0</x:v>
      </x:c>
      <x:c r="T302" s="10" t="n">
        <x:f>EOMONTH(J302-'Сводка'!$B$11,-1)</x:f>
        <x:v>46142</x:v>
      </x:c>
      <x:c r="U302" s="4" t="n">
        <x:f>MATCH(J302,'Сводка'!$R$3:$R$397,0)</x:f>
        <x:v>313</x:v>
      </x:c>
      <x:c r="V302" s="4" t="n">
        <x:f>MATCH(J302-'Сводка'!$B$11,'Сводка'!$R$3:$R$397,0)</x:f>
        <x:v>312</x:v>
      </x:c>
      <x:c r="W302" s="4" t="n">
        <x:f>MATCH(T302,$J$388:$J$400,0)</x:f>
        <x:v>11</x:v>
      </x:c>
      <x:c r="X302" s="3"/>
      <x:c r="Y302" s="3"/>
      <x:c r="Z302" s="3"/>
    </x:row>
    <x:row r="303" ht="15" customHeight="1">
      <x:c r="A303" s="3"/>
      <x:c r="B303" s="3"/>
      <x:c r="C303" s="3"/>
      <x:c r="D303" s="3"/>
      <x:c r="E303" s="3"/>
      <x:c r="F303" s="3"/>
      <x:c r="G303" s="3"/>
      <x:c r="H303" s="3"/>
      <x:c r="I303" s="3"/>
      <x:c r="J303" s="10" t="n">
        <x:v>46154</x:v>
      </x:c>
      <x:c r="K303" s="8" t="n">
        <x:f>INDEX('Сводка'!$S$3:$S$397,U303)</x:f>
        <x:v>160</x:v>
      </x:c>
      <x:c r="L303" s="8" t="n">
        <x:f>INDEX('Сводка'!$S$3:$S$397,V303)</x:f>
        <x:v>152</x:v>
      </x:c>
      <x:c r="M303" s="8" t="n">
        <x:f>INDEX($K$388:$N$400,W303,1)+INDEX($K$388:$N$400,W303,2)*(2*(J303-$T$405)/(T303-$T$405)-1)^1+INDEX($K$388:$N$400,W303,3)*(2*(J303-$T$405)/(T303-$T$405)-1)^2</x:f>
        <x:v>114.3481756562392</x:v>
      </x:c>
      <x:c r="N303" s="8" t="n">
        <x:f>K303-M303</x:f>
        <x:v>45.651824343760794</x:v>
      </x:c>
      <x:c r="O303" s="8" t="n">
        <x:f>ABS(N303)</x:f>
        <x:v>45.651824343760794</x:v>
      </x:c>
      <x:c r="P303" s="8" t="n">
        <x:f>N303^2</x:f>
        <x:v>2084.0890659135907</x:v>
      </x:c>
      <x:c r="Q303" s="8" t="n">
        <x:f>K303-L303</x:f>
        <x:v>8</x:v>
      </x:c>
      <x:c r="R303" s="9" t="n">
        <x:f>IF(AND(INDEX('Сводка'!$T$3:$T$397,U303)=0,INDEX('Сводка'!$T$3:$T$397,V303)=0),1,0)</x:f>
        <x:v>1</x:v>
      </x:c>
      <x:c r="S303" s="9" t="n">
        <x:f>IF(AND(R303=1,O303&lt;=$G$13),1,0)</x:f>
        <x:v>0</x:v>
      </x:c>
      <x:c r="T303" s="10" t="n">
        <x:f>EOMONTH(J303-'Сводка'!$B$11,-1)</x:f>
        <x:v>46142</x:v>
      </x:c>
      <x:c r="U303" s="4" t="n">
        <x:f>MATCH(J303,'Сводка'!$R$3:$R$397,0)</x:f>
        <x:v>314</x:v>
      </x:c>
      <x:c r="V303" s="4" t="n">
        <x:f>MATCH(J303-'Сводка'!$B$11,'Сводка'!$R$3:$R$397,0)</x:f>
        <x:v>313</x:v>
      </x:c>
      <x:c r="W303" s="4" t="n">
        <x:f>MATCH(T303,$J$388:$J$400,0)</x:f>
        <x:v>11</x:v>
      </x:c>
      <x:c r="X303" s="3"/>
      <x:c r="Y303" s="3"/>
      <x:c r="Z303" s="3"/>
    </x:row>
    <x:row r="304" ht="15" customHeight="1">
      <x:c r="A304" s="3"/>
      <x:c r="B304" s="3"/>
      <x:c r="C304" s="3"/>
      <x:c r="D304" s="3"/>
      <x:c r="E304" s="3"/>
      <x:c r="F304" s="3"/>
      <x:c r="G304" s="3"/>
      <x:c r="H304" s="3"/>
      <x:c r="I304" s="3"/>
      <x:c r="J304" s="10" t="n">
        <x:v>46155</x:v>
      </x:c>
      <x:c r="K304" s="8" t="n">
        <x:f>INDEX('Сводка'!$S$3:$S$397,U304)</x:f>
        <x:v>162</x:v>
      </x:c>
      <x:c r="L304" s="8" t="n">
        <x:f>INDEX('Сводка'!$S$3:$S$397,V304)</x:f>
        <x:v>160</x:v>
      </x:c>
      <x:c r="M304" s="8" t="n">
        <x:f>INDEX($K$388:$N$400,W304,1)+INDEX($K$388:$N$400,W304,2)*(2*(J304-$T$405)/(T304-$T$405)-1)^1+INDEX($K$388:$N$400,W304,3)*(2*(J304-$T$405)/(T304-$T$405)-1)^2</x:f>
        <x:v>114.33737457669605</x:v>
      </x:c>
      <x:c r="N304" s="8" t="n">
        <x:f>K304-M304</x:f>
        <x:v>47.66262542330395</x:v>
      </x:c>
      <x:c r="O304" s="8" t="n">
        <x:f>ABS(N304)</x:f>
        <x:v>47.66262542330395</x:v>
      </x:c>
      <x:c r="P304" s="8" t="n">
        <x:f>N304^2</x:f>
        <x:v>2271.72586224218</x:v>
      </x:c>
      <x:c r="Q304" s="8" t="n">
        <x:f>K304-L304</x:f>
        <x:v>2</x:v>
      </x:c>
      <x:c r="R304" s="9" t="n">
        <x:f>IF(AND(INDEX('Сводка'!$T$3:$T$397,U304)=0,INDEX('Сводка'!$T$3:$T$397,V304)=0),1,0)</x:f>
        <x:v>1</x:v>
      </x:c>
      <x:c r="S304" s="9" t="n">
        <x:f>IF(AND(R304=1,O304&lt;=$G$13),1,0)</x:f>
        <x:v>0</x:v>
      </x:c>
      <x:c r="T304" s="10" t="n">
        <x:f>EOMONTH(J304-'Сводка'!$B$11,-1)</x:f>
        <x:v>46142</x:v>
      </x:c>
      <x:c r="U304" s="4" t="n">
        <x:f>MATCH(J304,'Сводка'!$R$3:$R$397,0)</x:f>
        <x:v>315</x:v>
      </x:c>
      <x:c r="V304" s="4" t="n">
        <x:f>MATCH(J304-'Сводка'!$B$11,'Сводка'!$R$3:$R$397,0)</x:f>
        <x:v>314</x:v>
      </x:c>
      <x:c r="W304" s="4" t="n">
        <x:f>MATCH(T304,$J$388:$J$400,0)</x:f>
        <x:v>11</x:v>
      </x:c>
      <x:c r="X304" s="3"/>
      <x:c r="Y304" s="3"/>
      <x:c r="Z304" s="3"/>
    </x:row>
    <x:row r="305" ht="15" customHeight="1">
      <x:c r="A305" s="3"/>
      <x:c r="B305" s="3"/>
      <x:c r="C305" s="3"/>
      <x:c r="D305" s="3"/>
      <x:c r="E305" s="3"/>
      <x:c r="F305" s="3"/>
      <x:c r="G305" s="3"/>
      <x:c r="H305" s="3"/>
      <x:c r="I305" s="3"/>
      <x:c r="J305" s="10" t="n">
        <x:v>46156</x:v>
      </x:c>
      <x:c r="K305" s="8" t="n">
        <x:f>INDEX('Сводка'!$S$3:$S$397,U305)</x:f>
        <x:v>161</x:v>
      </x:c>
      <x:c r="L305" s="8" t="n">
        <x:f>INDEX('Сводка'!$S$3:$S$397,V305)</x:f>
        <x:v>162</x:v>
      </x:c>
      <x:c r="M305" s="8" t="n">
        <x:f>INDEX($K$388:$N$400,W305,1)+INDEX($K$388:$N$400,W305,2)*(2*(J305-$T$405)/(T305-$T$405)-1)^1+INDEX($K$388:$N$400,W305,3)*(2*(J305-$T$405)/(T305-$T$405)-1)^2</x:f>
        <x:v>114.32656632827738</x:v>
      </x:c>
      <x:c r="N305" s="8" t="n">
        <x:f>K305-M305</x:f>
        <x:v>46.67343367172262</x:v>
      </x:c>
      <x:c r="O305" s="8" t="n">
        <x:f>ABS(N305)</x:f>
        <x:v>46.67343367172262</x:v>
      </x:c>
      <x:c r="P305" s="8" t="n">
        <x:f>N305^2</x:f>
        <x:v>2178.4094107086908</x:v>
      </x:c>
      <x:c r="Q305" s="8" t="n">
        <x:f>K305-L305</x:f>
        <x:v>-1</x:v>
      </x:c>
      <x:c r="R305" s="9" t="n">
        <x:f>IF(AND(INDEX('Сводка'!$T$3:$T$397,U305)=0,INDEX('Сводка'!$T$3:$T$397,V305)=0),1,0)</x:f>
        <x:v>1</x:v>
      </x:c>
      <x:c r="S305" s="9" t="n">
        <x:f>IF(AND(R305=1,O305&lt;=$G$13),1,0)</x:f>
        <x:v>0</x:v>
      </x:c>
      <x:c r="T305" s="10" t="n">
        <x:f>EOMONTH(J305-'Сводка'!$B$11,-1)</x:f>
        <x:v>46142</x:v>
      </x:c>
      <x:c r="U305" s="4" t="n">
        <x:f>MATCH(J305,'Сводка'!$R$3:$R$397,0)</x:f>
        <x:v>316</x:v>
      </x:c>
      <x:c r="V305" s="4" t="n">
        <x:f>MATCH(J305-'Сводка'!$B$11,'Сводка'!$R$3:$R$397,0)</x:f>
        <x:v>315</x:v>
      </x:c>
      <x:c r="W305" s="4" t="n">
        <x:f>MATCH(T305,$J$388:$J$400,0)</x:f>
        <x:v>11</x:v>
      </x:c>
      <x:c r="X305" s="3"/>
      <x:c r="Y305" s="3"/>
      <x:c r="Z305" s="3"/>
    </x:row>
    <x:row r="306" ht="15" customHeight="1">
      <x:c r="A306" s="3"/>
      <x:c r="B306" s="3"/>
      <x:c r="C306" s="3"/>
      <x:c r="D306" s="3"/>
      <x:c r="E306" s="3"/>
      <x:c r="F306" s="3"/>
      <x:c r="G306" s="3"/>
      <x:c r="H306" s="3"/>
      <x:c r="I306" s="3"/>
      <x:c r="J306" s="10" t="n">
        <x:v>46157</x:v>
      </x:c>
      <x:c r="K306" s="8" t="n">
        <x:f>INDEX('Сводка'!$S$3:$S$397,U306)</x:f>
        <x:v>154</x:v>
      </x:c>
      <x:c r="L306" s="8" t="n">
        <x:f>INDEX('Сводка'!$S$3:$S$397,V306)</x:f>
        <x:v>161</x:v>
      </x:c>
      <x:c r="M306" s="8" t="n">
        <x:f>INDEX($K$388:$N$400,W306,1)+INDEX($K$388:$N$400,W306,2)*(2*(J306-$T$405)/(T306-$T$405)-1)^1+INDEX($K$388:$N$400,W306,3)*(2*(J306-$T$405)/(T306-$T$405)-1)^2</x:f>
        <x:v>114.31575091098324</x:v>
      </x:c>
      <x:c r="N306" s="8" t="n">
        <x:f>K306-M306</x:f>
        <x:v>39.68424908901676</x:v>
      </x:c>
      <x:c r="O306" s="8" t="n">
        <x:f>ABS(N306)</x:f>
        <x:v>39.68424908901676</x:v>
      </x:c>
      <x:c r="P306" s="8" t="n">
        <x:f>N306^2</x:f>
        <x:v>1574.8396257591276</x:v>
      </x:c>
      <x:c r="Q306" s="8" t="n">
        <x:f>K306-L306</x:f>
        <x:v>-7</x:v>
      </x:c>
      <x:c r="R306" s="9" t="n">
        <x:f>IF(AND(INDEX('Сводка'!$T$3:$T$397,U306)=0,INDEX('Сводка'!$T$3:$T$397,V306)=0),1,0)</x:f>
        <x:v>1</x:v>
      </x:c>
      <x:c r="S306" s="9" t="n">
        <x:f>IF(AND(R306=1,O306&lt;=$G$13),1,0)</x:f>
        <x:v>0</x:v>
      </x:c>
      <x:c r="T306" s="10" t="n">
        <x:f>EOMONTH(J306-'Сводка'!$B$11,-1)</x:f>
        <x:v>46142</x:v>
      </x:c>
      <x:c r="U306" s="4" t="n">
        <x:f>MATCH(J306,'Сводка'!$R$3:$R$397,0)</x:f>
        <x:v>317</x:v>
      </x:c>
      <x:c r="V306" s="4" t="n">
        <x:f>MATCH(J306-'Сводка'!$B$11,'Сводка'!$R$3:$R$397,0)</x:f>
        <x:v>316</x:v>
      </x:c>
      <x:c r="W306" s="4" t="n">
        <x:f>MATCH(T306,$J$388:$J$400,0)</x:f>
        <x:v>11</x:v>
      </x:c>
      <x:c r="X306" s="3"/>
      <x:c r="Y306" s="3"/>
      <x:c r="Z306" s="3"/>
    </x:row>
    <x:row r="307" ht="15" customHeight="1">
      <x:c r="A307" s="3"/>
      <x:c r="B307" s="3"/>
      <x:c r="C307" s="3"/>
      <x:c r="D307" s="3"/>
      <x:c r="E307" s="3"/>
      <x:c r="F307" s="3"/>
      <x:c r="G307" s="3"/>
      <x:c r="H307" s="3"/>
      <x:c r="I307" s="3"/>
      <x:c r="J307" s="10" t="n">
        <x:v>46158</x:v>
      </x:c>
      <x:c r="K307" s="8" t="n">
        <x:f>INDEX('Сводка'!$S$3:$S$397,U307)</x:f>
        <x:v>148</x:v>
      </x:c>
      <x:c r="L307" s="8" t="n">
        <x:f>INDEX('Сводка'!$S$3:$S$397,V307)</x:f>
        <x:v>154</x:v>
      </x:c>
      <x:c r="M307" s="8" t="n">
        <x:f>INDEX($K$388:$N$400,W307,1)+INDEX($K$388:$N$400,W307,2)*(2*(J307-$T$405)/(T307-$T$405)-1)^1+INDEX($K$388:$N$400,W307,3)*(2*(J307-$T$405)/(T307-$T$405)-1)^2</x:f>
        <x:v>114.3049283248136</x:v>
      </x:c>
      <x:c r="N307" s="8" t="n">
        <x:f>K307-M307</x:f>
        <x:v>33.6950716751864</x:v>
      </x:c>
      <x:c r="O307" s="8" t="n">
        <x:f>ABS(N307)</x:f>
        <x:v>33.6950716751864</x:v>
      </x:c>
      <x:c r="P307" s="8" t="n">
        <x:f>N307^2</x:f>
        <x:v>1135.3578551959488</x:v>
      </x:c>
      <x:c r="Q307" s="8" t="n">
        <x:f>K307-L307</x:f>
        <x:v>-6</x:v>
      </x:c>
      <x:c r="R307" s="9" t="n">
        <x:f>IF(AND(INDEX('Сводка'!$T$3:$T$397,U307)=0,INDEX('Сводка'!$T$3:$T$397,V307)=0),1,0)</x:f>
        <x:v>1</x:v>
      </x:c>
      <x:c r="S307" s="9" t="n">
        <x:f>IF(AND(R307=1,O307&lt;=$G$13),1,0)</x:f>
        <x:v>0</x:v>
      </x:c>
      <x:c r="T307" s="10" t="n">
        <x:f>EOMONTH(J307-'Сводка'!$B$11,-1)</x:f>
        <x:v>46142</x:v>
      </x:c>
      <x:c r="U307" s="4" t="n">
        <x:f>MATCH(J307,'Сводка'!$R$3:$R$397,0)</x:f>
        <x:v>318</x:v>
      </x:c>
      <x:c r="V307" s="4" t="n">
        <x:f>MATCH(J307-'Сводка'!$B$11,'Сводка'!$R$3:$R$397,0)</x:f>
        <x:v>317</x:v>
      </x:c>
      <x:c r="W307" s="4" t="n">
        <x:f>MATCH(T307,$J$388:$J$400,0)</x:f>
        <x:v>11</x:v>
      </x:c>
      <x:c r="X307" s="3"/>
      <x:c r="Y307" s="3"/>
      <x:c r="Z307" s="3"/>
    </x:row>
    <x:row r="308" ht="15" customHeight="1">
      <x:c r="A308" s="3"/>
      <x:c r="B308" s="3"/>
      <x:c r="C308" s="3"/>
      <x:c r="D308" s="3"/>
      <x:c r="E308" s="3"/>
      <x:c r="F308" s="3"/>
      <x:c r="G308" s="3"/>
      <x:c r="H308" s="3"/>
      <x:c r="I308" s="3"/>
      <x:c r="J308" s="10" t="n">
        <x:v>46159</x:v>
      </x:c>
      <x:c r="K308" s="8" t="n">
        <x:f>INDEX('Сводка'!$S$3:$S$397,U308)</x:f>
        <x:v>141</x:v>
      </x:c>
      <x:c r="L308" s="8" t="n">
        <x:f>INDEX('Сводка'!$S$3:$S$397,V308)</x:f>
        <x:v>148</x:v>
      </x:c>
      <x:c r="M308" s="8" t="n">
        <x:f>INDEX($K$388:$N$400,W308,1)+INDEX($K$388:$N$400,W308,2)*(2*(J308-$T$405)/(T308-$T$405)-1)^1+INDEX($K$388:$N$400,W308,3)*(2*(J308-$T$405)/(T308-$T$405)-1)^2</x:f>
        <x:v>114.29409856976842</x:v>
      </x:c>
      <x:c r="N308" s="8" t="n">
        <x:f>K308-M308</x:f>
        <x:v>26.705901430231577</x:v>
      </x:c>
      <x:c r="O308" s="8" t="n">
        <x:f>ABS(N308)</x:f>
        <x:v>26.705901430231577</x:v>
      </x:c>
      <x:c r="P308" s="8" t="n">
        <x:f>N308^2</x:f>
        <x:v>713.205171201245</x:v>
      </x:c>
      <x:c r="Q308" s="8" t="n">
        <x:f>K308-L308</x:f>
        <x:v>-7</x:v>
      </x:c>
      <x:c r="R308" s="9" t="n">
        <x:f>IF(AND(INDEX('Сводка'!$T$3:$T$397,U308)=0,INDEX('Сводка'!$T$3:$T$397,V308)=0),1,0)</x:f>
        <x:v>1</x:v>
      </x:c>
      <x:c r="S308" s="9" t="n">
        <x:f>IF(AND(R308=1,O308&lt;=$G$13),1,0)</x:f>
        <x:v>0</x:v>
      </x:c>
      <x:c r="T308" s="10" t="n">
        <x:f>EOMONTH(J308-'Сводка'!$B$11,-1)</x:f>
        <x:v>46142</x:v>
      </x:c>
      <x:c r="U308" s="4" t="n">
        <x:f>MATCH(J308,'Сводка'!$R$3:$R$397,0)</x:f>
        <x:v>319</x:v>
      </x:c>
      <x:c r="V308" s="4" t="n">
        <x:f>MATCH(J308-'Сводка'!$B$11,'Сводка'!$R$3:$R$397,0)</x:f>
        <x:v>318</x:v>
      </x:c>
      <x:c r="W308" s="4" t="n">
        <x:f>MATCH(T308,$J$388:$J$400,0)</x:f>
        <x:v>11</x:v>
      </x:c>
      <x:c r="X308" s="3"/>
      <x:c r="Y308" s="3"/>
      <x:c r="Z308" s="3"/>
    </x:row>
    <x:row r="309" ht="15" customHeight="1">
      <x:c r="A309" s="3"/>
      <x:c r="B309" s="3"/>
      <x:c r="C309" s="3"/>
      <x:c r="D309" s="3"/>
      <x:c r="E309" s="3"/>
      <x:c r="F309" s="3"/>
      <x:c r="G309" s="3"/>
      <x:c r="H309" s="3"/>
      <x:c r="I309" s="3"/>
      <x:c r="J309" s="10" t="n">
        <x:v>46160</x:v>
      </x:c>
      <x:c r="K309" s="8" t="n">
        <x:f>INDEX('Сводка'!$S$3:$S$397,U309)</x:f>
        <x:v>139</x:v>
      </x:c>
      <x:c r="L309" s="8" t="n">
        <x:f>INDEX('Сводка'!$S$3:$S$397,V309)</x:f>
        <x:v>141</x:v>
      </x:c>
      <x:c r="M309" s="8" t="n">
        <x:f>INDEX($K$388:$N$400,W309,1)+INDEX($K$388:$N$400,W309,2)*(2*(J309-$T$405)/(T309-$T$405)-1)^1+INDEX($K$388:$N$400,W309,3)*(2*(J309-$T$405)/(T309-$T$405)-1)^2</x:f>
        <x:v>114.28326164584773</x:v>
      </x:c>
      <x:c r="N309" s="8" t="n">
        <x:f>K309-M309</x:f>
        <x:v>24.71673835415227</x:v>
      </x:c>
      <x:c r="O309" s="8" t="n">
        <x:f>ABS(N309)</x:f>
        <x:v>24.71673835415227</x:v>
      </x:c>
      <x:c r="P309" s="8" t="n">
        <x:f>N309^2</x:f>
        <x:v>610.9171548676219</x:v>
      </x:c>
      <x:c r="Q309" s="8" t="n">
        <x:f>K309-L309</x:f>
        <x:v>-2</x:v>
      </x:c>
      <x:c r="R309" s="9" t="n">
        <x:f>IF(AND(INDEX('Сводка'!$T$3:$T$397,U309)=0,INDEX('Сводка'!$T$3:$T$397,V309)=0),1,0)</x:f>
        <x:v>1</x:v>
      </x:c>
      <x:c r="S309" s="9" t="n">
        <x:f>IF(AND(R309=1,O309&lt;=$G$13),1,0)</x:f>
        <x:v>0</x:v>
      </x:c>
      <x:c r="T309" s="10" t="n">
        <x:f>EOMONTH(J309-'Сводка'!$B$11,-1)</x:f>
        <x:v>46142</x:v>
      </x:c>
      <x:c r="U309" s="4" t="n">
        <x:f>MATCH(J309,'Сводка'!$R$3:$R$397,0)</x:f>
        <x:v>320</x:v>
      </x:c>
      <x:c r="V309" s="4" t="n">
        <x:f>MATCH(J309-'Сводка'!$B$11,'Сводка'!$R$3:$R$397,0)</x:f>
        <x:v>319</x:v>
      </x:c>
      <x:c r="W309" s="4" t="n">
        <x:f>MATCH(T309,$J$388:$J$400,0)</x:f>
        <x:v>11</x:v>
      </x:c>
      <x:c r="X309" s="3"/>
      <x:c r="Y309" s="3"/>
      <x:c r="Z309" s="3"/>
    </x:row>
    <x:row r="310" ht="15" customHeight="1">
      <x:c r="A310" s="3"/>
      <x:c r="B310" s="3"/>
      <x:c r="C310" s="3"/>
      <x:c r="D310" s="3"/>
      <x:c r="E310" s="3"/>
      <x:c r="F310" s="3"/>
      <x:c r="G310" s="3"/>
      <x:c r="H310" s="3"/>
      <x:c r="I310" s="3"/>
      <x:c r="J310" s="10" t="n">
        <x:v>46161</x:v>
      </x:c>
      <x:c r="K310" s="8" t="n">
        <x:f>INDEX('Сводка'!$S$3:$S$397,U310)</x:f>
        <x:v>135</x:v>
      </x:c>
      <x:c r="L310" s="8" t="n">
        <x:f>INDEX('Сводка'!$S$3:$S$397,V310)</x:f>
        <x:v>139</x:v>
      </x:c>
      <x:c r="M310" s="8" t="n">
        <x:f>INDEX($K$388:$N$400,W310,1)+INDEX($K$388:$N$400,W310,2)*(2*(J310-$T$405)/(T310-$T$405)-1)^1+INDEX($K$388:$N$400,W310,3)*(2*(J310-$T$405)/(T310-$T$405)-1)^2</x:f>
        <x:v>114.27241755305154</x:v>
      </x:c>
      <x:c r="N310" s="8" t="n">
        <x:f>K310-M310</x:f>
        <x:v>20.72758244694846</x:v>
      </x:c>
      <x:c r="O310" s="8" t="n">
        <x:f>ABS(N310)</x:f>
        <x:v>20.72758244694846</x:v>
      </x:c>
      <x:c r="P310" s="8" t="n">
        <x:f>N310^2</x:f>
        <x:v>429.6326740950459</x:v>
      </x:c>
      <x:c r="Q310" s="8" t="n">
        <x:f>K310-L310</x:f>
        <x:v>-4</x:v>
      </x:c>
      <x:c r="R310" s="9" t="n">
        <x:f>IF(AND(INDEX('Сводка'!$T$3:$T$397,U310)=0,INDEX('Сводка'!$T$3:$T$397,V310)=0),1,0)</x:f>
        <x:v>1</x:v>
      </x:c>
      <x:c r="S310" s="9" t="n">
        <x:f>IF(AND(R310=1,O310&lt;=$G$13),1,0)</x:f>
        <x:v>0</x:v>
      </x:c>
      <x:c r="T310" s="10" t="n">
        <x:f>EOMONTH(J310-'Сводка'!$B$11,-1)</x:f>
        <x:v>46142</x:v>
      </x:c>
      <x:c r="U310" s="4" t="n">
        <x:f>MATCH(J310,'Сводка'!$R$3:$R$397,0)</x:f>
        <x:v>321</x:v>
      </x:c>
      <x:c r="V310" s="4" t="n">
        <x:f>MATCH(J310-'Сводка'!$B$11,'Сводка'!$R$3:$R$397,0)</x:f>
        <x:v>320</x:v>
      </x:c>
      <x:c r="W310" s="4" t="n">
        <x:f>MATCH(T310,$J$388:$J$400,0)</x:f>
        <x:v>11</x:v>
      </x:c>
      <x:c r="X310" s="3"/>
      <x:c r="Y310" s="3"/>
      <x:c r="Z310" s="3"/>
    </x:row>
    <x:row r="311" ht="15" customHeight="1">
      <x:c r="A311" s="3"/>
      <x:c r="B311" s="3"/>
      <x:c r="C311" s="3"/>
      <x:c r="D311" s="3"/>
      <x:c r="E311" s="3"/>
      <x:c r="F311" s="3"/>
      <x:c r="G311" s="3"/>
      <x:c r="H311" s="3"/>
      <x:c r="I311" s="3"/>
      <x:c r="J311" s="10" t="n">
        <x:v>46162</x:v>
      </x:c>
      <x:c r="K311" s="8" t="n">
        <x:f>INDEX('Сводка'!$S$3:$S$397,U311)</x:f>
        <x:v>135</x:v>
      </x:c>
      <x:c r="L311" s="8" t="n">
        <x:f>INDEX('Сводка'!$S$3:$S$397,V311)</x:f>
        <x:v>135</x:v>
      </x:c>
      <x:c r="M311" s="8" t="n">
        <x:f>INDEX($K$388:$N$400,W311,1)+INDEX($K$388:$N$400,W311,2)*(2*(J311-$T$405)/(T311-$T$405)-1)^1+INDEX($K$388:$N$400,W311,3)*(2*(J311-$T$405)/(T311-$T$405)-1)^2</x:f>
        <x:v>114.26156629137989</x:v>
      </x:c>
      <x:c r="N311" s="8" t="n">
        <x:f>K311-M311</x:f>
        <x:v>20.738433708620107</x:v>
      </x:c>
      <x:c r="O311" s="8" t="n">
        <x:f>ABS(N311)</x:f>
        <x:v>20.738433708620107</x:v>
      </x:c>
      <x:c r="P311" s="8" t="n">
        <x:f>N311^2</x:f>
        <x:v>430.0826326868307</x:v>
      </x:c>
      <x:c r="Q311" s="8" t="n">
        <x:f>K311-L311</x:f>
        <x:v>0</x:v>
      </x:c>
      <x:c r="R311" s="9" t="n">
        <x:f>IF(AND(INDEX('Сводка'!$T$3:$T$397,U311)=0,INDEX('Сводка'!$T$3:$T$397,V311)=0),1,0)</x:f>
        <x:v>1</x:v>
      </x:c>
      <x:c r="S311" s="9" t="n">
        <x:f>IF(AND(R311=1,O311&lt;=$G$13),1,0)</x:f>
        <x:v>0</x:v>
      </x:c>
      <x:c r="T311" s="10" t="n">
        <x:f>EOMONTH(J311-'Сводка'!$B$11,-1)</x:f>
        <x:v>46142</x:v>
      </x:c>
      <x:c r="U311" s="4" t="n">
        <x:f>MATCH(J311,'Сводка'!$R$3:$R$397,0)</x:f>
        <x:v>322</x:v>
      </x:c>
      <x:c r="V311" s="4" t="n">
        <x:f>MATCH(J311-'Сводка'!$B$11,'Сводка'!$R$3:$R$397,0)</x:f>
        <x:v>321</x:v>
      </x:c>
      <x:c r="W311" s="4" t="n">
        <x:f>MATCH(T311,$J$388:$J$400,0)</x:f>
        <x:v>11</x:v>
      </x:c>
      <x:c r="X311" s="3"/>
      <x:c r="Y311" s="3"/>
      <x:c r="Z311" s="3"/>
    </x:row>
    <x:row r="312" ht="15" customHeight="1">
      <x:c r="A312" s="3"/>
      <x:c r="B312" s="3"/>
      <x:c r="C312" s="3"/>
      <x:c r="D312" s="3"/>
      <x:c r="E312" s="3"/>
      <x:c r="F312" s="3"/>
      <x:c r="G312" s="3"/>
      <x:c r="H312" s="3"/>
      <x:c r="I312" s="3"/>
      <x:c r="J312" s="10" t="n">
        <x:v>46163</x:v>
      </x:c>
      <x:c r="K312" s="8" t="n">
        <x:f>INDEX('Сводка'!$S$3:$S$397,U312)</x:f>
        <x:v>134</x:v>
      </x:c>
      <x:c r="L312" s="8" t="n">
        <x:f>INDEX('Сводка'!$S$3:$S$397,V312)</x:f>
        <x:v>135</x:v>
      </x:c>
      <x:c r="M312" s="8" t="n">
        <x:f>INDEX($K$388:$N$400,W312,1)+INDEX($K$388:$N$400,W312,2)*(2*(J312-$T$405)/(T312-$T$405)-1)^1+INDEX($K$388:$N$400,W312,3)*(2*(J312-$T$405)/(T312-$T$405)-1)^2</x:f>
        <x:v>114.25070786083268</x:v>
      </x:c>
      <x:c r="N312" s="8" t="n">
        <x:f>K312-M312</x:f>
        <x:v>19.749292139167324</x:v>
      </x:c>
      <x:c r="O312" s="8" t="n">
        <x:f>ABS(N312)</x:f>
        <x:v>19.749292139167324</x:v>
      </x:c>
      <x:c r="P312" s="8" t="n">
        <x:f>N312^2</x:f>
        <x:v>390.03453999817623</x:v>
      </x:c>
      <x:c r="Q312" s="8" t="n">
        <x:f>K312-L312</x:f>
        <x:v>-1</x:v>
      </x:c>
      <x:c r="R312" s="9" t="n">
        <x:f>IF(AND(INDEX('Сводка'!$T$3:$T$397,U312)=0,INDEX('Сводка'!$T$3:$T$397,V312)=0),1,0)</x:f>
        <x:v>1</x:v>
      </x:c>
      <x:c r="S312" s="9" t="n">
        <x:f>IF(AND(R312=1,O312&lt;=$G$13),1,0)</x:f>
        <x:v>0</x:v>
      </x:c>
      <x:c r="T312" s="10" t="n">
        <x:f>EOMONTH(J312-'Сводка'!$B$11,-1)</x:f>
        <x:v>46142</x:v>
      </x:c>
      <x:c r="U312" s="4" t="n">
        <x:f>MATCH(J312,'Сводка'!$R$3:$R$397,0)</x:f>
        <x:v>323</x:v>
      </x:c>
      <x:c r="V312" s="4" t="n">
        <x:f>MATCH(J312-'Сводка'!$B$11,'Сводка'!$R$3:$R$397,0)</x:f>
        <x:v>322</x:v>
      </x:c>
      <x:c r="W312" s="4" t="n">
        <x:f>MATCH(T312,$J$388:$J$400,0)</x:f>
        <x:v>11</x:v>
      </x:c>
      <x:c r="X312" s="3"/>
      <x:c r="Y312" s="3"/>
      <x:c r="Z312" s="3"/>
    </x:row>
    <x:row r="313" ht="15" customHeight="1">
      <x:c r="A313" s="3"/>
      <x:c r="B313" s="3"/>
      <x:c r="C313" s="3"/>
      <x:c r="D313" s="3"/>
      <x:c r="E313" s="3"/>
      <x:c r="F313" s="3"/>
      <x:c r="G313" s="3"/>
      <x:c r="H313" s="3"/>
      <x:c r="I313" s="3"/>
      <x:c r="J313" s="10" t="n">
        <x:v>46164</x:v>
      </x:c>
      <x:c r="K313" s="8" t="n">
        <x:f>INDEX('Сводка'!$S$3:$S$397,U313)</x:f>
        <x:v>131</x:v>
      </x:c>
      <x:c r="L313" s="8" t="n">
        <x:f>INDEX('Сводка'!$S$3:$S$397,V313)</x:f>
        <x:v>134</x:v>
      </x:c>
      <x:c r="M313" s="8" t="n">
        <x:f>INDEX($K$388:$N$400,W313,1)+INDEX($K$388:$N$400,W313,2)*(2*(J313-$T$405)/(T313-$T$405)-1)^1+INDEX($K$388:$N$400,W313,3)*(2*(J313-$T$405)/(T313-$T$405)-1)^2</x:f>
        <x:v>114.23984226141</x:v>
      </x:c>
      <x:c r="N313" s="8" t="n">
        <x:f>K313-M313</x:f>
        <x:v>16.760157738589996</x:v>
      </x:c>
      <x:c r="O313" s="8" t="n">
        <x:f>ABS(N313)</x:f>
        <x:v>16.760157738589996</x:v>
      </x:c>
      <x:c r="P313" s="8" t="n">
        <x:f>N313^2</x:f>
        <x:v>280.90288742241813</x:v>
      </x:c>
      <x:c r="Q313" s="8" t="n">
        <x:f>K313-L313</x:f>
        <x:v>-3</x:v>
      </x:c>
      <x:c r="R313" s="9" t="n">
        <x:f>IF(AND(INDEX('Сводка'!$T$3:$T$397,U313)=0,INDEX('Сводка'!$T$3:$T$397,V313)=0),1,0)</x:f>
        <x:v>1</x:v>
      </x:c>
      <x:c r="S313" s="9" t="n">
        <x:f>IF(AND(R313=1,O313&lt;=$G$13),1,0)</x:f>
        <x:v>0</x:v>
      </x:c>
      <x:c r="T313" s="10" t="n">
        <x:f>EOMONTH(J313-'Сводка'!$B$11,-1)</x:f>
        <x:v>46142</x:v>
      </x:c>
      <x:c r="U313" s="4" t="n">
        <x:f>MATCH(J313,'Сводка'!$R$3:$R$397,0)</x:f>
        <x:v>324</x:v>
      </x:c>
      <x:c r="V313" s="4" t="n">
        <x:f>MATCH(J313-'Сводка'!$B$11,'Сводка'!$R$3:$R$397,0)</x:f>
        <x:v>323</x:v>
      </x:c>
      <x:c r="W313" s="4" t="n">
        <x:f>MATCH(T313,$J$388:$J$400,0)</x:f>
        <x:v>11</x:v>
      </x:c>
      <x:c r="X313" s="3"/>
      <x:c r="Y313" s="3"/>
      <x:c r="Z313" s="3"/>
    </x:row>
    <x:row r="314" ht="15" customHeight="1">
      <x:c r="A314" s="3"/>
      <x:c r="B314" s="3"/>
      <x:c r="C314" s="3"/>
      <x:c r="D314" s="3"/>
      <x:c r="E314" s="3"/>
      <x:c r="F314" s="3"/>
      <x:c r="G314" s="3"/>
      <x:c r="H314" s="3"/>
      <x:c r="I314" s="3"/>
      <x:c r="J314" s="10" t="n">
        <x:v>46165</x:v>
      </x:c>
      <x:c r="K314" s="8" t="n">
        <x:f>INDEX('Сводка'!$S$3:$S$397,U314)</x:f>
        <x:v>126</x:v>
      </x:c>
      <x:c r="L314" s="8" t="n">
        <x:f>INDEX('Сводка'!$S$3:$S$397,V314)</x:f>
        <x:v>131</x:v>
      </x:c>
      <x:c r="M314" s="8" t="n">
        <x:f>INDEX($K$388:$N$400,W314,1)+INDEX($K$388:$N$400,W314,2)*(2*(J314-$T$405)/(T314-$T$405)-1)^1+INDEX($K$388:$N$400,W314,3)*(2*(J314-$T$405)/(T314-$T$405)-1)^2</x:f>
        <x:v>114.2289694931118</x:v>
      </x:c>
      <x:c r="N314" s="8" t="n">
        <x:f>K314-M314</x:f>
        <x:v>11.771030506888195</x:v>
      </x:c>
      <x:c r="O314" s="8" t="n">
        <x:f>ABS(N314)</x:f>
        <x:v>11.771030506888195</x:v>
      </x:c>
      <x:c r="P314" s="8" t="n">
        <x:f>N314^2</x:f>
        <x:v>138.55715919409255</x:v>
      </x:c>
      <x:c r="Q314" s="8" t="n">
        <x:f>K314-L314</x:f>
        <x:v>-5</x:v>
      </x:c>
      <x:c r="R314" s="9" t="n">
        <x:f>IF(AND(INDEX('Сводка'!$T$3:$T$397,U314)=0,INDEX('Сводка'!$T$3:$T$397,V314)=0),1,0)</x:f>
        <x:v>1</x:v>
      </x:c>
      <x:c r="S314" s="9" t="n">
        <x:f>IF(AND(R314=1,O314&lt;=$G$13),1,0)</x:f>
        <x:v>0</x:v>
      </x:c>
      <x:c r="T314" s="10" t="n">
        <x:f>EOMONTH(J314-'Сводка'!$B$11,-1)</x:f>
        <x:v>46142</x:v>
      </x:c>
      <x:c r="U314" s="4" t="n">
        <x:f>MATCH(J314,'Сводка'!$R$3:$R$397,0)</x:f>
        <x:v>325</x:v>
      </x:c>
      <x:c r="V314" s="4" t="n">
        <x:f>MATCH(J314-'Сводка'!$B$11,'Сводка'!$R$3:$R$397,0)</x:f>
        <x:v>324</x:v>
      </x:c>
      <x:c r="W314" s="4" t="n">
        <x:f>MATCH(T314,$J$388:$J$400,0)</x:f>
        <x:v>11</x:v>
      </x:c>
      <x:c r="X314" s="3"/>
      <x:c r="Y314" s="3"/>
      <x:c r="Z314" s="3"/>
    </x:row>
    <x:row r="315" ht="15" customHeight="1">
      <x:c r="A315" s="3"/>
      <x:c r="B315" s="3"/>
      <x:c r="C315" s="3"/>
      <x:c r="D315" s="3"/>
      <x:c r="E315" s="3"/>
      <x:c r="F315" s="3"/>
      <x:c r="G315" s="3"/>
      <x:c r="H315" s="3"/>
      <x:c r="I315" s="3"/>
      <x:c r="J315" s="10" t="n">
        <x:v>46166</x:v>
      </x:c>
      <x:c r="K315" s="8" t="n">
        <x:f>INDEX('Сводка'!$S$3:$S$397,U315)</x:f>
        <x:v>119</x:v>
      </x:c>
      <x:c r="L315" s="8" t="n">
        <x:f>INDEX('Сводка'!$S$3:$S$397,V315)</x:f>
        <x:v>126</x:v>
      </x:c>
      <x:c r="M315" s="8" t="n">
        <x:f>INDEX($K$388:$N$400,W315,1)+INDEX($K$388:$N$400,W315,2)*(2*(J315-$T$405)/(T315-$T$405)-1)^1+INDEX($K$388:$N$400,W315,3)*(2*(J315-$T$405)/(T315-$T$405)-1)^2</x:f>
        <x:v>114.21808955593809</x:v>
      </x:c>
      <x:c r="N315" s="8" t="n">
        <x:f>K315-M315</x:f>
        <x:v>4.781910444061907</x:v>
      </x:c>
      <x:c r="O315" s="8" t="n">
        <x:f>ABS(N315)</x:f>
        <x:v>4.781910444061907</x:v>
      </x:c>
      <x:c r="P315" s="8" t="n">
        <x:f>N315^2</x:f>
        <x:v>22.866667495028345</x:v>
      </x:c>
      <x:c r="Q315" s="8" t="n">
        <x:f>K315-L315</x:f>
        <x:v>-7</x:v>
      </x:c>
      <x:c r="R315" s="9" t="n">
        <x:f>IF(AND(INDEX('Сводка'!$T$3:$T$397,U315)=0,INDEX('Сводка'!$T$3:$T$397,V315)=0),1,0)</x:f>
        <x:v>1</x:v>
      </x:c>
      <x:c r="S315" s="9" t="n">
        <x:f>IF(AND(R315=1,O315&lt;=$G$13),1,0)</x:f>
        <x:v>1</x:v>
      </x:c>
      <x:c r="T315" s="10" t="n">
        <x:f>EOMONTH(J315-'Сводка'!$B$11,-1)</x:f>
        <x:v>46142</x:v>
      </x:c>
      <x:c r="U315" s="4" t="n">
        <x:f>MATCH(J315,'Сводка'!$R$3:$R$397,0)</x:f>
        <x:v>326</x:v>
      </x:c>
      <x:c r="V315" s="4" t="n">
        <x:f>MATCH(J315-'Сводка'!$B$11,'Сводка'!$R$3:$R$397,0)</x:f>
        <x:v>325</x:v>
      </x:c>
      <x:c r="W315" s="4" t="n">
        <x:f>MATCH(T315,$J$388:$J$400,0)</x:f>
        <x:v>11</x:v>
      </x:c>
      <x:c r="X315" s="3"/>
      <x:c r="Y315" s="3"/>
      <x:c r="Z315" s="3"/>
    </x:row>
    <x:row r="316" ht="15" customHeight="1">
      <x:c r="A316" s="3"/>
      <x:c r="B316" s="3"/>
      <x:c r="C316" s="3"/>
      <x:c r="D316" s="3"/>
      <x:c r="E316" s="3"/>
      <x:c r="F316" s="3"/>
      <x:c r="G316" s="3"/>
      <x:c r="H316" s="3"/>
      <x:c r="I316" s="3"/>
      <x:c r="J316" s="10" t="n">
        <x:v>46167</x:v>
      </x:c>
      <x:c r="K316" s="8" t="n">
        <x:f>INDEX('Сводка'!$S$3:$S$397,U316)</x:f>
        <x:v>114</x:v>
      </x:c>
      <x:c r="L316" s="8" t="n">
        <x:f>INDEX('Сводка'!$S$3:$S$397,V316)</x:f>
        <x:v>119</x:v>
      </x:c>
      <x:c r="M316" s="8" t="n">
        <x:f>INDEX($K$388:$N$400,W316,1)+INDEX($K$388:$N$400,W316,2)*(2*(J316-$T$405)/(T316-$T$405)-1)^1+INDEX($K$388:$N$400,W316,3)*(2*(J316-$T$405)/(T316-$T$405)-1)^2</x:f>
        <x:v>114.20720244988888</x:v>
      </x:c>
      <x:c r="N316" s="8" t="n">
        <x:f>K316-M316</x:f>
        <x:v>-0.20720244988888226</x:v>
      </x:c>
      <x:c r="O316" s="8" t="n">
        <x:f>ABS(N316)</x:f>
        <x:v>0.20720244988888226</x:v>
      </x:c>
      <x:c r="P316" s="8" t="n">
        <x:f>N316^2</x:f>
        <x:v>0.04293285523995476</x:v>
      </x:c>
      <x:c r="Q316" s="8" t="n">
        <x:f>K316-L316</x:f>
        <x:v>-5</x:v>
      </x:c>
      <x:c r="R316" s="9" t="n">
        <x:f>IF(AND(INDEX('Сводка'!$T$3:$T$397,U316)=0,INDEX('Сводка'!$T$3:$T$397,V316)=0),1,0)</x:f>
        <x:v>1</x:v>
      </x:c>
      <x:c r="S316" s="9" t="n">
        <x:f>IF(AND(R316=1,O316&lt;=$G$13),1,0)</x:f>
        <x:v>1</x:v>
      </x:c>
      <x:c r="T316" s="10" t="n">
        <x:f>EOMONTH(J316-'Сводка'!$B$11,-1)</x:f>
        <x:v>46142</x:v>
      </x:c>
      <x:c r="U316" s="4" t="n">
        <x:f>MATCH(J316,'Сводка'!$R$3:$R$397,0)</x:f>
        <x:v>327</x:v>
      </x:c>
      <x:c r="V316" s="4" t="n">
        <x:f>MATCH(J316-'Сводка'!$B$11,'Сводка'!$R$3:$R$397,0)</x:f>
        <x:v>326</x:v>
      </x:c>
      <x:c r="W316" s="4" t="n">
        <x:f>MATCH(T316,$J$388:$J$400,0)</x:f>
        <x:v>11</x:v>
      </x:c>
      <x:c r="X316" s="3"/>
      <x:c r="Y316" s="3"/>
      <x:c r="Z316" s="3"/>
    </x:row>
    <x:row r="317" ht="15" customHeight="1">
      <x:c r="A317" s="3"/>
      <x:c r="B317" s="3"/>
      <x:c r="C317" s="3"/>
      <x:c r="D317" s="3"/>
      <x:c r="E317" s="3"/>
      <x:c r="F317" s="3"/>
      <x:c r="G317" s="3"/>
      <x:c r="H317" s="3"/>
      <x:c r="I317" s="3"/>
      <x:c r="J317" s="10" t="n">
        <x:v>46168</x:v>
      </x:c>
      <x:c r="K317" s="8" t="n">
        <x:f>INDEX('Сводка'!$S$3:$S$397,U317)</x:f>
        <x:v>106</x:v>
      </x:c>
      <x:c r="L317" s="8" t="n">
        <x:f>INDEX('Сводка'!$S$3:$S$397,V317)</x:f>
        <x:v>114</x:v>
      </x:c>
      <x:c r="M317" s="8" t="n">
        <x:f>INDEX($K$388:$N$400,W317,1)+INDEX($K$388:$N$400,W317,2)*(2*(J317-$T$405)/(T317-$T$405)-1)^1+INDEX($K$388:$N$400,W317,3)*(2*(J317-$T$405)/(T317-$T$405)-1)^2</x:f>
        <x:v>114.19630817496414</x:v>
      </x:c>
      <x:c r="N317" s="8" t="n">
        <x:f>K317-M317</x:f>
        <x:v>-8.196308174964145</x:v>
      </x:c>
      <x:c r="O317" s="8" t="n">
        <x:f>ABS(N317)</x:f>
        <x:v>8.196308174964145</x:v>
      </x:c>
      <x:c r="P317" s="8" t="n">
        <x:f>N317^2</x:f>
        <x:v>67.17946769898407</x:v>
      </x:c>
      <x:c r="Q317" s="8" t="n">
        <x:f>K317-L317</x:f>
        <x:v>-8</x:v>
      </x:c>
      <x:c r="R317" s="9" t="n">
        <x:f>IF(AND(INDEX('Сводка'!$T$3:$T$397,U317)=0,INDEX('Сводка'!$T$3:$T$397,V317)=0),1,0)</x:f>
        <x:v>1</x:v>
      </x:c>
      <x:c r="S317" s="9" t="n">
        <x:f>IF(AND(R317=1,O317&lt;=$G$13),1,0)</x:f>
        <x:v>0</x:v>
      </x:c>
      <x:c r="T317" s="10" t="n">
        <x:f>EOMONTH(J317-'Сводка'!$B$11,-1)</x:f>
        <x:v>46142</x:v>
      </x:c>
      <x:c r="U317" s="4" t="n">
        <x:f>MATCH(J317,'Сводка'!$R$3:$R$397,0)</x:f>
        <x:v>328</x:v>
      </x:c>
      <x:c r="V317" s="4" t="n">
        <x:f>MATCH(J317-'Сводка'!$B$11,'Сводка'!$R$3:$R$397,0)</x:f>
        <x:v>327</x:v>
      </x:c>
      <x:c r="W317" s="4" t="n">
        <x:f>MATCH(T317,$J$388:$J$400,0)</x:f>
        <x:v>11</x:v>
      </x:c>
      <x:c r="X317" s="3"/>
      <x:c r="Y317" s="3"/>
      <x:c r="Z317" s="3"/>
    </x:row>
    <x:row r="318" ht="15" customHeight="1">
      <x:c r="A318" s="3"/>
      <x:c r="B318" s="3"/>
      <x:c r="C318" s="3"/>
      <x:c r="D318" s="3"/>
      <x:c r="E318" s="3"/>
      <x:c r="F318" s="3"/>
      <x:c r="G318" s="3"/>
      <x:c r="H318" s="3"/>
      <x:c r="I318" s="3"/>
      <x:c r="J318" s="10" t="n">
        <x:v>46169</x:v>
      </x:c>
      <x:c r="K318" s="8" t="n">
        <x:f>INDEX('Сводка'!$S$3:$S$397,U318)</x:f>
        <x:v>101</x:v>
      </x:c>
      <x:c r="L318" s="8" t="n">
        <x:f>INDEX('Сводка'!$S$3:$S$397,V318)</x:f>
        <x:v>106</x:v>
      </x:c>
      <x:c r="M318" s="8" t="n">
        <x:f>INDEX($K$388:$N$400,W318,1)+INDEX($K$388:$N$400,W318,2)*(2*(J318-$T$405)/(T318-$T$405)-1)^1+INDEX($K$388:$N$400,W318,3)*(2*(J318-$T$405)/(T318-$T$405)-1)^2</x:f>
        <x:v>114.18540673116398</x:v>
      </x:c>
      <x:c r="N318" s="8" t="n">
        <x:f>K318-M318</x:f>
        <x:v>-13.18540673116398</x:v>
      </x:c>
      <x:c r="O318" s="8" t="n">
        <x:f>ABS(N318)</x:f>
        <x:v>13.18540673116398</x:v>
      </x:c>
      <x:c r="P318" s="8" t="n">
        <x:f>N318^2</x:f>
        <x:v>173.85495066622437</x:v>
      </x:c>
      <x:c r="Q318" s="8" t="n">
        <x:f>K318-L318</x:f>
        <x:v>-5</x:v>
      </x:c>
      <x:c r="R318" s="9" t="n">
        <x:f>IF(AND(INDEX('Сводка'!$T$3:$T$397,U318)=0,INDEX('Сводка'!$T$3:$T$397,V318)=0),1,0)</x:f>
        <x:v>1</x:v>
      </x:c>
      <x:c r="S318" s="9" t="n">
        <x:f>IF(AND(R318=1,O318&lt;=$G$13),1,0)</x:f>
        <x:v>0</x:v>
      </x:c>
      <x:c r="T318" s="10" t="n">
        <x:f>EOMONTH(J318-'Сводка'!$B$11,-1)</x:f>
        <x:v>46142</x:v>
      </x:c>
      <x:c r="U318" s="4" t="n">
        <x:f>MATCH(J318,'Сводка'!$R$3:$R$397,0)</x:f>
        <x:v>329</x:v>
      </x:c>
      <x:c r="V318" s="4" t="n">
        <x:f>MATCH(J318-'Сводка'!$B$11,'Сводка'!$R$3:$R$397,0)</x:f>
        <x:v>328</x:v>
      </x:c>
      <x:c r="W318" s="4" t="n">
        <x:f>MATCH(T318,$J$388:$J$400,0)</x:f>
        <x:v>11</x:v>
      </x:c>
      <x:c r="X318" s="3"/>
      <x:c r="Y318" s="3"/>
      <x:c r="Z318" s="3"/>
    </x:row>
    <x:row r="319" ht="15" customHeight="1">
      <x:c r="A319" s="3"/>
      <x:c r="B319" s="3"/>
      <x:c r="C319" s="3"/>
      <x:c r="D319" s="3"/>
      <x:c r="E319" s="3"/>
      <x:c r="F319" s="3"/>
      <x:c r="G319" s="3"/>
      <x:c r="H319" s="3"/>
      <x:c r="I319" s="3"/>
      <x:c r="J319" s="10" t="n">
        <x:v>46170</x:v>
      </x:c>
      <x:c r="K319" s="8" t="n">
        <x:f>INDEX('Сводка'!$S$3:$S$397,U319)</x:f>
        <x:v>95</x:v>
      </x:c>
      <x:c r="L319" s="8" t="n">
        <x:f>INDEX('Сводка'!$S$3:$S$397,V319)</x:f>
        <x:v>101</x:v>
      </x:c>
      <x:c r="M319" s="8" t="n">
        <x:f>INDEX($K$388:$N$400,W319,1)+INDEX($K$388:$N$400,W319,2)*(2*(J319-$T$405)/(T319-$T$405)-1)^1+INDEX($K$388:$N$400,W319,3)*(2*(J319-$T$405)/(T319-$T$405)-1)^2</x:f>
        <x:v>114.17449811848826</x:v>
      </x:c>
      <x:c r="N319" s="8" t="n">
        <x:f>K319-M319</x:f>
        <x:v>-19.17449811848826</x:v>
      </x:c>
      <x:c r="O319" s="8" t="n">
        <x:f>ABS(N319)</x:f>
        <x:v>19.17449811848826</x:v>
      </x:c>
      <x:c r="P319" s="8" t="n">
        <x:f>N319^2</x:f>
        <x:v>367.6613780959098</x:v>
      </x:c>
      <x:c r="Q319" s="8" t="n">
        <x:f>K319-L319</x:f>
        <x:v>-6</x:v>
      </x:c>
      <x:c r="R319" s="9" t="n">
        <x:f>IF(AND(INDEX('Сводка'!$T$3:$T$397,U319)=0,INDEX('Сводка'!$T$3:$T$397,V319)=0),1,0)</x:f>
        <x:v>1</x:v>
      </x:c>
      <x:c r="S319" s="9" t="n">
        <x:f>IF(AND(R319=1,O319&lt;=$G$13),1,0)</x:f>
        <x:v>0</x:v>
      </x:c>
      <x:c r="T319" s="10" t="n">
        <x:f>EOMONTH(J319-'Сводка'!$B$11,-1)</x:f>
        <x:v>46142</x:v>
      </x:c>
      <x:c r="U319" s="4" t="n">
        <x:f>MATCH(J319,'Сводка'!$R$3:$R$397,0)</x:f>
        <x:v>330</x:v>
      </x:c>
      <x:c r="V319" s="4" t="n">
        <x:f>MATCH(J319-'Сводка'!$B$11,'Сводка'!$R$3:$R$397,0)</x:f>
        <x:v>329</x:v>
      </x:c>
      <x:c r="W319" s="4" t="n">
        <x:f>MATCH(T319,$J$388:$J$400,0)</x:f>
        <x:v>11</x:v>
      </x:c>
      <x:c r="X319" s="3"/>
      <x:c r="Y319" s="3"/>
      <x:c r="Z319" s="3"/>
    </x:row>
    <x:row r="320" ht="15" customHeight="1">
      <x:c r="A320" s="3"/>
      <x:c r="B320" s="3"/>
      <x:c r="C320" s="3"/>
      <x:c r="D320" s="3"/>
      <x:c r="E320" s="3"/>
      <x:c r="F320" s="3"/>
      <x:c r="G320" s="3"/>
      <x:c r="H320" s="3"/>
      <x:c r="I320" s="3"/>
      <x:c r="J320" s="10" t="n">
        <x:v>46171</x:v>
      </x:c>
      <x:c r="K320" s="8" t="n">
        <x:f>INDEX('Сводка'!$S$3:$S$397,U320)</x:f>
        <x:v>85</x:v>
      </x:c>
      <x:c r="L320" s="8" t="n">
        <x:f>INDEX('Сводка'!$S$3:$S$397,V320)</x:f>
        <x:v>95</x:v>
      </x:c>
      <x:c r="M320" s="8" t="n">
        <x:f>INDEX($K$388:$N$400,W320,1)+INDEX($K$388:$N$400,W320,2)*(2*(J320-$T$405)/(T320-$T$405)-1)^1+INDEX($K$388:$N$400,W320,3)*(2*(J320-$T$405)/(T320-$T$405)-1)^2</x:f>
        <x:v>114.16358233693701</x:v>
      </x:c>
      <x:c r="N320" s="8" t="n">
        <x:f>K320-M320</x:f>
        <x:v>-29.16358233693701</x:v>
      </x:c>
      <x:c r="O320" s="8" t="n">
        <x:f>ABS(N320)</x:f>
        <x:v>29.16358233693701</x:v>
      </x:c>
      <x:c r="P320" s="8" t="n">
        <x:f>N320^2</x:f>
        <x:v>850.5145347233045</x:v>
      </x:c>
      <x:c r="Q320" s="8" t="n">
        <x:f>K320-L320</x:f>
        <x:v>-10</x:v>
      </x:c>
      <x:c r="R320" s="9" t="n">
        <x:f>IF(AND(INDEX('Сводка'!$T$3:$T$397,U320)=0,INDEX('Сводка'!$T$3:$T$397,V320)=0),1,0)</x:f>
        <x:v>1</x:v>
      </x:c>
      <x:c r="S320" s="9" t="n">
        <x:f>IF(AND(R320=1,O320&lt;=$G$13),1,0)</x:f>
        <x:v>0</x:v>
      </x:c>
      <x:c r="T320" s="10" t="n">
        <x:f>EOMONTH(J320-'Сводка'!$B$11,-1)</x:f>
        <x:v>46142</x:v>
      </x:c>
      <x:c r="U320" s="4" t="n">
        <x:f>MATCH(J320,'Сводка'!$R$3:$R$397,0)</x:f>
        <x:v>331</x:v>
      </x:c>
      <x:c r="V320" s="4" t="n">
        <x:f>MATCH(J320-'Сводка'!$B$11,'Сводка'!$R$3:$R$397,0)</x:f>
        <x:v>330</x:v>
      </x:c>
      <x:c r="W320" s="4" t="n">
        <x:f>MATCH(T320,$J$388:$J$400,0)</x:f>
        <x:v>11</x:v>
      </x:c>
      <x:c r="X320" s="3"/>
      <x:c r="Y320" s="3"/>
      <x:c r="Z320" s="3"/>
    </x:row>
    <x:row r="321" ht="15" customHeight="1">
      <x:c r="A321" s="3"/>
      <x:c r="B321" s="3"/>
      <x:c r="C321" s="3"/>
      <x:c r="D321" s="3"/>
      <x:c r="E321" s="3"/>
      <x:c r="F321" s="3"/>
      <x:c r="G321" s="3"/>
      <x:c r="H321" s="3"/>
      <x:c r="I321" s="3"/>
      <x:c r="J321" s="10" t="n">
        <x:v>46172</x:v>
      </x:c>
      <x:c r="K321" s="8" t="n">
        <x:f>INDEX('Сводка'!$S$3:$S$397,U321)</x:f>
        <x:v>77</x:v>
      </x:c>
      <x:c r="L321" s="8" t="n">
        <x:f>INDEX('Сводка'!$S$3:$S$397,V321)</x:f>
        <x:v>85</x:v>
      </x:c>
      <x:c r="M321" s="8" t="n">
        <x:f>INDEX($K$388:$N$400,W321,1)+INDEX($K$388:$N$400,W321,2)*(2*(J321-$T$405)/(T321-$T$405)-1)^1+INDEX($K$388:$N$400,W321,3)*(2*(J321-$T$405)/(T321-$T$405)-1)^2</x:f>
        <x:v>114.15265938651027</x:v>
      </x:c>
      <x:c r="N321" s="8" t="n">
        <x:f>K321-M321</x:f>
        <x:v>-37.152659386510265</x:v>
      </x:c>
      <x:c r="O321" s="8" t="n">
        <x:f>ABS(N321)</x:f>
        <x:v>37.152659386510265</x:v>
      </x:c>
      <x:c r="P321" s="8" t="n">
        <x:f>N321^2</x:f>
        <x:v>1380.3200994900494</x:v>
      </x:c>
      <x:c r="Q321" s="8" t="n">
        <x:f>K321-L321</x:f>
        <x:v>-8</x:v>
      </x:c>
      <x:c r="R321" s="9" t="n">
        <x:f>IF(AND(INDEX('Сводка'!$T$3:$T$397,U321)=0,INDEX('Сводка'!$T$3:$T$397,V321)=0),1,0)</x:f>
        <x:v>1</x:v>
      </x:c>
      <x:c r="S321" s="9" t="n">
        <x:f>IF(AND(R321=1,O321&lt;=$G$13),1,0)</x:f>
        <x:v>0</x:v>
      </x:c>
      <x:c r="T321" s="10" t="n">
        <x:f>EOMONTH(J321-'Сводка'!$B$11,-1)</x:f>
        <x:v>46142</x:v>
      </x:c>
      <x:c r="U321" s="4" t="n">
        <x:f>MATCH(J321,'Сводка'!$R$3:$R$397,0)</x:f>
        <x:v>332</x:v>
      </x:c>
      <x:c r="V321" s="4" t="n">
        <x:f>MATCH(J321-'Сводка'!$B$11,'Сводка'!$R$3:$R$397,0)</x:f>
        <x:v>331</x:v>
      </x:c>
      <x:c r="W321" s="4" t="n">
        <x:f>MATCH(T321,$J$388:$J$400,0)</x:f>
        <x:v>11</x:v>
      </x:c>
      <x:c r="X321" s="3"/>
      <x:c r="Y321" s="3"/>
      <x:c r="Z321" s="3"/>
    </x:row>
    <x:row r="322" ht="15" customHeight="1">
      <x:c r="A322" s="3"/>
      <x:c r="B322" s="3"/>
      <x:c r="C322" s="3"/>
      <x:c r="D322" s="3"/>
      <x:c r="E322" s="3"/>
      <x:c r="F322" s="3"/>
      <x:c r="G322" s="3"/>
      <x:c r="H322" s="3"/>
      <x:c r="I322" s="3"/>
      <x:c r="J322" s="10" t="n">
        <x:v>46173</x:v>
      </x:c>
      <x:c r="K322" s="8" t="n">
        <x:f>INDEX('Сводка'!$S$3:$S$397,U322)</x:f>
        <x:v>70</x:v>
      </x:c>
      <x:c r="L322" s="8" t="n">
        <x:f>INDEX('Сводка'!$S$3:$S$397,V322)</x:f>
        <x:v>77</x:v>
      </x:c>
      <x:c r="M322" s="8" t="n">
        <x:f>INDEX($K$388:$N$400,W322,1)+INDEX($K$388:$N$400,W322,2)*(2*(J322-$T$405)/(T322-$T$405)-1)^1+INDEX($K$388:$N$400,W322,3)*(2*(J322-$T$405)/(T322-$T$405)-1)^2</x:f>
        <x:v>114.14172926720806</x:v>
      </x:c>
      <x:c r="N322" s="8" t="n">
        <x:f>K322-M322</x:f>
        <x:v>-44.14172926720806</x:v>
      </x:c>
      <x:c r="O322" s="8" t="n">
        <x:f>ABS(N322)</x:f>
        <x:v>44.14172926720806</x:v>
      </x:c>
      <x:c r="P322" s="8" t="n">
        <x:f>N322^2</x:f>
        <x:v>1948.4922626994928</x:v>
      </x:c>
      <x:c r="Q322" s="8" t="n">
        <x:f>K322-L322</x:f>
        <x:v>-7</x:v>
      </x:c>
      <x:c r="R322" s="9" t="n">
        <x:f>IF(AND(INDEX('Сводка'!$T$3:$T$397,U322)=0,INDEX('Сводка'!$T$3:$T$397,V322)=0),1,0)</x:f>
        <x:v>1</x:v>
      </x:c>
      <x:c r="S322" s="9" t="n">
        <x:f>IF(AND(R322=1,O322&lt;=$G$13),1,0)</x:f>
        <x:v>0</x:v>
      </x:c>
      <x:c r="T322" s="10" t="n">
        <x:f>EOMONTH(J322-'Сводка'!$B$11,-1)</x:f>
        <x:v>46142</x:v>
      </x:c>
      <x:c r="U322" s="4" t="n">
        <x:f>MATCH(J322,'Сводка'!$R$3:$R$397,0)</x:f>
        <x:v>333</x:v>
      </x:c>
      <x:c r="V322" s="4" t="n">
        <x:f>MATCH(J322-'Сводка'!$B$11,'Сводка'!$R$3:$R$397,0)</x:f>
        <x:v>332</x:v>
      </x:c>
      <x:c r="W322" s="4" t="n">
        <x:f>MATCH(T322,$J$388:$J$400,0)</x:f>
        <x:v>11</x:v>
      </x:c>
      <x:c r="X322" s="3"/>
      <x:c r="Y322" s="3"/>
      <x:c r="Z322" s="3"/>
    </x:row>
    <x:row r="323" ht="15" customHeight="1">
      <x:c r="A323" s="3"/>
      <x:c r="B323" s="3"/>
      <x:c r="C323" s="3"/>
      <x:c r="D323" s="3"/>
      <x:c r="E323" s="3"/>
      <x:c r="F323" s="3"/>
      <x:c r="G323" s="3"/>
      <x:c r="H323" s="3"/>
      <x:c r="I323" s="3"/>
      <x:c r="J323" s="10" t="n">
        <x:v>46174</x:v>
      </x:c>
      <x:c r="K323" s="8" t="n">
        <x:f>INDEX('Сводка'!$S$3:$S$397,U323)</x:f>
        <x:v>64</x:v>
      </x:c>
      <x:c r="L323" s="8" t="n">
        <x:f>INDEX('Сводка'!$S$3:$S$397,V323)</x:f>
        <x:v>70</x:v>
      </x:c>
      <x:c r="M323" s="8" t="n">
        <x:f>INDEX($K$388:$N$400,W323,1)+INDEX($K$388:$N$400,W323,2)*(2*(J323-$T$405)/(T323-$T$405)-1)^1+INDEX($K$388:$N$400,W323,3)*(2*(J323-$T$405)/(T323-$T$405)-1)^2</x:f>
        <x:v>114.1307919790303</x:v>
      </x:c>
      <x:c r="N323" s="8" t="n">
        <x:f>K323-M323</x:f>
        <x:v>-50.130791979030306</x:v>
      </x:c>
      <x:c r="O323" s="8" t="n">
        <x:f>ABS(N323)</x:f>
        <x:v>50.130791979030306</x:v>
      </x:c>
      <x:c r="P323" s="8" t="n">
        <x:f>N323^2</x:f>
        <x:v>2513.0963044448094</x:v>
      </x:c>
      <x:c r="Q323" s="8" t="n">
        <x:f>K323-L323</x:f>
        <x:v>-6</x:v>
      </x:c>
      <x:c r="R323" s="9" t="n">
        <x:f>IF(AND(INDEX('Сводка'!$T$3:$T$397,U323)=0,INDEX('Сводка'!$T$3:$T$397,V323)=0),1,0)</x:f>
        <x:v>1</x:v>
      </x:c>
      <x:c r="S323" s="9" t="n">
        <x:f>IF(AND(R323=1,O323&lt;=$G$13),1,0)</x:f>
        <x:v>0</x:v>
      </x:c>
      <x:c r="T323" s="10" t="n">
        <x:f>EOMONTH(J323-'Сводка'!$B$11,-1)</x:f>
        <x:v>46142</x:v>
      </x:c>
      <x:c r="U323" s="4" t="n">
        <x:f>MATCH(J323,'Сводка'!$R$3:$R$397,0)</x:f>
        <x:v>334</x:v>
      </x:c>
      <x:c r="V323" s="4" t="n">
        <x:f>MATCH(J323-'Сводка'!$B$11,'Сводка'!$R$3:$R$397,0)</x:f>
        <x:v>333</x:v>
      </x:c>
      <x:c r="W323" s="4" t="n">
        <x:f>MATCH(T323,$J$388:$J$400,0)</x:f>
        <x:v>11</x:v>
      </x:c>
      <x:c r="X323" s="3"/>
      <x:c r="Y323" s="3"/>
      <x:c r="Z323" s="3"/>
    </x:row>
    <x:row r="324" ht="15" customHeight="1">
      <x:c r="A324" s="3"/>
      <x:c r="B324" s="3"/>
      <x:c r="C324" s="3"/>
      <x:c r="D324" s="3"/>
      <x:c r="E324" s="3"/>
      <x:c r="F324" s="3"/>
      <x:c r="G324" s="3"/>
      <x:c r="H324" s="3"/>
      <x:c r="I324" s="3"/>
      <x:c r="J324" s="10" t="n">
        <x:v>46175</x:v>
      </x:c>
      <x:c r="K324" s="8" t="n">
        <x:f>INDEX('Сводка'!$S$3:$S$397,U324)</x:f>
        <x:v>62</x:v>
      </x:c>
      <x:c r="L324" s="8" t="n">
        <x:f>INDEX('Сводка'!$S$3:$S$397,V324)</x:f>
        <x:v>64</x:v>
      </x:c>
      <x:c r="M324" s="8" t="n">
        <x:f>INDEX($K$388:$N$400,W324,1)+INDEX($K$388:$N$400,W324,2)*(2*(J324-$T$405)/(T324-$T$405)-1)^1+INDEX($K$388:$N$400,W324,3)*(2*(J324-$T$405)/(T324-$T$405)-1)^2</x:f>
        <x:v>114.12971511830143</x:v>
      </x:c>
      <x:c r="N324" s="8" t="n">
        <x:f>K324-M324</x:f>
        <x:v>-52.129715118301434</x:v>
      </x:c>
      <x:c r="O324" s="8" t="n">
        <x:f>ABS(N324)</x:f>
        <x:v>52.129715118301434</x:v>
      </x:c>
      <x:c r="P324" s="8" t="n">
        <x:f>N324^2</x:f>
        <x:v>2717.507198315265</x:v>
      </x:c>
      <x:c r="Q324" s="8" t="n">
        <x:f>K324-L324</x:f>
        <x:v>-2</x:v>
      </x:c>
      <x:c r="R324" s="9" t="n">
        <x:f>IF(AND(INDEX('Сводка'!$T$3:$T$397,U324)=0,INDEX('Сводка'!$T$3:$T$397,V324)=0),1,0)</x:f>
        <x:v>1</x:v>
      </x:c>
      <x:c r="S324" s="9" t="n">
        <x:f>IF(AND(R324=1,O324&lt;=$G$13),1,0)</x:f>
        <x:v>0</x:v>
      </x:c>
      <x:c r="T324" s="10" t="n">
        <x:f>EOMONTH(J324-'Сводка'!$B$11,-1)</x:f>
        <x:v>46173</x:v>
      </x:c>
      <x:c r="U324" s="4" t="n">
        <x:f>MATCH(J324,'Сводка'!$R$3:$R$397,0)</x:f>
        <x:v>335</x:v>
      </x:c>
      <x:c r="V324" s="4" t="n">
        <x:f>MATCH(J324-'Сводка'!$B$11,'Сводка'!$R$3:$R$397,0)</x:f>
        <x:v>334</x:v>
      </x:c>
      <x:c r="W324" s="4" t="n">
        <x:f>MATCH(T324,$J$388:$J$400,0)</x:f>
        <x:v>12</x:v>
      </x:c>
      <x:c r="X324" s="3"/>
      <x:c r="Y324" s="3"/>
      <x:c r="Z324" s="3"/>
    </x:row>
    <x:row r="325" ht="15" customHeight="1">
      <x:c r="A325" s="3"/>
      <x:c r="B325" s="3"/>
      <x:c r="C325" s="3"/>
      <x:c r="D325" s="3"/>
      <x:c r="E325" s="3"/>
      <x:c r="F325" s="3"/>
      <x:c r="G325" s="3"/>
      <x:c r="H325" s="3"/>
      <x:c r="I325" s="3"/>
      <x:c r="J325" s="10" t="n">
        <x:v>46176</x:v>
      </x:c>
      <x:c r="K325" s="8" t="n">
        <x:f>INDEX('Сводка'!$S$3:$S$397,U325)</x:f>
        <x:v>61</x:v>
      </x:c>
      <x:c r="L325" s="8" t="n">
        <x:f>INDEX('Сводка'!$S$3:$S$397,V325)</x:f>
        <x:v>62</x:v>
      </x:c>
      <x:c r="M325" s="8" t="n">
        <x:f>INDEX($K$388:$N$400,W325,1)+INDEX($K$388:$N$400,W325,2)*(2*(J325-$T$405)/(T325-$T$405)-1)^1+INDEX($K$388:$N$400,W325,3)*(2*(J325-$T$405)/(T325-$T$405)-1)^2</x:f>
        <x:v>114.11876789871584</x:v>
      </x:c>
      <x:c r="N325" s="8" t="n">
        <x:f>K325-M325</x:f>
        <x:v>-53.118767898715845</x:v>
      </x:c>
      <x:c r="O325" s="8" t="n">
        <x:f>ABS(N325)</x:f>
        <x:v>53.118767898715845</x:v>
      </x:c>
      <x:c r="P325" s="8" t="n">
        <x:f>N325^2</x:f>
        <x:v>2821.6035030776447</x:v>
      </x:c>
      <x:c r="Q325" s="8" t="n">
        <x:f>K325-L325</x:f>
        <x:v>-1</x:v>
      </x:c>
      <x:c r="R325" s="9" t="n">
        <x:f>IF(AND(INDEX('Сводка'!$T$3:$T$397,U325)=0,INDEX('Сводка'!$T$3:$T$397,V325)=0),1,0)</x:f>
        <x:v>1</x:v>
      </x:c>
      <x:c r="S325" s="9" t="n">
        <x:f>IF(AND(R325=1,O325&lt;=$G$13),1,0)</x:f>
        <x:v>0</x:v>
      </x:c>
      <x:c r="T325" s="10" t="n">
        <x:f>EOMONTH(J325-'Сводка'!$B$11,-1)</x:f>
        <x:v>46173</x:v>
      </x:c>
      <x:c r="U325" s="4" t="n">
        <x:f>MATCH(J325,'Сводка'!$R$3:$R$397,0)</x:f>
        <x:v>336</x:v>
      </x:c>
      <x:c r="V325" s="4" t="n">
        <x:f>MATCH(J325-'Сводка'!$B$11,'Сводка'!$R$3:$R$397,0)</x:f>
        <x:v>335</x:v>
      </x:c>
      <x:c r="W325" s="4" t="n">
        <x:f>MATCH(T325,$J$388:$J$400,0)</x:f>
        <x:v>12</x:v>
      </x:c>
      <x:c r="X325" s="3"/>
      <x:c r="Y325" s="3"/>
      <x:c r="Z325" s="3"/>
    </x:row>
    <x:row r="326" ht="15" customHeight="1">
      <x:c r="A326" s="3"/>
      <x:c r="B326" s="3"/>
      <x:c r="C326" s="3"/>
      <x:c r="D326" s="3"/>
      <x:c r="E326" s="3"/>
      <x:c r="F326" s="3"/>
      <x:c r="G326" s="3"/>
      <x:c r="H326" s="3"/>
      <x:c r="I326" s="3"/>
      <x:c r="J326" s="10" t="n">
        <x:v>46177</x:v>
      </x:c>
      <x:c r="K326" s="8" t="n">
        <x:f>INDEX('Сводка'!$S$3:$S$397,U326)</x:f>
        <x:v>75</x:v>
      </x:c>
      <x:c r="L326" s="8" t="n">
        <x:f>INDEX('Сводка'!$S$3:$S$397,V326)</x:f>
        <x:v>61</x:v>
      </x:c>
      <x:c r="M326" s="8" t="n">
        <x:f>INDEX($K$388:$N$400,W326,1)+INDEX($K$388:$N$400,W326,2)*(2*(J326-$T$405)/(T326-$T$405)-1)^1+INDEX($K$388:$N$400,W326,3)*(2*(J326-$T$405)/(T326-$T$405)-1)^2</x:f>
        <x:v>114.10781351107748</x:v>
      </x:c>
      <x:c r="N326" s="8" t="n">
        <x:f>K326-M326</x:f>
        <x:v>-39.10781351107748</x:v>
      </x:c>
      <x:c r="O326" s="8" t="n">
        <x:f>ABS(N326)</x:f>
        <x:v>39.10781351107748</x:v>
      </x:c>
      <x:c r="P326" s="8" t="n">
        <x:f>N326^2</x:f>
        <x:v>1529.4210776172145</x:v>
      </x:c>
      <x:c r="Q326" s="8" t="n">
        <x:f>K326-L326</x:f>
        <x:v>14</x:v>
      </x:c>
      <x:c r="R326" s="9" t="n">
        <x:f>IF(AND(INDEX('Сводка'!$T$3:$T$397,U326)=0,INDEX('Сводка'!$T$3:$T$397,V326)=0),1,0)</x:f>
        <x:v>1</x:v>
      </x:c>
      <x:c r="S326" s="9" t="n">
        <x:f>IF(AND(R326=1,O326&lt;=$G$13),1,0)</x:f>
        <x:v>0</x:v>
      </x:c>
      <x:c r="T326" s="10" t="n">
        <x:f>EOMONTH(J326-'Сводка'!$B$11,-1)</x:f>
        <x:v>46173</x:v>
      </x:c>
      <x:c r="U326" s="4" t="n">
        <x:f>MATCH(J326,'Сводка'!$R$3:$R$397,0)</x:f>
        <x:v>337</x:v>
      </x:c>
      <x:c r="V326" s="4" t="n">
        <x:f>MATCH(J326-'Сводка'!$B$11,'Сводка'!$R$3:$R$397,0)</x:f>
        <x:v>336</x:v>
      </x:c>
      <x:c r="W326" s="4" t="n">
        <x:f>MATCH(T326,$J$388:$J$400,0)</x:f>
        <x:v>12</x:v>
      </x:c>
      <x:c r="X326" s="3"/>
      <x:c r="Y326" s="3"/>
      <x:c r="Z326" s="3"/>
    </x:row>
    <x:row r="327" ht="15" customHeight="1">
      <x:c r="A327" s="3"/>
      <x:c r="B327" s="3"/>
      <x:c r="C327" s="3"/>
      <x:c r="D327" s="3"/>
      <x:c r="E327" s="3"/>
      <x:c r="F327" s="3"/>
      <x:c r="G327" s="3"/>
      <x:c r="H327" s="3"/>
      <x:c r="I327" s="3"/>
      <x:c r="J327" s="10" t="n">
        <x:v>46178</x:v>
      </x:c>
      <x:c r="K327" s="8" t="n">
        <x:f>INDEX('Сводка'!$S$3:$S$397,U327)</x:f>
        <x:v>94</x:v>
      </x:c>
      <x:c r="L327" s="8" t="n">
        <x:f>INDEX('Сводка'!$S$3:$S$397,V327)</x:f>
        <x:v>75</x:v>
      </x:c>
      <x:c r="M327" s="8" t="n">
        <x:f>INDEX($K$388:$N$400,W327,1)+INDEX($K$388:$N$400,W327,2)*(2*(J327-$T$405)/(T327-$T$405)-1)^1+INDEX($K$388:$N$400,W327,3)*(2*(J327-$T$405)/(T327-$T$405)-1)^2</x:f>
        <x:v>114.09685195538628</x:v>
      </x:c>
      <x:c r="N327" s="8" t="n">
        <x:f>K327-M327</x:f>
        <x:v>-20.096851955386285</x:v>
      </x:c>
      <x:c r="O327" s="8" t="n">
        <x:f>ABS(N327)</x:f>
        <x:v>20.096851955386285</x:v>
      </x:c>
      <x:c r="P327" s="8" t="n">
        <x:f>N327^2</x:f>
        <x:v>403.8834585167135</x:v>
      </x:c>
      <x:c r="Q327" s="8" t="n">
        <x:f>K327-L327</x:f>
        <x:v>19</x:v>
      </x:c>
      <x:c r="R327" s="9" t="n">
        <x:f>IF(AND(INDEX('Сводка'!$T$3:$T$397,U327)=0,INDEX('Сводка'!$T$3:$T$397,V327)=0),1,0)</x:f>
        <x:v>1</x:v>
      </x:c>
      <x:c r="S327" s="9" t="n">
        <x:f>IF(AND(R327=1,O327&lt;=$G$13),1,0)</x:f>
        <x:v>0</x:v>
      </x:c>
      <x:c r="T327" s="10" t="n">
        <x:f>EOMONTH(J327-'Сводка'!$B$11,-1)</x:f>
        <x:v>46173</x:v>
      </x:c>
      <x:c r="U327" s="4" t="n">
        <x:f>MATCH(J327,'Сводка'!$R$3:$R$397,0)</x:f>
        <x:v>338</x:v>
      </x:c>
      <x:c r="V327" s="4" t="n">
        <x:f>MATCH(J327-'Сводка'!$B$11,'Сводка'!$R$3:$R$397,0)</x:f>
        <x:v>337</x:v>
      </x:c>
      <x:c r="W327" s="4" t="n">
        <x:f>MATCH(T327,$J$388:$J$400,0)</x:f>
        <x:v>12</x:v>
      </x:c>
      <x:c r="X327" s="3"/>
      <x:c r="Y327" s="3"/>
      <x:c r="Z327" s="3"/>
    </x:row>
    <x:row r="328" ht="15" customHeight="1">
      <x:c r="A328" s="3"/>
      <x:c r="B328" s="3"/>
      <x:c r="C328" s="3"/>
      <x:c r="D328" s="3"/>
      <x:c r="E328" s="3"/>
      <x:c r="F328" s="3"/>
      <x:c r="G328" s="3"/>
      <x:c r="H328" s="3"/>
      <x:c r="I328" s="3"/>
      <x:c r="J328" s="10" t="n">
        <x:v>46179</x:v>
      </x:c>
      <x:c r="K328" s="8" t="n">
        <x:f>INDEX('Сводка'!$S$3:$S$397,U328)</x:f>
        <x:v>116</x:v>
      </x:c>
      <x:c r="L328" s="8" t="n">
        <x:f>INDEX('Сводка'!$S$3:$S$397,V328)</x:f>
        <x:v>94</x:v>
      </x:c>
      <x:c r="M328" s="8" t="n">
        <x:f>INDEX($K$388:$N$400,W328,1)+INDEX($K$388:$N$400,W328,2)*(2*(J328-$T$405)/(T328-$T$405)-1)^1+INDEX($K$388:$N$400,W328,3)*(2*(J328-$T$405)/(T328-$T$405)-1)^2</x:f>
        <x:v>114.08588323164241</x:v>
      </x:c>
      <x:c r="N328" s="8" t="n">
        <x:f>K328-M328</x:f>
        <x:v>1.9141167683575873</x:v>
      </x:c>
      <x:c r="O328" s="8" t="n">
        <x:f>ABS(N328)</x:f>
        <x:v>1.9141167683575873</x:v>
      </x:c>
      <x:c r="P328" s="8" t="n">
        <x:f>N328^2</x:f>
        <x:v>3.663843002907693</x:v>
      </x:c>
      <x:c r="Q328" s="8" t="n">
        <x:f>K328-L328</x:f>
        <x:v>22</x:v>
      </x:c>
      <x:c r="R328" s="9" t="n">
        <x:f>IF(AND(INDEX('Сводка'!$T$3:$T$397,U328)=0,INDEX('Сводка'!$T$3:$T$397,V328)=0),1,0)</x:f>
        <x:v>1</x:v>
      </x:c>
      <x:c r="S328" s="9" t="n">
        <x:f>IF(AND(R328=1,O328&lt;=$G$13),1,0)</x:f>
        <x:v>1</x:v>
      </x:c>
      <x:c r="T328" s="10" t="n">
        <x:f>EOMONTH(J328-'Сводка'!$B$11,-1)</x:f>
        <x:v>46173</x:v>
      </x:c>
      <x:c r="U328" s="4" t="n">
        <x:f>MATCH(J328,'Сводка'!$R$3:$R$397,0)</x:f>
        <x:v>339</x:v>
      </x:c>
      <x:c r="V328" s="4" t="n">
        <x:f>MATCH(J328-'Сводка'!$B$11,'Сводка'!$R$3:$R$397,0)</x:f>
        <x:v>338</x:v>
      </x:c>
      <x:c r="W328" s="4" t="n">
        <x:f>MATCH(T328,$J$388:$J$400,0)</x:f>
        <x:v>12</x:v>
      </x:c>
      <x:c r="X328" s="3"/>
      <x:c r="Y328" s="3"/>
      <x:c r="Z328" s="3"/>
    </x:row>
    <x:row r="329" ht="15" customHeight="1">
      <x:c r="A329" s="3"/>
      <x:c r="B329" s="3"/>
      <x:c r="C329" s="3"/>
      <x:c r="D329" s="3"/>
      <x:c r="E329" s="3"/>
      <x:c r="F329" s="3"/>
      <x:c r="G329" s="3"/>
      <x:c r="H329" s="3"/>
      <x:c r="I329" s="3"/>
      <x:c r="J329" s="10" t="n">
        <x:v>46180</x:v>
      </x:c>
      <x:c r="K329" s="8" t="n">
        <x:f>INDEX('Сводка'!$S$3:$S$397,U329)</x:f>
        <x:v>128</x:v>
      </x:c>
      <x:c r="L329" s="8" t="n">
        <x:f>INDEX('Сводка'!$S$3:$S$397,V329)</x:f>
        <x:v>116</x:v>
      </x:c>
      <x:c r="M329" s="8" t="n">
        <x:f>INDEX($K$388:$N$400,W329,1)+INDEX($K$388:$N$400,W329,2)*(2*(J329-$T$405)/(T329-$T$405)-1)^1+INDEX($K$388:$N$400,W329,3)*(2*(J329-$T$405)/(T329-$T$405)-1)^2</x:f>
        <x:v>114.0749073398457</x:v>
      </x:c>
      <x:c r="N329" s="8" t="n">
        <x:f>K329-M329</x:f>
        <x:v>13.925092660154306</x:v>
      </x:c>
      <x:c r="O329" s="8" t="n">
        <x:f>ABS(N329)</x:f>
        <x:v>13.925092660154306</x:v>
      </x:c>
      <x:c r="P329" s="8" t="n">
        <x:f>N329^2</x:f>
        <x:v>193.9082055938833</x:v>
      </x:c>
      <x:c r="Q329" s="8" t="n">
        <x:f>K329-L329</x:f>
        <x:v>12</x:v>
      </x:c>
      <x:c r="R329" s="9" t="n">
        <x:f>IF(AND(INDEX('Сводка'!$T$3:$T$397,U329)=0,INDEX('Сводка'!$T$3:$T$397,V329)=0),1,0)</x:f>
        <x:v>1</x:v>
      </x:c>
      <x:c r="S329" s="9" t="n">
        <x:f>IF(AND(R329=1,O329&lt;=$G$13),1,0)</x:f>
        <x:v>0</x:v>
      </x:c>
      <x:c r="T329" s="10" t="n">
        <x:f>EOMONTH(J329-'Сводка'!$B$11,-1)</x:f>
        <x:v>46173</x:v>
      </x:c>
      <x:c r="U329" s="4" t="n">
        <x:f>MATCH(J329,'Сводка'!$R$3:$R$397,0)</x:f>
        <x:v>340</x:v>
      </x:c>
      <x:c r="V329" s="4" t="n">
        <x:f>MATCH(J329-'Сводка'!$B$11,'Сводка'!$R$3:$R$397,0)</x:f>
        <x:v>339</x:v>
      </x:c>
      <x:c r="W329" s="4" t="n">
        <x:f>MATCH(T329,$J$388:$J$400,0)</x:f>
        <x:v>12</x:v>
      </x:c>
      <x:c r="X329" s="3"/>
      <x:c r="Y329" s="3"/>
      <x:c r="Z329" s="3"/>
    </x:row>
    <x:row r="330" ht="15" customHeight="1">
      <x:c r="A330" s="3"/>
      <x:c r="B330" s="3"/>
      <x:c r="C330" s="3"/>
      <x:c r="D330" s="3"/>
      <x:c r="E330" s="3"/>
      <x:c r="F330" s="3"/>
      <x:c r="G330" s="3"/>
      <x:c r="H330" s="3"/>
      <x:c r="I330" s="3"/>
      <x:c r="J330" s="10" t="n">
        <x:v>46181</x:v>
      </x:c>
      <x:c r="K330" s="8" t="n">
        <x:f>INDEX('Сводка'!$S$3:$S$397,U330)</x:f>
        <x:v>132</x:v>
      </x:c>
      <x:c r="L330" s="8" t="n">
        <x:f>INDEX('Сводка'!$S$3:$S$397,V330)</x:f>
        <x:v>128</x:v>
      </x:c>
      <x:c r="M330" s="8" t="n">
        <x:f>INDEX($K$388:$N$400,W330,1)+INDEX($K$388:$N$400,W330,2)*(2*(J330-$T$405)/(T330-$T$405)-1)^1+INDEX($K$388:$N$400,W330,3)*(2*(J330-$T$405)/(T330-$T$405)-1)^2</x:f>
        <x:v>114.06392427999627</x:v>
      </x:c>
      <x:c r="N330" s="8" t="n">
        <x:f>K330-M330</x:f>
        <x:v>17.93607572000373</x:v>
      </x:c>
      <x:c r="O330" s="8" t="n">
        <x:f>ABS(N330)</x:f>
        <x:v>17.93607572000373</x:v>
      </x:c>
      <x:c r="P330" s="8" t="n">
        <x:f>N330^2</x:f>
        <x:v>321.7028122337073</x:v>
      </x:c>
      <x:c r="Q330" s="8" t="n">
        <x:f>K330-L330</x:f>
        <x:v>4</x:v>
      </x:c>
      <x:c r="R330" s="9" t="n">
        <x:f>IF(AND(INDEX('Сводка'!$T$3:$T$397,U330)=0,INDEX('Сводка'!$T$3:$T$397,V330)=0),1,0)</x:f>
        <x:v>1</x:v>
      </x:c>
      <x:c r="S330" s="9" t="n">
        <x:f>IF(AND(R330=1,O330&lt;=$G$13),1,0)</x:f>
        <x:v>0</x:v>
      </x:c>
      <x:c r="T330" s="10" t="n">
        <x:f>EOMONTH(J330-'Сводка'!$B$11,-1)</x:f>
        <x:v>46173</x:v>
      </x:c>
      <x:c r="U330" s="4" t="n">
        <x:f>MATCH(J330,'Сводка'!$R$3:$R$397,0)</x:f>
        <x:v>341</x:v>
      </x:c>
      <x:c r="V330" s="4" t="n">
        <x:f>MATCH(J330-'Сводка'!$B$11,'Сводка'!$R$3:$R$397,0)</x:f>
        <x:v>340</x:v>
      </x:c>
      <x:c r="W330" s="4" t="n">
        <x:f>MATCH(T330,$J$388:$J$400,0)</x:f>
        <x:v>12</x:v>
      </x:c>
      <x:c r="X330" s="3"/>
      <x:c r="Y330" s="3"/>
      <x:c r="Z330" s="3"/>
    </x:row>
    <x:row r="331" ht="15" customHeight="1">
      <x:c r="A331" s="3"/>
      <x:c r="B331" s="3"/>
      <x:c r="C331" s="3"/>
      <x:c r="D331" s="3"/>
      <x:c r="E331" s="3"/>
      <x:c r="F331" s="3"/>
      <x:c r="G331" s="3"/>
      <x:c r="H331" s="3"/>
      <x:c r="I331" s="3"/>
      <x:c r="J331" s="10" t="n">
        <x:v>46182</x:v>
      </x:c>
      <x:c r="K331" s="8" t="n">
        <x:f>INDEX('Сводка'!$S$3:$S$397,U331)</x:f>
        <x:v>131</x:v>
      </x:c>
      <x:c r="L331" s="8" t="n">
        <x:f>INDEX('Сводка'!$S$3:$S$397,V331)</x:f>
        <x:v>132</x:v>
      </x:c>
      <x:c r="M331" s="8" t="n">
        <x:f>INDEX($K$388:$N$400,W331,1)+INDEX($K$388:$N$400,W331,2)*(2*(J331-$T$405)/(T331-$T$405)-1)^1+INDEX($K$388:$N$400,W331,3)*(2*(J331-$T$405)/(T331-$T$405)-1)^2</x:f>
        <x:v>114.0529340520941</x:v>
      </x:c>
      <x:c r="N331" s="8" t="n">
        <x:f>K331-M331</x:f>
        <x:v>16.947065947905898</x:v>
      </x:c>
      <x:c r="O331" s="8" t="n">
        <x:f>ABS(N331)</x:f>
        <x:v>16.947065947905898</x:v>
      </x:c>
      <x:c r="P331" s="8" t="n">
        <x:f>N331^2</x:f>
        <x:v>287.20304424267164</x:v>
      </x:c>
      <x:c r="Q331" s="8" t="n">
        <x:f>K331-L331</x:f>
        <x:v>-1</x:v>
      </x:c>
      <x:c r="R331" s="9" t="n">
        <x:f>IF(AND(INDEX('Сводка'!$T$3:$T$397,U331)=0,INDEX('Сводка'!$T$3:$T$397,V331)=0),1,0)</x:f>
        <x:v>1</x:v>
      </x:c>
      <x:c r="S331" s="9" t="n">
        <x:f>IF(AND(R331=1,O331&lt;=$G$13),1,0)</x:f>
        <x:v>0</x:v>
      </x:c>
      <x:c r="T331" s="10" t="n">
        <x:f>EOMONTH(J331-'Сводка'!$B$11,-1)</x:f>
        <x:v>46173</x:v>
      </x:c>
      <x:c r="U331" s="4" t="n">
        <x:f>MATCH(J331,'Сводка'!$R$3:$R$397,0)</x:f>
        <x:v>342</x:v>
      </x:c>
      <x:c r="V331" s="4" t="n">
        <x:f>MATCH(J331-'Сводка'!$B$11,'Сводка'!$R$3:$R$397,0)</x:f>
        <x:v>341</x:v>
      </x:c>
      <x:c r="W331" s="4" t="n">
        <x:f>MATCH(T331,$J$388:$J$400,0)</x:f>
        <x:v>12</x:v>
      </x:c>
      <x:c r="X331" s="3"/>
      <x:c r="Y331" s="3"/>
      <x:c r="Z331" s="3"/>
    </x:row>
    <x:row r="332" ht="15" customHeight="1">
      <x:c r="A332" s="3"/>
      <x:c r="B332" s="3"/>
      <x:c r="C332" s="3"/>
      <x:c r="D332" s="3"/>
      <x:c r="E332" s="3"/>
      <x:c r="F332" s="3"/>
      <x:c r="G332" s="3"/>
      <x:c r="H332" s="3"/>
      <x:c r="I332" s="3"/>
      <x:c r="J332" s="10" t="n">
        <x:v>46183</x:v>
      </x:c>
      <x:c r="K332" s="8" t="n">
        <x:f>INDEX('Сводка'!$S$3:$S$397,U332)</x:f>
        <x:v>128</x:v>
      </x:c>
      <x:c r="L332" s="8" t="n">
        <x:f>INDEX('Сводка'!$S$3:$S$397,V332)</x:f>
        <x:v>131</x:v>
      </x:c>
      <x:c r="M332" s="8" t="n">
        <x:f>INDEX($K$388:$N$400,W332,1)+INDEX($K$388:$N$400,W332,2)*(2*(J332-$T$405)/(T332-$T$405)-1)^1+INDEX($K$388:$N$400,W332,3)*(2*(J332-$T$405)/(T332-$T$405)-1)^2</x:f>
        <x:v>114.0419366561391</x:v>
      </x:c>
      <x:c r="N332" s="8" t="n">
        <x:f>K332-M332</x:f>
        <x:v>13.9580633438609</x:v>
      </x:c>
      <x:c r="O332" s="8" t="n">
        <x:f>ABS(N332)</x:f>
        <x:v>13.9580633438609</x:v>
      </x:c>
      <x:c r="P332" s="8" t="n">
        <x:f>N332^2</x:f>
        <x:v>194.8275323112333</x:v>
      </x:c>
      <x:c r="Q332" s="8" t="n">
        <x:f>K332-L332</x:f>
        <x:v>-3</x:v>
      </x:c>
      <x:c r="R332" s="9" t="n">
        <x:f>IF(AND(INDEX('Сводка'!$T$3:$T$397,U332)=0,INDEX('Сводка'!$T$3:$T$397,V332)=0),1,0)</x:f>
        <x:v>1</x:v>
      </x:c>
      <x:c r="S332" s="9" t="n">
        <x:f>IF(AND(R332=1,O332&lt;=$G$13),1,0)</x:f>
        <x:v>0</x:v>
      </x:c>
      <x:c r="T332" s="10" t="n">
        <x:f>EOMONTH(J332-'Сводка'!$B$11,-1)</x:f>
        <x:v>46173</x:v>
      </x:c>
      <x:c r="U332" s="4" t="n">
        <x:f>MATCH(J332,'Сводка'!$R$3:$R$397,0)</x:f>
        <x:v>343</x:v>
      </x:c>
      <x:c r="V332" s="4" t="n">
        <x:f>MATCH(J332-'Сводка'!$B$11,'Сводка'!$R$3:$R$397,0)</x:f>
        <x:v>342</x:v>
      </x:c>
      <x:c r="W332" s="4" t="n">
        <x:f>MATCH(T332,$J$388:$J$400,0)</x:f>
        <x:v>12</x:v>
      </x:c>
      <x:c r="X332" s="3"/>
      <x:c r="Y332" s="3"/>
      <x:c r="Z332" s="3"/>
    </x:row>
    <x:row r="333" ht="15" customHeight="1">
      <x:c r="A333" s="3"/>
      <x:c r="B333" s="3"/>
      <x:c r="C333" s="3"/>
      <x:c r="D333" s="3"/>
      <x:c r="E333" s="3"/>
      <x:c r="F333" s="3"/>
      <x:c r="G333" s="3"/>
      <x:c r="H333" s="3"/>
      <x:c r="I333" s="3"/>
      <x:c r="J333" s="10" t="n">
        <x:v>46184</x:v>
      </x:c>
      <x:c r="K333" s="8" t="n">
        <x:f>INDEX('Сводка'!$S$3:$S$397,U333)</x:f>
        <x:v>128</x:v>
      </x:c>
      <x:c r="L333" s="8" t="n">
        <x:f>INDEX('Сводка'!$S$3:$S$397,V333)</x:f>
        <x:v>128</x:v>
      </x:c>
      <x:c r="M333" s="8" t="n">
        <x:f>INDEX($K$388:$N$400,W333,1)+INDEX($K$388:$N$400,W333,2)*(2*(J333-$T$405)/(T333-$T$405)-1)^1+INDEX($K$388:$N$400,W333,3)*(2*(J333-$T$405)/(T333-$T$405)-1)^2</x:f>
        <x:v>114.03093209213138</x:v>
      </x:c>
      <x:c r="N333" s="8" t="n">
        <x:f>K333-M333</x:f>
        <x:v>13.96906790786862</x:v>
      </x:c>
      <x:c r="O333" s="8" t="n">
        <x:f>ABS(N333)</x:f>
        <x:v>13.96906790786862</x:v>
      </x:c>
      <x:c r="P333" s="8" t="n">
        <x:f>N333^2</x:f>
        <x:v>195.134858214645</x:v>
      </x:c>
      <x:c r="Q333" s="8" t="n">
        <x:f>K333-L333</x:f>
        <x:v>0</x:v>
      </x:c>
      <x:c r="R333" s="9" t="n">
        <x:f>IF(AND(INDEX('Сводка'!$T$3:$T$397,U333)=0,INDEX('Сводка'!$T$3:$T$397,V333)=0),1,0)</x:f>
        <x:v>1</x:v>
      </x:c>
      <x:c r="S333" s="9" t="n">
        <x:f>IF(AND(R333=1,O333&lt;=$G$13),1,0)</x:f>
        <x:v>0</x:v>
      </x:c>
      <x:c r="T333" s="10" t="n">
        <x:f>EOMONTH(J333-'Сводка'!$B$11,-1)</x:f>
        <x:v>46173</x:v>
      </x:c>
      <x:c r="U333" s="4" t="n">
        <x:f>MATCH(J333,'Сводка'!$R$3:$R$397,0)</x:f>
        <x:v>344</x:v>
      </x:c>
      <x:c r="V333" s="4" t="n">
        <x:f>MATCH(J333-'Сводка'!$B$11,'Сводка'!$R$3:$R$397,0)</x:f>
        <x:v>343</x:v>
      </x:c>
      <x:c r="W333" s="4" t="n">
        <x:f>MATCH(T333,$J$388:$J$400,0)</x:f>
        <x:v>12</x:v>
      </x:c>
      <x:c r="X333" s="3"/>
      <x:c r="Y333" s="3"/>
      <x:c r="Z333" s="3"/>
    </x:row>
    <x:row r="334" ht="15" customHeight="1">
      <x:c r="A334" s="3"/>
      <x:c r="B334" s="3"/>
      <x:c r="C334" s="3"/>
      <x:c r="D334" s="3"/>
      <x:c r="E334" s="3"/>
      <x:c r="F334" s="3"/>
      <x:c r="G334" s="3"/>
      <x:c r="H334" s="3"/>
      <x:c r="I334" s="3"/>
      <x:c r="J334" s="10" t="n">
        <x:v>46185</x:v>
      </x:c>
      <x:c r="K334" s="8" t="n">
        <x:f>INDEX('Сводка'!$S$3:$S$397,U334)</x:f>
        <x:v>123</x:v>
      </x:c>
      <x:c r="L334" s="8" t="n">
        <x:f>INDEX('Сводка'!$S$3:$S$397,V334)</x:f>
        <x:v>128</x:v>
      </x:c>
      <x:c r="M334" s="8" t="n">
        <x:f>INDEX($K$388:$N$400,W334,1)+INDEX($K$388:$N$400,W334,2)*(2*(J334-$T$405)/(T334-$T$405)-1)^1+INDEX($K$388:$N$400,W334,3)*(2*(J334-$T$405)/(T334-$T$405)-1)^2</x:f>
        <x:v>114.0199203600709</x:v>
      </x:c>
      <x:c r="N334" s="8" t="n">
        <x:f>K334-M334</x:f>
        <x:v>8.980079639929102</x:v>
      </x:c>
      <x:c r="O334" s="8" t="n">
        <x:f>ABS(N334)</x:f>
        <x:v>8.980079639929102</x:v>
      </x:c>
      <x:c r="P334" s="8" t="n">
        <x:f>N334^2</x:f>
        <x:v>80.64183033946918</x:v>
      </x:c>
      <x:c r="Q334" s="8" t="n">
        <x:f>K334-L334</x:f>
        <x:v>-5</x:v>
      </x:c>
      <x:c r="R334" s="9" t="n">
        <x:f>IF(AND(INDEX('Сводка'!$T$3:$T$397,U334)=0,INDEX('Сводка'!$T$3:$T$397,V334)=0),1,0)</x:f>
        <x:v>1</x:v>
      </x:c>
      <x:c r="S334" s="9" t="n">
        <x:f>IF(AND(R334=1,O334&lt;=$G$13),1,0)</x:f>
        <x:v>0</x:v>
      </x:c>
      <x:c r="T334" s="10" t="n">
        <x:f>EOMONTH(J334-'Сводка'!$B$11,-1)</x:f>
        <x:v>46173</x:v>
      </x:c>
      <x:c r="U334" s="4" t="n">
        <x:f>MATCH(J334,'Сводка'!$R$3:$R$397,0)</x:f>
        <x:v>345</x:v>
      </x:c>
      <x:c r="V334" s="4" t="n">
        <x:f>MATCH(J334-'Сводка'!$B$11,'Сводка'!$R$3:$R$397,0)</x:f>
        <x:v>344</x:v>
      </x:c>
      <x:c r="W334" s="4" t="n">
        <x:f>MATCH(T334,$J$388:$J$400,0)</x:f>
        <x:v>12</x:v>
      </x:c>
      <x:c r="X334" s="3"/>
      <x:c r="Y334" s="3"/>
      <x:c r="Z334" s="3"/>
    </x:row>
    <x:row r="335" ht="15" customHeight="1">
      <x:c r="A335" s="3"/>
      <x:c r="B335" s="3"/>
      <x:c r="C335" s="3"/>
      <x:c r="D335" s="3"/>
      <x:c r="E335" s="3"/>
      <x:c r="F335" s="3"/>
      <x:c r="G335" s="3"/>
      <x:c r="H335" s="3"/>
      <x:c r="I335" s="3"/>
      <x:c r="J335" s="10" t="n">
        <x:v>46186</x:v>
      </x:c>
      <x:c r="K335" s="8" t="n">
        <x:f>INDEX('Сводка'!$S$3:$S$397,U335)</x:f>
        <x:v>128</x:v>
      </x:c>
      <x:c r="L335" s="8" t="n">
        <x:f>INDEX('Сводка'!$S$3:$S$397,V335)</x:f>
        <x:v>123</x:v>
      </x:c>
      <x:c r="M335" s="8" t="n">
        <x:f>INDEX($K$388:$N$400,W335,1)+INDEX($K$388:$N$400,W335,2)*(2*(J335-$T$405)/(T335-$T$405)-1)^1+INDEX($K$388:$N$400,W335,3)*(2*(J335-$T$405)/(T335-$T$405)-1)^2</x:f>
        <x:v>114.00890145995761</x:v>
      </x:c>
      <x:c r="N335" s="8" t="n">
        <x:f>K335-M335</x:f>
        <x:v>13.991098540042387</x:v>
      </x:c>
      <x:c r="O335" s="8" t="n">
        <x:f>ABS(N335)</x:f>
        <x:v>13.991098540042387</x:v>
      </x:c>
      <x:c r="P335" s="8" t="n">
        <x:f>N335^2</x:f>
        <x:v>195.7508383571762</x:v>
      </x:c>
      <x:c r="Q335" s="8" t="n">
        <x:f>K335-L335</x:f>
        <x:v>5</x:v>
      </x:c>
      <x:c r="R335" s="9" t="n">
        <x:f>IF(AND(INDEX('Сводка'!$T$3:$T$397,U335)=0,INDEX('Сводка'!$T$3:$T$397,V335)=0),1,0)</x:f>
        <x:v>1</x:v>
      </x:c>
      <x:c r="S335" s="9" t="n">
        <x:f>IF(AND(R335=1,O335&lt;=$G$13),1,0)</x:f>
        <x:v>0</x:v>
      </x:c>
      <x:c r="T335" s="10" t="n">
        <x:f>EOMONTH(J335-'Сводка'!$B$11,-1)</x:f>
        <x:v>46173</x:v>
      </x:c>
      <x:c r="U335" s="4" t="n">
        <x:f>MATCH(J335,'Сводка'!$R$3:$R$397,0)</x:f>
        <x:v>346</x:v>
      </x:c>
      <x:c r="V335" s="4" t="n">
        <x:f>MATCH(J335-'Сводка'!$B$11,'Сводка'!$R$3:$R$397,0)</x:f>
        <x:v>345</x:v>
      </x:c>
      <x:c r="W335" s="4" t="n">
        <x:f>MATCH(T335,$J$388:$J$400,0)</x:f>
        <x:v>12</x:v>
      </x:c>
      <x:c r="X335" s="3"/>
      <x:c r="Y335" s="3"/>
      <x:c r="Z335" s="3"/>
    </x:row>
    <x:row r="336" ht="15" customHeight="1">
      <x:c r="A336" s="3"/>
      <x:c r="B336" s="3"/>
      <x:c r="C336" s="3"/>
      <x:c r="D336" s="3"/>
      <x:c r="E336" s="3"/>
      <x:c r="F336" s="3"/>
      <x:c r="G336" s="3"/>
      <x:c r="H336" s="3"/>
      <x:c r="I336" s="3"/>
      <x:c r="J336" s="10" t="n">
        <x:v>46187</x:v>
      </x:c>
      <x:c r="K336" s="8" t="n">
        <x:f>INDEX('Сводка'!$S$3:$S$397,U336)</x:f>
        <x:v>138</x:v>
      </x:c>
      <x:c r="L336" s="8" t="n">
        <x:f>INDEX('Сводка'!$S$3:$S$397,V336)</x:f>
        <x:v>128</x:v>
      </x:c>
      <x:c r="M336" s="8" t="n">
        <x:f>INDEX($K$388:$N$400,W336,1)+INDEX($K$388:$N$400,W336,2)*(2*(J336-$T$405)/(T336-$T$405)-1)^1+INDEX($K$388:$N$400,W336,3)*(2*(J336-$T$405)/(T336-$T$405)-1)^2</x:f>
        <x:v>113.99787539179161</x:v>
      </x:c>
      <x:c r="N336" s="8" t="n">
        <x:f>K336-M336</x:f>
        <x:v>24.00212460820839</x:v>
      </x:c>
      <x:c r="O336" s="8" t="n">
        <x:f>ABS(N336)</x:f>
        <x:v>24.00212460820839</x:v>
      </x:c>
      <x:c r="P336" s="8" t="n">
        <x:f>N336^2</x:f>
        <x:v>576.1019857079627</x:v>
      </x:c>
      <x:c r="Q336" s="8" t="n">
        <x:f>K336-L336</x:f>
        <x:v>10</x:v>
      </x:c>
      <x:c r="R336" s="9" t="n">
        <x:f>IF(AND(INDEX('Сводка'!$T$3:$T$397,U336)=0,INDEX('Сводка'!$T$3:$T$397,V336)=0),1,0)</x:f>
        <x:v>1</x:v>
      </x:c>
      <x:c r="S336" s="9" t="n">
        <x:f>IF(AND(R336=1,O336&lt;=$G$13),1,0)</x:f>
        <x:v>0</x:v>
      </x:c>
      <x:c r="T336" s="10" t="n">
        <x:f>EOMONTH(J336-'Сводка'!$B$11,-1)</x:f>
        <x:v>46173</x:v>
      </x:c>
      <x:c r="U336" s="4" t="n">
        <x:f>MATCH(J336,'Сводка'!$R$3:$R$397,0)</x:f>
        <x:v>347</x:v>
      </x:c>
      <x:c r="V336" s="4" t="n">
        <x:f>MATCH(J336-'Сводка'!$B$11,'Сводка'!$R$3:$R$397,0)</x:f>
        <x:v>346</x:v>
      </x:c>
      <x:c r="W336" s="4" t="n">
        <x:f>MATCH(T336,$J$388:$J$400,0)</x:f>
        <x:v>12</x:v>
      </x:c>
      <x:c r="X336" s="3"/>
      <x:c r="Y336" s="3"/>
      <x:c r="Z336" s="3"/>
    </x:row>
    <x:row r="337" ht="15" customHeight="1">
      <x:c r="A337" s="3"/>
      <x:c r="B337" s="3"/>
      <x:c r="C337" s="3"/>
      <x:c r="D337" s="3"/>
      <x:c r="E337" s="3"/>
      <x:c r="F337" s="3"/>
      <x:c r="G337" s="3"/>
      <x:c r="H337" s="3"/>
      <x:c r="I337" s="3"/>
      <x:c r="J337" s="10" t="n">
        <x:v>46188</x:v>
      </x:c>
      <x:c r="K337" s="8" t="n">
        <x:f>INDEX('Сводка'!$S$3:$S$397,U337)</x:f>
        <x:v>147</x:v>
      </x:c>
      <x:c r="L337" s="8" t="n">
        <x:f>INDEX('Сводка'!$S$3:$S$397,V337)</x:f>
        <x:v>138</x:v>
      </x:c>
      <x:c r="M337" s="8" t="n">
        <x:f>INDEX($K$388:$N$400,W337,1)+INDEX($K$388:$N$400,W337,2)*(2*(J337-$T$405)/(T337-$T$405)-1)^1+INDEX($K$388:$N$400,W337,3)*(2*(J337-$T$405)/(T337-$T$405)-1)^2</x:f>
        <x:v>113.98684215557283</x:v>
      </x:c>
      <x:c r="N337" s="8" t="n">
        <x:f>K337-M337</x:f>
        <x:v>33.01315784442717</x:v>
      </x:c>
      <x:c r="O337" s="8" t="n">
        <x:f>ABS(N337)</x:f>
        <x:v>33.01315784442717</x:v>
      </x:c>
      <x:c r="P337" s="8" t="n">
        <x:f>N337^2</x:f>
        <x:v>1089.8685908610632</x:v>
      </x:c>
      <x:c r="Q337" s="8" t="n">
        <x:f>K337-L337</x:f>
        <x:v>9</x:v>
      </x:c>
      <x:c r="R337" s="9" t="n">
        <x:f>IF(AND(INDEX('Сводка'!$T$3:$T$397,U337)=0,INDEX('Сводка'!$T$3:$T$397,V337)=0),1,0)</x:f>
        <x:v>1</x:v>
      </x:c>
      <x:c r="S337" s="9" t="n">
        <x:f>IF(AND(R337=1,O337&lt;=$G$13),1,0)</x:f>
        <x:v>0</x:v>
      </x:c>
      <x:c r="T337" s="10" t="n">
        <x:f>EOMONTH(J337-'Сводка'!$B$11,-1)</x:f>
        <x:v>46173</x:v>
      </x:c>
      <x:c r="U337" s="4" t="n">
        <x:f>MATCH(J337,'Сводка'!$R$3:$R$397,0)</x:f>
        <x:v>348</x:v>
      </x:c>
      <x:c r="V337" s="4" t="n">
        <x:f>MATCH(J337-'Сводка'!$B$11,'Сводка'!$R$3:$R$397,0)</x:f>
        <x:v>347</x:v>
      </x:c>
      <x:c r="W337" s="4" t="n">
        <x:f>MATCH(T337,$J$388:$J$400,0)</x:f>
        <x:v>12</x:v>
      </x:c>
      <x:c r="X337" s="3"/>
      <x:c r="Y337" s="3"/>
      <x:c r="Z337" s="3"/>
    </x:row>
    <x:row r="338" ht="15" customHeight="1">
      <x:c r="A338" s="3"/>
      <x:c r="B338" s="3"/>
      <x:c r="C338" s="3"/>
      <x:c r="D338" s="3"/>
      <x:c r="E338" s="3"/>
      <x:c r="F338" s="3"/>
      <x:c r="G338" s="3"/>
      <x:c r="H338" s="3"/>
      <x:c r="I338" s="3"/>
      <x:c r="J338" s="10" t="n">
        <x:v>46189</x:v>
      </x:c>
      <x:c r="K338" s="8" t="n">
        <x:f>INDEX('Сводка'!$S$3:$S$397,U338)</x:f>
        <x:v>154</x:v>
      </x:c>
      <x:c r="L338" s="8" t="n">
        <x:f>INDEX('Сводка'!$S$3:$S$397,V338)</x:f>
        <x:v>147</x:v>
      </x:c>
      <x:c r="M338" s="8" t="n">
        <x:f>INDEX($K$388:$N$400,W338,1)+INDEX($K$388:$N$400,W338,2)*(2*(J338-$T$405)/(T338-$T$405)-1)^1+INDEX($K$388:$N$400,W338,3)*(2*(J338-$T$405)/(T338-$T$405)-1)^2</x:f>
        <x:v>113.97580175130123</x:v>
      </x:c>
      <x:c r="N338" s="8" t="n">
        <x:f>K338-M338</x:f>
        <x:v>40.02419824869877</x:v>
      </x:c>
      <x:c r="O338" s="8" t="n">
        <x:f>ABS(N338)</x:f>
        <x:v>40.02419824869877</x:v>
      </x:c>
      <x:c r="P338" s="8" t="n">
        <x:f>N338^2</x:f>
        <x:v>1601.9364454511415</x:v>
      </x:c>
      <x:c r="Q338" s="8" t="n">
        <x:f>K338-L338</x:f>
        <x:v>7</x:v>
      </x:c>
      <x:c r="R338" s="9" t="n">
        <x:f>IF(AND(INDEX('Сводка'!$T$3:$T$397,U338)=0,INDEX('Сводка'!$T$3:$T$397,V338)=0),1,0)</x:f>
        <x:v>1</x:v>
      </x:c>
      <x:c r="S338" s="9" t="n">
        <x:f>IF(AND(R338=1,O338&lt;=$G$13),1,0)</x:f>
        <x:v>0</x:v>
      </x:c>
      <x:c r="T338" s="10" t="n">
        <x:f>EOMONTH(J338-'Сводка'!$B$11,-1)</x:f>
        <x:v>46173</x:v>
      </x:c>
      <x:c r="U338" s="4" t="n">
        <x:f>MATCH(J338,'Сводка'!$R$3:$R$397,0)</x:f>
        <x:v>349</x:v>
      </x:c>
      <x:c r="V338" s="4" t="n">
        <x:f>MATCH(J338-'Сводка'!$B$11,'Сводка'!$R$3:$R$397,0)</x:f>
        <x:v>348</x:v>
      </x:c>
      <x:c r="W338" s="4" t="n">
        <x:f>MATCH(T338,$J$388:$J$400,0)</x:f>
        <x:v>12</x:v>
      </x:c>
      <x:c r="X338" s="3"/>
      <x:c r="Y338" s="3"/>
      <x:c r="Z338" s="3"/>
    </x:row>
    <x:row r="339" ht="15" customHeight="1">
      <x:c r="A339" s="3"/>
      <x:c r="B339" s="3"/>
      <x:c r="C339" s="3"/>
      <x:c r="D339" s="3"/>
      <x:c r="E339" s="3"/>
      <x:c r="F339" s="3"/>
      <x:c r="G339" s="3"/>
      <x:c r="H339" s="3"/>
      <x:c r="I339" s="3"/>
      <x:c r="J339" s="10" t="n">
        <x:v>46190</x:v>
      </x:c>
      <x:c r="K339" s="8" t="n">
        <x:f>INDEX('Сводка'!$S$3:$S$397,U339)</x:f>
        <x:v>158</x:v>
      </x:c>
      <x:c r="L339" s="8" t="n">
        <x:f>INDEX('Сводка'!$S$3:$S$397,V339)</x:f>
        <x:v>154</x:v>
      </x:c>
      <x:c r="M339" s="8" t="n">
        <x:f>INDEX($K$388:$N$400,W339,1)+INDEX($K$388:$N$400,W339,2)*(2*(J339-$T$405)/(T339-$T$405)-1)^1+INDEX($K$388:$N$400,W339,3)*(2*(J339-$T$405)/(T339-$T$405)-1)^2</x:f>
        <x:v>113.96475417897693</x:v>
      </x:c>
      <x:c r="N339" s="8" t="n">
        <x:f>K339-M339</x:f>
        <x:v>44.03524582102307</x:v>
      </x:c>
      <x:c r="O339" s="8" t="n">
        <x:f>ABS(N339)</x:f>
        <x:v>44.03524582102307</x:v>
      </x:c>
      <x:c r="P339" s="8" t="n">
        <x:f>N339^2</x:f>
        <x:v>1939.1028745179296</x:v>
      </x:c>
      <x:c r="Q339" s="8" t="n">
        <x:f>K339-L339</x:f>
        <x:v>4</x:v>
      </x:c>
      <x:c r="R339" s="9" t="n">
        <x:f>IF(AND(INDEX('Сводка'!$T$3:$T$397,U339)=0,INDEX('Сводка'!$T$3:$T$397,V339)=0),1,0)</x:f>
        <x:v>1</x:v>
      </x:c>
      <x:c r="S339" s="9" t="n">
        <x:f>IF(AND(R339=1,O339&lt;=$G$13),1,0)</x:f>
        <x:v>0</x:v>
      </x:c>
      <x:c r="T339" s="10" t="n">
        <x:f>EOMONTH(J339-'Сводка'!$B$11,-1)</x:f>
        <x:v>46173</x:v>
      </x:c>
      <x:c r="U339" s="4" t="n">
        <x:f>MATCH(J339,'Сводка'!$R$3:$R$397,0)</x:f>
        <x:v>350</x:v>
      </x:c>
      <x:c r="V339" s="4" t="n">
        <x:f>MATCH(J339-'Сводка'!$B$11,'Сводка'!$R$3:$R$397,0)</x:f>
        <x:v>349</x:v>
      </x:c>
      <x:c r="W339" s="4" t="n">
        <x:f>MATCH(T339,$J$388:$J$400,0)</x:f>
        <x:v>12</x:v>
      </x:c>
      <x:c r="X339" s="3"/>
      <x:c r="Y339" s="3"/>
      <x:c r="Z339" s="3"/>
    </x:row>
    <x:row r="340" ht="15" customHeight="1">
      <x:c r="A340" s="3"/>
      <x:c r="B340" s="3"/>
      <x:c r="C340" s="3"/>
      <x:c r="D340" s="3"/>
      <x:c r="E340" s="3"/>
      <x:c r="F340" s="3"/>
      <x:c r="G340" s="3"/>
      <x:c r="H340" s="3"/>
      <x:c r="I340" s="3"/>
      <x:c r="J340" s="10" t="n">
        <x:v>46191</x:v>
      </x:c>
      <x:c r="K340" s="8" t="n">
        <x:f>INDEX('Сводка'!$S$3:$S$397,U340)</x:f>
        <x:v>166</x:v>
      </x:c>
      <x:c r="L340" s="8" t="n">
        <x:f>INDEX('Сводка'!$S$3:$S$397,V340)</x:f>
        <x:v>158</x:v>
      </x:c>
      <x:c r="M340" s="8" t="n">
        <x:f>INDEX($K$388:$N$400,W340,1)+INDEX($K$388:$N$400,W340,2)*(2*(J340-$T$405)/(T340-$T$405)-1)^1+INDEX($K$388:$N$400,W340,3)*(2*(J340-$T$405)/(T340-$T$405)-1)^2</x:f>
        <x:v>113.95369943859981</x:v>
      </x:c>
      <x:c r="N340" s="8" t="n">
        <x:f>K340-M340</x:f>
        <x:v>52.04630056140019</x:v>
      </x:c>
      <x:c r="O340" s="8" t="n">
        <x:f>ABS(N340)</x:f>
        <x:v>52.04630056140019</x:v>
      </x:c>
      <x:c r="P340" s="8" t="n">
        <x:f>N340^2</x:f>
        <x:v>2708.8174021276054</x:v>
      </x:c>
      <x:c r="Q340" s="8" t="n">
        <x:f>K340-L340</x:f>
        <x:v>8</x:v>
      </x:c>
      <x:c r="R340" s="9" t="n">
        <x:f>IF(AND(INDEX('Сводка'!$T$3:$T$397,U340)=0,INDEX('Сводка'!$T$3:$T$397,V340)=0),1,0)</x:f>
        <x:v>1</x:v>
      </x:c>
      <x:c r="S340" s="9" t="n">
        <x:f>IF(AND(R340=1,O340&lt;=$G$13),1,0)</x:f>
        <x:v>0</x:v>
      </x:c>
      <x:c r="T340" s="10" t="n">
        <x:f>EOMONTH(J340-'Сводка'!$B$11,-1)</x:f>
        <x:v>46173</x:v>
      </x:c>
      <x:c r="U340" s="4" t="n">
        <x:f>MATCH(J340,'Сводка'!$R$3:$R$397,0)</x:f>
        <x:v>351</x:v>
      </x:c>
      <x:c r="V340" s="4" t="n">
        <x:f>MATCH(J340-'Сводка'!$B$11,'Сводка'!$R$3:$R$397,0)</x:f>
        <x:v>350</x:v>
      </x:c>
      <x:c r="W340" s="4" t="n">
        <x:f>MATCH(T340,$J$388:$J$400,0)</x:f>
        <x:v>12</x:v>
      </x:c>
      <x:c r="X340" s="3"/>
      <x:c r="Y340" s="3"/>
      <x:c r="Z340" s="3"/>
    </x:row>
    <x:row r="341" ht="15" customHeight="1">
      <x:c r="A341" s="3"/>
      <x:c r="B341" s="3"/>
      <x:c r="C341" s="3"/>
      <x:c r="D341" s="3"/>
      <x:c r="E341" s="3"/>
      <x:c r="F341" s="3"/>
      <x:c r="G341" s="3"/>
      <x:c r="H341" s="3"/>
      <x:c r="I341" s="3"/>
      <x:c r="J341" s="10" t="n">
        <x:v>46192</x:v>
      </x:c>
      <x:c r="K341" s="8" t="n">
        <x:f>INDEX('Сводка'!$S$3:$S$397,U341)</x:f>
        <x:v>170</x:v>
      </x:c>
      <x:c r="L341" s="8" t="n">
        <x:f>INDEX('Сводка'!$S$3:$S$397,V341)</x:f>
        <x:v>166</x:v>
      </x:c>
      <x:c r="M341" s="8" t="n">
        <x:f>INDEX($K$388:$N$400,W341,1)+INDEX($K$388:$N$400,W341,2)*(2*(J341-$T$405)/(T341-$T$405)-1)^1+INDEX($K$388:$N$400,W341,3)*(2*(J341-$T$405)/(T341-$T$405)-1)^2</x:f>
        <x:v>113.94263753017</x:v>
      </x:c>
      <x:c r="N341" s="8" t="n">
        <x:f>K341-M341</x:f>
        <x:v>56.05736246983</x:v>
      </x:c>
      <x:c r="O341" s="8" t="n">
        <x:f>ABS(N341)</x:f>
        <x:v>56.05736246983</x:v>
      </x:c>
      <x:c r="P341" s="8" t="n">
        <x:f>N341^2</x:f>
        <x:v>3142.4278870739045</x:v>
      </x:c>
      <x:c r="Q341" s="8" t="n">
        <x:f>K341-L341</x:f>
        <x:v>4</x:v>
      </x:c>
      <x:c r="R341" s="9" t="n">
        <x:f>IF(AND(INDEX('Сводка'!$T$3:$T$397,U341)=0,INDEX('Сводка'!$T$3:$T$397,V341)=0),1,0)</x:f>
        <x:v>1</x:v>
      </x:c>
      <x:c r="S341" s="9" t="n">
        <x:f>IF(AND(R341=1,O341&lt;=$G$13),1,0)</x:f>
        <x:v>0</x:v>
      </x:c>
      <x:c r="T341" s="10" t="n">
        <x:f>EOMONTH(J341-'Сводка'!$B$11,-1)</x:f>
        <x:v>46173</x:v>
      </x:c>
      <x:c r="U341" s="4" t="n">
        <x:f>MATCH(J341,'Сводка'!$R$3:$R$397,0)</x:f>
        <x:v>352</x:v>
      </x:c>
      <x:c r="V341" s="4" t="n">
        <x:f>MATCH(J341-'Сводка'!$B$11,'Сводка'!$R$3:$R$397,0)</x:f>
        <x:v>351</x:v>
      </x:c>
      <x:c r="W341" s="4" t="n">
        <x:f>MATCH(T341,$J$388:$J$400,0)</x:f>
        <x:v>12</x:v>
      </x:c>
      <x:c r="X341" s="3"/>
      <x:c r="Y341" s="3"/>
      <x:c r="Z341" s="3"/>
    </x:row>
    <x:row r="342" ht="15" customHeight="1">
      <x:c r="A342" s="3"/>
      <x:c r="B342" s="3"/>
      <x:c r="C342" s="3"/>
      <x:c r="D342" s="3"/>
      <x:c r="E342" s="3"/>
      <x:c r="F342" s="3"/>
      <x:c r="G342" s="3"/>
      <x:c r="H342" s="3"/>
      <x:c r="I342" s="3"/>
      <x:c r="J342" s="10" t="n">
        <x:v>46193</x:v>
      </x:c>
      <x:c r="K342" s="8" t="n">
        <x:f>INDEX('Сводка'!$S$3:$S$397,U342)</x:f>
        <x:v>171</x:v>
      </x:c>
      <x:c r="L342" s="8" t="n">
        <x:f>INDEX('Сводка'!$S$3:$S$397,V342)</x:f>
        <x:v>170</x:v>
      </x:c>
      <x:c r="M342" s="8" t="n">
        <x:f>INDEX($K$388:$N$400,W342,1)+INDEX($K$388:$N$400,W342,2)*(2*(J342-$T$405)/(T342-$T$405)-1)^1+INDEX($K$388:$N$400,W342,3)*(2*(J342-$T$405)/(T342-$T$405)-1)^2</x:f>
        <x:v>113.93156845368739</x:v>
      </x:c>
      <x:c r="N342" s="8" t="n">
        <x:f>K342-M342</x:f>
        <x:v>57.06843154631261</x:v>
      </x:c>
      <x:c r="O342" s="8" t="n">
        <x:f>ABS(N342)</x:f>
        <x:v>57.06843154631261</x:v>
      </x:c>
      <x:c r="P342" s="8" t="n">
        <x:f>N342^2</x:f>
        <x:v>3256.8058791561684</x:v>
      </x:c>
      <x:c r="Q342" s="8" t="n">
        <x:f>K342-L342</x:f>
        <x:v>1</x:v>
      </x:c>
      <x:c r="R342" s="9" t="n">
        <x:f>IF(AND(INDEX('Сводка'!$T$3:$T$397,U342)=0,INDEX('Сводка'!$T$3:$T$397,V342)=0),1,0)</x:f>
        <x:v>1</x:v>
      </x:c>
      <x:c r="S342" s="9" t="n">
        <x:f>IF(AND(R342=1,O342&lt;=$G$13),1,0)</x:f>
        <x:v>0</x:v>
      </x:c>
      <x:c r="T342" s="10" t="n">
        <x:f>EOMONTH(J342-'Сводка'!$B$11,-1)</x:f>
        <x:v>46173</x:v>
      </x:c>
      <x:c r="U342" s="4" t="n">
        <x:f>MATCH(J342,'Сводка'!$R$3:$R$397,0)</x:f>
        <x:v>353</x:v>
      </x:c>
      <x:c r="V342" s="4" t="n">
        <x:f>MATCH(J342-'Сводка'!$B$11,'Сводка'!$R$3:$R$397,0)</x:f>
        <x:v>352</x:v>
      </x:c>
      <x:c r="W342" s="4" t="n">
        <x:f>MATCH(T342,$J$388:$J$400,0)</x:f>
        <x:v>12</x:v>
      </x:c>
      <x:c r="X342" s="3"/>
      <x:c r="Y342" s="3"/>
      <x:c r="Z342" s="3"/>
    </x:row>
    <x:row r="343" ht="15" customHeight="1">
      <x:c r="A343" s="3"/>
      <x:c r="B343" s="3"/>
      <x:c r="C343" s="3"/>
      <x:c r="D343" s="3"/>
      <x:c r="E343" s="3"/>
      <x:c r="F343" s="3"/>
      <x:c r="G343" s="3"/>
      <x:c r="H343" s="3"/>
      <x:c r="I343" s="3"/>
      <x:c r="J343" s="10" t="n">
        <x:v>46194</x:v>
      </x:c>
      <x:c r="K343" s="8" t="n">
        <x:f>INDEX('Сводка'!$S$3:$S$397,U343)</x:f>
        <x:v>169</x:v>
      </x:c>
      <x:c r="L343" s="8" t="n">
        <x:f>INDEX('Сводка'!$S$3:$S$397,V343)</x:f>
        <x:v>171</x:v>
      </x:c>
      <x:c r="M343" s="8" t="n">
        <x:f>INDEX($K$388:$N$400,W343,1)+INDEX($K$388:$N$400,W343,2)*(2*(J343-$T$405)/(T343-$T$405)-1)^1+INDEX($K$388:$N$400,W343,3)*(2*(J343-$T$405)/(T343-$T$405)-1)^2</x:f>
        <x:v>113.92049220915199</x:v>
      </x:c>
      <x:c r="N343" s="8" t="n">
        <x:f>K343-M343</x:f>
        <x:v>55.07950779084801</x:v>
      </x:c>
      <x:c r="O343" s="8" t="n">
        <x:f>ABS(N343)</x:f>
        <x:v>55.07950779084801</x:v>
      </x:c>
      <x:c r="P343" s="8" t="n">
        <x:f>N343^2</x:f>
        <x:v>3033.752178482087</x:v>
      </x:c>
      <x:c r="Q343" s="8" t="n">
        <x:f>K343-L343</x:f>
        <x:v>-2</x:v>
      </x:c>
      <x:c r="R343" s="9" t="n">
        <x:f>IF(AND(INDEX('Сводка'!$T$3:$T$397,U343)=0,INDEX('Сводка'!$T$3:$T$397,V343)=0),1,0)</x:f>
        <x:v>1</x:v>
      </x:c>
      <x:c r="S343" s="9" t="n">
        <x:f>IF(AND(R343=1,O343&lt;=$G$13),1,0)</x:f>
        <x:v>0</x:v>
      </x:c>
      <x:c r="T343" s="10" t="n">
        <x:f>EOMONTH(J343-'Сводка'!$B$11,-1)</x:f>
        <x:v>46173</x:v>
      </x:c>
      <x:c r="U343" s="4" t="n">
        <x:f>MATCH(J343,'Сводка'!$R$3:$R$397,0)</x:f>
        <x:v>354</x:v>
      </x:c>
      <x:c r="V343" s="4" t="n">
        <x:f>MATCH(J343-'Сводка'!$B$11,'Сводка'!$R$3:$R$397,0)</x:f>
        <x:v>353</x:v>
      </x:c>
      <x:c r="W343" s="4" t="n">
        <x:f>MATCH(T343,$J$388:$J$400,0)</x:f>
        <x:v>12</x:v>
      </x:c>
      <x:c r="X343" s="3"/>
      <x:c r="Y343" s="3"/>
      <x:c r="Z343" s="3"/>
    </x:row>
    <x:row r="344" ht="15" customHeight="1">
      <x:c r="A344" s="3"/>
      <x:c r="B344" s="3"/>
      <x:c r="C344" s="3"/>
      <x:c r="D344" s="3"/>
      <x:c r="E344" s="3"/>
      <x:c r="F344" s="3"/>
      <x:c r="G344" s="3"/>
      <x:c r="H344" s="3"/>
      <x:c r="I344" s="3"/>
      <x:c r="J344" s="10" t="n">
        <x:v>46195</x:v>
      </x:c>
      <x:c r="K344" s="8" t="n">
        <x:f>INDEX('Сводка'!$S$3:$S$397,U344)</x:f>
        <x:v>168</x:v>
      </x:c>
      <x:c r="L344" s="8" t="n">
        <x:f>INDEX('Сводка'!$S$3:$S$397,V344)</x:f>
        <x:v>169</x:v>
      </x:c>
      <x:c r="M344" s="8" t="n">
        <x:f>INDEX($K$388:$N$400,W344,1)+INDEX($K$388:$N$400,W344,2)*(2*(J344-$T$405)/(T344-$T$405)-1)^1+INDEX($K$388:$N$400,W344,3)*(2*(J344-$T$405)/(T344-$T$405)-1)^2</x:f>
        <x:v>113.90940879656385</x:v>
      </x:c>
      <x:c r="N344" s="8" t="n">
        <x:f>K344-M344</x:f>
        <x:v>54.09059120343615</x:v>
      </x:c>
      <x:c r="O344" s="8" t="n">
        <x:f>ABS(N344)</x:f>
        <x:v>54.09059120343615</x:v>
      </x:c>
      <x:c r="P344" s="8" t="n">
        <x:f>N344^2</x:f>
        <x:v>2925.792056737244</x:v>
      </x:c>
      <x:c r="Q344" s="8" t="n">
        <x:f>K344-L344</x:f>
        <x:v>-1</x:v>
      </x:c>
      <x:c r="R344" s="9" t="n">
        <x:f>IF(AND(INDEX('Сводка'!$T$3:$T$397,U344)=0,INDEX('Сводка'!$T$3:$T$397,V344)=0),1,0)</x:f>
        <x:v>1</x:v>
      </x:c>
      <x:c r="S344" s="9" t="n">
        <x:f>IF(AND(R344=1,O344&lt;=$G$13),1,0)</x:f>
        <x:v>0</x:v>
      </x:c>
      <x:c r="T344" s="10" t="n">
        <x:f>EOMONTH(J344-'Сводка'!$B$11,-1)</x:f>
        <x:v>46173</x:v>
      </x:c>
      <x:c r="U344" s="4" t="n">
        <x:f>MATCH(J344,'Сводка'!$R$3:$R$397,0)</x:f>
        <x:v>355</x:v>
      </x:c>
      <x:c r="V344" s="4" t="n">
        <x:f>MATCH(J344-'Сводка'!$B$11,'Сводка'!$R$3:$R$397,0)</x:f>
        <x:v>354</x:v>
      </x:c>
      <x:c r="W344" s="4" t="n">
        <x:f>MATCH(T344,$J$388:$J$400,0)</x:f>
        <x:v>12</x:v>
      </x:c>
      <x:c r="X344" s="3"/>
      <x:c r="Y344" s="3"/>
      <x:c r="Z344" s="3"/>
    </x:row>
    <x:row r="345" ht="15" customHeight="1">
      <x:c r="A345" s="3"/>
      <x:c r="B345" s="3"/>
      <x:c r="C345" s="3"/>
      <x:c r="D345" s="3"/>
      <x:c r="E345" s="3"/>
      <x:c r="F345" s="3"/>
      <x:c r="G345" s="3"/>
      <x:c r="H345" s="3"/>
      <x:c r="I345" s="3"/>
      <x:c r="J345" s="10" t="n">
        <x:v>46196</x:v>
      </x:c>
      <x:c r="K345" s="8" t="n">
        <x:f>INDEX('Сводка'!$S$3:$S$397,U345)</x:f>
        <x:v>159</x:v>
      </x:c>
      <x:c r="L345" s="8" t="n">
        <x:f>INDEX('Сводка'!$S$3:$S$397,V345)</x:f>
        <x:v>168</x:v>
      </x:c>
      <x:c r="M345" s="8" t="n">
        <x:f>INDEX($K$388:$N$400,W345,1)+INDEX($K$388:$N$400,W345,2)*(2*(J345-$T$405)/(T345-$T$405)-1)^1+INDEX($K$388:$N$400,W345,3)*(2*(J345-$T$405)/(T345-$T$405)-1)^2</x:f>
        <x:v>113.89831821592298</x:v>
      </x:c>
      <x:c r="N345" s="8" t="n">
        <x:f>K345-M345</x:f>
        <x:v>45.101681784077016</x:v>
      </x:c>
      <x:c r="O345" s="8" t="n">
        <x:f>ABS(N345)</x:f>
        <x:v>45.101681784077016</x:v>
      </x:c>
      <x:c r="P345" s="8" t="n">
        <x:f>N345^2</x:f>
        <x:v>2034.1616997521446</x:v>
      </x:c>
      <x:c r="Q345" s="8" t="n">
        <x:f>K345-L345</x:f>
        <x:v>-9</x:v>
      </x:c>
      <x:c r="R345" s="9" t="n">
        <x:f>IF(AND(INDEX('Сводка'!$T$3:$T$397,U345)=0,INDEX('Сводка'!$T$3:$T$397,V345)=0),1,0)</x:f>
        <x:v>1</x:v>
      </x:c>
      <x:c r="S345" s="9" t="n">
        <x:f>IF(AND(R345=1,O345&lt;=$G$13),1,0)</x:f>
        <x:v>0</x:v>
      </x:c>
      <x:c r="T345" s="10" t="n">
        <x:f>EOMONTH(J345-'Сводка'!$B$11,-1)</x:f>
        <x:v>46173</x:v>
      </x:c>
      <x:c r="U345" s="4" t="n">
        <x:f>MATCH(J345,'Сводка'!$R$3:$R$397,0)</x:f>
        <x:v>356</x:v>
      </x:c>
      <x:c r="V345" s="4" t="n">
        <x:f>MATCH(J345-'Сводка'!$B$11,'Сводка'!$R$3:$R$397,0)</x:f>
        <x:v>355</x:v>
      </x:c>
      <x:c r="W345" s="4" t="n">
        <x:f>MATCH(T345,$J$388:$J$400,0)</x:f>
        <x:v>12</x:v>
      </x:c>
      <x:c r="X345" s="3"/>
      <x:c r="Y345" s="3"/>
      <x:c r="Z345" s="3"/>
    </x:row>
    <x:row r="346" ht="15" customHeight="1">
      <x:c r="A346" s="3"/>
      <x:c r="B346" s="3"/>
      <x:c r="C346" s="3"/>
      <x:c r="D346" s="3"/>
      <x:c r="E346" s="3"/>
      <x:c r="F346" s="3"/>
      <x:c r="G346" s="3"/>
      <x:c r="H346" s="3"/>
      <x:c r="I346" s="3"/>
      <x:c r="J346" s="10" t="n">
        <x:v>46197</x:v>
      </x:c>
      <x:c r="K346" s="8" t="n">
        <x:f>INDEX('Сводка'!$S$3:$S$397,U346)</x:f>
        <x:v>151</x:v>
      </x:c>
      <x:c r="L346" s="8" t="n">
        <x:f>INDEX('Сводка'!$S$3:$S$397,V346)</x:f>
        <x:v>159</x:v>
      </x:c>
      <x:c r="M346" s="8" t="n">
        <x:f>INDEX($K$388:$N$400,W346,1)+INDEX($K$388:$N$400,W346,2)*(2*(J346-$T$405)/(T346-$T$405)-1)^1+INDEX($K$388:$N$400,W346,3)*(2*(J346-$T$405)/(T346-$T$405)-1)^2</x:f>
        <x:v>113.88722046722926</x:v>
      </x:c>
      <x:c r="N346" s="8" t="n">
        <x:f>K346-M346</x:f>
        <x:v>37.112779532770745</x:v>
      </x:c>
      <x:c r="O346" s="8" t="n">
        <x:f>ABS(N346)</x:f>
        <x:v>37.112779532770745</x:v>
      </x:c>
      <x:c r="P346" s="8" t="n">
        <x:f>N346^2</x:f>
        <x:v>1377.358404648047</x:v>
      </x:c>
      <x:c r="Q346" s="8" t="n">
        <x:f>K346-L346</x:f>
        <x:v>-8</x:v>
      </x:c>
      <x:c r="R346" s="9" t="n">
        <x:f>IF(AND(INDEX('Сводка'!$T$3:$T$397,U346)=0,INDEX('Сводка'!$T$3:$T$397,V346)=0),1,0)</x:f>
        <x:v>1</x:v>
      </x:c>
      <x:c r="S346" s="9" t="n">
        <x:f>IF(AND(R346=1,O346&lt;=$G$13),1,0)</x:f>
        <x:v>0</x:v>
      </x:c>
      <x:c r="T346" s="10" t="n">
        <x:f>EOMONTH(J346-'Сводка'!$B$11,-1)</x:f>
        <x:v>46173</x:v>
      </x:c>
      <x:c r="U346" s="4" t="n">
        <x:f>MATCH(J346,'Сводка'!$R$3:$R$397,0)</x:f>
        <x:v>357</x:v>
      </x:c>
      <x:c r="V346" s="4" t="n">
        <x:f>MATCH(J346-'Сводка'!$B$11,'Сводка'!$R$3:$R$397,0)</x:f>
        <x:v>356</x:v>
      </x:c>
      <x:c r="W346" s="4" t="n">
        <x:f>MATCH(T346,$J$388:$J$400,0)</x:f>
        <x:v>12</x:v>
      </x:c>
      <x:c r="X346" s="3"/>
      <x:c r="Y346" s="3"/>
      <x:c r="Z346" s="3"/>
    </x:row>
    <x:row r="347" ht="15" customHeight="1">
      <x:c r="A347" s="3"/>
      <x:c r="B347" s="3"/>
      <x:c r="C347" s="3"/>
      <x:c r="D347" s="3"/>
      <x:c r="E347" s="3"/>
      <x:c r="F347" s="3"/>
      <x:c r="G347" s="3"/>
      <x:c r="H347" s="3"/>
      <x:c r="I347" s="3"/>
      <x:c r="J347" s="10" t="n">
        <x:v>46198</x:v>
      </x:c>
      <x:c r="K347" s="8" t="n">
        <x:f>INDEX('Сводка'!$S$3:$S$397,U347)</x:f>
        <x:v>144</x:v>
      </x:c>
      <x:c r="L347" s="8" t="n">
        <x:f>INDEX('Сводка'!$S$3:$S$397,V347)</x:f>
        <x:v>151</x:v>
      </x:c>
      <x:c r="M347" s="8" t="n">
        <x:f>INDEX($K$388:$N$400,W347,1)+INDEX($K$388:$N$400,W347,2)*(2*(J347-$T$405)/(T347-$T$405)-1)^1+INDEX($K$388:$N$400,W347,3)*(2*(J347-$T$405)/(T347-$T$405)-1)^2</x:f>
        <x:v>113.87611555048284</x:v>
      </x:c>
      <x:c r="N347" s="8" t="n">
        <x:f>K347-M347</x:f>
        <x:v>30.123884449517163</x:v>
      </x:c>
      <x:c r="O347" s="8" t="n">
        <x:f>ABS(N347)</x:f>
        <x:v>30.123884449517163</x:v>
      </x:c>
      <x:c r="P347" s="8" t="n">
        <x:f>N347^2</x:f>
        <x:v>907.448414327862</x:v>
      </x:c>
      <x:c r="Q347" s="8" t="n">
        <x:f>K347-L347</x:f>
        <x:v>-7</x:v>
      </x:c>
      <x:c r="R347" s="9" t="n">
        <x:f>IF(AND(INDEX('Сводка'!$T$3:$T$397,U347)=0,INDEX('Сводка'!$T$3:$T$397,V347)=0),1,0)</x:f>
        <x:v>1</x:v>
      </x:c>
      <x:c r="S347" s="9" t="n">
        <x:f>IF(AND(R347=1,O347&lt;=$G$13),1,0)</x:f>
        <x:v>0</x:v>
      </x:c>
      <x:c r="T347" s="10" t="n">
        <x:f>EOMONTH(J347-'Сводка'!$B$11,-1)</x:f>
        <x:v>46173</x:v>
      </x:c>
      <x:c r="U347" s="4" t="n">
        <x:f>MATCH(J347,'Сводка'!$R$3:$R$397,0)</x:f>
        <x:v>358</x:v>
      </x:c>
      <x:c r="V347" s="4" t="n">
        <x:f>MATCH(J347-'Сводка'!$B$11,'Сводка'!$R$3:$R$397,0)</x:f>
        <x:v>357</x:v>
      </x:c>
      <x:c r="W347" s="4" t="n">
        <x:f>MATCH(T347,$J$388:$J$400,0)</x:f>
        <x:v>12</x:v>
      </x:c>
      <x:c r="X347" s="3"/>
      <x:c r="Y347" s="3"/>
      <x:c r="Z347" s="3"/>
    </x:row>
    <x:row r="348" ht="15" customHeight="1">
      <x:c r="A348" s="3"/>
      <x:c r="B348" s="3"/>
      <x:c r="C348" s="3"/>
      <x:c r="D348" s="3"/>
      <x:c r="E348" s="3"/>
      <x:c r="F348" s="3"/>
      <x:c r="G348" s="3"/>
      <x:c r="H348" s="3"/>
      <x:c r="I348" s="3"/>
      <x:c r="J348" s="10" t="n">
        <x:v>46199</x:v>
      </x:c>
      <x:c r="K348" s="8" t="n">
        <x:f>INDEX('Сводка'!$S$3:$S$397,U348)</x:f>
        <x:v>139</x:v>
      </x:c>
      <x:c r="L348" s="8" t="n">
        <x:f>INDEX('Сводка'!$S$3:$S$397,V348)</x:f>
        <x:v>144</x:v>
      </x:c>
      <x:c r="M348" s="8" t="n">
        <x:f>INDEX($K$388:$N$400,W348,1)+INDEX($K$388:$N$400,W348,2)*(2*(J348-$T$405)/(T348-$T$405)-1)^1+INDEX($K$388:$N$400,W348,3)*(2*(J348-$T$405)/(T348-$T$405)-1)^2</x:f>
        <x:v>113.86500346568363</x:v>
      </x:c>
      <x:c r="N348" s="8" t="n">
        <x:f>K348-M348</x:f>
        <x:v>25.13499653431637</x:v>
      </x:c>
      <x:c r="O348" s="8" t="n">
        <x:f>ABS(N348)</x:f>
        <x:v>25.13499653431637</x:v>
      </x:c>
      <x:c r="P348" s="8" t="n">
        <x:f>N348^2</x:f>
        <x:v>631.768050780096</x:v>
      </x:c>
      <x:c r="Q348" s="8" t="n">
        <x:f>K348-L348</x:f>
        <x:v>-5</x:v>
      </x:c>
      <x:c r="R348" s="9" t="n">
        <x:f>IF(AND(INDEX('Сводка'!$T$3:$T$397,U348)=0,INDEX('Сводка'!$T$3:$T$397,V348)=0),1,0)</x:f>
        <x:v>1</x:v>
      </x:c>
      <x:c r="S348" s="9" t="n">
        <x:f>IF(AND(R348=1,O348&lt;=$G$13),1,0)</x:f>
        <x:v>0</x:v>
      </x:c>
      <x:c r="T348" s="10" t="n">
        <x:f>EOMONTH(J348-'Сводка'!$B$11,-1)</x:f>
        <x:v>46173</x:v>
      </x:c>
      <x:c r="U348" s="4" t="n">
        <x:f>MATCH(J348,'Сводка'!$R$3:$R$397,0)</x:f>
        <x:v>359</x:v>
      </x:c>
      <x:c r="V348" s="4" t="n">
        <x:f>MATCH(J348-'Сводка'!$B$11,'Сводка'!$R$3:$R$397,0)</x:f>
        <x:v>358</x:v>
      </x:c>
      <x:c r="W348" s="4" t="n">
        <x:f>MATCH(T348,$J$388:$J$400,0)</x:f>
        <x:v>12</x:v>
      </x:c>
      <x:c r="X348" s="3"/>
      <x:c r="Y348" s="3"/>
      <x:c r="Z348" s="3"/>
    </x:row>
    <x:row r="349" ht="15" customHeight="1">
      <x:c r="A349" s="3"/>
      <x:c r="B349" s="3"/>
      <x:c r="C349" s="3"/>
      <x:c r="D349" s="3"/>
      <x:c r="E349" s="3"/>
      <x:c r="F349" s="3"/>
      <x:c r="G349" s="3"/>
      <x:c r="H349" s="3"/>
      <x:c r="I349" s="3"/>
      <x:c r="J349" s="10" t="n">
        <x:v>46200</x:v>
      </x:c>
      <x:c r="K349" s="8" t="n">
        <x:f>INDEX('Сводка'!$S$3:$S$397,U349)</x:f>
        <x:v>136</x:v>
      </x:c>
      <x:c r="L349" s="8" t="n">
        <x:f>INDEX('Сводка'!$S$3:$S$397,V349)</x:f>
        <x:v>139</x:v>
      </x:c>
      <x:c r="M349" s="8" t="n">
        <x:f>INDEX($K$388:$N$400,W349,1)+INDEX($K$388:$N$400,W349,2)*(2*(J349-$T$405)/(T349-$T$405)-1)^1+INDEX($K$388:$N$400,W349,3)*(2*(J349-$T$405)/(T349-$T$405)-1)^2</x:f>
        <x:v>113.85388421283166</x:v>
      </x:c>
      <x:c r="N349" s="8" t="n">
        <x:f>K349-M349</x:f>
        <x:v>22.14611578716834</x:v>
      </x:c>
      <x:c r="O349" s="8" t="n">
        <x:f>ABS(N349)</x:f>
        <x:v>22.14611578716834</x:v>
      </x:c>
      <x:c r="P349" s="8" t="n">
        <x:f>N349^2</x:f>
        <x:v>490.4504444586668</x:v>
      </x:c>
      <x:c r="Q349" s="8" t="n">
        <x:f>K349-L349</x:f>
        <x:v>-3</x:v>
      </x:c>
      <x:c r="R349" s="9" t="n">
        <x:f>IF(AND(INDEX('Сводка'!$T$3:$T$397,U349)=0,INDEX('Сводка'!$T$3:$T$397,V349)=0),1,0)</x:f>
        <x:v>1</x:v>
      </x:c>
      <x:c r="S349" s="9" t="n">
        <x:f>IF(AND(R349=1,O349&lt;=$G$13),1,0)</x:f>
        <x:v>0</x:v>
      </x:c>
      <x:c r="T349" s="10" t="n">
        <x:f>EOMONTH(J349-'Сводка'!$B$11,-1)</x:f>
        <x:v>46173</x:v>
      </x:c>
      <x:c r="U349" s="4" t="n">
        <x:f>MATCH(J349,'Сводка'!$R$3:$R$397,0)</x:f>
        <x:v>360</x:v>
      </x:c>
      <x:c r="V349" s="4" t="n">
        <x:f>MATCH(J349-'Сводка'!$B$11,'Сводка'!$R$3:$R$397,0)</x:f>
        <x:v>359</x:v>
      </x:c>
      <x:c r="W349" s="4" t="n">
        <x:f>MATCH(T349,$J$388:$J$400,0)</x:f>
        <x:v>12</x:v>
      </x:c>
      <x:c r="X349" s="3"/>
      <x:c r="Y349" s="3"/>
      <x:c r="Z349" s="3"/>
    </x:row>
    <x:row r="350" ht="15" customHeight="1">
      <x:c r="A350" s="3"/>
      <x:c r="B350" s="3"/>
      <x:c r="C350" s="3"/>
      <x:c r="D350" s="3"/>
      <x:c r="E350" s="3"/>
      <x:c r="F350" s="3"/>
      <x:c r="G350" s="3"/>
      <x:c r="H350" s="3"/>
      <x:c r="I350" s="3"/>
      <x:c r="J350" s="10" t="n">
        <x:v>46201</x:v>
      </x:c>
      <x:c r="K350" s="8" t="n">
        <x:f>INDEX('Сводка'!$S$3:$S$397,U350)</x:f>
        <x:v>127</x:v>
      </x:c>
      <x:c r="L350" s="8" t="n">
        <x:f>INDEX('Сводка'!$S$3:$S$397,V350)</x:f>
        <x:v>136</x:v>
      </x:c>
      <x:c r="M350" s="8" t="n">
        <x:f>INDEX($K$388:$N$400,W350,1)+INDEX($K$388:$N$400,W350,2)*(2*(J350-$T$405)/(T350-$T$405)-1)^1+INDEX($K$388:$N$400,W350,3)*(2*(J350-$T$405)/(T350-$T$405)-1)^2</x:f>
        <x:v>113.84275779192696</x:v>
      </x:c>
      <x:c r="N350" s="8" t="n">
        <x:f>K350-M350</x:f>
        <x:v>13.157242208073043</x:v>
      </x:c>
      <x:c r="O350" s="8" t="n">
        <x:f>ABS(N350)</x:f>
        <x:v>13.157242208073043</x:v>
      </x:c>
      <x:c r="P350" s="8" t="n">
        <x:f>N350^2</x:f>
        <x:v>173.1130225218988</x:v>
      </x:c>
      <x:c r="Q350" s="8" t="n">
        <x:f>K350-L350</x:f>
        <x:v>-9</x:v>
      </x:c>
      <x:c r="R350" s="9" t="n">
        <x:f>IF(AND(INDEX('Сводка'!$T$3:$T$397,U350)=0,INDEX('Сводка'!$T$3:$T$397,V350)=0),1,0)</x:f>
        <x:v>1</x:v>
      </x:c>
      <x:c r="S350" s="9" t="n">
        <x:f>IF(AND(R350=1,O350&lt;=$G$13),1,0)</x:f>
        <x:v>0</x:v>
      </x:c>
      <x:c r="T350" s="10" t="n">
        <x:f>EOMONTH(J350-'Сводка'!$B$11,-1)</x:f>
        <x:v>46173</x:v>
      </x:c>
      <x:c r="U350" s="4" t="n">
        <x:f>MATCH(J350,'Сводка'!$R$3:$R$397,0)</x:f>
        <x:v>361</x:v>
      </x:c>
      <x:c r="V350" s="4" t="n">
        <x:f>MATCH(J350-'Сводка'!$B$11,'Сводка'!$R$3:$R$397,0)</x:f>
        <x:v>360</x:v>
      </x:c>
      <x:c r="W350" s="4" t="n">
        <x:f>MATCH(T350,$J$388:$J$400,0)</x:f>
        <x:v>12</x:v>
      </x:c>
      <x:c r="X350" s="3"/>
      <x:c r="Y350" s="3"/>
      <x:c r="Z350" s="3"/>
    </x:row>
    <x:row r="351" ht="15" customHeight="1">
      <x:c r="A351" s="3"/>
      <x:c r="B351" s="3"/>
      <x:c r="C351" s="3"/>
      <x:c r="D351" s="3"/>
      <x:c r="E351" s="3"/>
      <x:c r="F351" s="3"/>
      <x:c r="G351" s="3"/>
      <x:c r="H351" s="3"/>
      <x:c r="I351" s="3"/>
      <x:c r="J351" s="10" t="n">
        <x:v>46202</x:v>
      </x:c>
      <x:c r="K351" s="8" t="n">
        <x:f>INDEX('Сводка'!$S$3:$S$397,U351)</x:f>
        <x:v>122</x:v>
      </x:c>
      <x:c r="L351" s="8" t="n">
        <x:f>INDEX('Сводка'!$S$3:$S$397,V351)</x:f>
        <x:v>127</x:v>
      </x:c>
      <x:c r="M351" s="8" t="n">
        <x:f>INDEX($K$388:$N$400,W351,1)+INDEX($K$388:$N$400,W351,2)*(2*(J351-$T$405)/(T351-$T$405)-1)^1+INDEX($K$388:$N$400,W351,3)*(2*(J351-$T$405)/(T351-$T$405)-1)^2</x:f>
        <x:v>113.83162420296942</x:v>
      </x:c>
      <x:c r="N351" s="8" t="n">
        <x:f>K351-M351</x:f>
        <x:v>8.168375797030578</x:v>
      </x:c>
      <x:c r="O351" s="8" t="n">
        <x:f>ABS(N351)</x:f>
        <x:v>8.168375797030578</x:v>
      </x:c>
      <x:c r="P351" s="8" t="n">
        <x:f>N351^2</x:f>
        <x:v>66.72236316151492</x:v>
      </x:c>
      <x:c r="Q351" s="8" t="n">
        <x:f>K351-L351</x:f>
        <x:v>-5</x:v>
      </x:c>
      <x:c r="R351" s="9" t="n">
        <x:f>IF(AND(INDEX('Сводка'!$T$3:$T$397,U351)=0,INDEX('Сводка'!$T$3:$T$397,V351)=0),1,0)</x:f>
        <x:v>1</x:v>
      </x:c>
      <x:c r="S351" s="9" t="n">
        <x:f>IF(AND(R351=1,O351&lt;=$G$13),1,0)</x:f>
        <x:v>0</x:v>
      </x:c>
      <x:c r="T351" s="10" t="n">
        <x:f>EOMONTH(J351-'Сводка'!$B$11,-1)</x:f>
        <x:v>46173</x:v>
      </x:c>
      <x:c r="U351" s="4" t="n">
        <x:f>MATCH(J351,'Сводка'!$R$3:$R$397,0)</x:f>
        <x:v>362</x:v>
      </x:c>
      <x:c r="V351" s="4" t="n">
        <x:f>MATCH(J351-'Сводка'!$B$11,'Сводка'!$R$3:$R$397,0)</x:f>
        <x:v>361</x:v>
      </x:c>
      <x:c r="W351" s="4" t="n">
        <x:f>MATCH(T351,$J$388:$J$400,0)</x:f>
        <x:v>12</x:v>
      </x:c>
      <x:c r="X351" s="3"/>
      <x:c r="Y351" s="3"/>
      <x:c r="Z351" s="3"/>
    </x:row>
    <x:row r="352" ht="15" customHeight="1">
      <x:c r="A352" s="3"/>
      <x:c r="B352" s="3"/>
      <x:c r="C352" s="3"/>
      <x:c r="D352" s="3"/>
      <x:c r="E352" s="3"/>
      <x:c r="F352" s="3"/>
      <x:c r="G352" s="3"/>
      <x:c r="H352" s="3"/>
      <x:c r="I352" s="3"/>
      <x:c r="J352" s="10" t="n">
        <x:v>46203</x:v>
      </x:c>
      <x:c r="K352" s="8" t="n">
        <x:f>INDEX('Сводка'!$S$3:$S$397,U352)</x:f>
        <x:v>116</x:v>
      </x:c>
      <x:c r="L352" s="8" t="n">
        <x:f>INDEX('Сводка'!$S$3:$S$397,V352)</x:f>
        <x:v>122</x:v>
      </x:c>
      <x:c r="M352" s="8" t="n">
        <x:f>INDEX($K$388:$N$400,W352,1)+INDEX($K$388:$N$400,W352,2)*(2*(J352-$T$405)/(T352-$T$405)-1)^1+INDEX($K$388:$N$400,W352,3)*(2*(J352-$T$405)/(T352-$T$405)-1)^2</x:f>
        <x:v>113.82048344595917</x:v>
      </x:c>
      <x:c r="N352" s="8" t="n">
        <x:f>K352-M352</x:f>
        <x:v>2.1795165540408306</x:v>
      </x:c>
      <x:c r="O352" s="8" t="n">
        <x:f>ABS(N352)</x:f>
        <x:v>2.1795165540408306</x:v>
      </x:c>
      <x:c r="P352" s="8" t="n">
        <x:f>N352^2</x:f>
        <x:v>4.750292409338017</x:v>
      </x:c>
      <x:c r="Q352" s="8" t="n">
        <x:f>K352-L352</x:f>
        <x:v>-6</x:v>
      </x:c>
      <x:c r="R352" s="9" t="n">
        <x:f>IF(AND(INDEX('Сводка'!$T$3:$T$397,U352)=0,INDEX('Сводка'!$T$3:$T$397,V352)=0),1,0)</x:f>
        <x:v>1</x:v>
      </x:c>
      <x:c r="S352" s="9" t="n">
        <x:f>IF(AND(R352=1,O352&lt;=$G$13),1,0)</x:f>
        <x:v>1</x:v>
      </x:c>
      <x:c r="T352" s="10" t="n">
        <x:f>EOMONTH(J352-'Сводка'!$B$11,-1)</x:f>
        <x:v>46173</x:v>
      </x:c>
      <x:c r="U352" s="4" t="n">
        <x:f>MATCH(J352,'Сводка'!$R$3:$R$397,0)</x:f>
        <x:v>363</x:v>
      </x:c>
      <x:c r="V352" s="4" t="n">
        <x:f>MATCH(J352-'Сводка'!$B$11,'Сводка'!$R$3:$R$397,0)</x:f>
        <x:v>362</x:v>
      </x:c>
      <x:c r="W352" s="4" t="n">
        <x:f>MATCH(T352,$J$388:$J$400,0)</x:f>
        <x:v>12</x:v>
      </x:c>
      <x:c r="X352" s="3"/>
      <x:c r="Y352" s="3"/>
      <x:c r="Z352" s="3"/>
    </x:row>
    <x:row r="353" ht="15" customHeight="1">
      <x:c r="A353" s="3"/>
      <x:c r="B353" s="3"/>
      <x:c r="C353" s="3"/>
      <x:c r="D353" s="3"/>
      <x:c r="E353" s="3"/>
      <x:c r="F353" s="3"/>
      <x:c r="G353" s="3"/>
      <x:c r="H353" s="3"/>
      <x:c r="I353" s="3"/>
      <x:c r="J353" s="10" t="n">
        <x:v>46204</x:v>
      </x:c>
      <x:c r="K353" s="8" t="n">
        <x:f>INDEX('Сводка'!$S$3:$S$397,U353)</x:f>
        <x:v>110</x:v>
      </x:c>
      <x:c r="L353" s="8" t="n">
        <x:f>INDEX('Сводка'!$S$3:$S$397,V353)</x:f>
        <x:v>116</x:v>
      </x:c>
      <x:c r="M353" s="8" t="n">
        <x:f>INDEX($K$388:$N$400,W353,1)+INDEX($K$388:$N$400,W353,2)*(2*(J353-$T$405)/(T353-$T$405)-1)^1+INDEX($K$388:$N$400,W353,3)*(2*(J353-$T$405)/(T353-$T$405)-1)^2</x:f>
        <x:v>113.80933552089618</x:v>
      </x:c>
      <x:c r="N353" s="8" t="n">
        <x:f>K353-M353</x:f>
        <x:v>-3.809335520896184</x:v>
      </x:c>
      <x:c r="O353" s="8" t="n">
        <x:f>ABS(N353)</x:f>
        <x:v>3.809335520896184</x:v>
      </x:c>
      <x:c r="P353" s="8" t="n">
        <x:f>N353^2</x:f>
        <x:v>14.5110371107614</x:v>
      </x:c>
      <x:c r="Q353" s="8" t="n">
        <x:f>K353-L353</x:f>
        <x:v>-6</x:v>
      </x:c>
      <x:c r="R353" s="9" t="n">
        <x:f>IF(AND(INDEX('Сводка'!$T$3:$T$397,U353)=0,INDEX('Сводка'!$T$3:$T$397,V353)=0),1,0)</x:f>
        <x:v>1</x:v>
      </x:c>
      <x:c r="S353" s="9" t="n">
        <x:f>IF(AND(R353=1,O353&lt;=$G$13),1,0)</x:f>
        <x:v>1</x:v>
      </x:c>
      <x:c r="T353" s="10" t="n">
        <x:f>EOMONTH(J353-'Сводка'!$B$11,-1)</x:f>
        <x:v>46173</x:v>
      </x:c>
      <x:c r="U353" s="4" t="n">
        <x:f>MATCH(J353,'Сводка'!$R$3:$R$397,0)</x:f>
        <x:v>364</x:v>
      </x:c>
      <x:c r="V353" s="4" t="n">
        <x:f>MATCH(J353-'Сводка'!$B$11,'Сводка'!$R$3:$R$397,0)</x:f>
        <x:v>363</x:v>
      </x:c>
      <x:c r="W353" s="4" t="n">
        <x:f>MATCH(T353,$J$388:$J$400,0)</x:f>
        <x:v>12</x:v>
      </x:c>
      <x:c r="X353" s="3"/>
      <x:c r="Y353" s="3"/>
      <x:c r="Z353" s="3"/>
    </x:row>
    <x:row r="354" ht="15" customHeight="1">
      <x:c r="A354" s="3"/>
      <x:c r="B354" s="3"/>
      <x:c r="C354" s="3"/>
      <x:c r="D354" s="3"/>
      <x:c r="E354" s="3"/>
      <x:c r="F354" s="3"/>
      <x:c r="G354" s="3"/>
      <x:c r="H354" s="3"/>
      <x:c r="I354" s="3"/>
      <x:c r="J354" s="10" t="n">
        <x:v>46205</x:v>
      </x:c>
      <x:c r="K354" s="8" t="n">
        <x:f>INDEX('Сводка'!$S$3:$S$397,U354)</x:f>
        <x:v>105</x:v>
      </x:c>
      <x:c r="L354" s="8" t="n">
        <x:f>INDEX('Сводка'!$S$3:$S$397,V354)</x:f>
        <x:v>110</x:v>
      </x:c>
      <x:c r="M354" s="8" t="n">
        <x:f>INDEX($K$388:$N$400,W354,1)+INDEX($K$388:$N$400,W354,2)*(2*(J354-$T$405)/(T354-$T$405)-1)^1+INDEX($K$388:$N$400,W354,3)*(2*(J354-$T$405)/(T354-$T$405)-1)^2</x:f>
        <x:v>114.32750037487709</x:v>
      </x:c>
      <x:c r="N354" s="8" t="n">
        <x:f>K354-M354</x:f>
        <x:v>-9.32750037487709</x:v>
      </x:c>
      <x:c r="O354" s="8" t="n">
        <x:f>ABS(N354)</x:f>
        <x:v>9.32750037487709</x:v>
      </x:c>
      <x:c r="P354" s="8" t="n">
        <x:f>N354^2</x:f>
        <x:v>87.00226324333225</x:v>
      </x:c>
      <x:c r="Q354" s="8" t="n">
        <x:f>K354-L354</x:f>
        <x:v>-5</x:v>
      </x:c>
      <x:c r="R354" s="9" t="n">
        <x:f>IF(AND(INDEX('Сводка'!$T$3:$T$397,U354)=0,INDEX('Сводка'!$T$3:$T$397,V354)=0),1,0)</x:f>
        <x:v>1</x:v>
      </x:c>
      <x:c r="S354" s="9" t="n">
        <x:f>IF(AND(R354=1,O354&lt;=$G$13),1,0)</x:f>
        <x:v>0</x:v>
      </x:c>
      <x:c r="T354" s="10" t="n">
        <x:f>EOMONTH(J354-'Сводка'!$B$11,-1)</x:f>
        <x:v>46203</x:v>
      </x:c>
      <x:c r="U354" s="4" t="n">
        <x:f>MATCH(J354,'Сводка'!$R$3:$R$397,0)</x:f>
        <x:v>365</x:v>
      </x:c>
      <x:c r="V354" s="4" t="n">
        <x:f>MATCH(J354-'Сводка'!$B$11,'Сводка'!$R$3:$R$397,0)</x:f>
        <x:v>364</x:v>
      </x:c>
      <x:c r="W354" s="4" t="n">
        <x:f>MATCH(T354,$J$388:$J$400,0)</x:f>
        <x:v>13</x:v>
      </x:c>
      <x:c r="X354" s="3"/>
      <x:c r="Y354" s="3"/>
      <x:c r="Z354" s="3"/>
    </x:row>
    <x:row r="355" ht="15" customHeight="1">
      <x:c r="A355" s="3"/>
      <x:c r="B355" s="3"/>
      <x:c r="C355" s="3"/>
      <x:c r="D355" s="3"/>
      <x:c r="E355" s="3"/>
      <x:c r="F355" s="3"/>
      <x:c r="G355" s="3"/>
      <x:c r="H355" s="3"/>
      <x:c r="I355" s="3"/>
      <x:c r="J355" s="10" t="n">
        <x:v>46206</x:v>
      </x:c>
      <x:c r="K355" s="8" t="n">
        <x:f>INDEX('Сводка'!$S$3:$S$397,U355)</x:f>
        <x:v>105</x:v>
      </x:c>
      <x:c r="L355" s="8" t="n">
        <x:f>INDEX('Сводка'!$S$3:$S$397,V355)</x:f>
        <x:v>105</x:v>
      </x:c>
      <x:c r="M355" s="8" t="n">
        <x:f>INDEX($K$388:$N$400,W355,1)+INDEX($K$388:$N$400,W355,2)*(2*(J355-$T$405)/(T355-$T$405)-1)^1+INDEX($K$388:$N$400,W355,3)*(2*(J355-$T$405)/(T355-$T$405)-1)^2</x:f>
        <x:v>114.31657000399397</x:v>
      </x:c>
      <x:c r="N355" s="8" t="n">
        <x:f>K355-M355</x:f>
        <x:v>-9.316570003993974</x:v>
      </x:c>
      <x:c r="O355" s="8" t="n">
        <x:f>ABS(N355)</x:f>
        <x:v>9.316570003993974</x:v>
      </x:c>
      <x:c r="P355" s="8" t="n">
        <x:f>N355^2</x:f>
        <x:v>86.79847663932027</x:v>
      </x:c>
      <x:c r="Q355" s="8" t="n">
        <x:f>K355-L355</x:f>
        <x:v>0</x:v>
      </x:c>
      <x:c r="R355" s="9" t="n">
        <x:f>IF(AND(INDEX('Сводка'!$T$3:$T$397,U355)=0,INDEX('Сводка'!$T$3:$T$397,V355)=0),1,0)</x:f>
        <x:v>1</x:v>
      </x:c>
      <x:c r="S355" s="9" t="n">
        <x:f>IF(AND(R355=1,O355&lt;=$G$13),1,0)</x:f>
        <x:v>0</x:v>
      </x:c>
      <x:c r="T355" s="10" t="n">
        <x:f>EOMONTH(J355-'Сводка'!$B$11,-1)</x:f>
        <x:v>46203</x:v>
      </x:c>
      <x:c r="U355" s="4" t="n">
        <x:f>MATCH(J355,'Сводка'!$R$3:$R$397,0)</x:f>
        <x:v>366</x:v>
      </x:c>
      <x:c r="V355" s="4" t="n">
        <x:f>MATCH(J355-'Сводка'!$B$11,'Сводка'!$R$3:$R$397,0)</x:f>
        <x:v>365</x:v>
      </x:c>
      <x:c r="W355" s="4" t="n">
        <x:f>MATCH(T355,$J$388:$J$400,0)</x:f>
        <x:v>13</x:v>
      </x:c>
      <x:c r="X355" s="3"/>
      <x:c r="Y355" s="3"/>
      <x:c r="Z355" s="3"/>
    </x:row>
    <x:row r="356" ht="15" customHeight="1">
      <x:c r="A356" s="3"/>
      <x:c r="B356" s="3"/>
      <x:c r="C356" s="3"/>
      <x:c r="D356" s="3"/>
      <x:c r="E356" s="3"/>
      <x:c r="F356" s="3"/>
      <x:c r="G356" s="3"/>
      <x:c r="H356" s="3"/>
      <x:c r="I356" s="3"/>
      <x:c r="J356" s="10" t="n">
        <x:v>46207</x:v>
      </x:c>
      <x:c r="K356" s="8" t="n">
        <x:f>INDEX('Сводка'!$S$3:$S$397,U356)</x:f>
        <x:v>121</x:v>
      </x:c>
      <x:c r="L356" s="8" t="n">
        <x:f>INDEX('Сводка'!$S$3:$S$397,V356)</x:f>
        <x:v>105</x:v>
      </x:c>
      <x:c r="M356" s="8" t="n">
        <x:f>INDEX($K$388:$N$400,W356,1)+INDEX($K$388:$N$400,W356,2)*(2*(J356-$T$405)/(T356-$T$405)-1)^1+INDEX($K$388:$N$400,W356,3)*(2*(J356-$T$405)/(T356-$T$405)-1)^2</x:f>
        <x:v>114.3056325078664</x:v>
      </x:c>
      <x:c r="N356" s="8" t="n">
        <x:f>K356-M356</x:f>
        <x:v>6.694367492133594</x:v>
      </x:c>
      <x:c r="O356" s="8" t="n">
        <x:f>ABS(N356)</x:f>
        <x:v>6.694367492133594</x:v>
      </x:c>
      <x:c r="P356" s="8" t="n">
        <x:f>N356^2</x:f>
        <x:v>44.81455611973502</x:v>
      </x:c>
      <x:c r="Q356" s="8" t="n">
        <x:f>K356-L356</x:f>
        <x:v>16</x:v>
      </x:c>
      <x:c r="R356" s="9" t="n">
        <x:f>IF(AND(INDEX('Сводка'!$T$3:$T$397,U356)=0,INDEX('Сводка'!$T$3:$T$397,V356)=0),1,0)</x:f>
        <x:v>1</x:v>
      </x:c>
      <x:c r="S356" s="9" t="n">
        <x:f>IF(AND(R356=1,O356&lt;=$G$13),1,0)</x:f>
        <x:v>1</x:v>
      </x:c>
      <x:c r="T356" s="10" t="n">
        <x:f>EOMONTH(J356-'Сводка'!$B$11,-1)</x:f>
        <x:v>46203</x:v>
      </x:c>
      <x:c r="U356" s="4" t="n">
        <x:f>MATCH(J356,'Сводка'!$R$3:$R$397,0)</x:f>
        <x:v>367</x:v>
      </x:c>
      <x:c r="V356" s="4" t="n">
        <x:f>MATCH(J356-'Сводка'!$B$11,'Сводка'!$R$3:$R$397,0)</x:f>
        <x:v>366</x:v>
      </x:c>
      <x:c r="W356" s="4" t="n">
        <x:f>MATCH(T356,$J$388:$J$400,0)</x:f>
        <x:v>13</x:v>
      </x:c>
      <x:c r="X356" s="3"/>
      <x:c r="Y356" s="3"/>
      <x:c r="Z356" s="3"/>
    </x:row>
    <x:row r="357" ht="15" customHeight="1">
      <x:c r="A357" s="3"/>
      <x:c r="B357" s="3"/>
      <x:c r="C357" s="3"/>
      <x:c r="D357" s="3"/>
      <x:c r="E357" s="3"/>
      <x:c r="F357" s="3"/>
      <x:c r="G357" s="3"/>
      <x:c r="H357" s="3"/>
      <x:c r="I357" s="3"/>
      <x:c r="J357" s="10" t="n">
        <x:v>46208</x:v>
      </x:c>
      <x:c r="K357" s="8" t="n">
        <x:f>INDEX('Сводка'!$S$3:$S$397,U357)</x:f>
        <x:v>138</x:v>
      </x:c>
      <x:c r="L357" s="8" t="n">
        <x:f>INDEX('Сводка'!$S$3:$S$397,V357)</x:f>
        <x:v>121</x:v>
      </x:c>
      <x:c r="M357" s="8" t="n">
        <x:f>INDEX($K$388:$N$400,W357,1)+INDEX($K$388:$N$400,W357,2)*(2*(J357-$T$405)/(T357-$T$405)-1)^1+INDEX($K$388:$N$400,W357,3)*(2*(J357-$T$405)/(T357-$T$405)-1)^2</x:f>
        <x:v>114.29468788649434</x:v>
      </x:c>
      <x:c r="N357" s="8" t="n">
        <x:f>K357-M357</x:f>
        <x:v>23.705312113505656</x:v>
      </x:c>
      <x:c r="O357" s="8" t="n">
        <x:f>ABS(N357)</x:f>
        <x:v>23.705312113505656</x:v>
      </x:c>
      <x:c r="P357" s="8" t="n">
        <x:f>N357^2</x:f>
        <x:v>561.9418223987179</x:v>
      </x:c>
      <x:c r="Q357" s="8" t="n">
        <x:f>K357-L357</x:f>
        <x:v>17</x:v>
      </x:c>
      <x:c r="R357" s="9" t="n">
        <x:f>IF(AND(INDEX('Сводка'!$T$3:$T$397,U357)=0,INDEX('Сводка'!$T$3:$T$397,V357)=0),1,0)</x:f>
        <x:v>1</x:v>
      </x:c>
      <x:c r="S357" s="9" t="n">
        <x:f>IF(AND(R357=1,O357&lt;=$G$13),1,0)</x:f>
        <x:v>0</x:v>
      </x:c>
      <x:c r="T357" s="10" t="n">
        <x:f>EOMONTH(J357-'Сводка'!$B$11,-1)</x:f>
        <x:v>46203</x:v>
      </x:c>
      <x:c r="U357" s="4" t="n">
        <x:f>MATCH(J357,'Сводка'!$R$3:$R$397,0)</x:f>
        <x:v>368</x:v>
      </x:c>
      <x:c r="V357" s="4" t="n">
        <x:f>MATCH(J357-'Сводка'!$B$11,'Сводка'!$R$3:$R$397,0)</x:f>
        <x:v>367</x:v>
      </x:c>
      <x:c r="W357" s="4" t="n">
        <x:f>MATCH(T357,$J$388:$J$400,0)</x:f>
        <x:v>13</x:v>
      </x:c>
      <x:c r="X357" s="3"/>
      <x:c r="Y357" s="3"/>
      <x:c r="Z357" s="3"/>
    </x:row>
    <x:row r="358" ht="15" customHeight="1">
      <x:c r="A358" s="3"/>
      <x:c r="B358" s="3"/>
      <x:c r="C358" s="3"/>
      <x:c r="D358" s="3"/>
      <x:c r="E358" s="3"/>
      <x:c r="F358" s="3"/>
      <x:c r="G358" s="3"/>
      <x:c r="H358" s="3"/>
      <x:c r="I358" s="3"/>
      <x:c r="J358" s="10" t="n">
        <x:v>46209</x:v>
      </x:c>
      <x:c r="K358" s="8" t="n">
        <x:f>INDEX('Сводка'!$S$3:$S$397,U358)</x:f>
        <x:v>149</x:v>
      </x:c>
      <x:c r="L358" s="8" t="n">
        <x:f>INDEX('Сводка'!$S$3:$S$397,V358)</x:f>
        <x:v>138</x:v>
      </x:c>
      <x:c r="M358" s="8" t="n">
        <x:f>INDEX($K$388:$N$400,W358,1)+INDEX($K$388:$N$400,W358,2)*(2*(J358-$T$405)/(T358-$T$405)-1)^1+INDEX($K$388:$N$400,W358,3)*(2*(J358-$T$405)/(T358-$T$405)-1)^2</x:f>
        <x:v>114.28373613987777</x:v>
      </x:c>
      <x:c r="N358" s="8" t="n">
        <x:f>K358-M358</x:f>
        <x:v>34.716263860122226</x:v>
      </x:c>
      <x:c r="O358" s="8" t="n">
        <x:f>ABS(N358)</x:f>
        <x:v>34.716263860122226</x:v>
      </x:c>
      <x:c r="P358" s="8" t="n">
        <x:f>N358^2</x:f>
        <x:v>1205.2189764056286</x:v>
      </x:c>
      <x:c r="Q358" s="8" t="n">
        <x:f>K358-L358</x:f>
        <x:v>11</x:v>
      </x:c>
      <x:c r="R358" s="9" t="n">
        <x:f>IF(AND(INDEX('Сводка'!$T$3:$T$397,U358)=0,INDEX('Сводка'!$T$3:$T$397,V358)=0),1,0)</x:f>
        <x:v>1</x:v>
      </x:c>
      <x:c r="S358" s="9" t="n">
        <x:f>IF(AND(R358=1,O358&lt;=$G$13),1,0)</x:f>
        <x:v>0</x:v>
      </x:c>
      <x:c r="T358" s="10" t="n">
        <x:f>EOMONTH(J358-'Сводка'!$B$11,-1)</x:f>
        <x:v>46203</x:v>
      </x:c>
      <x:c r="U358" s="4" t="n">
        <x:f>MATCH(J358,'Сводка'!$R$3:$R$397,0)</x:f>
        <x:v>369</x:v>
      </x:c>
      <x:c r="V358" s="4" t="n">
        <x:f>MATCH(J358-'Сводка'!$B$11,'Сводка'!$R$3:$R$397,0)</x:f>
        <x:v>368</x:v>
      </x:c>
      <x:c r="W358" s="4" t="n">
        <x:f>MATCH(T358,$J$388:$J$400,0)</x:f>
        <x:v>13</x:v>
      </x:c>
      <x:c r="X358" s="3"/>
      <x:c r="Y358" s="3"/>
      <x:c r="Z358" s="3"/>
    </x:row>
    <x:row r="359" ht="15" customHeight="1">
      <x:c r="A359" s="3"/>
      <x:c r="B359" s="3"/>
      <x:c r="C359" s="3"/>
      <x:c r="D359" s="3"/>
      <x:c r="E359" s="3"/>
      <x:c r="F359" s="3"/>
      <x:c r="G359" s="3"/>
      <x:c r="H359" s="3"/>
      <x:c r="I359" s="3"/>
      <x:c r="J359" s="10" t="n">
        <x:v>46210</x:v>
      </x:c>
      <x:c r="K359" s="8" t="n">
        <x:f>INDEX('Сводка'!$S$3:$S$397,U359)</x:f>
        <x:v>158</x:v>
      </x:c>
      <x:c r="L359" s="8" t="n">
        <x:f>INDEX('Сводка'!$S$3:$S$397,V359)</x:f>
        <x:v>149</x:v>
      </x:c>
      <x:c r="M359" s="8" t="n">
        <x:f>INDEX($K$388:$N$400,W359,1)+INDEX($K$388:$N$400,W359,2)*(2*(J359-$T$405)/(T359-$T$405)-1)^1+INDEX($K$388:$N$400,W359,3)*(2*(J359-$T$405)/(T359-$T$405)-1)^2</x:f>
        <x:v>114.27277726801678</x:v>
      </x:c>
      <x:c r="N359" s="8" t="n">
        <x:f>K359-M359</x:f>
        <x:v>43.72722273198322</x:v>
      </x:c>
      <x:c r="O359" s="8" t="n">
        <x:f>ABS(N359)</x:f>
        <x:v>43.72722273198322</x:v>
      </x:c>
      <x:c r="P359" s="8" t="n">
        <x:f>N359^2</x:f>
        <x:v>1912.0700078524699</x:v>
      </x:c>
      <x:c r="Q359" s="8" t="n">
        <x:f>K359-L359</x:f>
        <x:v>9</x:v>
      </x:c>
      <x:c r="R359" s="9" t="n">
        <x:f>IF(AND(INDEX('Сводка'!$T$3:$T$397,U359)=0,INDEX('Сводка'!$T$3:$T$397,V359)=0),1,0)</x:f>
        <x:v>1</x:v>
      </x:c>
      <x:c r="S359" s="9" t="n">
        <x:f>IF(AND(R359=1,O359&lt;=$G$13),1,0)</x:f>
        <x:v>0</x:v>
      </x:c>
      <x:c r="T359" s="10" t="n">
        <x:f>EOMONTH(J359-'Сводка'!$B$11,-1)</x:f>
        <x:v>46203</x:v>
      </x:c>
      <x:c r="U359" s="4" t="n">
        <x:f>MATCH(J359,'Сводка'!$R$3:$R$397,0)</x:f>
        <x:v>370</x:v>
      </x:c>
      <x:c r="V359" s="4" t="n">
        <x:f>MATCH(J359-'Сводка'!$B$11,'Сводка'!$R$3:$R$397,0)</x:f>
        <x:v>369</x:v>
      </x:c>
      <x:c r="W359" s="4" t="n">
        <x:f>MATCH(T359,$J$388:$J$400,0)</x:f>
        <x:v>13</x:v>
      </x:c>
      <x:c r="X359" s="3"/>
      <x:c r="Y359" s="3"/>
      <x:c r="Z359" s="3"/>
    </x:row>
    <x:row r="360" ht="15" customHeight="1">
      <x:c r="A360" s="3"/>
      <x:c r="B360" s="3"/>
      <x:c r="C360" s="3"/>
      <x:c r="D360" s="3"/>
      <x:c r="E360" s="3"/>
      <x:c r="F360" s="3"/>
      <x:c r="G360" s="3"/>
      <x:c r="H360" s="3"/>
      <x:c r="I360" s="3"/>
      <x:c r="J360" s="10" t="n">
        <x:v>46211</x:v>
      </x:c>
      <x:c r="K360" s="8" t="n">
        <x:f>INDEX('Сводка'!$S$3:$S$397,U360)</x:f>
        <x:v>166</x:v>
      </x:c>
      <x:c r="L360" s="8" t="n">
        <x:f>INDEX('Сводка'!$S$3:$S$397,V360)</x:f>
        <x:v>158</x:v>
      </x:c>
      <x:c r="M360" s="8" t="n">
        <x:f>INDEX($K$388:$N$400,W360,1)+INDEX($K$388:$N$400,W360,2)*(2*(J360-$T$405)/(T360-$T$405)-1)^1+INDEX($K$388:$N$400,W360,3)*(2*(J360-$T$405)/(T360-$T$405)-1)^2</x:f>
        <x:v>114.26181127091122</x:v>
      </x:c>
      <x:c r="N360" s="8" t="n">
        <x:f>K360-M360</x:f>
        <x:v>51.738188729088776</x:v>
      </x:c>
      <x:c r="O360" s="8" t="n">
        <x:f>ABS(N360)</x:f>
        <x:v>51.738188729088776</x:v>
      </x:c>
      <x:c r="P360" s="8" t="n">
        <x:f>N360^2</x:f>
        <x:v>2676.840172966809</x:v>
      </x:c>
      <x:c r="Q360" s="8" t="n">
        <x:f>K360-L360</x:f>
        <x:v>8</x:v>
      </x:c>
      <x:c r="R360" s="9" t="n">
        <x:f>IF(AND(INDEX('Сводка'!$T$3:$T$397,U360)=0,INDEX('Сводка'!$T$3:$T$397,V360)=0),1,0)</x:f>
        <x:v>1</x:v>
      </x:c>
      <x:c r="S360" s="9" t="n">
        <x:f>IF(AND(R360=1,O360&lt;=$G$13),1,0)</x:f>
        <x:v>0</x:v>
      </x:c>
      <x:c r="T360" s="10" t="n">
        <x:f>EOMONTH(J360-'Сводка'!$B$11,-1)</x:f>
        <x:v>46203</x:v>
      </x:c>
      <x:c r="U360" s="4" t="n">
        <x:f>MATCH(J360,'Сводка'!$R$3:$R$397,0)</x:f>
        <x:v>371</x:v>
      </x:c>
      <x:c r="V360" s="4" t="n">
        <x:f>MATCH(J360-'Сводка'!$B$11,'Сводка'!$R$3:$R$397,0)</x:f>
        <x:v>370</x:v>
      </x:c>
      <x:c r="W360" s="4" t="n">
        <x:f>MATCH(T360,$J$388:$J$400,0)</x:f>
        <x:v>13</x:v>
      </x:c>
      <x:c r="X360" s="3"/>
      <x:c r="Y360" s="3"/>
      <x:c r="Z360" s="3"/>
    </x:row>
    <x:row r="361" ht="15" customHeight="1">
      <x:c r="A361" s="3"/>
      <x:c r="B361" s="3"/>
      <x:c r="C361" s="3"/>
      <x:c r="D361" s="3"/>
      <x:c r="E361" s="3"/>
      <x:c r="F361" s="3"/>
      <x:c r="G361" s="3"/>
      <x:c r="H361" s="3"/>
      <x:c r="I361" s="3"/>
      <x:c r="J361" s="10" t="n">
        <x:v>46212</x:v>
      </x:c>
      <x:c r="K361" s="8" t="n">
        <x:f>INDEX('Сводка'!$S$3:$S$397,U361)</x:f>
        <x:v>174</x:v>
      </x:c>
      <x:c r="L361" s="8" t="n">
        <x:f>INDEX('Сводка'!$S$3:$S$397,V361)</x:f>
        <x:v>166</x:v>
      </x:c>
      <x:c r="M361" s="8" t="n">
        <x:f>INDEX($K$388:$N$400,W361,1)+INDEX($K$388:$N$400,W361,2)*(2*(J361-$T$405)/(T361-$T$405)-1)^1+INDEX($K$388:$N$400,W361,3)*(2*(J361-$T$405)/(T361-$T$405)-1)^2</x:f>
        <x:v>114.2508381485612</x:v>
      </x:c>
      <x:c r="N361" s="8" t="n">
        <x:f>K361-M361</x:f>
        <x:v>59.7491618514388</x:v>
      </x:c>
      <x:c r="O361" s="8" t="n">
        <x:f>ABS(N361)</x:f>
        <x:v>59.7491618514388</x:v>
      </x:c>
      <x:c r="P361" s="8" t="n">
        <x:f>N361^2</x:f>
        <x:v>3569.9623419494296</x:v>
      </x:c>
      <x:c r="Q361" s="8" t="n">
        <x:f>K361-L361</x:f>
        <x:v>8</x:v>
      </x:c>
      <x:c r="R361" s="9" t="n">
        <x:f>IF(AND(INDEX('Сводка'!$T$3:$T$397,U361)=0,INDEX('Сводка'!$T$3:$T$397,V361)=0),1,0)</x:f>
        <x:v>1</x:v>
      </x:c>
      <x:c r="S361" s="9" t="n">
        <x:f>IF(AND(R361=1,O361&lt;=$G$13),1,0)</x:f>
        <x:v>0</x:v>
      </x:c>
      <x:c r="T361" s="10" t="n">
        <x:f>EOMONTH(J361-'Сводка'!$B$11,-1)</x:f>
        <x:v>46203</x:v>
      </x:c>
      <x:c r="U361" s="4" t="n">
        <x:f>MATCH(J361,'Сводка'!$R$3:$R$397,0)</x:f>
        <x:v>372</x:v>
      </x:c>
      <x:c r="V361" s="4" t="n">
        <x:f>MATCH(J361-'Сводка'!$B$11,'Сводка'!$R$3:$R$397,0)</x:f>
        <x:v>371</x:v>
      </x:c>
      <x:c r="W361" s="4" t="n">
        <x:f>MATCH(T361,$J$388:$J$400,0)</x:f>
        <x:v>13</x:v>
      </x:c>
      <x:c r="X361" s="3"/>
      <x:c r="Y361" s="3"/>
      <x:c r="Z361" s="3"/>
    </x:row>
    <x:row r="362" ht="15" customHeight="1">
      <x:c r="A362" s="3"/>
      <x:c r="B362" s="3"/>
      <x:c r="C362" s="3"/>
      <x:c r="D362" s="3"/>
      <x:c r="E362" s="3"/>
      <x:c r="F362" s="3"/>
      <x:c r="G362" s="3"/>
      <x:c r="H362" s="3"/>
      <x:c r="I362" s="3"/>
      <x:c r="J362" s="10" t="n">
        <x:v>46213</x:v>
      </x:c>
      <x:c r="K362" s="8" t="n">
        <x:f>INDEX('Сводка'!$S$3:$S$397,U362)</x:f>
        <x:v>180</x:v>
      </x:c>
      <x:c r="L362" s="8" t="n">
        <x:f>INDEX('Сводка'!$S$3:$S$397,V362)</x:f>
        <x:v>174</x:v>
      </x:c>
      <x:c r="M362" s="8" t="n">
        <x:f>INDEX($K$388:$N$400,W362,1)+INDEX($K$388:$N$400,W362,2)*(2*(J362-$T$405)/(T362-$T$405)-1)^1+INDEX($K$388:$N$400,W362,3)*(2*(J362-$T$405)/(T362-$T$405)-1)^2</x:f>
        <x:v>114.23985790096675</x:v>
      </x:c>
      <x:c r="N362" s="8" t="n">
        <x:f>K362-M362</x:f>
        <x:v>65.76014209903325</x:v>
      </x:c>
      <x:c r="O362" s="8" t="n">
        <x:f>ABS(N362)</x:f>
        <x:v>65.76014209903325</x:v>
      </x:c>
      <x:c r="P362" s="8" t="n">
        <x:f>N362^2</x:f>
        <x:v>4324.396288885045</x:v>
      </x:c>
      <x:c r="Q362" s="8" t="n">
        <x:f>K362-L362</x:f>
        <x:v>6</x:v>
      </x:c>
      <x:c r="R362" s="9" t="n">
        <x:f>IF(AND(INDEX('Сводка'!$T$3:$T$397,U362)=0,INDEX('Сводка'!$T$3:$T$397,V362)=0),1,0)</x:f>
        <x:v>1</x:v>
      </x:c>
      <x:c r="S362" s="9" t="n">
        <x:f>IF(AND(R362=1,O362&lt;=$G$13),1,0)</x:f>
        <x:v>0</x:v>
      </x:c>
      <x:c r="T362" s="10" t="n">
        <x:f>EOMONTH(J362-'Сводка'!$B$11,-1)</x:f>
        <x:v>46203</x:v>
      </x:c>
      <x:c r="U362" s="4" t="n">
        <x:f>MATCH(J362,'Сводка'!$R$3:$R$397,0)</x:f>
        <x:v>373</x:v>
      </x:c>
      <x:c r="V362" s="4" t="n">
        <x:f>MATCH(J362-'Сводка'!$B$11,'Сводка'!$R$3:$R$397,0)</x:f>
        <x:v>372</x:v>
      </x:c>
      <x:c r="W362" s="4" t="n">
        <x:f>MATCH(T362,$J$388:$J$400,0)</x:f>
        <x:v>13</x:v>
      </x:c>
      <x:c r="X362" s="3"/>
      <x:c r="Y362" s="3"/>
      <x:c r="Z362" s="3"/>
    </x:row>
    <x:row r="363" ht="15" customHeight="1">
      <x:c r="A363" s="3"/>
      <x:c r="B363" s="3"/>
      <x:c r="C363" s="3"/>
      <x:c r="D363" s="3"/>
      <x:c r="E363" s="3"/>
      <x:c r="F363" s="3"/>
      <x:c r="G363" s="3"/>
      <x:c r="H363" s="3"/>
      <x:c r="I363" s="3"/>
      <x:c r="J363" s="10" t="n">
        <x:v>46214</x:v>
      </x:c>
      <x:c r="K363" s="8" t="n">
        <x:f>INDEX('Сводка'!$S$3:$S$397,U363)</x:f>
        <x:v>181</x:v>
      </x:c>
      <x:c r="L363" s="8" t="n">
        <x:f>INDEX('Сводка'!$S$3:$S$397,V363)</x:f>
        <x:v>180</x:v>
      </x:c>
      <x:c r="M363" s="8" t="n">
        <x:f>INDEX($K$388:$N$400,W363,1)+INDEX($K$388:$N$400,W363,2)*(2*(J363-$T$405)/(T363-$T$405)-1)^1+INDEX($K$388:$N$400,W363,3)*(2*(J363-$T$405)/(T363-$T$405)-1)^2</x:f>
        <x:v>114.22887052812774</x:v>
      </x:c>
      <x:c r="N363" s="8" t="n">
        <x:f>K363-M363</x:f>
        <x:v>66.77112947187226</x:v>
      </x:c>
      <x:c r="O363" s="8" t="n">
        <x:f>ABS(N363)</x:f>
        <x:v>66.77112947187226</x:v>
      </x:c>
      <x:c r="P363" s="8" t="n">
        <x:f>N363^2</x:f>
        <x:v>4458.3837309495275</x:v>
      </x:c>
      <x:c r="Q363" s="8" t="n">
        <x:f>K363-L363</x:f>
        <x:v>1</x:v>
      </x:c>
      <x:c r="R363" s="9" t="n">
        <x:f>IF(AND(INDEX('Сводка'!$T$3:$T$397,U363)=0,INDEX('Сводка'!$T$3:$T$397,V363)=0),1,0)</x:f>
        <x:v>1</x:v>
      </x:c>
      <x:c r="S363" s="9" t="n">
        <x:f>IF(AND(R363=1,O363&lt;=$G$13),1,0)</x:f>
        <x:v>0</x:v>
      </x:c>
      <x:c r="T363" s="10" t="n">
        <x:f>EOMONTH(J363-'Сводка'!$B$11,-1)</x:f>
        <x:v>46203</x:v>
      </x:c>
      <x:c r="U363" s="4" t="n">
        <x:f>MATCH(J363,'Сводка'!$R$3:$R$397,0)</x:f>
        <x:v>374</x:v>
      </x:c>
      <x:c r="V363" s="4" t="n">
        <x:f>MATCH(J363-'Сводка'!$B$11,'Сводка'!$R$3:$R$397,0)</x:f>
        <x:v>373</x:v>
      </x:c>
      <x:c r="W363" s="4" t="n">
        <x:f>MATCH(T363,$J$388:$J$400,0)</x:f>
        <x:v>13</x:v>
      </x:c>
      <x:c r="X363" s="3"/>
      <x:c r="Y363" s="3"/>
      <x:c r="Z363" s="3"/>
    </x:row>
    <x:row r="364" ht="15" customHeight="1">
      <x:c r="A364" s="3"/>
      <x:c r="B364" s="3"/>
      <x:c r="C364" s="3"/>
      <x:c r="D364" s="3"/>
      <x:c r="E364" s="3"/>
      <x:c r="F364" s="3"/>
      <x:c r="G364" s="3"/>
      <x:c r="H364" s="3"/>
      <x:c r="I364" s="3"/>
      <x:c r="J364" s="10" t="n">
        <x:v>46215</x:v>
      </x:c>
      <x:c r="K364" s="8" t="n">
        <x:f>INDEX('Сводка'!$S$3:$S$397,U364)</x:f>
        <x:v>179</x:v>
      </x:c>
      <x:c r="L364" s="8" t="n">
        <x:f>INDEX('Сводка'!$S$3:$S$397,V364)</x:f>
        <x:v>181</x:v>
      </x:c>
      <x:c r="M364" s="8" t="n">
        <x:f>INDEX($K$388:$N$400,W364,1)+INDEX($K$388:$N$400,W364,2)*(2*(J364-$T$405)/(T364-$T$405)-1)^1+INDEX($K$388:$N$400,W364,3)*(2*(J364-$T$405)/(T364-$T$405)-1)^2</x:f>
        <x:v>114.21787603004427</x:v>
      </x:c>
      <x:c r="N364" s="8" t="n">
        <x:f>K364-M364</x:f>
        <x:v>64.78212396995573</x:v>
      </x:c>
      <x:c r="O364" s="8" t="n">
        <x:f>ABS(N364)</x:f>
        <x:v>64.78212396995573</x:v>
      </x:c>
      <x:c r="P364" s="8" t="n">
        <x:f>N364^2</x:f>
        <x:v>4196.723586058713</x:v>
      </x:c>
      <x:c r="Q364" s="8" t="n">
        <x:f>K364-L364</x:f>
        <x:v>-2</x:v>
      </x:c>
      <x:c r="R364" s="9" t="n">
        <x:f>IF(AND(INDEX('Сводка'!$T$3:$T$397,U364)=0,INDEX('Сводка'!$T$3:$T$397,V364)=0),1,0)</x:f>
        <x:v>1</x:v>
      </x:c>
      <x:c r="S364" s="9" t="n">
        <x:f>IF(AND(R364=1,O364&lt;=$G$13),1,0)</x:f>
        <x:v>0</x:v>
      </x:c>
      <x:c r="T364" s="10" t="n">
        <x:f>EOMONTH(J364-'Сводка'!$B$11,-1)</x:f>
        <x:v>46203</x:v>
      </x:c>
      <x:c r="U364" s="4" t="n">
        <x:f>MATCH(J364,'Сводка'!$R$3:$R$397,0)</x:f>
        <x:v>375</x:v>
      </x:c>
      <x:c r="V364" s="4" t="n">
        <x:f>MATCH(J364-'Сводка'!$B$11,'Сводка'!$R$3:$R$397,0)</x:f>
        <x:v>374</x:v>
      </x:c>
      <x:c r="W364" s="4" t="n">
        <x:f>MATCH(T364,$J$388:$J$400,0)</x:f>
        <x:v>13</x:v>
      </x:c>
      <x:c r="X364" s="3"/>
      <x:c r="Y364" s="3"/>
      <x:c r="Z364" s="3"/>
    </x:row>
    <x:row r="365" ht="15" customHeight="1">
      <x:c r="A365" s="3"/>
      <x:c r="B365" s="3"/>
      <x:c r="C365" s="3"/>
      <x:c r="D365" s="3"/>
      <x:c r="E365" s="3"/>
      <x:c r="F365" s="3"/>
      <x:c r="G365" s="3"/>
      <x:c r="H365" s="3"/>
      <x:c r="I365" s="3"/>
      <x:c r="J365" s="10" t="n">
        <x:v>46216</x:v>
      </x:c>
      <x:c r="K365" s="8" t="n">
        <x:f>INDEX('Сводка'!$S$3:$S$397,U365)</x:f>
        <x:v>182</x:v>
      </x:c>
      <x:c r="L365" s="8" t="n">
        <x:f>INDEX('Сводка'!$S$3:$S$397,V365)</x:f>
        <x:v>179</x:v>
      </x:c>
      <x:c r="M365" s="8" t="n">
        <x:f>INDEX($K$388:$N$400,W365,1)+INDEX($K$388:$N$400,W365,2)*(2*(J365-$T$405)/(T365-$T$405)-1)^1+INDEX($K$388:$N$400,W365,3)*(2*(J365-$T$405)/(T365-$T$405)-1)^2</x:f>
        <x:v>114.20687440671632</x:v>
      </x:c>
      <x:c r="N365" s="8" t="n">
        <x:f>K365-M365</x:f>
        <x:v>67.79312559328368</x:v>
      </x:c>
      <x:c r="O365" s="8" t="n">
        <x:f>ABS(N365)</x:f>
        <x:v>67.79312559328368</x:v>
      </x:c>
      <x:c r="P365" s="8" t="n">
        <x:f>N365^2</x:f>
        <x:v>4595.907877706734</x:v>
      </x:c>
      <x:c r="Q365" s="8" t="n">
        <x:f>K365-L365</x:f>
        <x:v>3</x:v>
      </x:c>
      <x:c r="R365" s="9" t="n">
        <x:f>IF(AND(INDEX('Сводка'!$T$3:$T$397,U365)=0,INDEX('Сводка'!$T$3:$T$397,V365)=0),1,0)</x:f>
        <x:v>1</x:v>
      </x:c>
      <x:c r="S365" s="9" t="n">
        <x:f>IF(AND(R365=1,O365&lt;=$G$13),1,0)</x:f>
        <x:v>0</x:v>
      </x:c>
      <x:c r="T365" s="10" t="n">
        <x:f>EOMONTH(J365-'Сводка'!$B$11,-1)</x:f>
        <x:v>46203</x:v>
      </x:c>
      <x:c r="U365" s="4" t="n">
        <x:f>MATCH(J365,'Сводка'!$R$3:$R$397,0)</x:f>
        <x:v>376</x:v>
      </x:c>
      <x:c r="V365" s="4" t="n">
        <x:f>MATCH(J365-'Сводка'!$B$11,'Сводка'!$R$3:$R$397,0)</x:f>
        <x:v>375</x:v>
      </x:c>
      <x:c r="W365" s="4" t="n">
        <x:f>MATCH(T365,$J$388:$J$400,0)</x:f>
        <x:v>13</x:v>
      </x:c>
      <x:c r="X365" s="3"/>
      <x:c r="Y365" s="3"/>
      <x:c r="Z365" s="3"/>
    </x:row>
    <x:row r="366" ht="15" customHeight="1">
      <x:c r="A366" s="3"/>
      <x:c r="B366" s="3"/>
      <x:c r="C366" s="3"/>
      <x:c r="D366" s="3"/>
      <x:c r="E366" s="3"/>
      <x:c r="F366" s="3"/>
      <x:c r="G366" s="3"/>
      <x:c r="H366" s="3"/>
      <x:c r="I366" s="3"/>
      <x:c r="J366" s="10" t="n">
        <x:v>46217</x:v>
      </x:c>
      <x:c r="K366" s="8" t="n">
        <x:f>INDEX('Сводка'!$S$3:$S$397,U366)</x:f>
        <x:v>191</x:v>
      </x:c>
      <x:c r="L366" s="8" t="n">
        <x:f>INDEX('Сводка'!$S$3:$S$397,V366)</x:f>
        <x:v>182</x:v>
      </x:c>
      <x:c r="M366" s="8" t="n">
        <x:f>INDEX($K$388:$N$400,W366,1)+INDEX($K$388:$N$400,W366,2)*(2*(J366-$T$405)/(T366-$T$405)-1)^1+INDEX($K$388:$N$400,W366,3)*(2*(J366-$T$405)/(T366-$T$405)-1)^2</x:f>
        <x:v>114.1958656581439</x:v>
      </x:c>
      <x:c r="N366" s="8" t="n">
        <x:f>K366-M366</x:f>
        <x:v>76.8041343418561</x:v>
      </x:c>
      <x:c r="O366" s="8" t="n">
        <x:f>ABS(N366)</x:f>
        <x:v>76.8041343418561</x:v>
      </x:c>
      <x:c r="P366" s="8" t="n">
        <x:f>N366^2</x:f>
        <x:v>5898.875052001879</x:v>
      </x:c>
      <x:c r="Q366" s="8" t="n">
        <x:f>K366-L366</x:f>
        <x:v>9</x:v>
      </x:c>
      <x:c r="R366" s="9" t="n">
        <x:f>IF(AND(INDEX('Сводка'!$T$3:$T$397,U366)=0,INDEX('Сводка'!$T$3:$T$397,V366)=0),1,0)</x:f>
        <x:v>1</x:v>
      </x:c>
      <x:c r="S366" s="9" t="n">
        <x:f>IF(AND(R366=1,O366&lt;=$G$13),1,0)</x:f>
        <x:v>0</x:v>
      </x:c>
      <x:c r="T366" s="10" t="n">
        <x:f>EOMONTH(J366-'Сводка'!$B$11,-1)</x:f>
        <x:v>46203</x:v>
      </x:c>
      <x:c r="U366" s="4" t="n">
        <x:f>MATCH(J366,'Сводка'!$R$3:$R$397,0)</x:f>
        <x:v>377</x:v>
      </x:c>
      <x:c r="V366" s="4" t="n">
        <x:f>MATCH(J366-'Сводка'!$B$11,'Сводка'!$R$3:$R$397,0)</x:f>
        <x:v>376</x:v>
      </x:c>
      <x:c r="W366" s="4" t="n">
        <x:f>MATCH(T366,$J$388:$J$400,0)</x:f>
        <x:v>13</x:v>
      </x:c>
      <x:c r="X366" s="3"/>
      <x:c r="Y366" s="3"/>
      <x:c r="Z366" s="3"/>
    </x:row>
    <x:row r="367" ht="15" customHeight="1">
      <x:c r="A367" s="3"/>
      <x:c r="B367" s="3"/>
      <x:c r="C367" s="3"/>
      <x:c r="D367" s="3"/>
      <x:c r="E367" s="3"/>
      <x:c r="F367" s="3"/>
      <x:c r="G367" s="3"/>
      <x:c r="H367" s="3"/>
      <x:c r="I367" s="3"/>
      <x:c r="J367" s="10" t="n">
        <x:v>46218</x:v>
      </x:c>
      <x:c r="K367" s="8" t="n">
        <x:f>INDEX('Сводка'!$S$3:$S$397,U367)</x:f>
        <x:v>206</x:v>
      </x:c>
      <x:c r="L367" s="8" t="n">
        <x:f>INDEX('Сводка'!$S$3:$S$397,V367)</x:f>
        <x:v>191</x:v>
      </x:c>
      <x:c r="M367" s="8" t="n">
        <x:f>INDEX($K$388:$N$400,W367,1)+INDEX($K$388:$N$400,W367,2)*(2*(J367-$T$405)/(T367-$T$405)-1)^1+INDEX($K$388:$N$400,W367,3)*(2*(J367-$T$405)/(T367-$T$405)-1)^2</x:f>
        <x:v>114.18484978432694</x:v>
      </x:c>
      <x:c r="N367" s="8" t="n">
        <x:f>K367-M367</x:f>
        <x:v>91.81515021567306</x:v>
      </x:c>
      <x:c r="O367" s="8" t="n">
        <x:f>ABS(N367)</x:f>
        <x:v>91.81515021567306</x:v>
      </x:c>
      <x:c r="P367" s="8" t="n">
        <x:f>N367^2</x:f>
        <x:v>8430.021809126609</x:v>
      </x:c>
      <x:c r="Q367" s="8" t="n">
        <x:f>K367-L367</x:f>
        <x:v>15</x:v>
      </x:c>
      <x:c r="R367" s="9" t="n">
        <x:f>IF(AND(INDEX('Сводка'!$T$3:$T$397,U367)=0,INDEX('Сводка'!$T$3:$T$397,V367)=0),1,0)</x:f>
        <x:v>1</x:v>
      </x:c>
      <x:c r="S367" s="9" t="n">
        <x:f>IF(AND(R367=1,O367&lt;=$G$13),1,0)</x:f>
        <x:v>0</x:v>
      </x:c>
      <x:c r="T367" s="10" t="n">
        <x:f>EOMONTH(J367-'Сводка'!$B$11,-1)</x:f>
        <x:v>46203</x:v>
      </x:c>
      <x:c r="U367" s="4" t="n">
        <x:f>MATCH(J367,'Сводка'!$R$3:$R$397,0)</x:f>
        <x:v>378</x:v>
      </x:c>
      <x:c r="V367" s="4" t="n">
        <x:f>MATCH(J367-'Сводка'!$B$11,'Сводка'!$R$3:$R$397,0)</x:f>
        <x:v>377</x:v>
      </x:c>
      <x:c r="W367" s="4" t="n">
        <x:f>MATCH(T367,$J$388:$J$400,0)</x:f>
        <x:v>13</x:v>
      </x:c>
      <x:c r="X367" s="3"/>
      <x:c r="Y367" s="3"/>
      <x:c r="Z367" s="3"/>
    </x:row>
    <x:row r="368" ht="15" customHeight="1">
      <x:c r="A368" s="3"/>
      <x:c r="B368" s="3"/>
      <x:c r="C368" s="3"/>
      <x:c r="D368" s="3"/>
      <x:c r="E368" s="3"/>
      <x:c r="F368" s="3"/>
      <x:c r="G368" s="3"/>
      <x:c r="H368" s="3"/>
      <x:c r="I368" s="3"/>
      <x:c r="J368" s="10" t="n">
        <x:v>46219</x:v>
      </x:c>
      <x:c r="K368" s="8" t="n">
        <x:f>INDEX('Сводка'!$S$3:$S$397,U368)</x:f>
        <x:v>225</x:v>
      </x:c>
      <x:c r="L368" s="8" t="n">
        <x:f>INDEX('Сводка'!$S$3:$S$397,V368)</x:f>
        <x:v>206</x:v>
      </x:c>
      <x:c r="M368" s="8" t="n">
        <x:f>INDEX($K$388:$N$400,W368,1)+INDEX($K$388:$N$400,W368,2)*(2*(J368-$T$405)/(T368-$T$405)-1)^1+INDEX($K$388:$N$400,W368,3)*(2*(J368-$T$405)/(T368-$T$405)-1)^2</x:f>
        <x:v>114.17382678526556</x:v>
      </x:c>
      <x:c r="N368" s="8" t="n">
        <x:f>K368-M368</x:f>
        <x:v>110.82617321473444</x:v>
      </x:c>
      <x:c r="O368" s="8" t="n">
        <x:f>ABS(N368)</x:f>
        <x:v>110.82617321473444</x:v>
      </x:c>
      <x:c r="P368" s="8" t="n">
        <x:f>N368^2</x:f>
        <x:v>12282.440669422322</x:v>
      </x:c>
      <x:c r="Q368" s="8" t="n">
        <x:f>K368-L368</x:f>
        <x:v>19</x:v>
      </x:c>
      <x:c r="R368" s="9" t="n">
        <x:f>IF(AND(INDEX('Сводка'!$T$3:$T$397,U368)=0,INDEX('Сводка'!$T$3:$T$397,V368)=0),1,0)</x:f>
        <x:v>1</x:v>
      </x:c>
      <x:c r="S368" s="9" t="n">
        <x:f>IF(AND(R368=1,O368&lt;=$G$13),1,0)</x:f>
        <x:v>0</x:v>
      </x:c>
      <x:c r="T368" s="10" t="n">
        <x:f>EOMONTH(J368-'Сводка'!$B$11,-1)</x:f>
        <x:v>46203</x:v>
      </x:c>
      <x:c r="U368" s="4" t="n">
        <x:f>MATCH(J368,'Сводка'!$R$3:$R$397,0)</x:f>
        <x:v>379</x:v>
      </x:c>
      <x:c r="V368" s="4" t="n">
        <x:f>MATCH(J368-'Сводка'!$B$11,'Сводка'!$R$3:$R$397,0)</x:f>
        <x:v>378</x:v>
      </x:c>
      <x:c r="W368" s="4" t="n">
        <x:f>MATCH(T368,$J$388:$J$400,0)</x:f>
        <x:v>13</x:v>
      </x:c>
      <x:c r="X368" s="3"/>
      <x:c r="Y368" s="3"/>
      <x:c r="Z368" s="3"/>
    </x:row>
    <x:row r="369" ht="15" customHeight="1">
      <x:c r="A369" s="3"/>
      <x:c r="B369" s="3"/>
      <x:c r="C369" s="3"/>
      <x:c r="D369" s="3"/>
      <x:c r="E369" s="3"/>
      <x:c r="F369" s="3"/>
      <x:c r="G369" s="3"/>
      <x:c r="H369" s="3"/>
      <x:c r="I369" s="3"/>
      <x:c r="J369" s="10" t="n">
        <x:v>46220</x:v>
      </x:c>
      <x:c r="K369" s="8" t="n">
        <x:f>INDEX('Сводка'!$S$3:$S$397,U369)</x:f>
        <x:v>245</x:v>
      </x:c>
      <x:c r="L369" s="8" t="n">
        <x:f>INDEX('Сводка'!$S$3:$S$397,V369)</x:f>
        <x:v>225</x:v>
      </x:c>
      <x:c r="M369" s="8" t="n">
        <x:f>INDEX($K$388:$N$400,W369,1)+INDEX($K$388:$N$400,W369,2)*(2*(J369-$T$405)/(T369-$T$405)-1)^1+INDEX($K$388:$N$400,W369,3)*(2*(J369-$T$405)/(T369-$T$405)-1)^2</x:f>
        <x:v>114.16279666095967</x:v>
      </x:c>
      <x:c r="N369" s="8" t="n">
        <x:f>K369-M369</x:f>
        <x:v>130.83720333904034</x:v>
      </x:c>
      <x:c r="O369" s="8" t="n">
        <x:f>ABS(N369)</x:f>
        <x:v>130.83720333904034</x:v>
      </x:c>
      <x:c r="P369" s="8" t="n">
        <x:f>N369^2</x:f>
        <x:v>17118.37377758139</x:v>
      </x:c>
      <x:c r="Q369" s="8" t="n">
        <x:f>K369-L369</x:f>
        <x:v>20</x:v>
      </x:c>
      <x:c r="R369" s="9" t="n">
        <x:f>IF(AND(INDEX('Сводка'!$T$3:$T$397,U369)=0,INDEX('Сводка'!$T$3:$T$397,V369)=0),1,0)</x:f>
        <x:v>1</x:v>
      </x:c>
      <x:c r="S369" s="9" t="n">
        <x:f>IF(AND(R369=1,O369&lt;=$G$13),1,0)</x:f>
        <x:v>0</x:v>
      </x:c>
      <x:c r="T369" s="10" t="n">
        <x:f>EOMONTH(J369-'Сводка'!$B$11,-1)</x:f>
        <x:v>46203</x:v>
      </x:c>
      <x:c r="U369" s="4" t="n">
        <x:f>MATCH(J369,'Сводка'!$R$3:$R$397,0)</x:f>
        <x:v>380</x:v>
      </x:c>
      <x:c r="V369" s="4" t="n">
        <x:f>MATCH(J369-'Сводка'!$B$11,'Сводка'!$R$3:$R$397,0)</x:f>
        <x:v>379</x:v>
      </x:c>
      <x:c r="W369" s="4" t="n">
        <x:f>MATCH(T369,$J$388:$J$400,0)</x:f>
        <x:v>13</x:v>
      </x:c>
      <x:c r="X369" s="3"/>
      <x:c r="Y369" s="3"/>
      <x:c r="Z369" s="3"/>
    </x:row>
    <x:row r="370" ht="15" customHeight="1">
      <x:c r="A370" s="3"/>
      <x:c r="B370" s="3"/>
      <x:c r="C370" s="3"/>
      <x:c r="D370" s="3"/>
      <x:c r="E370" s="3"/>
      <x:c r="F370" s="3"/>
      <x:c r="G370" s="3"/>
      <x:c r="H370" s="3"/>
      <x:c r="I370" s="3"/>
      <x:c r="J370" s="10" t="n">
        <x:v>46221</x:v>
      </x:c>
      <x:c r="K370" s="8" t="n">
        <x:f>INDEX('Сводка'!$S$3:$S$397,U370)</x:f>
        <x:v>266</x:v>
      </x:c>
      <x:c r="L370" s="8" t="n">
        <x:f>INDEX('Сводка'!$S$3:$S$397,V370)</x:f>
        <x:v>245</x:v>
      </x:c>
      <x:c r="M370" s="8" t="n">
        <x:f>INDEX($K$388:$N$400,W370,1)+INDEX($K$388:$N$400,W370,2)*(2*(J370-$T$405)/(T370-$T$405)-1)^1+INDEX($K$388:$N$400,W370,3)*(2*(J370-$T$405)/(T370-$T$405)-1)^2</x:f>
        <x:v>114.15175941140926</x:v>
      </x:c>
      <x:c r="N370" s="8" t="n">
        <x:f>K370-M370</x:f>
        <x:v>151.84824058859073</x:v>
      </x:c>
      <x:c r="O370" s="8" t="n">
        <x:f>ABS(N370)</x:f>
        <x:v>151.84824058859073</x:v>
      </x:c>
      <x:c r="P370" s="8" t="n">
        <x:f>N370^2</x:f>
        <x:v>23057.888169850532</x:v>
      </x:c>
      <x:c r="Q370" s="8" t="n">
        <x:f>K370-L370</x:f>
        <x:v>21</x:v>
      </x:c>
      <x:c r="R370" s="9" t="n">
        <x:f>IF(AND(INDEX('Сводка'!$T$3:$T$397,U370)=0,INDEX('Сводка'!$T$3:$T$397,V370)=0),1,0)</x:f>
        <x:v>1</x:v>
      </x:c>
      <x:c r="S370" s="9" t="n">
        <x:f>IF(AND(R370=1,O370&lt;=$G$13),1,0)</x:f>
        <x:v>0</x:v>
      </x:c>
      <x:c r="T370" s="10" t="n">
        <x:f>EOMONTH(J370-'Сводка'!$B$11,-1)</x:f>
        <x:v>46203</x:v>
      </x:c>
      <x:c r="U370" s="4" t="n">
        <x:f>MATCH(J370,'Сводка'!$R$3:$R$397,0)</x:f>
        <x:v>381</x:v>
      </x:c>
      <x:c r="V370" s="4" t="n">
        <x:f>MATCH(J370-'Сводка'!$B$11,'Сводка'!$R$3:$R$397,0)</x:f>
        <x:v>380</x:v>
      </x:c>
      <x:c r="W370" s="4" t="n">
        <x:f>MATCH(T370,$J$388:$J$400,0)</x:f>
        <x:v>13</x:v>
      </x:c>
      <x:c r="X370" s="3"/>
      <x:c r="Y370" s="3"/>
      <x:c r="Z370" s="3"/>
    </x:row>
    <x:row r="371" ht="15" customHeight="1">
      <x:c r="A371" s="3"/>
      <x:c r="B371" s="3"/>
      <x:c r="C371" s="3"/>
      <x:c r="D371" s="3"/>
      <x:c r="E371" s="3"/>
      <x:c r="F371" s="3"/>
      <x:c r="G371" s="3"/>
      <x:c r="H371" s="3"/>
      <x:c r="I371" s="3"/>
      <x:c r="J371" s="10" t="n">
        <x:v>46222</x:v>
      </x:c>
      <x:c r="K371" s="8" t="n">
        <x:f>INDEX('Сводка'!$S$3:$S$397,U371)</x:f>
        <x:v>281</x:v>
      </x:c>
      <x:c r="L371" s="8" t="n">
        <x:f>INDEX('Сводка'!$S$3:$S$397,V371)</x:f>
        <x:v>266</x:v>
      </x:c>
      <x:c r="M371" s="8" t="n">
        <x:f>INDEX($K$388:$N$400,W371,1)+INDEX($K$388:$N$400,W371,2)*(2*(J371-$T$405)/(T371-$T$405)-1)^1+INDEX($K$388:$N$400,W371,3)*(2*(J371-$T$405)/(T371-$T$405)-1)^2</x:f>
        <x:v>114.14071503661442</x:v>
      </x:c>
      <x:c r="N371" s="8" t="n">
        <x:f>K371-M371</x:f>
        <x:v>166.85928496338556</x:v>
      </x:c>
      <x:c r="O371" s="8" t="n">
        <x:f>ABS(N371)</x:f>
        <x:v>166.85928496338556</x:v>
      </x:c>
      <x:c r="P371" s="8" t="n">
        <x:f>N371^2</x:f>
        <x:v>27842.020978492306</x:v>
      </x:c>
      <x:c r="Q371" s="8" t="n">
        <x:f>K371-L371</x:f>
        <x:v>15</x:v>
      </x:c>
      <x:c r="R371" s="9" t="n">
        <x:f>IF(AND(INDEX('Сводка'!$T$3:$T$397,U371)=0,INDEX('Сводка'!$T$3:$T$397,V371)=0),1,0)</x:f>
        <x:v>1</x:v>
      </x:c>
      <x:c r="S371" s="9" t="n">
        <x:f>IF(AND(R371=1,O371&lt;=$G$13),1,0)</x:f>
        <x:v>0</x:v>
      </x:c>
      <x:c r="T371" s="10" t="n">
        <x:f>EOMONTH(J371-'Сводка'!$B$11,-1)</x:f>
        <x:v>46203</x:v>
      </x:c>
      <x:c r="U371" s="4" t="n">
        <x:f>MATCH(J371,'Сводка'!$R$3:$R$397,0)</x:f>
        <x:v>382</x:v>
      </x:c>
      <x:c r="V371" s="4" t="n">
        <x:f>MATCH(J371-'Сводка'!$B$11,'Сводка'!$R$3:$R$397,0)</x:f>
        <x:v>381</x:v>
      </x:c>
      <x:c r="W371" s="4" t="n">
        <x:f>MATCH(T371,$J$388:$J$400,0)</x:f>
        <x:v>13</x:v>
      </x:c>
      <x:c r="X371" s="3"/>
      <x:c r="Y371" s="3"/>
      <x:c r="Z371" s="3"/>
    </x:row>
    <x:row r="372" ht="15" customHeight="1">
      <x:c r="A372" s="3"/>
      <x:c r="B372" s="3"/>
      <x:c r="C372" s="3"/>
      <x:c r="D372" s="3"/>
      <x:c r="E372" s="3"/>
      <x:c r="F372" s="3"/>
      <x:c r="G372" s="3"/>
      <x:c r="H372" s="3"/>
      <x:c r="I372" s="3"/>
      <x:c r="J372" s="10" t="n">
        <x:v>46223</x:v>
      </x:c>
      <x:c r="K372" s="8" t="n">
        <x:f>INDEX('Сводка'!$S$3:$S$397,U372)</x:f>
        <x:v>292</x:v>
      </x:c>
      <x:c r="L372" s="8" t="n">
        <x:f>INDEX('Сводка'!$S$3:$S$397,V372)</x:f>
        <x:v>281</x:v>
      </x:c>
      <x:c r="M372" s="8" t="n">
        <x:f>INDEX($K$388:$N$400,W372,1)+INDEX($K$388:$N$400,W372,2)*(2*(J372-$T$405)/(T372-$T$405)-1)^1+INDEX($K$388:$N$400,W372,3)*(2*(J372-$T$405)/(T372-$T$405)-1)^2</x:f>
        <x:v>114.12966353657508</x:v>
      </x:c>
      <x:c r="N372" s="8" t="n">
        <x:f>K372-M372</x:f>
        <x:v>177.8703364634249</x:v>
      </x:c>
      <x:c r="O372" s="8" t="n">
        <x:f>ABS(N372)</x:f>
        <x:v>177.8703364634249</x:v>
      </x:c>
      <x:c r="P372" s="8" t="n">
        <x:f>N372^2</x:f>
        <x:v>31637.856593611985</x:v>
      </x:c>
      <x:c r="Q372" s="8" t="n">
        <x:f>K372-L372</x:f>
        <x:v>11</x:v>
      </x:c>
      <x:c r="R372" s="9" t="n">
        <x:f>IF(AND(INDEX('Сводка'!$T$3:$T$397,U372)=0,INDEX('Сводка'!$T$3:$T$397,V372)=0),1,0)</x:f>
        <x:v>1</x:v>
      </x:c>
      <x:c r="S372" s="9" t="n">
        <x:f>IF(AND(R372=1,O372&lt;=$G$13),1,0)</x:f>
        <x:v>0</x:v>
      </x:c>
      <x:c r="T372" s="10" t="n">
        <x:f>EOMONTH(J372-'Сводка'!$B$11,-1)</x:f>
        <x:v>46203</x:v>
      </x:c>
      <x:c r="U372" s="4" t="n">
        <x:f>MATCH(J372,'Сводка'!$R$3:$R$397,0)</x:f>
        <x:v>383</x:v>
      </x:c>
      <x:c r="V372" s="4" t="n">
        <x:f>MATCH(J372-'Сводка'!$B$11,'Сводка'!$R$3:$R$397,0)</x:f>
        <x:v>382</x:v>
      </x:c>
      <x:c r="W372" s="4" t="n">
        <x:f>MATCH(T372,$J$388:$J$400,0)</x:f>
        <x:v>13</x:v>
      </x:c>
      <x:c r="X372" s="3"/>
      <x:c r="Y372" s="3"/>
      <x:c r="Z372" s="3"/>
    </x:row>
    <x:row r="373" ht="15" customHeight="1">
      <x:c r="A373" s="3"/>
      <x:c r="B373" s="3"/>
      <x:c r="C373" s="3"/>
      <x:c r="D373" s="3"/>
      <x:c r="E373" s="3"/>
      <x:c r="F373" s="3"/>
      <x:c r="G373" s="3"/>
      <x:c r="H373" s="3"/>
      <x:c r="I373" s="3"/>
      <x:c r="J373" s="10" t="n">
        <x:v>46224</x:v>
      </x:c>
      <x:c r="K373" s="8" t="n">
        <x:f>INDEX('Сводка'!$S$3:$S$397,U373)</x:f>
        <x:v>303</x:v>
      </x:c>
      <x:c r="L373" s="8" t="n">
        <x:f>INDEX('Сводка'!$S$3:$S$397,V373)</x:f>
        <x:v>292</x:v>
      </x:c>
      <x:c r="M373" s="8" t="n">
        <x:f>INDEX($K$388:$N$400,W373,1)+INDEX($K$388:$N$400,W373,2)*(2*(J373-$T$405)/(T373-$T$405)-1)^1+INDEX($K$388:$N$400,W373,3)*(2*(J373-$T$405)/(T373-$T$405)-1)^2</x:f>
        <x:v>114.11860491129121</x:v>
      </x:c>
      <x:c r="N373" s="8" t="n">
        <x:f>K373-M373</x:f>
        <x:v>188.88139508870879</x:v>
      </x:c>
      <x:c r="O373" s="8" t="n">
        <x:f>ABS(N373)</x:f>
        <x:v>188.88139508870879</x:v>
      </x:c>
      <x:c r="P373" s="8" t="n">
        <x:f>N373^2</x:f>
        <x:v>35676.1814106569</x:v>
      </x:c>
      <x:c r="Q373" s="8" t="n">
        <x:f>K373-L373</x:f>
        <x:v>11</x:v>
      </x:c>
      <x:c r="R373" s="9" t="n">
        <x:f>IF(AND(INDEX('Сводка'!$T$3:$T$397,U373)=0,INDEX('Сводка'!$T$3:$T$397,V373)=0),1,0)</x:f>
        <x:v>1</x:v>
      </x:c>
      <x:c r="S373" s="9" t="n">
        <x:f>IF(AND(R373=1,O373&lt;=$G$13),1,0)</x:f>
        <x:v>0</x:v>
      </x:c>
      <x:c r="T373" s="10" t="n">
        <x:f>EOMONTH(J373-'Сводка'!$B$11,-1)</x:f>
        <x:v>46203</x:v>
      </x:c>
      <x:c r="U373" s="4" t="n">
        <x:f>MATCH(J373,'Сводка'!$R$3:$R$397,0)</x:f>
        <x:v>384</x:v>
      </x:c>
      <x:c r="V373" s="4" t="n">
        <x:f>MATCH(J373-'Сводка'!$B$11,'Сводка'!$R$3:$R$397,0)</x:f>
        <x:v>383</x:v>
      </x:c>
      <x:c r="W373" s="4" t="n">
        <x:f>MATCH(T373,$J$388:$J$400,0)</x:f>
        <x:v>13</x:v>
      </x:c>
      <x:c r="X373" s="3"/>
      <x:c r="Y373" s="3"/>
      <x:c r="Z373" s="3"/>
    </x:row>
    <x:row r="374" ht="15" customHeight="1">
      <x:c r="A374" s="3"/>
      <x:c r="B374" s="3"/>
      <x:c r="C374" s="3"/>
      <x:c r="D374" s="3"/>
      <x:c r="E374" s="3"/>
      <x:c r="F374" s="3"/>
      <x:c r="G374" s="3"/>
      <x:c r="H374" s="3"/>
      <x:c r="I374" s="3"/>
      <x:c r="J374" s="10" t="n">
        <x:v>46225</x:v>
      </x:c>
      <x:c r="K374" s="8" t="n">
        <x:f>INDEX('Сводка'!$S$3:$S$397,U374)</x:f>
        <x:v>311</x:v>
      </x:c>
      <x:c r="L374" s="8" t="n">
        <x:f>INDEX('Сводка'!$S$3:$S$397,V374)</x:f>
        <x:v>303</x:v>
      </x:c>
      <x:c r="M374" s="8" t="n">
        <x:f>INDEX($K$388:$N$400,W374,1)+INDEX($K$388:$N$400,W374,2)*(2*(J374-$T$405)/(T374-$T$405)-1)^1+INDEX($K$388:$N$400,W374,3)*(2*(J374-$T$405)/(T374-$T$405)-1)^2</x:f>
        <x:v>114.1075391607629</x:v>
      </x:c>
      <x:c r="N374" s="8" t="n">
        <x:f>K374-M374</x:f>
        <x:v>196.89246083923712</x:v>
      </x:c>
      <x:c r="O374" s="8" t="n">
        <x:f>ABS(N374)</x:f>
        <x:v>196.89246083923712</x:v>
      </x:c>
      <x:c r="P374" s="8" t="n">
        <x:f>N374^2</x:f>
        <x:v>38766.64113533052</x:v>
      </x:c>
      <x:c r="Q374" s="8" t="n">
        <x:f>K374-L374</x:f>
        <x:v>8</x:v>
      </x:c>
      <x:c r="R374" s="9" t="n">
        <x:f>IF(AND(INDEX('Сводка'!$T$3:$T$397,U374)=0,INDEX('Сводка'!$T$3:$T$397,V374)=0),1,0)</x:f>
        <x:v>1</x:v>
      </x:c>
      <x:c r="S374" s="9" t="n">
        <x:f>IF(AND(R374=1,O374&lt;=$G$13),1,0)</x:f>
        <x:v>0</x:v>
      </x:c>
      <x:c r="T374" s="10" t="n">
        <x:f>EOMONTH(J374-'Сводка'!$B$11,-1)</x:f>
        <x:v>46203</x:v>
      </x:c>
      <x:c r="U374" s="4" t="n">
        <x:f>MATCH(J374,'Сводка'!$R$3:$R$397,0)</x:f>
        <x:v>385</x:v>
      </x:c>
      <x:c r="V374" s="4" t="n">
        <x:f>MATCH(J374-'Сводка'!$B$11,'Сводка'!$R$3:$R$397,0)</x:f>
        <x:v>384</x:v>
      </x:c>
      <x:c r="W374" s="4" t="n">
        <x:f>MATCH(T374,$J$388:$J$400,0)</x:f>
        <x:v>13</x:v>
      </x:c>
      <x:c r="X374" s="3"/>
      <x:c r="Y374" s="3"/>
      <x:c r="Z374" s="3"/>
    </x:row>
    <x:row r="375" ht="15" customHeight="1">
      <x:c r="A375" s="3"/>
      <x:c r="B375" s="3"/>
      <x:c r="C375" s="3"/>
      <x:c r="D375" s="3"/>
      <x:c r="E375" s="3"/>
      <x:c r="F375" s="3"/>
      <x:c r="G375" s="3"/>
      <x:c r="H375" s="3"/>
      <x:c r="I375" s="3"/>
      <x:c r="J375" s="10" t="n">
        <x:v>46226</x:v>
      </x:c>
      <x:c r="K375" s="8" t="n">
        <x:f>INDEX('Сводка'!$S$3:$S$397,U375)</x:f>
        <x:v>328</x:v>
      </x:c>
      <x:c r="L375" s="8" t="n">
        <x:f>INDEX('Сводка'!$S$3:$S$397,V375)</x:f>
        <x:v>311</x:v>
      </x:c>
      <x:c r="M375" s="8" t="n">
        <x:f>INDEX($K$388:$N$400,W375,1)+INDEX($K$388:$N$400,W375,2)*(2*(J375-$T$405)/(T375-$T$405)-1)^1+INDEX($K$388:$N$400,W375,3)*(2*(J375-$T$405)/(T375-$T$405)-1)^2</x:f>
        <x:v>114.0964662849901</x:v>
      </x:c>
      <x:c r="N375" s="8" t="n">
        <x:f>K375-M375</x:f>
        <x:v>213.9035337150099</x:v>
      </x:c>
      <x:c r="O375" s="8" t="n">
        <x:f>ABS(N375)</x:f>
        <x:v>213.9035337150099</x:v>
      </x:c>
      <x:c r="P375" s="8" t="n">
        <x:f>N375^2</x:f>
        <x:v>45754.72173576838</x:v>
      </x:c>
      <x:c r="Q375" s="8" t="n">
        <x:f>K375-L375</x:f>
        <x:v>17</x:v>
      </x:c>
      <x:c r="R375" s="9" t="n">
        <x:f>IF(AND(INDEX('Сводка'!$T$3:$T$397,U375)=0,INDEX('Сводка'!$T$3:$T$397,V375)=0),1,0)</x:f>
        <x:v>1</x:v>
      </x:c>
      <x:c r="S375" s="9" t="n">
        <x:f>IF(AND(R375=1,O375&lt;=$G$13),1,0)</x:f>
        <x:v>0</x:v>
      </x:c>
      <x:c r="T375" s="10" t="n">
        <x:f>EOMONTH(J375-'Сводка'!$B$11,-1)</x:f>
        <x:v>46203</x:v>
      </x:c>
      <x:c r="U375" s="4" t="n">
        <x:f>MATCH(J375,'Сводка'!$R$3:$R$397,0)</x:f>
        <x:v>386</x:v>
      </x:c>
      <x:c r="V375" s="4" t="n">
        <x:f>MATCH(J375-'Сводка'!$B$11,'Сводка'!$R$3:$R$397,0)</x:f>
        <x:v>385</x:v>
      </x:c>
      <x:c r="W375" s="4" t="n">
        <x:f>MATCH(T375,$J$388:$J$400,0)</x:f>
        <x:v>13</x:v>
      </x:c>
      <x:c r="X375" s="3"/>
      <x:c r="Y375" s="3"/>
      <x:c r="Z375" s="3"/>
    </x:row>
    <x:row r="376" ht="15" customHeight="1">
      <x:c r="A376" s="3"/>
      <x:c r="B376" s="3"/>
      <x:c r="C376" s="3"/>
      <x:c r="D376" s="3"/>
      <x:c r="E376" s="3"/>
      <x:c r="F376" s="3"/>
      <x:c r="G376" s="3"/>
      <x:c r="H376" s="3"/>
      <x:c r="I376" s="3"/>
      <x:c r="J376" s="10" t="n">
        <x:v>46227</x:v>
      </x:c>
      <x:c r="K376" s="8" t="n">
        <x:f>INDEX('Сводка'!$S$3:$S$397,U376)</x:f>
        <x:v>340</x:v>
      </x:c>
      <x:c r="L376" s="8" t="n">
        <x:f>INDEX('Сводка'!$S$3:$S$397,V376)</x:f>
        <x:v>328</x:v>
      </x:c>
      <x:c r="M376" s="8" t="n">
        <x:f>INDEX($K$388:$N$400,W376,1)+INDEX($K$388:$N$400,W376,2)*(2*(J376-$T$405)/(T376-$T$405)-1)^1+INDEX($K$388:$N$400,W376,3)*(2*(J376-$T$405)/(T376-$T$405)-1)^2</x:f>
        <x:v>114.0853862839728</x:v>
      </x:c>
      <x:c r="N376" s="8" t="n">
        <x:f>K376-M376</x:f>
        <x:v>225.9146137160272</x:v>
      </x:c>
      <x:c r="O376" s="8" t="n">
        <x:f>ABS(N376)</x:f>
        <x:v>225.9146137160272</x:v>
      </x:c>
      <x:c r="P376" s="8" t="n">
        <x:f>N376^2</x:f>
        <x:v>51037.41269046178</x:v>
      </x:c>
      <x:c r="Q376" s="8" t="n">
        <x:f>K376-L376</x:f>
        <x:v>12</x:v>
      </x:c>
      <x:c r="R376" s="9" t="n">
        <x:f>IF(AND(INDEX('Сводка'!$T$3:$T$397,U376)=0,INDEX('Сводка'!$T$3:$T$397,V376)=0),1,0)</x:f>
        <x:v>1</x:v>
      </x:c>
      <x:c r="S376" s="9" t="n">
        <x:f>IF(AND(R376=1,O376&lt;=$G$13),1,0)</x:f>
        <x:v>0</x:v>
      </x:c>
      <x:c r="T376" s="10" t="n">
        <x:f>EOMONTH(J376-'Сводка'!$B$11,-1)</x:f>
        <x:v>46203</x:v>
      </x:c>
      <x:c r="U376" s="4" t="n">
        <x:f>MATCH(J376,'Сводка'!$R$3:$R$397,0)</x:f>
        <x:v>387</x:v>
      </x:c>
      <x:c r="V376" s="4" t="n">
        <x:f>MATCH(J376-'Сводка'!$B$11,'Сводка'!$R$3:$R$397,0)</x:f>
        <x:v>386</x:v>
      </x:c>
      <x:c r="W376" s="4" t="n">
        <x:f>MATCH(T376,$J$388:$J$400,0)</x:f>
        <x:v>13</x:v>
      </x:c>
      <x:c r="X376" s="3"/>
      <x:c r="Y376" s="3"/>
      <x:c r="Z376" s="3"/>
    </x:row>
    <x:row r="377" ht="15" customHeight="1">
      <x:c r="A377" s="3"/>
      <x:c r="B377" s="3"/>
      <x:c r="C377" s="3"/>
      <x:c r="D377" s="3"/>
      <x:c r="E377" s="3"/>
      <x:c r="F377" s="3"/>
      <x:c r="G377" s="3"/>
      <x:c r="H377" s="3"/>
      <x:c r="I377" s="3"/>
      <x:c r="J377" s="10" t="n">
        <x:v>46228</x:v>
      </x:c>
      <x:c r="K377" s="8" t="n">
        <x:f>INDEX('Сводка'!$S$3:$S$397,U377)</x:f>
        <x:v>350</x:v>
      </x:c>
      <x:c r="L377" s="8" t="n">
        <x:f>INDEX('Сводка'!$S$3:$S$397,V377)</x:f>
        <x:v>340</x:v>
      </x:c>
      <x:c r="M377" s="8" t="n">
        <x:f>INDEX($K$388:$N$400,W377,1)+INDEX($K$388:$N$400,W377,2)*(2*(J377-$T$405)/(T377-$T$405)-1)^1+INDEX($K$388:$N$400,W377,3)*(2*(J377-$T$405)/(T377-$T$405)-1)^2</x:f>
        <x:v>114.07429915771102</x:v>
      </x:c>
      <x:c r="N377" s="8" t="n">
        <x:f>K377-M377</x:f>
        <x:v>235.92570084228896</x:v>
      </x:c>
      <x:c r="O377" s="8" t="n">
        <x:f>ABS(N377)</x:f>
        <x:v>235.92570084228896</x:v>
      </x:c>
      <x:c r="P377" s="8" t="n">
        <x:f>N377^2</x:f>
        <x:v>55660.936317925225</x:v>
      </x:c>
      <x:c r="Q377" s="8" t="n">
        <x:f>K377-L377</x:f>
        <x:v>10</x:v>
      </x:c>
      <x:c r="R377" s="9" t="n">
        <x:f>IF(AND(INDEX('Сводка'!$T$3:$T$397,U377)=0,INDEX('Сводка'!$T$3:$T$397,V377)=0),1,0)</x:f>
        <x:v>1</x:v>
      </x:c>
      <x:c r="S377" s="9" t="n">
        <x:f>IF(AND(R377=1,O377&lt;=$G$13),1,0)</x:f>
        <x:v>0</x:v>
      </x:c>
      <x:c r="T377" s="10" t="n">
        <x:f>EOMONTH(J377-'Сводка'!$B$11,-1)</x:f>
        <x:v>46203</x:v>
      </x:c>
      <x:c r="U377" s="4" t="n">
        <x:f>MATCH(J377,'Сводка'!$R$3:$R$397,0)</x:f>
        <x:v>388</x:v>
      </x:c>
      <x:c r="V377" s="4" t="n">
        <x:f>MATCH(J377-'Сводка'!$B$11,'Сводка'!$R$3:$R$397,0)</x:f>
        <x:v>387</x:v>
      </x:c>
      <x:c r="W377" s="4" t="n">
        <x:f>MATCH(T377,$J$388:$J$400,0)</x:f>
        <x:v>13</x:v>
      </x:c>
      <x:c r="X377" s="3"/>
      <x:c r="Y377" s="3"/>
      <x:c r="Z377" s="3"/>
    </x:row>
    <x:row r="378" ht="15" customHeight="1">
      <x:c r="A378" s="3"/>
      <x:c r="B378" s="3"/>
      <x:c r="C378" s="3"/>
      <x:c r="D378" s="3"/>
      <x:c r="E378" s="3"/>
      <x:c r="F378" s="3"/>
      <x:c r="G378" s="3"/>
      <x:c r="H378" s="3"/>
      <x:c r="I378" s="3"/>
      <x:c r="J378" s="10" t="n">
        <x:v>46229</x:v>
      </x:c>
      <x:c r="K378" s="8" t="n">
        <x:f>INDEX('Сводка'!$S$3:$S$397,U378)</x:f>
        <x:v>361</x:v>
      </x:c>
      <x:c r="L378" s="8" t="n">
        <x:f>INDEX('Сводка'!$S$3:$S$397,V378)</x:f>
        <x:v>350</x:v>
      </x:c>
      <x:c r="M378" s="8" t="n">
        <x:f>INDEX($K$388:$N$400,W378,1)+INDEX($K$388:$N$400,W378,2)*(2*(J378-$T$405)/(T378-$T$405)-1)^1+INDEX($K$388:$N$400,W378,3)*(2*(J378-$T$405)/(T378-$T$405)-1)^2</x:f>
        <x:v>114.06320490620476</x:v>
      </x:c>
      <x:c r="N378" s="8" t="n">
        <x:f>K378-M378</x:f>
        <x:v>246.93679509379524</x:v>
      </x:c>
      <x:c r="O378" s="8" t="n">
        <x:f>ABS(N378)</x:f>
        <x:v>246.93679509379524</x:v>
      </x:c>
      <x:c r="P378" s="8" t="n">
        <x:f>N378^2</x:f>
        <x:v>60977.780771195015</x:v>
      </x:c>
      <x:c r="Q378" s="8" t="n">
        <x:f>K378-L378</x:f>
        <x:v>11</x:v>
      </x:c>
      <x:c r="R378" s="9" t="n">
        <x:f>IF(AND(INDEX('Сводка'!$T$3:$T$397,U378)=0,INDEX('Сводка'!$T$3:$T$397,V378)=0),1,0)</x:f>
        <x:v>1</x:v>
      </x:c>
      <x:c r="S378" s="9" t="n">
        <x:f>IF(AND(R378=1,O378&lt;=$G$13),1,0)</x:f>
        <x:v>0</x:v>
      </x:c>
      <x:c r="T378" s="10" t="n">
        <x:f>EOMONTH(J378-'Сводка'!$B$11,-1)</x:f>
        <x:v>46203</x:v>
      </x:c>
      <x:c r="U378" s="4" t="n">
        <x:f>MATCH(J378,'Сводка'!$R$3:$R$397,0)</x:f>
        <x:v>389</x:v>
      </x:c>
      <x:c r="V378" s="4" t="n">
        <x:f>MATCH(J378-'Сводка'!$B$11,'Сводка'!$R$3:$R$397,0)</x:f>
        <x:v>388</x:v>
      </x:c>
      <x:c r="W378" s="4" t="n">
        <x:f>MATCH(T378,$J$388:$J$400,0)</x:f>
        <x:v>13</x:v>
      </x:c>
      <x:c r="X378" s="3"/>
      <x:c r="Y378" s="3"/>
      <x:c r="Z378" s="3"/>
    </x:row>
    <x:row r="379" ht="15" customHeight="1">
      <x:c r="A379" s="3"/>
      <x:c r="B379" s="3"/>
      <x:c r="C379" s="3"/>
      <x:c r="D379" s="3"/>
      <x:c r="E379" s="3"/>
      <x:c r="F379" s="3"/>
      <x:c r="G379" s="3"/>
      <x:c r="H379" s="3"/>
      <x:c r="I379" s="3"/>
      <x:c r="J379" s="10" t="n">
        <x:v>46230</x:v>
      </x:c>
      <x:c r="K379" s="8" t="n">
        <x:f>INDEX('Сводка'!$S$3:$S$397,U379)</x:f>
        <x:v>369</x:v>
      </x:c>
      <x:c r="L379" s="8" t="n">
        <x:f>INDEX('Сводка'!$S$3:$S$397,V379)</x:f>
        <x:v>361</x:v>
      </x:c>
      <x:c r="M379" s="8" t="n">
        <x:f>INDEX($K$388:$N$400,W379,1)+INDEX($K$388:$N$400,W379,2)*(2*(J379-$T$405)/(T379-$T$405)-1)^1+INDEX($K$388:$N$400,W379,3)*(2*(J379-$T$405)/(T379-$T$405)-1)^2</x:f>
        <x:v>114.05210352945399</x:v>
      </x:c>
      <x:c r="N379" s="8" t="n">
        <x:f>K379-M379</x:f>
        <x:v>254.94789647054603</x:v>
      </x:c>
      <x:c r="O379" s="8" t="n">
        <x:f>ABS(N379)</x:f>
        <x:v>254.94789647054603</x:v>
      </x:c>
      <x:c r="P379" s="8" t="n">
        <x:f>N379^2</x:f>
        <x:v>64998.429914756256</x:v>
      </x:c>
      <x:c r="Q379" s="8" t="n">
        <x:f>K379-L379</x:f>
        <x:v>8</x:v>
      </x:c>
      <x:c r="R379" s="9" t="n">
        <x:f>IF(AND(INDEX('Сводка'!$T$3:$T$397,U379)=0,INDEX('Сводка'!$T$3:$T$397,V379)=0),1,0)</x:f>
        <x:v>1</x:v>
      </x:c>
      <x:c r="S379" s="9" t="n">
        <x:f>IF(AND(R379=1,O379&lt;=$G$13),1,0)</x:f>
        <x:v>0</x:v>
      </x:c>
      <x:c r="T379" s="10" t="n">
        <x:f>EOMONTH(J379-'Сводка'!$B$11,-1)</x:f>
        <x:v>46203</x:v>
      </x:c>
      <x:c r="U379" s="4" t="n">
        <x:f>MATCH(J379,'Сводка'!$R$3:$R$397,0)</x:f>
        <x:v>390</x:v>
      </x:c>
      <x:c r="V379" s="4" t="n">
        <x:f>MATCH(J379-'Сводка'!$B$11,'Сводка'!$R$3:$R$397,0)</x:f>
        <x:v>389</x:v>
      </x:c>
      <x:c r="W379" s="4" t="n">
        <x:f>MATCH(T379,$J$388:$J$400,0)</x:f>
        <x:v>13</x:v>
      </x:c>
      <x:c r="X379" s="3"/>
      <x:c r="Y379" s="3"/>
      <x:c r="Z379" s="3"/>
    </x:row>
    <x:row r="380" ht="15" customHeight="1">
      <x:c r="A380" s="3"/>
      <x:c r="B380" s="3"/>
      <x:c r="C380" s="3"/>
      <x:c r="D380" s="3"/>
      <x:c r="E380" s="3"/>
      <x:c r="F380" s="3"/>
      <x:c r="G380" s="3"/>
      <x:c r="H380" s="3"/>
      <x:c r="I380" s="3"/>
      <x:c r="J380" s="10" t="n">
        <x:v>46231</x:v>
      </x:c>
      <x:c r="K380" s="8" t="n">
        <x:f>INDEX('Сводка'!$S$3:$S$397,U380)</x:f>
        <x:v>377</x:v>
      </x:c>
      <x:c r="L380" s="8" t="n">
        <x:f>INDEX('Сводка'!$S$3:$S$397,V380)</x:f>
        <x:v>369</x:v>
      </x:c>
      <x:c r="M380" s="8" t="n">
        <x:f>INDEX($K$388:$N$400,W380,1)+INDEX($K$388:$N$400,W380,2)*(2*(J380-$T$405)/(T380-$T$405)-1)^1+INDEX($K$388:$N$400,W380,3)*(2*(J380-$T$405)/(T380-$T$405)-1)^2</x:f>
        <x:v>114.04099502745876</x:v>
      </x:c>
      <x:c r="N380" s="8" t="n">
        <x:f>K380-M380</x:f>
        <x:v>262.95900497254127</x:v>
      </x:c>
      <x:c r="O380" s="8" t="n">
        <x:f>ABS(N380)</x:f>
        <x:v>262.95900497254127</x:v>
      </x:c>
      <x:c r="P380" s="8" t="n">
        <x:f>N380^2</x:f>
        <x:v>69147.43829614898</x:v>
      </x:c>
      <x:c r="Q380" s="8" t="n">
        <x:f>K380-L380</x:f>
        <x:v>8</x:v>
      </x:c>
      <x:c r="R380" s="9" t="n">
        <x:f>IF(AND(INDEX('Сводка'!$T$3:$T$397,U380)=0,INDEX('Сводка'!$T$3:$T$397,V380)=0),1,0)</x:f>
        <x:v>1</x:v>
      </x:c>
      <x:c r="S380" s="9" t="n">
        <x:f>IF(AND(R380=1,O380&lt;=$G$13),1,0)</x:f>
        <x:v>0</x:v>
      </x:c>
      <x:c r="T380" s="10" t="n">
        <x:f>EOMONTH(J380-'Сводка'!$B$11,-1)</x:f>
        <x:v>46203</x:v>
      </x:c>
      <x:c r="U380" s="4" t="n">
        <x:f>MATCH(J380,'Сводка'!$R$3:$R$397,0)</x:f>
        <x:v>391</x:v>
      </x:c>
      <x:c r="V380" s="4" t="n">
        <x:f>MATCH(J380-'Сводка'!$B$11,'Сводка'!$R$3:$R$397,0)</x:f>
        <x:v>390</x:v>
      </x:c>
      <x:c r="W380" s="4" t="n">
        <x:f>MATCH(T380,$J$388:$J$400,0)</x:f>
        <x:v>13</x:v>
      </x:c>
      <x:c r="X380" s="3"/>
      <x:c r="Y380" s="3"/>
      <x:c r="Z380" s="3"/>
    </x:row>
    <x:row r="381" ht="15" customHeight="1">
      <x:c r="A381" s="3"/>
      <x:c r="B381" s="3"/>
      <x:c r="C381" s="3"/>
      <x:c r="D381" s="3"/>
      <x:c r="E381" s="3"/>
      <x:c r="F381" s="3"/>
      <x:c r="G381" s="3"/>
      <x:c r="H381" s="3"/>
      <x:c r="I381" s="3"/>
      <x:c r="J381" s="10" t="n">
        <x:v>46232</x:v>
      </x:c>
      <x:c r="K381" s="8" t="n">
        <x:f>INDEX('Сводка'!$S$3:$S$397,U381)</x:f>
        <x:v>385</x:v>
      </x:c>
      <x:c r="L381" s="8" t="n">
        <x:f>INDEX('Сводка'!$S$3:$S$397,V381)</x:f>
        <x:v>377</x:v>
      </x:c>
      <x:c r="M381" s="8" t="n">
        <x:f>INDEX($K$388:$N$400,W381,1)+INDEX($K$388:$N$400,W381,2)*(2*(J381-$T$405)/(T381-$T$405)-1)^1+INDEX($K$388:$N$400,W381,3)*(2*(J381-$T$405)/(T381-$T$405)-1)^2</x:f>
        <x:v>114.02987940021906</x:v>
      </x:c>
      <x:c r="N381" s="8" t="n">
        <x:f>K381-M381</x:f>
        <x:v>270.97012059978096</x:v>
      </x:c>
      <x:c r="O381" s="8" t="n">
        <x:f>ABS(N381)</x:f>
        <x:v>270.97012059978096</x:v>
      </x:c>
      <x:c r="P381" s="8" t="n">
        <x:f>N381^2</x:f>
        <x:v>73424.80625785983</x:v>
      </x:c>
      <x:c r="Q381" s="8" t="n">
        <x:f>K381-L381</x:f>
        <x:v>8</x:v>
      </x:c>
      <x:c r="R381" s="9" t="n">
        <x:f>IF(AND(INDEX('Сводка'!$T$3:$T$397,U381)=0,INDEX('Сводка'!$T$3:$T$397,V381)=0),1,0)</x:f>
        <x:v>1</x:v>
      </x:c>
      <x:c r="S381" s="9" t="n">
        <x:f>IF(AND(R381=1,O381&lt;=$G$13),1,0)</x:f>
        <x:v>0</x:v>
      </x:c>
      <x:c r="T381" s="10" t="n">
        <x:f>EOMONTH(J381-'Сводка'!$B$11,-1)</x:f>
        <x:v>46203</x:v>
      </x:c>
      <x:c r="U381" s="4" t="n">
        <x:f>MATCH(J381,'Сводка'!$R$3:$R$397,0)</x:f>
        <x:v>392</x:v>
      </x:c>
      <x:c r="V381" s="4" t="n">
        <x:f>MATCH(J381-'Сводка'!$B$11,'Сводка'!$R$3:$R$397,0)</x:f>
        <x:v>391</x:v>
      </x:c>
      <x:c r="W381" s="4" t="n">
        <x:f>MATCH(T381,$J$388:$J$400,0)</x:f>
        <x:v>13</x:v>
      </x:c>
      <x:c r="X381" s="3"/>
      <x:c r="Y381" s="3"/>
      <x:c r="Z381" s="3"/>
    </x:row>
    <x:row r="382" ht="15" customHeight="1">
      <x:c r="A382" s="3"/>
      <x:c r="B382" s="3"/>
      <x:c r="C382" s="3"/>
      <x:c r="D382" s="3"/>
      <x:c r="E382" s="3"/>
      <x:c r="F382" s="3"/>
      <x:c r="G382" s="3"/>
      <x:c r="H382" s="3"/>
      <x:c r="I382" s="3"/>
      <x:c r="J382" s="10" t="n">
        <x:v>46233</x:v>
      </x:c>
      <x:c r="K382" s="8" t="n">
        <x:f>INDEX('Сводка'!$S$3:$S$397,U382)</x:f>
        <x:v>389</x:v>
      </x:c>
      <x:c r="L382" s="8" t="n">
        <x:f>INDEX('Сводка'!$S$3:$S$397,V382)</x:f>
        <x:v>385</x:v>
      </x:c>
      <x:c r="M382" s="8" t="n">
        <x:f>INDEX($K$388:$N$400,W382,1)+INDEX($K$388:$N$400,W382,2)*(2*(J382-$T$405)/(T382-$T$405)-1)^1+INDEX($K$388:$N$400,W382,3)*(2*(J382-$T$405)/(T382-$T$405)-1)^2</x:f>
        <x:v>114.01875664773482</x:v>
      </x:c>
      <x:c r="N382" s="8" t="n">
        <x:f>K382-M382</x:f>
        <x:v>274.9812433522652</x:v>
      </x:c>
      <x:c r="O382" s="8" t="n">
        <x:f>ABS(N382)</x:f>
        <x:v>274.9812433522652</x:v>
      </x:c>
      <x:c r="P382" s="8" t="n">
        <x:f>N382^2</x:f>
        <x:v>75614.6841955577</x:v>
      </x:c>
      <x:c r="Q382" s="8" t="n">
        <x:f>K382-L382</x:f>
        <x:v>4</x:v>
      </x:c>
      <x:c r="R382" s="9" t="n">
        <x:f>IF(AND(INDEX('Сводка'!$T$3:$T$397,U382)=0,INDEX('Сводка'!$T$3:$T$397,V382)=0),1,0)</x:f>
        <x:v>1</x:v>
      </x:c>
      <x:c r="S382" s="9" t="n">
        <x:f>IF(AND(R382=1,O382&lt;=$G$13),1,0)</x:f>
        <x:v>0</x:v>
      </x:c>
      <x:c r="T382" s="10" t="n">
        <x:f>EOMONTH(J382-'Сводка'!$B$11,-1)</x:f>
        <x:v>46203</x:v>
      </x:c>
      <x:c r="U382" s="4" t="n">
        <x:f>MATCH(J382,'Сводка'!$R$3:$R$397,0)</x:f>
        <x:v>393</x:v>
      </x:c>
      <x:c r="V382" s="4" t="n">
        <x:f>MATCH(J382-'Сводка'!$B$11,'Сводка'!$R$3:$R$397,0)</x:f>
        <x:v>392</x:v>
      </x:c>
      <x:c r="W382" s="4" t="n">
        <x:f>MATCH(T382,$J$388:$J$400,0)</x:f>
        <x:v>13</x:v>
      </x:c>
      <x:c r="X382" s="3"/>
      <x:c r="Y382" s="3"/>
      <x:c r="Z382" s="3"/>
    </x:row>
    <x:row r="383" ht="15" customHeight="1">
      <x:c r="A383" s="3"/>
      <x:c r="B383" s="3"/>
      <x:c r="C383" s="3"/>
      <x:c r="D383" s="3"/>
      <x:c r="E383" s="3"/>
      <x:c r="F383" s="3"/>
      <x:c r="G383" s="3"/>
      <x:c r="H383" s="3"/>
      <x:c r="I383" s="3"/>
      <x:c r="J383" s="10" t="n">
        <x:v>46234</x:v>
      </x:c>
      <x:c r="K383" s="8" t="n">
        <x:f>INDEX('Сводка'!$S$3:$S$397,U383)</x:f>
        <x:v>399</x:v>
      </x:c>
      <x:c r="L383" s="8" t="n">
        <x:f>INDEX('Сводка'!$S$3:$S$397,V383)</x:f>
        <x:v>389</x:v>
      </x:c>
      <x:c r="M383" s="8" t="n">
        <x:f>INDEX($K$388:$N$400,W383,1)+INDEX($K$388:$N$400,W383,2)*(2*(J383-$T$405)/(T383-$T$405)-1)^1+INDEX($K$388:$N$400,W383,3)*(2*(J383-$T$405)/(T383-$T$405)-1)^2</x:f>
        <x:v>114.00762677000611</x:v>
      </x:c>
      <x:c r="N383" s="8" t="n">
        <x:f>K383-M383</x:f>
        <x:v>284.99237322999386</x:v>
      </x:c>
      <x:c r="O383" s="8" t="n">
        <x:f>ABS(N383)</x:f>
        <x:v>284.99237322999386</x:v>
      </x:c>
      <x:c r="P383" s="8" t="n">
        <x:f>N383^2</x:f>
        <x:v>81220.65279926412</x:v>
      </x:c>
      <x:c r="Q383" s="8" t="n">
        <x:f>K383-L383</x:f>
        <x:v>10</x:v>
      </x:c>
      <x:c r="R383" s="9" t="n">
        <x:f>IF(AND(INDEX('Сводка'!$T$3:$T$397,U383)=0,INDEX('Сводка'!$T$3:$T$397,V383)=0),1,0)</x:f>
        <x:v>1</x:v>
      </x:c>
      <x:c r="S383" s="9" t="n">
        <x:f>IF(AND(R383=1,O383&lt;=$G$13),1,0)</x:f>
        <x:v>0</x:v>
      </x:c>
      <x:c r="T383" s="10" t="n">
        <x:f>EOMONTH(J383-'Сводка'!$B$11,-1)</x:f>
        <x:v>46203</x:v>
      </x:c>
      <x:c r="U383" s="4" t="n">
        <x:f>MATCH(J383,'Сводка'!$R$3:$R$397,0)</x:f>
        <x:v>394</x:v>
      </x:c>
      <x:c r="V383" s="4" t="n">
        <x:f>MATCH(J383-'Сводка'!$B$11,'Сводка'!$R$3:$R$397,0)</x:f>
        <x:v>393</x:v>
      </x:c>
      <x:c r="W383" s="4" t="n">
        <x:f>MATCH(T383,$J$388:$J$400,0)</x:f>
        <x:v>13</x:v>
      </x:c>
      <x:c r="X383" s="3"/>
      <x:c r="Y383" s="3"/>
      <x:c r="Z383" s="3"/>
    </x:row>
    <x:row r="384" ht="15" customHeight="1">
      <x:c r="A384" s="3"/>
      <x:c r="B384" s="3"/>
      <x:c r="C384" s="3"/>
      <x:c r="D384" s="3"/>
      <x:c r="E384" s="3"/>
      <x:c r="F384" s="3"/>
      <x:c r="G384" s="3"/>
      <x:c r="H384" s="3"/>
      <x:c r="I384" s="3"/>
      <x:c r="J384" s="10" t="n">
        <x:v>46235</x:v>
      </x:c>
      <x:c r="K384" s="8" t="n">
        <x:f>INDEX('Сводка'!$S$3:$S$397,U384)</x:f>
        <x:v>405</x:v>
      </x:c>
      <x:c r="L384" s="8" t="n">
        <x:f>INDEX('Сводка'!$S$3:$S$397,V384)</x:f>
        <x:v>399</x:v>
      </x:c>
      <x:c r="M384" s="8" t="n">
        <x:f>INDEX($K$388:$N$400,W384,1)+INDEX($K$388:$N$400,W384,2)*(2*(J384-$T$405)/(T384-$T$405)-1)^1+INDEX($K$388:$N$400,W384,3)*(2*(J384-$T$405)/(T384-$T$405)-1)^2</x:f>
        <x:v>113.99648976703298</x:v>
      </x:c>
      <x:c r="N384" s="8" t="n">
        <x:f>K384-M384</x:f>
        <x:v>291.003510232967</x:v>
      </x:c>
      <x:c r="O384" s="8" t="n">
        <x:f>ABS(N384)</x:f>
        <x:v>291.003510232967</x:v>
      </x:c>
      <x:c r="P384" s="8" t="n">
        <x:f>N384^2</x:f>
        <x:v>84683.04296790854</x:v>
      </x:c>
      <x:c r="Q384" s="8" t="n">
        <x:f>K384-L384</x:f>
        <x:v>6</x:v>
      </x:c>
      <x:c r="R384" s="9" t="n">
        <x:f>IF(AND(INDEX('Сводка'!$T$3:$T$397,U384)=0,INDEX('Сводка'!$T$3:$T$397,V384)=0),1,0)</x:f>
        <x:v>1</x:v>
      </x:c>
      <x:c r="S384" s="9" t="n">
        <x:f>IF(AND(R384=1,O384&lt;=$G$13),1,0)</x:f>
        <x:v>0</x:v>
      </x:c>
      <x:c r="T384" s="10" t="n">
        <x:f>EOMONTH(J384-'Сводка'!$B$11,-1)</x:f>
        <x:v>46203</x:v>
      </x:c>
      <x:c r="U384" s="4" t="n">
        <x:f>MATCH(J384,'Сводка'!$R$3:$R$397,0)</x:f>
        <x:v>395</x:v>
      </x:c>
      <x:c r="V384" s="4" t="n">
        <x:f>MATCH(J384-'Сводка'!$B$11,'Сводка'!$R$3:$R$397,0)</x:f>
        <x:v>394</x:v>
      </x:c>
      <x:c r="W384" s="4" t="n">
        <x:f>MATCH(T384,$J$388:$J$400,0)</x:f>
        <x:v>13</x:v>
      </x:c>
      <x:c r="X384" s="3"/>
      <x:c r="Y384" s="3"/>
      <x:c r="Z384" s="3"/>
    </x:row>
    <x:row r="385" ht="15" customHeight="1">
      <x:c r="A385" s="3"/>
      <x:c r="B385" s="3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  <x:c r="N385" s="3"/>
      <x:c r="O385" s="3"/>
      <x:c r="P385" s="3"/>
      <x:c r="Q385" s="3"/>
      <x:c r="R385" s="3"/>
      <x:c r="S385" s="3"/>
      <x:c r="T385" s="3"/>
      <x:c r="U385" s="3"/>
      <x:c r="V385" s="3"/>
      <x:c r="W385" s="3"/>
      <x:c r="X385" s="3"/>
      <x:c r="Y385" s="3"/>
      <x:c r="Z385" s="3"/>
    </x:row>
    <x:row r="386" ht="15" customHeight="1">
      <x:c r="A386" s="3"/>
      <x:c r="B386" s="3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  <x:c r="N386" s="3"/>
      <x:c r="O386" s="3"/>
      <x:c r="P386" s="3"/>
      <x:c r="Q386" s="3"/>
      <x:c r="R386" s="3"/>
      <x:c r="S386" s="3"/>
      <x:c r="T386" s="3"/>
      <x:c r="U386" s="3"/>
      <x:c r="V386" s="3"/>
      <x:c r="W386" s="3"/>
      <x:c r="X386" s="3"/>
      <x:c r="Y386" s="3"/>
      <x:c r="Z386" s="3"/>
    </x:row>
    <x:row r="387" ht="30" customHeight="1">
      <x:c r="A387" s="3"/>
      <x:c r="B387" s="3"/>
      <x:c r="C387" s="3"/>
      <x:c r="D387" s="3"/>
      <x:c r="E387" s="3"/>
      <x:c r="F387" s="3"/>
      <x:c r="G387" s="3"/>
      <x:c r="H387" s="3"/>
      <x:c r="I387" s="3"/>
      <x:c r="J387" s="14" t="str">
        <x:v>Обучение до</x:v>
      </x:c>
      <x:c r="K387" s="14" t="str">
        <x:v>a0/a</x:v>
      </x:c>
      <x:c r="L387" s="14" t="str">
        <x:v>a1/b</x:v>
      </x:c>
      <x:c r="M387" s="14" t="str">
        <x:v>a2</x:v>
      </x:c>
      <x:c r="N387" s="14" t="str">
        <x:v>a3</x:v>
      </x:c>
      <x:c r="O387" s="14" t="str">
        <x:v>c1</x:v>
      </x:c>
      <x:c r="P387" s="14" t="str">
        <x:v>c2</x:v>
      </x:c>
      <x:c r="Q387" s="14" t="str">
        <x:v>c3</x:v>
      </x:c>
      <x:c r="R387" s="14" t="str">
        <x:v>c4</x:v>
      </x:c>
      <x:c r="S387" s="14" t="str">
        <x:v>c5</x:v>
      </x:c>
      <x:c r="T387" s="14" t="str">
        <x:v>c6</x:v>
      </x:c>
      <x:c r="U387" s="14" t="str">
        <x:v>c7</x:v>
      </x:c>
      <x:c r="V387" s="14" t="str">
        <x:v>c8</x:v>
      </x:c>
      <x:c r="W387" s="14" t="str">
        <x:v>c9</x:v>
      </x:c>
      <x:c r="X387" s="14" t="str">
        <x:v>c10</x:v>
      </x:c>
      <x:c r="Y387" s="14" t="str">
        <x:v>c11</x:v>
      </x:c>
      <x:c r="Z387" s="14" t="str">
        <x:v>c12</x:v>
      </x:c>
    </x:row>
    <x:row r="388" ht="15" customHeight="1">
      <x:c r="A388" s="3"/>
      <x:c r="B388" s="3"/>
      <x:c r="C388" s="3"/>
      <x:c r="D388" s="3"/>
      <x:c r="E388" s="3"/>
      <x:c r="F388" s="3"/>
      <x:c r="G388" s="3"/>
      <x:c r="H388" s="3"/>
      <x:c r="I388" s="3"/>
      <x:c r="J388" s="7" t="n">
        <x:v>45838</x:v>
      </x:c>
      <x:c r="K388" s="3" t="n">
        <x:v>84.13089886486974</x:v>
      </x:c>
      <x:c r="L388" s="3" t="n">
        <x:v>102.24925654370568</x:v>
      </x:c>
      <x:c r="M388" s="3" t="n">
        <x:v>-47.46711125655577</x:v>
      </x:c>
      <x:c r="N388" s="3" t="n">
        <x:v>0</x:v>
      </x:c>
      <x:c r="O388" s="3" t="n">
        <x:v>0</x:v>
      </x:c>
      <x:c r="P388" s="3" t="n">
        <x:v>0</x:v>
      </x:c>
      <x:c r="Q388" s="3" t="n">
        <x:v>0</x:v>
      </x:c>
      <x:c r="R388" s="3" t="n">
        <x:v>0</x:v>
      </x:c>
      <x:c r="S388" s="3" t="n">
        <x:v>0</x:v>
      </x:c>
      <x:c r="T388" s="3" t="n">
        <x:v>0</x:v>
      </x:c>
      <x:c r="U388" s="3" t="n">
        <x:v>0</x:v>
      </x:c>
      <x:c r="V388" s="3" t="n">
        <x:v>0</x:v>
      </x:c>
      <x:c r="W388" s="3" t="n">
        <x:v>0</x:v>
      </x:c>
      <x:c r="X388" s="3" t="n">
        <x:v>0</x:v>
      </x:c>
      <x:c r="Y388" s="3" t="n">
        <x:v>0</x:v>
      </x:c>
      <x:c r="Z388" s="3" t="n">
        <x:v>0</x:v>
      </x:c>
    </x:row>
    <x:row r="389" ht="15" customHeight="1">
      <x:c r="A389" s="3"/>
      <x:c r="B389" s="3"/>
      <x:c r="C389" s="3"/>
      <x:c r="D389" s="3"/>
      <x:c r="E389" s="3"/>
      <x:c r="F389" s="3"/>
      <x:c r="G389" s="3"/>
      <x:c r="H389" s="3"/>
      <x:c r="I389" s="3"/>
      <x:c r="J389" s="7" t="n">
        <x:v>45869</x:v>
      </x:c>
      <x:c r="K389" s="3" t="n">
        <x:v>84.22339765853347</x:v>
      </x:c>
      <x:c r="L389" s="3" t="n">
        <x:v>102.9064794215639</x:v>
      </x:c>
      <x:c r="M389" s="3" t="n">
        <x:v>-46.31803544194065</x:v>
      </x:c>
      <x:c r="N389" s="3" t="n">
        <x:v>0</x:v>
      </x:c>
      <x:c r="O389" s="3" t="n">
        <x:v>0</x:v>
      </x:c>
      <x:c r="P389" s="3" t="n">
        <x:v>0</x:v>
      </x:c>
      <x:c r="Q389" s="3" t="n">
        <x:v>0</x:v>
      </x:c>
      <x:c r="R389" s="3" t="n">
        <x:v>0</x:v>
      </x:c>
      <x:c r="S389" s="3" t="n">
        <x:v>0</x:v>
      </x:c>
      <x:c r="T389" s="3" t="n">
        <x:v>0</x:v>
      </x:c>
      <x:c r="U389" s="3" t="n">
        <x:v>0</x:v>
      </x:c>
      <x:c r="V389" s="3" t="n">
        <x:v>0</x:v>
      </x:c>
      <x:c r="W389" s="3" t="n">
        <x:v>0</x:v>
      </x:c>
      <x:c r="X389" s="3" t="n">
        <x:v>0</x:v>
      </x:c>
      <x:c r="Y389" s="3" t="n">
        <x:v>0</x:v>
      </x:c>
      <x:c r="Z389" s="3" t="n">
        <x:v>0</x:v>
      </x:c>
    </x:row>
    <x:row r="390" ht="15" customHeight="1">
      <x:c r="A390" s="3"/>
      <x:c r="B390" s="3"/>
      <x:c r="C390" s="3"/>
      <x:c r="D390" s="3"/>
      <x:c r="E390" s="3"/>
      <x:c r="F390" s="3"/>
      <x:c r="G390" s="3"/>
      <x:c r="H390" s="3"/>
      <x:c r="I390" s="3"/>
      <x:c r="J390" s="7" t="n">
        <x:v>45900</x:v>
      </x:c>
      <x:c r="K390" s="3" t="n">
        <x:v>83.91009163681701</x:v>
      </x:c>
      <x:c r="L390" s="3" t="n">
        <x:v>104.50539739121828</x:v>
      </x:c>
      <x:c r="M390" s="3" t="n">
        <x:v>-42.960511782495125</x:v>
      </x:c>
      <x:c r="N390" s="3" t="n">
        <x:v>0</x:v>
      </x:c>
      <x:c r="O390" s="3" t="n">
        <x:v>0</x:v>
      </x:c>
      <x:c r="P390" s="3" t="n">
        <x:v>0</x:v>
      </x:c>
      <x:c r="Q390" s="3" t="n">
        <x:v>0</x:v>
      </x:c>
      <x:c r="R390" s="3" t="n">
        <x:v>0</x:v>
      </x:c>
      <x:c r="S390" s="3" t="n">
        <x:v>0</x:v>
      </x:c>
      <x:c r="T390" s="3" t="n">
        <x:v>0</x:v>
      </x:c>
      <x:c r="U390" s="3" t="n">
        <x:v>0</x:v>
      </x:c>
      <x:c r="V390" s="3" t="n">
        <x:v>0</x:v>
      </x:c>
      <x:c r="W390" s="3" t="n">
        <x:v>0</x:v>
      </x:c>
      <x:c r="X390" s="3" t="n">
        <x:v>0</x:v>
      </x:c>
      <x:c r="Y390" s="3" t="n">
        <x:v>0</x:v>
      </x:c>
      <x:c r="Z390" s="3" t="n">
        <x:v>0</x:v>
      </x:c>
    </x:row>
    <x:row r="391" ht="15" customHeight="1">
      <x:c r="A391" s="3"/>
      <x:c r="B391" s="3"/>
      <x:c r="C391" s="3"/>
      <x:c r="D391" s="3"/>
      <x:c r="E391" s="3"/>
      <x:c r="F391" s="3"/>
      <x:c r="G391" s="3"/>
      <x:c r="H391" s="3"/>
      <x:c r="I391" s="3"/>
      <x:c r="J391" s="7" t="n">
        <x:v>45930</x:v>
      </x:c>
      <x:c r="K391" s="3" t="n">
        <x:v>83.77547940415238</x:v>
      </x:c>
      <x:c r="L391" s="3" t="n">
        <x:v>105.70320974114544</x:v>
      </x:c>
      <x:c r="M391" s="3" t="n">
        <x:v>-40.577377572538026</x:v>
      </x:c>
      <x:c r="N391" s="3" t="n">
        <x:v>0</x:v>
      </x:c>
      <x:c r="O391" s="3" t="n">
        <x:v>0</x:v>
      </x:c>
      <x:c r="P391" s="3" t="n">
        <x:v>0</x:v>
      </x:c>
      <x:c r="Q391" s="3" t="n">
        <x:v>0</x:v>
      </x:c>
      <x:c r="R391" s="3" t="n">
        <x:v>0</x:v>
      </x:c>
      <x:c r="S391" s="3" t="n">
        <x:v>0</x:v>
      </x:c>
      <x:c r="T391" s="3" t="n">
        <x:v>0</x:v>
      </x:c>
      <x:c r="U391" s="3" t="n">
        <x:v>0</x:v>
      </x:c>
      <x:c r="V391" s="3" t="n">
        <x:v>0</x:v>
      </x:c>
      <x:c r="W391" s="3" t="n">
        <x:v>0</x:v>
      </x:c>
      <x:c r="X391" s="3" t="n">
        <x:v>0</x:v>
      </x:c>
      <x:c r="Y391" s="3" t="n">
        <x:v>0</x:v>
      </x:c>
      <x:c r="Z391" s="3" t="n">
        <x:v>0</x:v>
      </x:c>
    </x:row>
    <x:row r="392" ht="15" customHeight="1">
      <x:c r="A392" s="3"/>
      <x:c r="B392" s="3"/>
      <x:c r="C392" s="3"/>
      <x:c r="D392" s="3"/>
      <x:c r="E392" s="3"/>
      <x:c r="F392" s="3"/>
      <x:c r="G392" s="3"/>
      <x:c r="H392" s="3"/>
      <x:c r="I392" s="3"/>
      <x:c r="J392" s="7" t="n">
        <x:v>45961</x:v>
      </x:c>
      <x:c r="K392" s="3" t="n">
        <x:v>84.39021494809721</x:v>
      </x:c>
      <x:c r="L392" s="3" t="n">
        <x:v>105.25652114668887</x:v>
      </x:c>
      <x:c r="M392" s="3" t="n">
        <x:v>-42.13879041339062</x:v>
      </x:c>
      <x:c r="N392" s="3" t="n">
        <x:v>0</x:v>
      </x:c>
      <x:c r="O392" s="3" t="n">
        <x:v>0</x:v>
      </x:c>
      <x:c r="P392" s="3" t="n">
        <x:v>0</x:v>
      </x:c>
      <x:c r="Q392" s="3" t="n">
        <x:v>0</x:v>
      </x:c>
      <x:c r="R392" s="3" t="n">
        <x:v>0</x:v>
      </x:c>
      <x:c r="S392" s="3" t="n">
        <x:v>0</x:v>
      </x:c>
      <x:c r="T392" s="3" t="n">
        <x:v>0</x:v>
      </x:c>
      <x:c r="U392" s="3" t="n">
        <x:v>0</x:v>
      </x:c>
      <x:c r="V392" s="3" t="n">
        <x:v>0</x:v>
      </x:c>
      <x:c r="W392" s="3" t="n">
        <x:v>0</x:v>
      </x:c>
      <x:c r="X392" s="3" t="n">
        <x:v>0</x:v>
      </x:c>
      <x:c r="Y392" s="3" t="n">
        <x:v>0</x:v>
      </x:c>
      <x:c r="Z392" s="3" t="n">
        <x:v>0</x:v>
      </x:c>
    </x:row>
    <x:row r="393" ht="15" customHeight="1">
      <x:c r="A393" s="3"/>
      <x:c r="B393" s="3"/>
      <x:c r="C393" s="3"/>
      <x:c r="D393" s="3"/>
      <x:c r="E393" s="3"/>
      <x:c r="F393" s="3"/>
      <x:c r="G393" s="3"/>
      <x:c r="H393" s="3"/>
      <x:c r="I393" s="3"/>
      <x:c r="J393" s="7" t="n">
        <x:v>45991</x:v>
      </x:c>
      <x:c r="K393" s="3" t="n">
        <x:v>85.86675890478125</x:v>
      </x:c>
      <x:c r="L393" s="3" t="n">
        <x:v>102.77803688406993</x:v>
      </x:c>
      <x:c r="M393" s="3" t="n">
        <x:v>-48.45265693011123</x:v>
      </x:c>
      <x:c r="N393" s="3" t="n">
        <x:v>0</x:v>
      </x:c>
      <x:c r="O393" s="3" t="n">
        <x:v>0</x:v>
      </x:c>
      <x:c r="P393" s="3" t="n">
        <x:v>0</x:v>
      </x:c>
      <x:c r="Q393" s="3" t="n">
        <x:v>0</x:v>
      </x:c>
      <x:c r="R393" s="3" t="n">
        <x:v>0</x:v>
      </x:c>
      <x:c r="S393" s="3" t="n">
        <x:v>0</x:v>
      </x:c>
      <x:c r="T393" s="3" t="n">
        <x:v>0</x:v>
      </x:c>
      <x:c r="U393" s="3" t="n">
        <x:v>0</x:v>
      </x:c>
      <x:c r="V393" s="3" t="n">
        <x:v>0</x:v>
      </x:c>
      <x:c r="W393" s="3" t="n">
        <x:v>0</x:v>
      </x:c>
      <x:c r="X393" s="3" t="n">
        <x:v>0</x:v>
      </x:c>
      <x:c r="Y393" s="3" t="n">
        <x:v>0</x:v>
      </x:c>
      <x:c r="Z393" s="3" t="n">
        <x:v>0</x:v>
      </x:c>
    </x:row>
    <x:row r="394" ht="15" customHeight="1">
      <x:c r="A394" s="3"/>
      <x:c r="B394" s="3"/>
      <x:c r="C394" s="3"/>
      <x:c r="D394" s="3"/>
      <x:c r="E394" s="3"/>
      <x:c r="F394" s="3"/>
      <x:c r="G394" s="3"/>
      <x:c r="H394" s="3"/>
      <x:c r="I394" s="3"/>
      <x:c r="J394" s="7" t="n">
        <x:v>46022</x:v>
      </x:c>
      <x:c r="K394" s="3" t="n">
        <x:v>86.95996036372767</x:v>
      </x:c>
      <x:c r="L394" s="3" t="n">
        <x:v>101.12866749439584</x:v>
      </x:c>
      <x:c r="M394" s="3" t="n">
        <x:v>-52.73901400474407</x:v>
      </x:c>
      <x:c r="N394" s="3" t="n">
        <x:v>0</x:v>
      </x:c>
      <x:c r="O394" s="3" t="n">
        <x:v>0</x:v>
      </x:c>
      <x:c r="P394" s="3" t="n">
        <x:v>0</x:v>
      </x:c>
      <x:c r="Q394" s="3" t="n">
        <x:v>0</x:v>
      </x:c>
      <x:c r="R394" s="3" t="n">
        <x:v>0</x:v>
      </x:c>
      <x:c r="S394" s="3" t="n">
        <x:v>0</x:v>
      </x:c>
      <x:c r="T394" s="3" t="n">
        <x:v>0</x:v>
      </x:c>
      <x:c r="U394" s="3" t="n">
        <x:v>0</x:v>
      </x:c>
      <x:c r="V394" s="3" t="n">
        <x:v>0</x:v>
      </x:c>
      <x:c r="W394" s="3" t="n">
        <x:v>0</x:v>
      </x:c>
      <x:c r="X394" s="3" t="n">
        <x:v>0</x:v>
      </x:c>
      <x:c r="Y394" s="3" t="n">
        <x:v>0</x:v>
      </x:c>
      <x:c r="Z394" s="3" t="n">
        <x:v>0</x:v>
      </x:c>
    </x:row>
    <x:row r="395" ht="15" customHeight="1">
      <x:c r="A395" s="3"/>
      <x:c r="B395" s="3"/>
      <x:c r="C395" s="3"/>
      <x:c r="D395" s="3"/>
      <x:c r="E395" s="3"/>
      <x:c r="F395" s="3"/>
      <x:c r="G395" s="3"/>
      <x:c r="H395" s="3"/>
      <x:c r="I395" s="3"/>
      <x:c r="J395" s="7" t="n">
        <x:v>46053</x:v>
      </x:c>
      <x:c r="K395" s="3" t="n">
        <x:v>88.13339198159</x:v>
      </x:c>
      <x:c r="L395" s="3" t="n">
        <x:v>99.243989925736</x:v>
      </x:c>
      <x:c r="M395" s="3" t="n">
        <x:v>-57.52602524997529</x:v>
      </x:c>
      <x:c r="N395" s="3" t="n">
        <x:v>0</x:v>
      </x:c>
      <x:c r="O395" s="3" t="n">
        <x:v>0</x:v>
      </x:c>
      <x:c r="P395" s="3" t="n">
        <x:v>0</x:v>
      </x:c>
      <x:c r="Q395" s="3" t="n">
        <x:v>0</x:v>
      </x:c>
      <x:c r="R395" s="3" t="n">
        <x:v>0</x:v>
      </x:c>
      <x:c r="S395" s="3" t="n">
        <x:v>0</x:v>
      </x:c>
      <x:c r="T395" s="3" t="n">
        <x:v>0</x:v>
      </x:c>
      <x:c r="U395" s="3" t="n">
        <x:v>0</x:v>
      </x:c>
      <x:c r="V395" s="3" t="n">
        <x:v>0</x:v>
      </x:c>
      <x:c r="W395" s="3" t="n">
        <x:v>0</x:v>
      </x:c>
      <x:c r="X395" s="3" t="n">
        <x:v>0</x:v>
      </x:c>
      <x:c r="Y395" s="3" t="n">
        <x:v>0</x:v>
      </x:c>
      <x:c r="Z395" s="3" t="n">
        <x:v>0</x:v>
      </x:c>
    </x:row>
    <x:row r="396" ht="15" customHeight="1">
      <x:c r="A396" s="3"/>
      <x:c r="B396" s="3"/>
      <x:c r="C396" s="3"/>
      <x:c r="D396" s="3"/>
      <x:c r="E396" s="3"/>
      <x:c r="F396" s="3"/>
      <x:c r="G396" s="3"/>
      <x:c r="H396" s="3"/>
      <x:c r="I396" s="3"/>
      <x:c r="J396" s="7" t="n">
        <x:v>46081</x:v>
      </x:c>
      <x:c r="K396" s="3" t="n">
        <x:v>89.24828088940251</x:v>
      </x:c>
      <x:c r="L396" s="3" t="n">
        <x:v>97.36466410107523</x:v>
      </x:c>
      <x:c r="M396" s="3" t="n">
        <x:v>-62.21329456859267</x:v>
      </x:c>
      <x:c r="N396" s="3" t="n">
        <x:v>0</x:v>
      </x:c>
      <x:c r="O396" s="3" t="n">
        <x:v>0</x:v>
      </x:c>
      <x:c r="P396" s="3" t="n">
        <x:v>0</x:v>
      </x:c>
      <x:c r="Q396" s="3" t="n">
        <x:v>0</x:v>
      </x:c>
      <x:c r="R396" s="3" t="n">
        <x:v>0</x:v>
      </x:c>
      <x:c r="S396" s="3" t="n">
        <x:v>0</x:v>
      </x:c>
      <x:c r="T396" s="3" t="n">
        <x:v>0</x:v>
      </x:c>
      <x:c r="U396" s="3" t="n">
        <x:v>0</x:v>
      </x:c>
      <x:c r="V396" s="3" t="n">
        <x:v>0</x:v>
      </x:c>
      <x:c r="W396" s="3" t="n">
        <x:v>0</x:v>
      </x:c>
      <x:c r="X396" s="3" t="n">
        <x:v>0</x:v>
      </x:c>
      <x:c r="Y396" s="3" t="n">
        <x:v>0</x:v>
      </x:c>
      <x:c r="Z396" s="3" t="n">
        <x:v>0</x:v>
      </x:c>
    </x:row>
    <x:row r="397" ht="15" customHeight="1">
      <x:c r="A397" s="3"/>
      <x:c r="B397" s="3"/>
      <x:c r="C397" s="3"/>
      <x:c r="D397" s="3"/>
      <x:c r="E397" s="3"/>
      <x:c r="F397" s="3"/>
      <x:c r="G397" s="3"/>
      <x:c r="H397" s="3"/>
      <x:c r="I397" s="3"/>
      <x:c r="J397" s="7" t="n">
        <x:v>46112</x:v>
      </x:c>
      <x:c r="K397" s="3" t="n">
        <x:v>90.57258796168239</x:v>
      </x:c>
      <x:c r="L397" s="3" t="n">
        <x:v>95.01817390012287</x:v>
      </x:c>
      <x:c r="M397" s="3" t="n">
        <x:v>-67.96667836908439</x:v>
      </x:c>
      <x:c r="N397" s="3" t="n">
        <x:v>0</x:v>
      </x:c>
      <x:c r="O397" s="3" t="n">
        <x:v>0</x:v>
      </x:c>
      <x:c r="P397" s="3" t="n">
        <x:v>0</x:v>
      </x:c>
      <x:c r="Q397" s="3" t="n">
        <x:v>0</x:v>
      </x:c>
      <x:c r="R397" s="3" t="n">
        <x:v>0</x:v>
      </x:c>
      <x:c r="S397" s="3" t="n">
        <x:v>0</x:v>
      </x:c>
      <x:c r="T397" s="3" t="n">
        <x:v>0</x:v>
      </x:c>
      <x:c r="U397" s="3" t="n">
        <x:v>0</x:v>
      </x:c>
      <x:c r="V397" s="3" t="n">
        <x:v>0</x:v>
      </x:c>
      <x:c r="W397" s="3" t="n">
        <x:v>0</x:v>
      </x:c>
      <x:c r="X397" s="3" t="n">
        <x:v>0</x:v>
      </x:c>
      <x:c r="Y397" s="3" t="n">
        <x:v>0</x:v>
      </x:c>
      <x:c r="Z397" s="3" t="n">
        <x:v>0</x:v>
      </x:c>
    </x:row>
    <x:row r="398" ht="15" customHeight="1">
      <x:c r="A398" s="3"/>
      <x:c r="B398" s="3"/>
      <x:c r="C398" s="3"/>
      <x:c r="D398" s="3"/>
      <x:c r="E398" s="3"/>
      <x:c r="F398" s="3"/>
      <x:c r="G398" s="3"/>
      <x:c r="H398" s="3"/>
      <x:c r="I398" s="3"/>
      <x:c r="J398" s="7" t="n">
        <x:v>46142</x:v>
      </x:c>
      <x:c r="K398" s="3" t="n">
        <x:v>91.32115969507582</x:v>
      </x:c>
      <x:c r="L398" s="3" t="n">
        <x:v>93.89783873935352</x:v>
      </x:c>
      <x:c r="M398" s="3" t="n">
        <x:v>-70.7417689959617</x:v>
      </x:c>
      <x:c r="N398" s="3" t="n">
        <x:v>0</x:v>
      </x:c>
      <x:c r="O398" s="3" t="n">
        <x:v>0</x:v>
      </x:c>
      <x:c r="P398" s="3" t="n">
        <x:v>0</x:v>
      </x:c>
      <x:c r="Q398" s="3" t="n">
        <x:v>0</x:v>
      </x:c>
      <x:c r="R398" s="3" t="n">
        <x:v>0</x:v>
      </x:c>
      <x:c r="S398" s="3" t="n">
        <x:v>0</x:v>
      </x:c>
      <x:c r="T398" s="3" t="n">
        <x:v>0</x:v>
      </x:c>
      <x:c r="U398" s="3" t="n">
        <x:v>0</x:v>
      </x:c>
      <x:c r="V398" s="3" t="n">
        <x:v>0</x:v>
      </x:c>
      <x:c r="W398" s="3" t="n">
        <x:v>0</x:v>
      </x:c>
      <x:c r="X398" s="3" t="n">
        <x:v>0</x:v>
      </x:c>
      <x:c r="Y398" s="3" t="n">
        <x:v>0</x:v>
      </x:c>
      <x:c r="Z398" s="3" t="n">
        <x:v>0</x:v>
      </x:c>
    </x:row>
    <x:row r="399" ht="15" customHeight="1">
      <x:c r="A399" s="3"/>
      <x:c r="B399" s="3"/>
      <x:c r="C399" s="3"/>
      <x:c r="D399" s="3"/>
      <x:c r="E399" s="3"/>
      <x:c r="F399" s="3"/>
      <x:c r="G399" s="3"/>
      <x:c r="H399" s="3"/>
      <x:c r="I399" s="3"/>
      <x:c r="J399" s="7" t="n">
        <x:v>46173</x:v>
      </x:c>
      <x:c r="K399" s="3" t="n">
        <x:v>91.64631052605549</x:v>
      </x:c>
      <x:c r="L399" s="3" t="n">
        <x:v>93.73337201912986</x:v>
      </x:c>
      <x:c r="M399" s="3" t="n">
        <x:v>-71.22809449187096</x:v>
      </x:c>
      <x:c r="N399" s="3" t="n">
        <x:v>0</x:v>
      </x:c>
      <x:c r="O399" s="3" t="n">
        <x:v>0</x:v>
      </x:c>
      <x:c r="P399" s="3" t="n">
        <x:v>0</x:v>
      </x:c>
      <x:c r="Q399" s="3" t="n">
        <x:v>0</x:v>
      </x:c>
      <x:c r="R399" s="3" t="n">
        <x:v>0</x:v>
      </x:c>
      <x:c r="S399" s="3" t="n">
        <x:v>0</x:v>
      </x:c>
      <x:c r="T399" s="3" t="n">
        <x:v>0</x:v>
      </x:c>
      <x:c r="U399" s="3" t="n">
        <x:v>0</x:v>
      </x:c>
      <x:c r="V399" s="3" t="n">
        <x:v>0</x:v>
      </x:c>
      <x:c r="W399" s="3" t="n">
        <x:v>0</x:v>
      </x:c>
      <x:c r="X399" s="3" t="n">
        <x:v>0</x:v>
      </x:c>
      <x:c r="Y399" s="3" t="n">
        <x:v>0</x:v>
      </x:c>
      <x:c r="Z399" s="3" t="n">
        <x:v>0</x:v>
      </x:c>
    </x:row>
    <x:row r="400" ht="15" customHeight="1">
      <x:c r="A400" s="3"/>
      <x:c r="B400" s="3"/>
      <x:c r="C400" s="3"/>
      <x:c r="D400" s="3"/>
      <x:c r="E400" s="3"/>
      <x:c r="F400" s="3"/>
      <x:c r="G400" s="3"/>
      <x:c r="H400" s="3"/>
      <x:c r="I400" s="3"/>
      <x:c r="J400" s="7" t="n">
        <x:v>46203</x:v>
      </x:c>
      <x:c r="K400" s="3" t="n">
        <x:v>91.8812302909934</x:v>
      </x:c>
      <x:c r="L400" s="3" t="n">
        <x:v>93.74808981346152</x:v>
      </x:c>
      <x:c r="M400" s="3" t="n">
        <x:v>-71.27998036354509</x:v>
      </x:c>
      <x:c r="N400" s="3" t="n">
        <x:v>0</x:v>
      </x:c>
      <x:c r="O400" s="3" t="n">
        <x:v>0</x:v>
      </x:c>
      <x:c r="P400" s="3" t="n">
        <x:v>0</x:v>
      </x:c>
      <x:c r="Q400" s="3" t="n">
        <x:v>0</x:v>
      </x:c>
      <x:c r="R400" s="3" t="n">
        <x:v>0</x:v>
      </x:c>
      <x:c r="S400" s="3" t="n">
        <x:v>0</x:v>
      </x:c>
      <x:c r="T400" s="3" t="n">
        <x:v>0</x:v>
      </x:c>
      <x:c r="U400" s="3" t="n">
        <x:v>0</x:v>
      </x:c>
      <x:c r="V400" s="3" t="n">
        <x:v>0</x:v>
      </x:c>
      <x:c r="W400" s="3" t="n">
        <x:v>0</x:v>
      </x:c>
      <x:c r="X400" s="3" t="n">
        <x:v>0</x:v>
      </x:c>
      <x:c r="Y400" s="3" t="n">
        <x:v>0</x:v>
      </x:c>
      <x:c r="Z400" s="3" t="n">
        <x:v>0</x:v>
      </x:c>
    </x:row>
    <x:row r="401" ht="15" customHeight="1">
      <x:c r="A401" s="3"/>
      <x:c r="B401" s="3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  <x:c r="N401" s="3"/>
      <x:c r="O401" s="3"/>
      <x:c r="P401" s="3"/>
      <x:c r="Q401" s="3"/>
      <x:c r="R401" s="3"/>
      <x:c r="S401" s="3"/>
      <x:c r="T401" s="3"/>
      <x:c r="U401" s="3"/>
      <x:c r="V401" s="3"/>
      <x:c r="W401" s="3"/>
      <x:c r="X401" s="3"/>
      <x:c r="Y401" s="3"/>
      <x:c r="Z401" s="3"/>
    </x:row>
    <x:row r="402" ht="15" customHeight="1">
      <x:c r="A402" s="3"/>
      <x:c r="B402" s="3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  <x:c r="N402" s="3"/>
      <x:c r="O402" s="3"/>
      <x:c r="P402" s="3"/>
      <x:c r="Q402" s="3"/>
      <x:c r="R402" s="3"/>
      <x:c r="S402" s="3"/>
      <x:c r="T402" s="3"/>
      <x:c r="U402" s="3"/>
      <x:c r="V402" s="3"/>
      <x:c r="W402" s="3"/>
      <x:c r="X402" s="3"/>
      <x:c r="Y402" s="3"/>
      <x:c r="Z402" s="3"/>
    </x:row>
    <x:row r="403" ht="15" customHeight="1">
      <x:c r="A403" s="3"/>
      <x:c r="B403" s="3"/>
      <x:c r="C403" s="3"/>
      <x:c r="D403" s="3"/>
      <x:c r="E403" s="3"/>
      <x:c r="F403" s="3"/>
      <x:c r="G403" s="3"/>
      <x:c r="H403" s="3"/>
      <x:c r="I403" s="3"/>
      <x:c r="J403" s="3" t="str">
        <x:v>n</x:v>
      </x:c>
      <x:c r="K403" s="3" t="n">
        <x:f>G11</x:f>
        <x:v>355</x:v>
      </x:c>
      <x:c r="L403" s="3"/>
      <x:c r="M403" s="3"/>
      <x:c r="N403" s="3"/>
      <x:c r="O403" s="3"/>
      <x:c r="P403" s="3"/>
      <x:c r="Q403" s="3"/>
      <x:c r="R403" s="3"/>
      <x:c r="S403" s="3" t="str">
        <x:v>s остатков</x:v>
      </x:c>
      <x:c r="T403" s="3" t="n">
        <x:v>161.91559342174727</x:v>
      </x:c>
      <x:c r="U403" s="3"/>
      <x:c r="V403" s="3"/>
      <x:c r="W403" s="3"/>
      <x:c r="X403" s="3"/>
      <x:c r="Y403" s="3"/>
      <x:c r="Z403" s="3"/>
    </x:row>
    <x:row r="404" ht="15" customHeight="1">
      <x:c r="A404" s="3"/>
      <x:c r="B404" s="3"/>
      <x:c r="C404" s="3"/>
      <x:c r="D404" s="3"/>
      <x:c r="E404" s="3"/>
      <x:c r="F404" s="3"/>
      <x:c r="G404" s="3"/>
      <x:c r="H404" s="3"/>
      <x:c r="I404" s="3"/>
      <x:c r="J404" s="3" t="str">
        <x:v>ΣH</x:v>
      </x:c>
      <x:c r="K404" s="3" t="n">
        <x:f>SUMPRODUCT($R$20:$R$384,$K$20:$K$384)</x:f>
        <x:v>28150</x:v>
      </x:c>
      <x:c r="L404" s="3"/>
      <x:c r="M404" s="3"/>
      <x:c r="N404" s="3"/>
      <x:c r="O404" s="3"/>
      <x:c r="P404" s="3"/>
      <x:c r="Q404" s="3"/>
      <x:c r="R404" s="3"/>
      <x:c r="S404" s="3" t="str">
        <x:v>t95</x:v>
      </x:c>
      <x:c r="T404" s="3" t="n">
        <x:v>1.9602401251089576</x:v>
      </x:c>
      <x:c r="U404" s="3"/>
      <x:c r="V404" s="3"/>
      <x:c r="W404" s="3"/>
      <x:c r="X404" s="3"/>
      <x:c r="Y404" s="3"/>
      <x:c r="Z404" s="3"/>
    </x:row>
    <x:row r="405" ht="15" customHeight="1">
      <x:c r="A405" s="3"/>
      <x:c r="B405" s="3"/>
      <x:c r="C405" s="3"/>
      <x:c r="D405" s="3"/>
      <x:c r="E405" s="3"/>
      <x:c r="F405" s="3"/>
      <x:c r="G405" s="3"/>
      <x:c r="H405" s="3"/>
      <x:c r="I405" s="3"/>
      <x:c r="J405" s="3" t="str">
        <x:v>SST</x:v>
      </x:c>
      <x:c r="K405" s="3" t="n">
        <x:f>SUMPRODUCT($R$20:$R$384,$K$20:$K$384,$K$20:$K$384)-K404^2/G11</x:f>
        <x:v>6276929.943661972</x:v>
      </x:c>
      <x:c r="L405" s="3"/>
      <x:c r="M405" s="3"/>
      <x:c r="N405" s="3"/>
      <x:c r="O405" s="3"/>
      <x:c r="P405" s="3"/>
      <x:c r="Q405" s="3"/>
      <x:c r="R405" s="3"/>
      <x:c r="S405" s="3" t="str">
        <x:v>Начало ряда</x:v>
      </x:c>
      <x:c r="T405" s="7" t="n">
        <x:v>37257</x:v>
      </x:c>
      <x:c r="U405" s="3"/>
      <x:c r="V405" s="3"/>
      <x:c r="W405" s="3"/>
      <x:c r="X405" s="3"/>
      <x:c r="Y405" s="3"/>
      <x:c r="Z405" s="3"/>
    </x:row>
    <x:row r="406" ht="15" customHeight="1">
      <x:c r="A406" s="3"/>
      <x:c r="B406" s="3"/>
      <x:c r="C406" s="3"/>
      <x:c r="D406" s="3"/>
      <x:c r="E406" s="3"/>
      <x:c r="F406" s="3"/>
      <x:c r="G406" s="3"/>
      <x:c r="H406" s="3"/>
      <x:c r="I406" s="3"/>
      <x:c r="J406" s="3" t="str">
        <x:v>ΣΔ</x:v>
      </x:c>
      <x:c r="K406" s="3" t="n">
        <x:f>SUMPRODUCT($R$20:$R$384,$Q$20:$Q$384)</x:f>
        <x:v>137</x:v>
      </x:c>
      <x:c r="L406" s="3"/>
      <x:c r="M406" s="3"/>
      <x:c r="N406" s="3"/>
      <x:c r="O406" s="3"/>
      <x:c r="P406" s="3"/>
      <x:c r="Q406" s="3"/>
      <x:c r="R406" s="3"/>
      <x:c r="S406" s="3" t="str">
        <x:v>Длина ряда</x:v>
      </x:c>
      <x:c r="T406" s="3" t="n">
        <x:v>8978</x:v>
      </x:c>
      <x:c r="U406" s="3"/>
      <x:c r="V406" s="3"/>
      <x:c r="W406" s="3"/>
      <x:c r="X406" s="3"/>
      <x:c r="Y406" s="3"/>
      <x:c r="Z406" s="3"/>
    </x:row>
    <x:row r="407" ht="15" customHeight="1">
      <x:c r="A407" s="3"/>
      <x:c r="B407" s="3"/>
      <x:c r="C407" s="3"/>
      <x:c r="D407" s="3"/>
      <x:c r="E407" s="3"/>
      <x:c r="F407" s="3"/>
      <x:c r="G407" s="3"/>
      <x:c r="H407" s="3"/>
      <x:c r="I407" s="3"/>
      <x:c r="J407" s="3" t="str">
        <x:v>SSΔ</x:v>
      </x:c>
      <x:c r="K407" s="3" t="n">
        <x:f>SUMPRODUCT($R$20:$R$384,$Q$20:$Q$384,$Q$20:$Q$384)-K406^2/G11</x:f>
        <x:v>42404.12957746479</x:v>
      </x:c>
      <x:c r="L407" s="3"/>
      <x:c r="M407" s="3"/>
      <x:c r="N407" s="3"/>
      <x:c r="O407" s="3"/>
      <x:c r="P407" s="3"/>
      <x:c r="Q407" s="3"/>
      <x:c r="R407" s="3"/>
      <x:c r="S407" s="3"/>
      <x:c r="T407" s="3"/>
      <x:c r="U407" s="3"/>
      <x:c r="V407" s="3"/>
      <x:c r="W407" s="3"/>
      <x:c r="X407" s="3"/>
      <x:c r="Y407" s="3"/>
      <x:c r="Z407" s="3"/>
    </x:row>
    <x:row r="408" ht="15" customHeight="1">
      <x:c r="A408" s="3"/>
      <x:c r="B408" s="3"/>
      <x:c r="C408" s="3"/>
      <x:c r="D408" s="3"/>
      <x:c r="E408" s="3"/>
      <x:c r="F408" s="3"/>
      <x:c r="G408" s="3"/>
      <x:c r="H408" s="3"/>
      <x:c r="I408" s="3"/>
      <x:c r="J408" s="3" t="str">
        <x:v>SSE</x:v>
      </x:c>
      <x:c r="K408" s="3" t="n">
        <x:f>SUMPRODUCT($R$20:$R$384,$P$20:$P$384)</x:f>
        <x:v>7391170.278540928</x:v>
      </x:c>
      <x:c r="L408" s="3"/>
      <x:c r="M408" s="3"/>
      <x:c r="N408" s="3"/>
      <x:c r="O408" s="3"/>
      <x:c r="P408" s="3"/>
      <x:c r="Q408" s="3"/>
      <x:c r="R408" s="3"/>
      <x:c r="S408" s="3" t="str">
        <x:v>Cov базовых коэффициентов</x:v>
      </x:c>
      <x:c r="T408" s="3"/>
      <x:c r="U408" s="3"/>
      <x:c r="V408" s="3"/>
      <x:c r="W408" s="3"/>
      <x:c r="X408" s="3"/>
      <x:c r="Y408" s="3"/>
      <x:c r="Z408" s="3"/>
    </x:row>
    <x:row r="409" ht="15" customHeight="1">
      <x:c r="A409" s="3"/>
      <x:c r="B409" s="3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  <x:c r="N409" s="3"/>
      <x:c r="O409" s="3"/>
      <x:c r="P409" s="3"/>
      <x:c r="Q409" s="3"/>
      <x:c r="R409" s="3"/>
      <x:c r="S409" s="3" t="n">
        <x:v>6.649010053841296</x:v>
      </x:c>
      <x:c r="T409" s="3" t="n">
        <x:v>0.08914106024534292</x:v>
      </x:c>
      <x:c r="U409" s="3" t="n">
        <x:v>-11.030601863417798</x:v>
      </x:c>
      <x:c r="V409" s="3"/>
      <x:c r="W409" s="3"/>
      <x:c r="X409" s="3"/>
      <x:c r="Y409" s="3"/>
      <x:c r="Z409" s="3"/>
    </x:row>
    <x:row r="410" ht="15" customHeight="1">
      <x:c r="A410" s="3"/>
      <x:c r="B410" s="3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  <x:c r="N410" s="3"/>
      <x:c r="O410" s="3"/>
      <x:c r="P410" s="3"/>
      <x:c r="Q410" s="3"/>
      <x:c r="R410" s="3"/>
      <x:c r="S410" s="3" t="n">
        <x:v>0.0891410602453429</x:v>
      </x:c>
      <x:c r="T410" s="3" t="n">
        <x:v>9.363161357476548</x:v>
      </x:c>
      <x:c r="U410" s="3" t="n">
        <x:v>0.22134686000480053</x:v>
      </x:c>
      <x:c r="V410" s="3"/>
      <x:c r="W410" s="3"/>
      <x:c r="X410" s="3"/>
      <x:c r="Y410" s="3"/>
      <x:c r="Z410" s="3"/>
    </x:row>
    <x:row r="411" ht="15" customHeight="1">
      <x:c r="A411" s="3"/>
      <x:c r="B411" s="3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  <x:c r="N411" s="3"/>
      <x:c r="O411" s="3"/>
      <x:c r="P411" s="3"/>
      <x:c r="Q411" s="3"/>
      <x:c r="R411" s="3"/>
      <x:c r="S411" s="3" t="n">
        <x:v>-11.030601863417797</x:v>
      </x:c>
      <x:c r="T411" s="3" t="n">
        <x:v>0.22134686000480053</x:v>
      </x:c>
      <x:c r="U411" s="3" t="n">
        <x:v>33.83589614972947</x:v>
      </x:c>
      <x:c r="V411" s="3"/>
      <x:c r="W411" s="3"/>
      <x:c r="X411" s="3"/>
      <x:c r="Y411" s="3"/>
      <x:c r="Z411" s="3"/>
    </x:row>
    <x:row r="412" ht="15" customHeight="1">
      <x:c r="A412" s="3"/>
      <x:c r="B412" s="3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  <x:c r="N412" s="3"/>
      <x:c r="O412" s="3"/>
      <x:c r="P412" s="3"/>
      <x:c r="Q412" s="3"/>
      <x:c r="R412" s="3"/>
      <x:c r="S412" s="3"/>
      <x:c r="T412" s="3"/>
      <x:c r="U412" s="3"/>
      <x:c r="V412" s="3"/>
      <x:c r="W412" s="3"/>
      <x:c r="X412" s="3"/>
      <x:c r="Y412" s="3"/>
      <x:c r="Z412" s="3"/>
    </x:row>
    <x:row r="413" ht="15" customHeight="1">
      <x:c r="A413" s="3"/>
      <x:c r="B413" s="3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  <x:c r="N413" s="3"/>
      <x:c r="O413" s="3"/>
      <x:c r="P413" s="3"/>
      <x:c r="Q413" s="3"/>
      <x:c r="R413" s="3"/>
      <x:c r="S413" s="3"/>
      <x:c r="T413" s="3"/>
      <x:c r="U413" s="3"/>
      <x:c r="V413" s="3"/>
      <x:c r="W413" s="3"/>
      <x:c r="X413" s="3"/>
      <x:c r="Y413" s="3"/>
      <x:c r="Z413" s="3"/>
    </x:row>
    <x:row r="414" ht="15" customHeight="1">
      <x:c r="A414" s="3"/>
      <x:c r="B414" s="3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  <x:c r="N414" s="3"/>
      <x:c r="O414" s="3"/>
      <x:c r="P414" s="3"/>
      <x:c r="Q414" s="3"/>
      <x:c r="R414" s="3"/>
      <x:c r="S414" s="3"/>
      <x:c r="T414" s="3"/>
      <x:c r="U414" s="3"/>
      <x:c r="V414" s="3"/>
      <x:c r="W414" s="3"/>
      <x:c r="X414" s="3"/>
      <x:c r="Y414" s="3"/>
      <x:c r="Z414" s="3"/>
    </x:row>
    <x:row r="415" ht="30" customHeight="1">
      <x:c r="A415" s="3"/>
      <x:c r="B415" s="3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  <x:c r="N415" s="3"/>
      <x:c r="O415" s="3"/>
      <x:c r="P415" s="3"/>
      <x:c r="Q415" s="3"/>
      <x:c r="R415" s="3"/>
      <x:c r="S415" s="14" t="str">
        <x:v>Cov a0,cₘ</x:v>
      </x:c>
      <x:c r="T415" s="14" t="str">
        <x:v>Cov a1,cₘ</x:v>
      </x:c>
      <x:c r="U415" s="14" t="str">
        <x:v>Cov a2,cₘ</x:v>
      </x:c>
      <x:c r="V415" s="14" t="str">
        <x:v>Cov a3,cₘ</x:v>
      </x:c>
      <x:c r="W415" s="14" t="str">
        <x:v>Var cₘ</x:v>
      </x:c>
      <x:c r="X415" s="3"/>
      <x:c r="Y415" s="3"/>
      <x:c r="Z415" s="3"/>
    </x:row>
    <x:row r="416" ht="15" customHeight="1">
      <x:c r="A416" s="3"/>
      <x:c r="B416" s="3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  <x:c r="N416" s="3"/>
      <x:c r="O416" s="3"/>
      <x:c r="P416" s="3"/>
      <x:c r="Q416" s="3"/>
      <x:c r="R416" s="3"/>
      <x:c r="S416" s="3" t="n">
        <x:v>0</x:v>
      </x:c>
      <x:c r="T416" s="3" t="n">
        <x:v>0</x:v>
      </x:c>
      <x:c r="U416" s="3" t="n">
        <x:v>0</x:v>
      </x:c>
      <x:c r="V416" s="3" t="n">
        <x:v>0</x:v>
      </x:c>
      <x:c r="W416" s="3" t="n">
        <x:v>0</x:v>
      </x:c>
      <x:c r="X416" s="3"/>
      <x:c r="Y416" s="3"/>
      <x:c r="Z416" s="3"/>
    </x:row>
    <x:row r="417" ht="15" customHeight="1">
      <x:c r="A417" s="3"/>
      <x:c r="B417" s="3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  <x:c r="N417" s="3"/>
      <x:c r="O417" s="3"/>
      <x:c r="P417" s="3"/>
      <x:c r="Q417" s="3"/>
      <x:c r="R417" s="3"/>
      <x:c r="S417" s="3" t="n">
        <x:v>0</x:v>
      </x:c>
      <x:c r="T417" s="3" t="n">
        <x:v>0</x:v>
      </x:c>
      <x:c r="U417" s="3" t="n">
        <x:v>0</x:v>
      </x:c>
      <x:c r="V417" s="3" t="n">
        <x:v>0</x:v>
      </x:c>
      <x:c r="W417" s="3" t="n">
        <x:v>0</x:v>
      </x:c>
      <x:c r="X417" s="3"/>
      <x:c r="Y417" s="3"/>
      <x:c r="Z417" s="3"/>
    </x:row>
    <x:row r="418" ht="15" customHeight="1">
      <x:c r="A418" s="3"/>
      <x:c r="B418" s="3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  <x:c r="N418" s="3"/>
      <x:c r="O418" s="3"/>
      <x:c r="P418" s="3"/>
      <x:c r="Q418" s="3"/>
      <x:c r="R418" s="3"/>
      <x:c r="S418" s="3" t="n">
        <x:v>0</x:v>
      </x:c>
      <x:c r="T418" s="3" t="n">
        <x:v>0</x:v>
      </x:c>
      <x:c r="U418" s="3" t="n">
        <x:v>0</x:v>
      </x:c>
      <x:c r="V418" s="3" t="n">
        <x:v>0</x:v>
      </x:c>
      <x:c r="W418" s="3" t="n">
        <x:v>0</x:v>
      </x:c>
      <x:c r="X418" s="3"/>
      <x:c r="Y418" s="3"/>
      <x:c r="Z418" s="3"/>
    </x:row>
    <x:row r="419" ht="15" customHeight="1">
      <x:c r="A419" s="3"/>
      <x:c r="B419" s="3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  <x:c r="N419" s="3"/>
      <x:c r="O419" s="3"/>
      <x:c r="P419" s="3"/>
      <x:c r="Q419" s="3"/>
      <x:c r="R419" s="3"/>
      <x:c r="S419" s="3" t="n">
        <x:v>0</x:v>
      </x:c>
      <x:c r="T419" s="3" t="n">
        <x:v>0</x:v>
      </x:c>
      <x:c r="U419" s="3" t="n">
        <x:v>0</x:v>
      </x:c>
      <x:c r="V419" s="3" t="n">
        <x:v>0</x:v>
      </x:c>
      <x:c r="W419" s="3" t="n">
        <x:v>0</x:v>
      </x:c>
      <x:c r="X419" s="3"/>
      <x:c r="Y419" s="3"/>
      <x:c r="Z419" s="3"/>
    </x:row>
    <x:row r="420" ht="15" customHeight="1">
      <x:c r="A420" s="3"/>
      <x:c r="B420" s="3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  <x:c r="N420" s="3"/>
      <x:c r="O420" s="3"/>
      <x:c r="P420" s="3"/>
      <x:c r="Q420" s="3"/>
      <x:c r="R420" s="3"/>
      <x:c r="S420" s="3" t="n">
        <x:v>0</x:v>
      </x:c>
      <x:c r="T420" s="3" t="n">
        <x:v>0</x:v>
      </x:c>
      <x:c r="U420" s="3" t="n">
        <x:v>0</x:v>
      </x:c>
      <x:c r="V420" s="3" t="n">
        <x:v>0</x:v>
      </x:c>
      <x:c r="W420" s="3" t="n">
        <x:v>0</x:v>
      </x:c>
      <x:c r="X420" s="3"/>
      <x:c r="Y420" s="3"/>
      <x:c r="Z420" s="3"/>
    </x:row>
    <x:row r="421" ht="15" customHeight="1">
      <x:c r="A421" s="3"/>
      <x:c r="B421" s="3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  <x:c r="N421" s="3"/>
      <x:c r="O421" s="3"/>
      <x:c r="P421" s="3"/>
      <x:c r="Q421" s="3"/>
      <x:c r="R421" s="3"/>
      <x:c r="S421" s="3" t="n">
        <x:v>0</x:v>
      </x:c>
      <x:c r="T421" s="3" t="n">
        <x:v>0</x:v>
      </x:c>
      <x:c r="U421" s="3" t="n">
        <x:v>0</x:v>
      </x:c>
      <x:c r="V421" s="3" t="n">
        <x:v>0</x:v>
      </x:c>
      <x:c r="W421" s="3" t="n">
        <x:v>0</x:v>
      </x:c>
      <x:c r="X421" s="3"/>
      <x:c r="Y421" s="3"/>
      <x:c r="Z421" s="3"/>
    </x:row>
    <x:row r="422" ht="15" customHeight="1">
      <x:c r="A422" s="3"/>
      <x:c r="B422" s="3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  <x:c r="N422" s="3"/>
      <x:c r="O422" s="3"/>
      <x:c r="P422" s="3"/>
      <x:c r="Q422" s="3"/>
      <x:c r="R422" s="3"/>
      <x:c r="S422" s="3" t="n">
        <x:v>0</x:v>
      </x:c>
      <x:c r="T422" s="3" t="n">
        <x:v>0</x:v>
      </x:c>
      <x:c r="U422" s="3" t="n">
        <x:v>0</x:v>
      </x:c>
      <x:c r="V422" s="3" t="n">
        <x:v>0</x:v>
      </x:c>
      <x:c r="W422" s="3" t="n">
        <x:v>0</x:v>
      </x:c>
      <x:c r="X422" s="3"/>
      <x:c r="Y422" s="3"/>
      <x:c r="Z422" s="3"/>
    </x:row>
    <x:row r="423" ht="15" customHeight="1">
      <x:c r="A423" s="3"/>
      <x:c r="B423" s="3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  <x:c r="N423" s="3"/>
      <x:c r="O423" s="3"/>
      <x:c r="P423" s="3"/>
      <x:c r="Q423" s="3"/>
      <x:c r="R423" s="3"/>
      <x:c r="S423" s="3" t="n">
        <x:v>0</x:v>
      </x:c>
      <x:c r="T423" s="3" t="n">
        <x:v>0</x:v>
      </x:c>
      <x:c r="U423" s="3" t="n">
        <x:v>0</x:v>
      </x:c>
      <x:c r="V423" s="3" t="n">
        <x:v>0</x:v>
      </x:c>
      <x:c r="W423" s="3" t="n">
        <x:v>0</x:v>
      </x:c>
      <x:c r="X423" s="3"/>
      <x:c r="Y423" s="3"/>
      <x:c r="Z423" s="3"/>
    </x:row>
    <x:row r="424" ht="15" customHeight="1">
      <x:c r="A424" s="3"/>
      <x:c r="B424" s="3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  <x:c r="N424" s="3"/>
      <x:c r="O424" s="3"/>
      <x:c r="P424" s="3"/>
      <x:c r="Q424" s="3"/>
      <x:c r="R424" s="3"/>
      <x:c r="S424" s="3" t="n">
        <x:v>0</x:v>
      </x:c>
      <x:c r="T424" s="3" t="n">
        <x:v>0</x:v>
      </x:c>
      <x:c r="U424" s="3" t="n">
        <x:v>0</x:v>
      </x:c>
      <x:c r="V424" s="3" t="n">
        <x:v>0</x:v>
      </x:c>
      <x:c r="W424" s="3" t="n">
        <x:v>0</x:v>
      </x:c>
      <x:c r="X424" s="3"/>
      <x:c r="Y424" s="3"/>
      <x:c r="Z424" s="3"/>
    </x:row>
    <x:row r="425" ht="15" customHeight="1">
      <x:c r="A425" s="3"/>
      <x:c r="B425" s="3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  <x:c r="N425" s="3"/>
      <x:c r="O425" s="3"/>
      <x:c r="P425" s="3"/>
      <x:c r="Q425" s="3"/>
      <x:c r="R425" s="3"/>
      <x:c r="S425" s="3" t="n">
        <x:v>0</x:v>
      </x:c>
      <x:c r="T425" s="3" t="n">
        <x:v>0</x:v>
      </x:c>
      <x:c r="U425" s="3" t="n">
        <x:v>0</x:v>
      </x:c>
      <x:c r="V425" s="3" t="n">
        <x:v>0</x:v>
      </x:c>
      <x:c r="W425" s="3" t="n">
        <x:v>0</x:v>
      </x:c>
      <x:c r="X425" s="3"/>
      <x:c r="Y425" s="3"/>
      <x:c r="Z425" s="3"/>
    </x:row>
    <x:row r="426" ht="15" customHeight="1">
      <x:c r="A426" s="3"/>
      <x:c r="B426" s="3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  <x:c r="N426" s="3"/>
      <x:c r="O426" s="3"/>
      <x:c r="P426" s="3"/>
      <x:c r="Q426" s="3"/>
      <x:c r="R426" s="3"/>
      <x:c r="S426" s="3" t="n">
        <x:v>0</x:v>
      </x:c>
      <x:c r="T426" s="3" t="n">
        <x:v>0</x:v>
      </x:c>
      <x:c r="U426" s="3" t="n">
        <x:v>0</x:v>
      </x:c>
      <x:c r="V426" s="3" t="n">
        <x:v>0</x:v>
      </x:c>
      <x:c r="W426" s="3" t="n">
        <x:v>0</x:v>
      </x:c>
      <x:c r="X426" s="3"/>
      <x:c r="Y426" s="3"/>
      <x:c r="Z426" s="3"/>
    </x:row>
    <x:row r="427" ht="15" customHeight="1">
      <x:c r="A427" s="3"/>
      <x:c r="B427" s="3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  <x:c r="N427" s="3"/>
      <x:c r="O427" s="3"/>
      <x:c r="P427" s="3"/>
      <x:c r="Q427" s="3"/>
      <x:c r="R427" s="3"/>
      <x:c r="S427" s="3" t="n">
        <x:v>0</x:v>
      </x:c>
      <x:c r="T427" s="3" t="n">
        <x:v>0</x:v>
      </x:c>
      <x:c r="U427" s="3" t="n">
        <x:v>0</x:v>
      </x:c>
      <x:c r="V427" s="3" t="n">
        <x:v>0</x:v>
      </x:c>
      <x:c r="W427" s="3" t="n">
        <x:v>0</x:v>
      </x:c>
      <x:c r="X427" s="3"/>
      <x:c r="Y427" s="3"/>
      <x:c r="Z427" s="3"/>
    </x:row>
  </x:sheetData>
  <x:pageMargins left="0.7" right="0.7" top="0.75" bottom="0.75" header="0.3" footer="0.3"/>
  <x:drawing xmlns:r="http://schemas.openxmlformats.org/officeDocument/2006/relationships" r:id="Rd2a6ec7619d849f4"/>
</x:worksheet>
</file>

<file path=xl/worksheets/sheet3.xml><?xml version="1.0" encoding="utf-8"?>
<x:worksheet xmlns:x="http://schemas.openxmlformats.org/spreadsheetml/2006/main">
  <x:sheetPr>
    <x:tabColor rgb="FFFFFFFF"/>
  </x:sheetPr>
  <x:sheetViews>
    <x:sheetView showGridLines="1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6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15" customHeight="1">
      <x:c r="A1" s="3" t="str">
        <x:v>Полином 3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15" customHeight="1">
      <x:c r="A2" s="3" t="str">
        <x:v>H=a0+a1·u+a2·u²+a3·u³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30" customHeight="1">
      <x:c r="A3" s="14" t="str">
        <x:v>Коэф.</x:v>
      </x:c>
      <x:c r="B3" s="14" t="str">
        <x:v>Оценка</x:v>
      </x:c>
      <x:c r="C3" s="14" t="str">
        <x:v>SE</x:v>
      </x:c>
      <x:c r="D3" s="3"/>
      <x:c r="E3" s="3"/>
      <x:c r="F3" s="14" t="str">
        <x:v>Показатель</x:v>
      </x:c>
      <x:c r="G3" s="14" t="str">
        <x:v>Значение</x:v>
      </x:c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15" customHeight="1">
      <x:c r="A4" s="8" t="str">
        <x:v>a0</x:v>
      </x:c>
      <x:c r="B4" s="16" t="n">
        <x:v>91.62735984202727</x:v>
      </x:c>
      <x:c r="C4" s="16" t="n">
        <x:f>SQRT(S409)</x:f>
        <x:v>2.577047150381946</x:v>
      </x:c>
      <x:c r="D4" s="3"/>
      <x:c r="E4" s="3"/>
      <x:c r="F4" s="8" t="str">
        <x:v>R² обучения</x:v>
      </x:c>
      <x:c r="G4" s="12" t="n">
        <x:v>0.11597430316903024</x:v>
      </x:c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15" customHeight="1">
      <x:c r="A5" s="8" t="str">
        <x:v>a1</x:v>
      </x:c>
      <x:c r="B5" s="16" t="n">
        <x:v>119.55856991171049</x:v>
      </x:c>
      <x:c r="C5" s="16" t="n">
        <x:f>SQRT(T410)</x:f>
        <x:v>7.563960411929414</x:v>
      </x:c>
      <x:c r="D5" s="3"/>
      <x:c r="E5" s="3"/>
      <x:c r="F5" s="8" t="str">
        <x:v>MAE, см</x:v>
      </x:c>
      <x:c r="G5" s="8" t="n">
        <x:f>SUMPRODUCT($R$20:$R$384,$O$20:$O$384)/G11</x:f>
        <x:v>124.77362169429004</x:v>
      </x:c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15" customHeight="1">
      <x:c r="A6" s="8" t="str">
        <x:v>a2</x:v>
      </x:c>
      <x:c r="B6" s="16" t="n">
        <x:v>-68.0355049403262</x:v>
      </x:c>
      <x:c r="C6" s="16" t="n">
        <x:f>SQRT(U411)</x:f>
        <x:v>5.81299742942948</x:v>
      </x:c>
      <x:c r="D6" s="3"/>
      <x:c r="E6" s="3"/>
      <x:c r="F6" s="8" t="str">
        <x:v>S (RMSE), см</x:v>
      </x:c>
      <x:c r="G6" s="8" t="n">
        <x:f>SQRT(K408/G11)</x:f>
        <x:v>142.71079030307058</x:v>
      </x:c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15" customHeight="1">
      <x:c r="A7" s="8" t="str">
        <x:v>a3</x:v>
      </x:c>
      <x:c r="B7" s="16" t="n">
        <x:v>-40.47783448583675</x:v>
      </x:c>
      <x:c r="C7" s="16" t="n">
        <x:f>SQRT(V412)</x:f>
        <x:v>11.478391052288762</x:v>
      </x:c>
      <x:c r="D7" s="3"/>
      <x:c r="E7" s="3"/>
      <x:c r="F7" s="8" t="str">
        <x:v>NSE</x:v>
      </x:c>
      <x:c r="G7" s="12" t="n">
        <x:f>IF(K405=0,"н.д.",1-K408/K405)</x:f>
        <x:v>-0.15184673038600938</x:v>
      </x:c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15" customHeight="1">
      <x:c r="A8" s="3"/>
      <x:c r="B8" s="3"/>
      <x:c r="C8" s="3"/>
      <x:c r="D8" s="3"/>
      <x:c r="E8" s="3"/>
      <x:c r="F8" s="8" t="str">
        <x:v>S/σΔ</x:v>
      </x:c>
      <x:c r="G8" s="12" t="n">
        <x:f>IF(G10=0,"н.д.",G6/G10)</x:f>
        <x:v>13.039302651243467</x:v>
      </x:c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15" customHeight="1">
      <x:c r="A9" s="3"/>
      <x:c r="B9" s="3"/>
      <x:c r="C9" s="3"/>
      <x:c r="D9" s="3"/>
      <x:c r="E9" s="3"/>
      <x:c r="F9" s="8" t="str">
        <x:v>P%</x:v>
      </x:c>
      <x:c r="G9" s="17" t="n">
        <x:f>SUM($S$20:$S$384)/G11</x:f>
        <x:v>0.022535211267605635</x:v>
      </x:c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15" customHeight="1">
      <x:c r="A10" s="3"/>
      <x:c r="B10" s="3"/>
      <x:c r="C10" s="3"/>
      <x:c r="D10" s="3"/>
      <x:c r="E10" s="3"/>
      <x:c r="F10" s="8" t="str">
        <x:v>σΔ, см</x:v>
      </x:c>
      <x:c r="G10" s="8" t="n">
        <x:f>IF(G11&gt;1,SQRT(MAX(0,K407)/(G11-1)),"н.д.")</x:f>
        <x:v>10.944664306067107</x:v>
      </x:c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15" customHeight="1">
      <x:c r="A11" s="3"/>
      <x:c r="B11" s="3"/>
      <x:c r="C11" s="3"/>
      <x:c r="D11" s="3"/>
      <x:c r="E11" s="3"/>
      <x:c r="F11" s="8" t="str">
        <x:v>n проверки</x:v>
      </x:c>
      <x:c r="G11" s="9" t="n">
        <x:f>SUM($R$20:$R$384)</x:f>
        <x:v>355</x:v>
      </x:c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15" customHeight="1">
      <x:c r="A12" s="3"/>
      <x:c r="B12" s="3"/>
      <x:c r="C12" s="3"/>
      <x:c r="D12" s="3"/>
      <x:c r="E12" s="3"/>
      <x:c r="F12" s="8" t="str">
        <x:v>Оценка, суток</x:v>
      </x:c>
      <x:c r="G12" s="9" t="n">
        <x:f>'Сводка'!$B$11</x:f>
        <x:v>1</x:v>
      </x:c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15" customHeight="1">
      <x:c r="A13" s="3"/>
      <x:c r="B13" s="3"/>
      <x:c r="C13" s="3"/>
      <x:c r="D13" s="3"/>
      <x:c r="E13" s="3"/>
      <x:c r="F13" s="8" t="str">
        <x:v>δдоп, см</x:v>
      </x:c>
      <x:c r="G13" s="8" t="n">
        <x:f>'Сводка'!$B$14*G10</x:f>
        <x:v>7.376703742289231</x:v>
      </x:c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15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1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15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15" customHeight="1">
      <x:c r="A17" s="3" t="str">
        <x:v>Прогноз</x:v>
      </x:c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 ht="30" customHeight="1">
      <x:c r="A18" s="15" t="str">
        <x:v>Дата</x:v>
      </x:c>
      <x:c r="B18" s="15" t="str">
        <x:v>x</x:v>
      </x:c>
      <x:c r="C18" s="15" t="str">
        <x:v>u</x:v>
      </x:c>
      <x:c r="D18" s="15" t="str">
        <x:v>Прогноз, см</x:v>
      </x:c>
      <x:c r="E18" s="15" t="str">
        <x:v>SE прогноза</x:v>
      </x:c>
      <x:c r="F18" s="15" t="str">
        <x:v>Нижняя 95%</x:v>
      </x:c>
      <x:c r="G18" s="15" t="str">
        <x:v>Верхняя 95%</x:v>
      </x:c>
      <x:c r="H18" s="15" t="str">
        <x:v>SE среднего</x:v>
      </x:c>
      <x:c r="I18" s="3"/>
      <x:c r="J18" s="3" t="str">
        <x:v>Проверочные прогнозы</x:v>
      </x:c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 ht="30" customHeight="1">
      <x:c r="A19" s="10" t="n">
        <x:f>IF(1&lt;='Сводка'!$B$3,'Сводка'!$B$4+1,"")</x:f>
        <x:v>46236</x:v>
      </x:c>
      <x:c r="B19" s="18" t="n">
        <x:f>IF($A19="","",(A19-$T$405+1)/1000)</x:f>
        <x:v>8.98</x:v>
      </x:c>
      <x:c r="C19" s="18" t="n">
        <x:f>IF($A19="","",2*(A19-$T$405)/$T$406-1)</x:f>
        <x:v>1.000222766763199</x:v>
      </x:c>
      <x:c r="D19" s="8" t="n">
        <x:f>IF($A19="","",$B$4+$B$5*C19^1+$B$6*C19^2+$B$7*C19^3)</x:f>
        <x:v>102.64185115340841</x:v>
      </x:c>
      <x:c r="E19" s="8" t="n">
        <x:f>IF($A19="","",SQRT($T$403^2+H19^2))</x:f>
        <x:v>161.959278780575</x:v>
      </x:c>
      <x:c r="F19" s="8" t="n">
        <x:f>IF($A19="","",D19-$T$404*E19)</x:f>
        <x:v>-214.83723095256164</x:v>
      </x:c>
      <x:c r="G19" s="8" t="n">
        <x:f>IF($A19="","",D19+$T$404*E19)</x:f>
        <x:v>420.1209332593785</x:v>
      </x:c>
      <x:c r="H19" s="8" t="n">
        <x:f>IF($A19="","",SQRT(MAX(0,(1)*$S$409*(1)+(1)*$T$409*(C19^1)+(1)*$U$409*(C19^2)+(1)*$V$409*(C19^3)+(C19^1)*$S$410*(1)+(C19^1)*$T$410*(C19^1)+(C19^1)*$U$410*(C19^2)+(C19^1)*$V$410*(C19^3)+(C19^2)*$S$411*(1)+(C19^2)*$T$411*(C19^1)+(C19^2)*$U$411*(C19^2)+(C19^2)*$V$411*(C19^3)+(C19^3)*$S$412*(1)+(C19^3)*$T$412*(C19^1)+(C19^3)*$U$412*(C19^2)+(C19^3)*$V$412*(C19^3))))</x:f>
        <x:v>6.999715136941115</x:v>
      </x:c>
      <x:c r="I19" s="3"/>
      <x:c r="J19" s="15" t="str">
        <x:v>Дата</x:v>
      </x:c>
      <x:c r="K19" s="15" t="str">
        <x:v>Факт, см</x:v>
      </x:c>
      <x:c r="L19" s="15" t="str">
        <x:v>H начала</x:v>
      </x:c>
      <x:c r="M19" s="15" t="str">
        <x:v>Прогноз, см</x:v>
      </x:c>
      <x:c r="N19" s="15" t="str">
        <x:v>Ошибка</x:v>
      </x:c>
      <x:c r="O19" s="15" t="str">
        <x:v>|Ошибка|</x:v>
      </x:c>
      <x:c r="P19" s="15" t="str">
        <x:v>Ошибка²</x:v>
      </x:c>
      <x:c r="Q19" s="15" t="str">
        <x:v>ΔH</x:v>
      </x:c>
      <x:c r="R19" s="15" t="str">
        <x:v>Вес</x:v>
      </x:c>
      <x:c r="S19" s="15" t="str">
        <x:v>Оправдался</x:v>
      </x:c>
      <x:c r="T19" s="15" t="str">
        <x:v>Обучение до</x:v>
      </x:c>
      <x:c r="U19" s="14" t="str">
        <x:v>i факт</x:v>
      </x:c>
      <x:c r="V19" s="14" t="str">
        <x:v>i начало</x:v>
      </x:c>
      <x:c r="W19" s="14" t="str">
        <x:v>i fit</x:v>
      </x:c>
      <x:c r="X19" s="3"/>
      <x:c r="Y19" s="3"/>
      <x:c r="Z19" s="3"/>
    </x:row>
    <x:row r="20" ht="15" customHeight="1">
      <x:c r="A20" s="10" t="n">
        <x:f>IF(2&lt;='Сводка'!$B$3,'Сводка'!$B$4+2,"")</x:f>
        <x:v>46237</x:v>
      </x:c>
      <x:c r="B20" s="18" t="n">
        <x:f>IF($A20="","",(A20-$T$405+1)/1000)</x:f>
        <x:v>8.981</x:v>
      </x:c>
      <x:c r="C20" s="18" t="n">
        <x:f>IF($A20="","",2*(A20-$T$405)/$T$406-1)</x:f>
        <x:v>1.0004455335263978</x:v>
      </x:c>
      <x:c r="D20" s="8" t="n">
        <x:f>IF($A20="","",$B$4+$B$5*C20^1+$B$6*C20^2+$B$7*C20^3)</x:f>
        <x:v>102.61109317174646</x:v>
      </x:c>
      <x:c r="E20" s="8" t="n">
        <x:f>IF($A20="","",SQRT($T$403^2+H20^2))</x:f>
        <x:v>161.95952751551835</x:v>
      </x:c>
      <x:c r="F20" s="8" t="n">
        <x:f>IF($A20="","",D20-$T$404*E20)</x:f>
        <x:v>-214.86847651444805</x:v>
      </x:c>
      <x:c r="G20" s="8" t="n">
        <x:f>IF($A20="","",D20+$T$404*E20)</x:f>
        <x:v>420.09066285794097</x:v>
      </x:c>
      <x:c r="H20" s="8" t="n">
        <x:f>IF($A20="","",SQRT(MAX(0,(1)*$S$409*(1)+(1)*$T$409*(C20^1)+(1)*$U$409*(C20^2)+(1)*$V$409*(C20^3)+(C20^1)*$S$410*(1)+(C20^1)*$T$410*(C20^1)+(C20^1)*$U$410*(C20^2)+(C20^1)*$V$410*(C20^3)+(C20^2)*$S$411*(1)+(C20^2)*$T$411*(C20^1)+(C20^2)*$U$411*(C20^2)+(C20^2)*$V$411*(C20^3)+(C20^3)*$S$412*(1)+(C20^3)*$T$412*(C20^1)+(C20^3)*$U$412*(C20^2)+(C20^3)*$V$412*(C20^3))))</x:f>
        <x:v>7.005468001800461</x:v>
      </x:c>
      <x:c r="I20" s="3"/>
      <x:c r="J20" s="10" t="n">
        <x:v>45871</x:v>
      </x:c>
      <x:c r="K20" s="8" t="n">
        <x:f>INDEX('Сводка'!$S$3:$S$397,U20)</x:f>
        <x:v>211</x:v>
      </x:c>
      <x:c r="L20" s="8" t="n">
        <x:f>INDEX('Сводка'!$S$3:$S$397,V20)</x:f>
        <x:v>193</x:v>
      </x:c>
      <x:c r="M20" s="8" t="n">
        <x:f>INDEX($K$388:$N$400,W20,1)+INDEX($K$388:$N$400,W20,2)*(2*(J20-$T$405)/(T20-$T$405)-1)^1+INDEX($K$388:$N$400,W20,3)*(2*(J20-$T$405)/(T20-$T$405)-1)^2+INDEX($K$388:$N$400,W20,4)*(2*(J20-$T$405)/(T20-$T$405)-1)^3</x:f>
        <x:v>138.19609717394295</x:v>
      </x:c>
      <x:c r="N20" s="8" t="n">
        <x:f>K20-M20</x:f>
        <x:v>72.80390282605705</x:v>
      </x:c>
      <x:c r="O20" s="8" t="n">
        <x:f>ABS(N20)</x:f>
        <x:v>72.80390282605705</x:v>
      </x:c>
      <x:c r="P20" s="8" t="n">
        <x:f>N20^2</x:f>
        <x:v>5300.408266705958</x:v>
      </x:c>
      <x:c r="Q20" s="8" t="n">
        <x:f>K20-L20</x:f>
        <x:v>18</x:v>
      </x:c>
      <x:c r="R20" s="9" t="n">
        <x:f>IF(AND(INDEX('Сводка'!$T$3:$T$397,U20)=0,INDEX('Сводка'!$T$3:$T$397,V20)=0),1,0)</x:f>
        <x:v>1</x:v>
      </x:c>
      <x:c r="S20" s="9" t="n">
        <x:f>IF(AND(R20=1,O20&lt;=$G$13),1,0)</x:f>
        <x:v>0</x:v>
      </x:c>
      <x:c r="T20" s="10" t="n">
        <x:f>EOMONTH(J20-'Сводка'!$B$11,-1)</x:f>
        <x:v>45869</x:v>
      </x:c>
      <x:c r="U20" s="4" t="n">
        <x:f>MATCH(J20,'Сводка'!$R$3:$R$397,0)</x:f>
        <x:v>31</x:v>
      </x:c>
      <x:c r="V20" s="4" t="n">
        <x:f>MATCH(J20-'Сводка'!$B$11,'Сводка'!$R$3:$R$397,0)</x:f>
        <x:v>30</x:v>
      </x:c>
      <x:c r="W20" s="4" t="n">
        <x:f>MATCH(T20,$J$388:$J$400,0)</x:f>
        <x:v>2</x:v>
      </x:c>
      <x:c r="X20" s="3"/>
      <x:c r="Y20" s="3"/>
      <x:c r="Z20" s="3"/>
    </x:row>
    <x:row r="21" ht="15" customHeight="1">
      <x:c r="A21" s="10" t="n">
        <x:f>IF(3&lt;='Сводка'!$B$3,'Сводка'!$B$4+3,"")</x:f>
        <x:v>46238</x:v>
      </x:c>
      <x:c r="B21" s="18" t="n">
        <x:f>IF($A21="","",(A21-$T$405+1)/1000)</x:f>
        <x:v>8.982</x:v>
      </x:c>
      <x:c r="C21" s="18" t="n">
        <x:f>IF($A21="","",2*(A21-$T$405)/$T$406-1)</x:f>
        <x:v>1.0006683002895969</x:v>
      </x:c>
      <x:c r="D21" s="8" t="n">
        <x:f>IF($A21="","",$B$4+$B$5*C21^1+$B$6*C21^2+$B$7*C21^3)</x:f>
        <x:v>102.58031637990402</x:v>
      </x:c>
      <x:c r="E21" s="8" t="n">
        <x:f>IF($A21="","",SQRT($T$403^2+H21^2))</x:f>
        <x:v>161.95977663740433</x:v>
      </x:c>
      <x:c r="F21" s="8" t="n">
        <x:f>IF($A21="","",D21-$T$404*E21)</x:f>
        <x:v>-214.8997416450155</x:v>
      </x:c>
      <x:c r="G21" s="8" t="n">
        <x:f>IF($A21="","",D21+$T$404*E21)</x:f>
        <x:v>420.0603744048235</x:v>
      </x:c>
      <x:c r="H21" s="8" t="n">
        <x:f>IF($A21="","",SQRT(MAX(0,(1)*$S$409*(1)+(1)*$T$409*(C21^1)+(1)*$U$409*(C21^2)+(1)*$V$409*(C21^3)+(C21^1)*$S$410*(1)+(C21^1)*$T$410*(C21^1)+(C21^1)*$U$410*(C21^2)+(C21^1)*$V$410*(C21^3)+(C21^2)*$S$411*(1)+(C21^2)*$T$411*(C21^1)+(C21^2)*$U$411*(C21^2)+(C21^2)*$V$411*(C21^3)+(C21^3)*$S$412*(1)+(C21^3)*$T$412*(C21^1)+(C21^3)*$U$412*(C21^2)+(C21^3)*$V$412*(C21^3))))</x:f>
        <x:v>7.01122509353492</x:v>
      </x:c>
      <x:c r="I21" s="3"/>
      <x:c r="J21" s="10" t="n">
        <x:v>45872</x:v>
      </x:c>
      <x:c r="K21" s="8" t="n">
        <x:f>INDEX('Сводка'!$S$3:$S$397,U21)</x:f>
        <x:v>229</x:v>
      </x:c>
      <x:c r="L21" s="8" t="n">
        <x:f>INDEX('Сводка'!$S$3:$S$397,V21)</x:f>
        <x:v>211</x:v>
      </x:c>
      <x:c r="M21" s="8" t="n">
        <x:f>INDEX($K$388:$N$400,W21,1)+INDEX($K$388:$N$400,W21,2)*(2*(J21-$T$405)/(T21-$T$405)-1)^1+INDEX($K$388:$N$400,W21,3)*(2*(J21-$T$405)/(T21-$T$405)-1)^2+INDEX($K$388:$N$400,W21,4)*(2*(J21-$T$405)/(T21-$T$405)-1)^3</x:f>
        <x:v>138.19486197908404</x:v>
      </x:c>
      <x:c r="N21" s="8" t="n">
        <x:f>K21-M21</x:f>
        <x:v>90.80513802091596</x:v>
      </x:c>
      <x:c r="O21" s="8" t="n">
        <x:f>ABS(N21)</x:f>
        <x:v>90.80513802091596</x:v>
      </x:c>
      <x:c r="P21" s="8" t="n">
        <x:f>N21^2</x:f>
        <x:v>8245.573090997597</x:v>
      </x:c>
      <x:c r="Q21" s="8" t="n">
        <x:f>K21-L21</x:f>
        <x:v>18</x:v>
      </x:c>
      <x:c r="R21" s="9" t="n">
        <x:f>IF(AND(INDEX('Сводка'!$T$3:$T$397,U21)=0,INDEX('Сводка'!$T$3:$T$397,V21)=0),1,0)</x:f>
        <x:v>1</x:v>
      </x:c>
      <x:c r="S21" s="9" t="n">
        <x:f>IF(AND(R21=1,O21&lt;=$G$13),1,0)</x:f>
        <x:v>0</x:v>
      </x:c>
      <x:c r="T21" s="10" t="n">
        <x:f>EOMONTH(J21-'Сводка'!$B$11,-1)</x:f>
        <x:v>45869</x:v>
      </x:c>
      <x:c r="U21" s="4" t="n">
        <x:f>MATCH(J21,'Сводка'!$R$3:$R$397,0)</x:f>
        <x:v>32</x:v>
      </x:c>
      <x:c r="V21" s="4" t="n">
        <x:f>MATCH(J21-'Сводка'!$B$11,'Сводка'!$R$3:$R$397,0)</x:f>
        <x:v>31</x:v>
      </x:c>
      <x:c r="W21" s="4" t="n">
        <x:f>MATCH(T21,$J$388:$J$400,0)</x:f>
        <x:v>2</x:v>
      </x:c>
      <x:c r="X21" s="3"/>
      <x:c r="Y21" s="3"/>
      <x:c r="Z21" s="3"/>
    </x:row>
    <x:row r="22" ht="15" customHeight="1">
      <x:c r="A22" s="10" t="n">
        <x:f>IF(4&lt;='Сводка'!$B$3,'Сводка'!$B$4+4,"")</x:f>
        <x:v>46239</x:v>
      </x:c>
      <x:c r="B22" s="18" t="n">
        <x:f>IF($A22="","",(A22-$T$405+1)/1000)</x:f>
        <x:v>8.983</x:v>
      </x:c>
      <x:c r="C22" s="18" t="n">
        <x:f>IF($A22="","",2*(A22-$T$405)/$T$406-1)</x:f>
        <x:v>1.0008910670527955</x:v>
      </x:c>
      <x:c r="D22" s="8" t="n">
        <x:f>IF($A22="","",$B$4+$B$5*C22^1+$B$6*C22^2+$B$7*C22^3)</x:f>
        <x:v>102.5495207751963</x:v>
      </x:c>
      <x:c r="E22" s="8" t="n">
        <x:f>IF($A22="","",SQRT($T$403^2+H22^2))</x:f>
        <x:v>161.96002614666938</x:v>
      </x:c>
      <x:c r="F22" s="8" t="n">
        <x:f>IF($A22="","",D22-$T$404*E22)</x:f>
        <x:v>-214.93102634780416</x:v>
      </x:c>
      <x:c r="G22" s="8" t="n">
        <x:f>IF($A22="","",D22+$T$404*E22)</x:f>
        <x:v>420.03006789819676</x:v>
      </x:c>
      <x:c r="H22" s="8" t="n">
        <x:f>IF($A22="","",SQRT(MAX(0,(1)*$S$409*(1)+(1)*$T$409*(C22^1)+(1)*$U$409*(C22^2)+(1)*$V$409*(C22^3)+(C22^1)*$S$410*(1)+(C22^1)*$T$410*(C22^1)+(C22^1)*$U$410*(C22^2)+(C22^1)*$V$410*(C22^3)+(C22^2)*$S$411*(1)+(C22^2)*$T$411*(C22^1)+(C22^2)*$U$411*(C22^2)+(C22^2)*$V$411*(C22^3)+(C22^3)*$S$412*(1)+(C22^3)*$T$412*(C22^1)+(C22^3)*$U$412*(C22^2)+(C22^3)*$V$412*(C22^3))))</x:f>
        <x:v>7.016986411853541</x:v>
      </x:c>
      <x:c r="I22" s="3"/>
      <x:c r="J22" s="10" t="n">
        <x:v>45873</x:v>
      </x:c>
      <x:c r="K22" s="8" t="n">
        <x:f>INDEX('Сводка'!$S$3:$S$397,U22)</x:f>
        <x:v>243</x:v>
      </x:c>
      <x:c r="L22" s="8" t="n">
        <x:f>INDEX('Сводка'!$S$3:$S$397,V22)</x:f>
        <x:v>229</x:v>
      </x:c>
      <x:c r="M22" s="8" t="n">
        <x:f>INDEX($K$388:$N$400,W22,1)+INDEX($K$388:$N$400,W22,2)*(2*(J22-$T$405)/(T22-$T$405)-1)^1+INDEX($K$388:$N$400,W22,3)*(2*(J22-$T$405)/(T22-$T$405)-1)^2+INDEX($K$388:$N$400,W22,4)*(2*(J22-$T$405)/(T22-$T$405)-1)^3</x:f>
        <x:v>138.19361970486554</x:v>
      </x:c>
      <x:c r="N22" s="8" t="n">
        <x:f>K22-M22</x:f>
        <x:v>104.80638029513446</x:v>
      </x:c>
      <x:c r="O22" s="8" t="n">
        <x:f>ABS(N22)</x:f>
        <x:v>104.80638029513446</x:v>
      </x:c>
      <x:c r="P22" s="8" t="n">
        <x:f>N22^2</x:f>
        <x:v>10984.37735056835</x:v>
      </x:c>
      <x:c r="Q22" s="8" t="n">
        <x:f>K22-L22</x:f>
        <x:v>14</x:v>
      </x:c>
      <x:c r="R22" s="9" t="n">
        <x:f>IF(AND(INDEX('Сводка'!$T$3:$T$397,U22)=0,INDEX('Сводка'!$T$3:$T$397,V22)=0),1,0)</x:f>
        <x:v>1</x:v>
      </x:c>
      <x:c r="S22" s="9" t="n">
        <x:f>IF(AND(R22=1,O22&lt;=$G$13),1,0)</x:f>
        <x:v>0</x:v>
      </x:c>
      <x:c r="T22" s="10" t="n">
        <x:f>EOMONTH(J22-'Сводка'!$B$11,-1)</x:f>
        <x:v>45869</x:v>
      </x:c>
      <x:c r="U22" s="4" t="n">
        <x:f>MATCH(J22,'Сводка'!$R$3:$R$397,0)</x:f>
        <x:v>33</x:v>
      </x:c>
      <x:c r="V22" s="4" t="n">
        <x:f>MATCH(J22-'Сводка'!$B$11,'Сводка'!$R$3:$R$397,0)</x:f>
        <x:v>32</x:v>
      </x:c>
      <x:c r="W22" s="4" t="n">
        <x:f>MATCH(T22,$J$388:$J$400,0)</x:f>
        <x:v>2</x:v>
      </x:c>
      <x:c r="X22" s="3"/>
      <x:c r="Y22" s="3"/>
      <x:c r="Z22" s="3"/>
    </x:row>
    <x:row r="23" ht="15" customHeight="1">
      <x:c r="A23" s="10" t="n">
        <x:f>IF(5&lt;='Сводка'!$B$3,'Сводка'!$B$4+5,"")</x:f>
        <x:v>46240</x:v>
      </x:c>
      <x:c r="B23" s="18" t="n">
        <x:f>IF($A23="","",(A23-$T$405+1)/1000)</x:f>
        <x:v>8.984</x:v>
      </x:c>
      <x:c r="C23" s="18" t="n">
        <x:f>IF($A23="","",2*(A23-$T$405)/$T$406-1)</x:f>
        <x:v>1.0011138338159946</x:v>
      </x:c>
      <x:c r="D23" s="8" t="n">
        <x:f>IF($A23="","",$B$4+$B$5*C23^1+$B$6*C23^2+$B$7*C23^3)</x:f>
        <x:v>102.51870635493843</x:v>
      </x:c>
      <x:c r="E23" s="8" t="n">
        <x:f>IF($A23="","",SQRT($T$403^2+H23^2))</x:f>
        <x:v>161.96027604375016</x:v>
      </x:c>
      <x:c r="F23" s="8" t="n">
        <x:f>IF($A23="","",D23-$T$404*E23)</x:f>
        <x:v>-214.9623306263549</x:v>
      </x:c>
      <x:c r="G23" s="8" t="n">
        <x:f>IF($A23="","",D23+$T$404*E23)</x:f>
        <x:v>419.9997433362318</x:v>
      </x:c>
      <x:c r="H23" s="8" t="n">
        <x:f>IF($A23="","",SQRT(MAX(0,(1)*$S$409*(1)+(1)*$T$409*(C23^1)+(1)*$U$409*(C23^2)+(1)*$V$409*(C23^3)+(C23^1)*$S$410*(1)+(C23^1)*$T$410*(C23^1)+(C23^1)*$U$410*(C23^2)+(C23^1)*$V$410*(C23^3)+(C23^2)*$S$411*(1)+(C23^2)*$T$411*(C23^1)+(C23^2)*$U$411*(C23^2)+(C23^2)*$V$411*(C23^3)+(C23^3)*$S$412*(1)+(C23^3)*$T$412*(C23^1)+(C23^3)*$U$412*(C23^2)+(C23^3)*$V$412*(C23^3))))</x:f>
        <x:v>7.022751956466529</x:v>
      </x:c>
      <x:c r="I23" s="3"/>
      <x:c r="J23" s="10" t="n">
        <x:v>45874</x:v>
      </x:c>
      <x:c r="K23" s="8" t="n">
        <x:f>INDEX('Сводка'!$S$3:$S$397,U23)</x:f>
        <x:v>249</x:v>
      </x:c>
      <x:c r="L23" s="8" t="n">
        <x:f>INDEX('Сводка'!$S$3:$S$397,V23)</x:f>
        <x:v>243</x:v>
      </x:c>
      <x:c r="M23" s="8" t="n">
        <x:f>INDEX($K$388:$N$400,W23,1)+INDEX($K$388:$N$400,W23,2)*(2*(J23-$T$405)/(T23-$T$405)-1)^1+INDEX($K$388:$N$400,W23,3)*(2*(J23-$T$405)/(T23-$T$405)-1)^2+INDEX($K$388:$N$400,W23,4)*(2*(J23-$T$405)/(T23-$T$405)-1)^3</x:f>
        <x:v>138.19237035080525</x:v>
      </x:c>
      <x:c r="N23" s="8" t="n">
        <x:f>K23-M23</x:f>
        <x:v>110.80762964919475</x:v>
      </x:c>
      <x:c r="O23" s="8" t="n">
        <x:f>ABS(N23)</x:f>
        <x:v>110.80762964919475</x:v>
      </x:c>
      <x:c r="P23" s="8" t="n">
        <x:f>N23^2</x:f>
        <x:v>12278.330788473104</x:v>
      </x:c>
      <x:c r="Q23" s="8" t="n">
        <x:f>K23-L23</x:f>
        <x:v>6</x:v>
      </x:c>
      <x:c r="R23" s="9" t="n">
        <x:f>IF(AND(INDEX('Сводка'!$T$3:$T$397,U23)=0,INDEX('Сводка'!$T$3:$T$397,V23)=0),1,0)</x:f>
        <x:v>1</x:v>
      </x:c>
      <x:c r="S23" s="9" t="n">
        <x:f>IF(AND(R23=1,O23&lt;=$G$13),1,0)</x:f>
        <x:v>0</x:v>
      </x:c>
      <x:c r="T23" s="10" t="n">
        <x:f>EOMONTH(J23-'Сводка'!$B$11,-1)</x:f>
        <x:v>45869</x:v>
      </x:c>
      <x:c r="U23" s="4" t="n">
        <x:f>MATCH(J23,'Сводка'!$R$3:$R$397,0)</x:f>
        <x:v>34</x:v>
      </x:c>
      <x:c r="V23" s="4" t="n">
        <x:f>MATCH(J23-'Сводка'!$B$11,'Сводка'!$R$3:$R$397,0)</x:f>
        <x:v>33</x:v>
      </x:c>
      <x:c r="W23" s="4" t="n">
        <x:f>MATCH(T23,$J$388:$J$400,0)</x:f>
        <x:v>2</x:v>
      </x:c>
      <x:c r="X23" s="3"/>
      <x:c r="Y23" s="3"/>
      <x:c r="Z23" s="3"/>
    </x:row>
    <x:row r="24" ht="15" customHeight="1">
      <x:c r="A24" s="10" t="n">
        <x:f>IF(6&lt;='Сводка'!$B$3,'Сводка'!$B$4+6,"")</x:f>
        <x:v>46241</x:v>
      </x:c>
      <x:c r="B24" s="18" t="n">
        <x:f>IF($A24="","",(A24-$T$405+1)/1000)</x:f>
        <x:v>8.985</x:v>
      </x:c>
      <x:c r="C24" s="18" t="n">
        <x:f>IF($A24="","",2*(A24-$T$405)/$T$406-1)</x:f>
        <x:v>1.0013366005791937</x:v>
      </x:c>
      <x:c r="D24" s="8" t="n">
        <x:f>IF($A24="","",$B$4+$B$5*C24^1+$B$6*C24^2+$B$7*C24^3)</x:f>
        <x:v>102.48787311644556</x:v>
      </x:c>
      <x:c r="E24" s="8" t="n">
        <x:f>IF($A24="","",SQRT($T$403^2+H24^2))</x:f>
        <x:v>161.96052632908365</x:v>
      </x:c>
      <x:c r="F24" s="8" t="n">
        <x:f>IF($A24="","",D24-$T$404*E24)</x:f>
        <x:v>-214.9936544842093</x:v>
      </x:c>
      <x:c r="G24" s="8" t="n">
        <x:f>IF($A24="","",D24+$T$404*E24)</x:f>
        <x:v>419.96940071710037</x:v>
      </x:c>
      <x:c r="H24" s="8" t="n">
        <x:f>IF($A24="","",SQRT(MAX(0,(1)*$S$409*(1)+(1)*$T$409*(C24^1)+(1)*$U$409*(C24^2)+(1)*$V$409*(C24^3)+(C24^1)*$S$410*(1)+(C24^1)*$T$410*(C24^1)+(C24^1)*$U$410*(C24^2)+(C24^1)*$V$410*(C24^3)+(C24^2)*$S$411*(1)+(C24^2)*$T$411*(C24^1)+(C24^2)*$U$411*(C24^2)+(C24^2)*$V$411*(C24^3)+(C24^3)*$S$412*(1)+(C24^3)*$T$412*(C24^1)+(C24^3)*$U$412*(C24^2)+(C24^3)*$V$412*(C24^3))))</x:f>
        <x:v>7.0285217270851925</x:v>
      </x:c>
      <x:c r="I24" s="3"/>
      <x:c r="J24" s="10" t="n">
        <x:v>45875</x:v>
      </x:c>
      <x:c r="K24" s="8" t="n">
        <x:f>INDEX('Сводка'!$S$3:$S$397,U24)</x:f>
        <x:v>253</x:v>
      </x:c>
      <x:c r="L24" s="8" t="n">
        <x:f>INDEX('Сводка'!$S$3:$S$397,V24)</x:f>
        <x:v>249</x:v>
      </x:c>
      <x:c r="M24" s="8" t="n">
        <x:f>INDEX($K$388:$N$400,W24,1)+INDEX($K$388:$N$400,W24,2)*(2*(J24-$T$405)/(T24-$T$405)-1)^1+INDEX($K$388:$N$400,W24,3)*(2*(J24-$T$405)/(T24-$T$405)-1)^2+INDEX($K$388:$N$400,W24,4)*(2*(J24-$T$405)/(T24-$T$405)-1)^3</x:f>
        <x:v>138.19111391642087</x:v>
      </x:c>
      <x:c r="N24" s="8" t="n">
        <x:f>K24-M24</x:f>
        <x:v>114.80888608357913</x:v>
      </x:c>
      <x:c r="O24" s="8" t="n">
        <x:f>ABS(N24)</x:f>
        <x:v>114.80888608357913</x:v>
      </x:c>
      <x:c r="P24" s="8" t="n">
        <x:f>N24^2</x:f>
        <x:v>13181.080323752249</x:v>
      </x:c>
      <x:c r="Q24" s="8" t="n">
        <x:f>K24-L24</x:f>
        <x:v>4</x:v>
      </x:c>
      <x:c r="R24" s="9" t="n">
        <x:f>IF(AND(INDEX('Сводка'!$T$3:$T$397,U24)=0,INDEX('Сводка'!$T$3:$T$397,V24)=0),1,0)</x:f>
        <x:v>1</x:v>
      </x:c>
      <x:c r="S24" s="9" t="n">
        <x:f>IF(AND(R24=1,O24&lt;=$G$13),1,0)</x:f>
        <x:v>0</x:v>
      </x:c>
      <x:c r="T24" s="10" t="n">
        <x:f>EOMONTH(J24-'Сводка'!$B$11,-1)</x:f>
        <x:v>45869</x:v>
      </x:c>
      <x:c r="U24" s="4" t="n">
        <x:f>MATCH(J24,'Сводка'!$R$3:$R$397,0)</x:f>
        <x:v>35</x:v>
      </x:c>
      <x:c r="V24" s="4" t="n">
        <x:f>MATCH(J24-'Сводка'!$B$11,'Сводка'!$R$3:$R$397,0)</x:f>
        <x:v>34</x:v>
      </x:c>
      <x:c r="W24" s="4" t="n">
        <x:f>MATCH(T24,$J$388:$J$400,0)</x:f>
        <x:v>2</x:v>
      </x:c>
      <x:c r="X24" s="3"/>
      <x:c r="Y24" s="3"/>
      <x:c r="Z24" s="3"/>
    </x:row>
    <x:row r="25" ht="15" customHeight="1">
      <x:c r="A25" s="10" t="n">
        <x:f>IF(7&lt;='Сводка'!$B$3,'Сводка'!$B$4+7,"")</x:f>
        <x:v>46242</x:v>
      </x:c>
      <x:c r="B25" s="18" t="n">
        <x:f>IF($A25="","",(A25-$T$405+1)/1000)</x:f>
        <x:v>8.986</x:v>
      </x:c>
      <x:c r="C25" s="18" t="n">
        <x:f>IF($A25="","",2*(A25-$T$405)/$T$406-1)</x:f>
        <x:v>1.0015593673423924</x:v>
      </x:c>
      <x:c r="D25" s="8" t="n">
        <x:f>IF($A25="","",$B$4+$B$5*C25^1+$B$6*C25^2+$B$7*C25^3)</x:f>
        <x:v>102.4570210570329</x:v>
      </x:c>
      <x:c r="E25" s="8" t="n">
        <x:f>IF($A25="","",SQRT($T$403^2+H25^2))</x:f>
        <x:v>161.96077700310727</x:v>
      </x:c>
      <x:c r="F25" s="8" t="n">
        <x:f>IF($A25="","",D25-$T$404*E25)</x:f>
        <x:v>-215.0249979249094</x:v>
      </x:c>
      <x:c r="G25" s="8" t="n">
        <x:f>IF($A25="","",D25+$T$404*E25)</x:f>
        <x:v>419.93904003897524</x:v>
      </x:c>
      <x:c r="H25" s="8" t="n">
        <x:f>IF($A25="","",SQRT(MAX(0,(1)*$S$409*(1)+(1)*$T$409*(C25^1)+(1)*$U$409*(C25^2)+(1)*$V$409*(C25^3)+(C25^1)*$S$410*(1)+(C25^1)*$T$410*(C25^1)+(C25^1)*$U$410*(C25^2)+(C25^1)*$V$410*(C25^3)+(C25^2)*$S$411*(1)+(C25^2)*$T$411*(C25^1)+(C25^2)*$U$411*(C25^2)+(C25^2)*$V$411*(C25^3)+(C25^3)*$S$412*(1)+(C25^3)*$T$412*(C25^1)+(C25^3)*$U$412*(C25^2)+(C25^3)*$V$412*(C25^3))))</x:f>
        <x:v>7.034295723421972</x:v>
      </x:c>
      <x:c r="I25" s="3"/>
      <x:c r="J25" s="10" t="n">
        <x:v>45876</x:v>
      </x:c>
      <x:c r="K25" s="8" t="n">
        <x:f>INDEX('Сводка'!$S$3:$S$397,U25)</x:f>
        <x:v>259</x:v>
      </x:c>
      <x:c r="L25" s="8" t="n">
        <x:f>INDEX('Сводка'!$S$3:$S$397,V25)</x:f>
        <x:v>253</x:v>
      </x:c>
      <x:c r="M25" s="8" t="n">
        <x:f>INDEX($K$388:$N$400,W25,1)+INDEX($K$388:$N$400,W25,2)*(2*(J25-$T$405)/(T25-$T$405)-1)^1+INDEX($K$388:$N$400,W25,3)*(2*(J25-$T$405)/(T25-$T$405)-1)^2+INDEX($K$388:$N$400,W25,4)*(2*(J25-$T$405)/(T25-$T$405)-1)^3</x:f>
        <x:v>138.18985040123022</x:v>
      </x:c>
      <x:c r="N25" s="8" t="n">
        <x:f>K25-M25</x:f>
        <x:v>120.81014959876978</x:v>
      </x:c>
      <x:c r="O25" s="8" t="n">
        <x:f>ABS(N25)</x:f>
        <x:v>120.81014959876978</x:v>
      </x:c>
      <x:c r="P25" s="8" t="n">
        <x:f>N25^2</x:f>
        <x:v>14595.092246077134</x:v>
      </x:c>
      <x:c r="Q25" s="8" t="n">
        <x:f>K25-L25</x:f>
        <x:v>6</x:v>
      </x:c>
      <x:c r="R25" s="9" t="n">
        <x:f>IF(AND(INDEX('Сводка'!$T$3:$T$397,U25)=0,INDEX('Сводка'!$T$3:$T$397,V25)=0),1,0)</x:f>
        <x:v>1</x:v>
      </x:c>
      <x:c r="S25" s="9" t="n">
        <x:f>IF(AND(R25=1,O25&lt;=$G$13),1,0)</x:f>
        <x:v>0</x:v>
      </x:c>
      <x:c r="T25" s="10" t="n">
        <x:f>EOMONTH(J25-'Сводка'!$B$11,-1)</x:f>
        <x:v>45869</x:v>
      </x:c>
      <x:c r="U25" s="4" t="n">
        <x:f>MATCH(J25,'Сводка'!$R$3:$R$397,0)</x:f>
        <x:v>36</x:v>
      </x:c>
      <x:c r="V25" s="4" t="n">
        <x:f>MATCH(J25-'Сводка'!$B$11,'Сводка'!$R$3:$R$397,0)</x:f>
        <x:v>35</x:v>
      </x:c>
      <x:c r="W25" s="4" t="n">
        <x:f>MATCH(T25,$J$388:$J$400,0)</x:f>
        <x:v>2</x:v>
      </x:c>
      <x:c r="X25" s="3"/>
      <x:c r="Y25" s="3"/>
      <x:c r="Z25" s="3"/>
    </x:row>
    <x:row r="26" ht="15" customHeight="1">
      <x:c r="A26" s="10" t="n">
        <x:f>IF(8&lt;='Сводка'!$B$3,'Сводка'!$B$4+8,"")</x:f>
        <x:v>46243</x:v>
      </x:c>
      <x:c r="B26" s="18" t="n">
        <x:f>IF($A26="","",(A26-$T$405+1)/1000)</x:f>
        <x:v>8.987</x:v>
      </x:c>
      <x:c r="C26" s="18" t="n">
        <x:f>IF($A26="","",2*(A26-$T$405)/$T$406-1)</x:f>
        <x:v>1.0017821341055915</x:v>
      </x:c>
      <x:c r="D26" s="8" t="n">
        <x:f>IF($A26="","",$B$4+$B$5*C26^1+$B$6*C26^2+$B$7*C26^3)</x:f>
        <x:v>102.4261501740155</x:v>
      </x:c>
      <x:c r="E26" s="8" t="n">
        <x:f>IF($A26="","",SQRT($T$403^2+H26^2))</x:f>
        <x:v>161.9610280662587</x:v>
      </x:c>
      <x:c r="F26" s="8" t="n">
        <x:f>IF($A26="","",D26-$T$404*E26)</x:f>
        <x:v>-215.05636095199827</x:v>
      </x:c>
      <x:c r="G26" s="8" t="n">
        <x:f>IF($A26="","",D26+$T$404*E26)</x:f>
        <x:v>419.9086613000293</x:v>
      </x:c>
      <x:c r="H26" s="8" t="n">
        <x:f>IF($A26="","",SQRT(MAX(0,(1)*$S$409*(1)+(1)*$T$409*(C26^1)+(1)*$U$409*(C26^2)+(1)*$V$409*(C26^3)+(C26^1)*$S$410*(1)+(C26^1)*$T$410*(C26^1)+(C26^1)*$U$410*(C26^2)+(C26^1)*$V$410*(C26^3)+(C26^2)*$S$411*(1)+(C26^2)*$T$411*(C26^1)+(C26^2)*$U$411*(C26^2)+(C26^2)*$V$411*(C26^3)+(C26^3)*$S$412*(1)+(C26^3)*$T$412*(C26^1)+(C26^3)*$U$412*(C26^2)+(C26^3)*$V$412*(C26^3))))</x:f>
        <x:v>7.040073945190467</x:v>
      </x:c>
      <x:c r="I26" s="3"/>
      <x:c r="J26" s="10" t="n">
        <x:v>45877</x:v>
      </x:c>
      <x:c r="K26" s="8" t="n">
        <x:f>INDEX('Сводка'!$S$3:$S$397,U26)</x:f>
        <x:v>265</x:v>
      </x:c>
      <x:c r="L26" s="8" t="n">
        <x:f>INDEX('Сводка'!$S$3:$S$397,V26)</x:f>
        <x:v>259</x:v>
      </x:c>
      <x:c r="M26" s="8" t="n">
        <x:f>INDEX($K$388:$N$400,W26,1)+INDEX($K$388:$N$400,W26,2)*(2*(J26-$T$405)/(T26-$T$405)-1)^1+INDEX($K$388:$N$400,W26,3)*(2*(J26-$T$405)/(T26-$T$405)-1)^2+INDEX($K$388:$N$400,W26,4)*(2*(J26-$T$405)/(T26-$T$405)-1)^3</x:f>
        <x:v>138.18857980475093</x:v>
      </x:c>
      <x:c r="N26" s="8" t="n">
        <x:f>K26-M26</x:f>
        <x:v>126.81142019524907</x:v>
      </x:c>
      <x:c r="O26" s="8" t="n">
        <x:f>ABS(N26)</x:f>
        <x:v>126.81142019524907</x:v>
      </x:c>
      <x:c r="P26" s="8" t="n">
        <x:f>N26^2</x:f>
        <x:v>16081.136291936024</x:v>
      </x:c>
      <x:c r="Q26" s="8" t="n">
        <x:f>K26-L26</x:f>
        <x:v>6</x:v>
      </x:c>
      <x:c r="R26" s="9" t="n">
        <x:f>IF(AND(INDEX('Сводка'!$T$3:$T$397,U26)=0,INDEX('Сводка'!$T$3:$T$397,V26)=0),1,0)</x:f>
        <x:v>1</x:v>
      </x:c>
      <x:c r="S26" s="9" t="n">
        <x:f>IF(AND(R26=1,O26&lt;=$G$13),1,0)</x:f>
        <x:v>0</x:v>
      </x:c>
      <x:c r="T26" s="10" t="n">
        <x:f>EOMONTH(J26-'Сводка'!$B$11,-1)</x:f>
        <x:v>45869</x:v>
      </x:c>
      <x:c r="U26" s="4" t="n">
        <x:f>MATCH(J26,'Сводка'!$R$3:$R$397,0)</x:f>
        <x:v>37</x:v>
      </x:c>
      <x:c r="V26" s="4" t="n">
        <x:f>MATCH(J26-'Сводка'!$B$11,'Сводка'!$R$3:$R$397,0)</x:f>
        <x:v>36</x:v>
      </x:c>
      <x:c r="W26" s="4" t="n">
        <x:f>MATCH(T26,$J$388:$J$400,0)</x:f>
        <x:v>2</x:v>
      </x:c>
      <x:c r="X26" s="3"/>
      <x:c r="Y26" s="3"/>
      <x:c r="Z26" s="3"/>
    </x:row>
    <x:row r="27" ht="15" customHeight="1">
      <x:c r="A27" s="10" t="n">
        <x:f>IF(9&lt;='Сводка'!$B$3,'Сводка'!$B$4+9,"")</x:f>
        <x:v>46244</x:v>
      </x:c>
      <x:c r="B27" s="18" t="n">
        <x:f>IF($A27="","",(A27-$T$405+1)/1000)</x:f>
        <x:v>8.988</x:v>
      </x:c>
      <x:c r="C27" s="18" t="n">
        <x:f>IF($A27="","",2*(A27-$T$405)/$T$406-1)</x:f>
        <x:v>1.0020049008687906</x:v>
      </x:c>
      <x:c r="D27" s="8" t="n">
        <x:f>IF($A27="","",$B$4+$B$5*C27^1+$B$6*C27^2+$B$7*C27^3)</x:f>
        <x:v>102.3952604647086</x:v>
      </x:c>
      <x:c r="E27" s="8" t="n">
        <x:f>IF($A27="","",SQRT($T$403^2+H27^2))</x:f>
        <x:v>161.96127951897597</x:v>
      </x:c>
      <x:c r="F27" s="8" t="n">
        <x:f>IF($A27="","",D27-$T$404*E27)</x:f>
        <x:v>-215.0877435690192</x:v>
      </x:c>
      <x:c r="G27" s="8" t="n">
        <x:f>IF($A27="","",D27+$T$404*E27)</x:f>
        <x:v>419.8782644984364</x:v>
      </x:c>
      <x:c r="H27" s="8" t="n">
        <x:f>IF($A27="","",SQRT(MAX(0,(1)*$S$409*(1)+(1)*$T$409*(C27^1)+(1)*$U$409*(C27^2)+(1)*$V$409*(C27^3)+(C27^1)*$S$410*(1)+(C27^1)*$T$410*(C27^1)+(C27^1)*$U$410*(C27^2)+(C27^1)*$V$410*(C27^3)+(C27^2)*$S$411*(1)+(C27^2)*$T$411*(C27^1)+(C27^2)*$U$411*(C27^2)+(C27^2)*$V$411*(C27^3)+(C27^3)*$S$412*(1)+(C27^3)*$T$412*(C27^1)+(C27^3)*$U$412*(C27^2)+(C27^3)*$V$412*(C27^3))))</x:f>
        <x:v>7.045856392105366</x:v>
      </x:c>
      <x:c r="I27" s="3"/>
      <x:c r="J27" s="10" t="n">
        <x:v>45878</x:v>
      </x:c>
      <x:c r="K27" s="8" t="n">
        <x:f>INDEX('Сводка'!$S$3:$S$397,U27)</x:f>
        <x:v>276</x:v>
      </x:c>
      <x:c r="L27" s="8" t="n">
        <x:f>INDEX('Сводка'!$S$3:$S$397,V27)</x:f>
        <x:v>265</x:v>
      </x:c>
      <x:c r="M27" s="8" t="n">
        <x:f>INDEX($K$388:$N$400,W27,1)+INDEX($K$388:$N$400,W27,2)*(2*(J27-$T$405)/(T27-$T$405)-1)^1+INDEX($K$388:$N$400,W27,3)*(2*(J27-$T$405)/(T27-$T$405)-1)^2+INDEX($K$388:$N$400,W27,4)*(2*(J27-$T$405)/(T27-$T$405)-1)^3</x:f>
        <x:v>138.1873021265008</x:v>
      </x:c>
      <x:c r="N27" s="8" t="n">
        <x:f>K27-M27</x:f>
        <x:v>137.8126978734992</x:v>
      </x:c>
      <x:c r="O27" s="8" t="n">
        <x:f>ABS(N27)</x:f>
        <x:v>137.8126978734992</x:v>
      </x:c>
      <x:c r="P27" s="8" t="n">
        <x:f>N27^2</x:f>
        <x:v>18992.339695172366</x:v>
      </x:c>
      <x:c r="Q27" s="8" t="n">
        <x:f>K27-L27</x:f>
        <x:v>11</x:v>
      </x:c>
      <x:c r="R27" s="9" t="n">
        <x:f>IF(AND(INDEX('Сводка'!$T$3:$T$397,U27)=0,INDEX('Сводка'!$T$3:$T$397,V27)=0),1,0)</x:f>
        <x:v>1</x:v>
      </x:c>
      <x:c r="S27" s="9" t="n">
        <x:f>IF(AND(R27=1,O27&lt;=$G$13),1,0)</x:f>
        <x:v>0</x:v>
      </x:c>
      <x:c r="T27" s="10" t="n">
        <x:f>EOMONTH(J27-'Сводка'!$B$11,-1)</x:f>
        <x:v>45869</x:v>
      </x:c>
      <x:c r="U27" s="4" t="n">
        <x:f>MATCH(J27,'Сводка'!$R$3:$R$397,0)</x:f>
        <x:v>38</x:v>
      </x:c>
      <x:c r="V27" s="4" t="n">
        <x:f>MATCH(J27-'Сводка'!$B$11,'Сводка'!$R$3:$R$397,0)</x:f>
        <x:v>37</x:v>
      </x:c>
      <x:c r="W27" s="4" t="n">
        <x:f>MATCH(T27,$J$388:$J$400,0)</x:f>
        <x:v>2</x:v>
      </x:c>
      <x:c r="X27" s="3"/>
      <x:c r="Y27" s="3"/>
      <x:c r="Z27" s="3"/>
    </x:row>
    <x:row r="28" ht="15" customHeight="1">
      <x:c r="A28" s="10" t="n">
        <x:f>IF(10&lt;='Сводка'!$B$3,'Сводка'!$B$4+10,"")</x:f>
        <x:v>46245</x:v>
      </x:c>
      <x:c r="B28" s="18" t="n">
        <x:f>IF($A28="","",(A28-$T$405+1)/1000)</x:f>
        <x:v>8.989</x:v>
      </x:c>
      <x:c r="C28" s="18" t="n">
        <x:f>IF($A28="","",2*(A28-$T$405)/$T$406-1)</x:f>
        <x:v>1.0022276676319892</x:v>
      </x:c>
      <x:c r="D28" s="8" t="n">
        <x:f>IF($A28="","",$B$4+$B$5*C28^1+$B$6*C28^2+$B$7*C28^3)</x:f>
        <x:v>102.36435192642733</x:v>
      </x:c>
      <x:c r="E28" s="8" t="n">
        <x:f>IF($A28="","",SQRT($T$403^2+H28^2))</x:f>
        <x:v>161.9615313616974</x:v>
      </x:c>
      <x:c r="F28" s="8" t="n">
        <x:f>IF($A28="","",D28-$T$404*E28)</x:f>
        <x:v>-215.11914577951637</x:v>
      </x:c>
      <x:c r="G28" s="8" t="n">
        <x:f>IF($A28="","",D28+$T$404*E28)</x:f>
        <x:v>419.84784963237104</x:v>
      </x:c>
      <x:c r="H28" s="8" t="n">
        <x:f>IF($A28="","",SQRT(MAX(0,(1)*$S$409*(1)+(1)*$T$409*(C28^1)+(1)*$U$409*(C28^2)+(1)*$V$409*(C28^3)+(C28^1)*$S$410*(1)+(C28^1)*$T$410*(C28^1)+(C28^1)*$U$410*(C28^2)+(C28^1)*$V$410*(C28^3)+(C28^2)*$S$411*(1)+(C28^2)*$T$411*(C28^1)+(C28^2)*$U$411*(C28^2)+(C28^2)*$V$411*(C28^3)+(C28^3)*$S$412*(1)+(C28^3)*$T$412*(C28^1)+(C28^3)*$U$412*(C28^2)+(C28^3)*$V$412*(C28^3))))</x:f>
        <x:v>7.051643063882497</x:v>
      </x:c>
      <x:c r="I28" s="3"/>
      <x:c r="J28" s="10" t="n">
        <x:v>45879</x:v>
      </x:c>
      <x:c r="K28" s="8" t="n">
        <x:f>INDEX('Сводка'!$S$3:$S$397,U28)</x:f>
        <x:v>290</x:v>
      </x:c>
      <x:c r="L28" s="8" t="n">
        <x:f>INDEX('Сводка'!$S$3:$S$397,V28)</x:f>
        <x:v>276</x:v>
      </x:c>
      <x:c r="M28" s="8" t="n">
        <x:f>INDEX($K$388:$N$400,W28,1)+INDEX($K$388:$N$400,W28,2)*(2*(J28-$T$405)/(T28-$T$405)-1)^1+INDEX($K$388:$N$400,W28,3)*(2*(J28-$T$405)/(T28-$T$405)-1)^2+INDEX($K$388:$N$400,W28,4)*(2*(J28-$T$405)/(T28-$T$405)-1)^3</x:f>
        <x:v>138.18601736599751</x:v>
      </x:c>
      <x:c r="N28" s="8" t="n">
        <x:f>K28-M28</x:f>
        <x:v>151.81398263400249</x:v>
      </x:c>
      <x:c r="O28" s="8" t="n">
        <x:f>ABS(N28)</x:f>
        <x:v>151.81398263400249</x:v>
      </x:c>
      <x:c r="P28" s="8" t="n">
        <x:f>N28^2</x:f>
        <x:v>23047.48532319721</x:v>
      </x:c>
      <x:c r="Q28" s="8" t="n">
        <x:f>K28-L28</x:f>
        <x:v>14</x:v>
      </x:c>
      <x:c r="R28" s="9" t="n">
        <x:f>IF(AND(INDEX('Сводка'!$T$3:$T$397,U28)=0,INDEX('Сводка'!$T$3:$T$397,V28)=0),1,0)</x:f>
        <x:v>1</x:v>
      </x:c>
      <x:c r="S28" s="9" t="n">
        <x:f>IF(AND(R28=1,O28&lt;=$G$13),1,0)</x:f>
        <x:v>0</x:v>
      </x:c>
      <x:c r="T28" s="10" t="n">
        <x:f>EOMONTH(J28-'Сводка'!$B$11,-1)</x:f>
        <x:v>45869</x:v>
      </x:c>
      <x:c r="U28" s="4" t="n">
        <x:f>MATCH(J28,'Сводка'!$R$3:$R$397,0)</x:f>
        <x:v>39</x:v>
      </x:c>
      <x:c r="V28" s="4" t="n">
        <x:f>MATCH(J28-'Сводка'!$B$11,'Сводка'!$R$3:$R$397,0)</x:f>
        <x:v>38</x:v>
      </x:c>
      <x:c r="W28" s="4" t="n">
        <x:f>MATCH(T28,$J$388:$J$400,0)</x:f>
        <x:v>2</x:v>
      </x:c>
      <x:c r="X28" s="3"/>
      <x:c r="Y28" s="3"/>
      <x:c r="Z28" s="3"/>
    </x:row>
    <x:row r="29" ht="15" customHeight="1">
      <x:c r="A29" s="10" t="n">
        <x:f>IF(11&lt;='Сводка'!$B$3,'Сводка'!$B$4+11,"")</x:f>
        <x:v>46246</x:v>
      </x:c>
      <x:c r="B29" s="18" t="n">
        <x:f>IF($A29="","",(A29-$T$405+1)/1000)</x:f>
        <x:v>8.99</x:v>
      </x:c>
      <x:c r="C29" s="18" t="n">
        <x:f>IF($A29="","",2*(A29-$T$405)/$T$406-1)</x:f>
        <x:v>1.0024504343951883</x:v>
      </x:c>
      <x:c r="D29" s="8" t="n">
        <x:f>IF($A29="","",$B$4+$B$5*C29^1+$B$6*C29^2+$B$7*C29^3)</x:f>
        <x:v>102.33342455648682</x:v>
      </x:c>
      <x:c r="E29" s="8" t="n">
        <x:f>IF($A29="","",SQRT($T$403^2+H29^2))</x:f>
        <x:v>161.96178359486174</x:v>
      </x:c>
      <x:c r="F29" s="8" t="n">
        <x:f>IF($A29="","",D29-$T$404*E29)</x:f>
        <x:v>-215.15056758703457</x:v>
      </x:c>
      <x:c r="G29" s="8" t="n">
        <x:f>IF($A29="","",D29+$T$404*E29)</x:f>
        <x:v>419.8174167000082</x:v>
      </x:c>
      <x:c r="H29" s="8" t="n">
        <x:f>IF($A29="","",SQRT(MAX(0,(1)*$S$409*(1)+(1)*$T$409*(C29^1)+(1)*$U$409*(C29^2)+(1)*$V$409*(C29^3)+(C29^1)*$S$410*(1)+(C29^1)*$T$410*(C29^1)+(C29^1)*$U$410*(C29^2)+(C29^1)*$V$410*(C29^3)+(C29^2)*$S$411*(1)+(C29^2)*$T$411*(C29^1)+(C29^2)*$U$411*(C29^2)+(C29^2)*$V$411*(C29^3)+(C29^3)*$S$412*(1)+(C29^3)*$T$412*(C29^1)+(C29^3)*$U$412*(C29^2)+(C29^3)*$V$412*(C29^3))))</x:f>
        <x:v>7.057433960238851</x:v>
      </x:c>
      <x:c r="I29" s="3"/>
      <x:c r="J29" s="10" t="n">
        <x:v>45880</x:v>
      </x:c>
      <x:c r="K29" s="8" t="n">
        <x:f>INDEX('Сводка'!$S$3:$S$397,U29)</x:f>
        <x:v>303</x:v>
      </x:c>
      <x:c r="L29" s="8" t="n">
        <x:f>INDEX('Сводка'!$S$3:$S$397,V29)</x:f>
        <x:v>290</x:v>
      </x:c>
      <x:c r="M29" s="8" t="n">
        <x:f>INDEX($K$388:$N$400,W29,1)+INDEX($K$388:$N$400,W29,2)*(2*(J29-$T$405)/(T29-$T$405)-1)^1+INDEX($K$388:$N$400,W29,3)*(2*(J29-$T$405)/(T29-$T$405)-1)^2+INDEX($K$388:$N$400,W29,4)*(2*(J29-$T$405)/(T29-$T$405)-1)^3</x:f>
        <x:v>138.1847255227588</x:v>
      </x:c>
      <x:c r="N29" s="8" t="n">
        <x:f>K29-M29</x:f>
        <x:v>164.8152744772412</x:v>
      </x:c>
      <x:c r="O29" s="8" t="n">
        <x:f>ABS(N29)</x:f>
        <x:v>164.8152744772412</x:v>
      </x:c>
      <x:c r="P29" s="8" t="n">
        <x:f>N29^2</x:f>
        <x:v>27164.07470100835</x:v>
      </x:c>
      <x:c r="Q29" s="8" t="n">
        <x:f>K29-L29</x:f>
        <x:v>13</x:v>
      </x:c>
      <x:c r="R29" s="9" t="n">
        <x:f>IF(AND(INDEX('Сводка'!$T$3:$T$397,U29)=0,INDEX('Сводка'!$T$3:$T$397,V29)=0),1,0)</x:f>
        <x:v>1</x:v>
      </x:c>
      <x:c r="S29" s="9" t="n">
        <x:f>IF(AND(R29=1,O29&lt;=$G$13),1,0)</x:f>
        <x:v>0</x:v>
      </x:c>
      <x:c r="T29" s="10" t="n">
        <x:f>EOMONTH(J29-'Сводка'!$B$11,-1)</x:f>
        <x:v>45869</x:v>
      </x:c>
      <x:c r="U29" s="4" t="n">
        <x:f>MATCH(J29,'Сводка'!$R$3:$R$397,0)</x:f>
        <x:v>40</x:v>
      </x:c>
      <x:c r="V29" s="4" t="n">
        <x:f>MATCH(J29-'Сводка'!$B$11,'Сводка'!$R$3:$R$397,0)</x:f>
        <x:v>39</x:v>
      </x:c>
      <x:c r="W29" s="4" t="n">
        <x:f>MATCH(T29,$J$388:$J$400,0)</x:f>
        <x:v>2</x:v>
      </x:c>
      <x:c r="X29" s="3"/>
      <x:c r="Y29" s="3"/>
      <x:c r="Z29" s="3"/>
    </x:row>
    <x:row r="30" ht="15" customHeight="1">
      <x:c r="A30" s="10" t="n">
        <x:f>IF(12&lt;='Сводка'!$B$3,'Сводка'!$B$4+12,"")</x:f>
        <x:v>46247</x:v>
      </x:c>
      <x:c r="B30" s="18" t="n">
        <x:f>IF($A30="","",(A30-$T$405+1)/1000)</x:f>
        <x:v>8.991</x:v>
      </x:c>
      <x:c r="C30" s="18" t="n">
        <x:f>IF($A30="","",2*(A30-$T$405)/$T$406-1)</x:f>
        <x:v>1.002673201158387</x:v>
      </x:c>
      <x:c r="D30" s="8" t="n">
        <x:f>IF($A30="","",$B$4+$B$5*C30^1+$B$6*C30^2+$B$7*C30^3)</x:f>
        <x:v>102.30247835220224</x:v>
      </x:c>
      <x:c r="E30" s="8" t="n">
        <x:f>IF($A30="","",SQRT($T$403^2+H30^2))</x:f>
        <x:v>161.96203621890797</x:v>
      </x:c>
      <x:c r="F30" s="8" t="n">
        <x:f>IF($A30="","",D30-$T$404*E30)</x:f>
        <x:v>-215.1820089951193</x:v>
      </x:c>
      <x:c r="G30" s="8" t="n">
        <x:f>IF($A30="","",D30+$T$404*E30)</x:f>
        <x:v>419.78696569952376</x:v>
      </x:c>
      <x:c r="H30" s="8" t="n">
        <x:f>IF($A30="","",SQRT(MAX(0,(1)*$S$409*(1)+(1)*$T$409*(C30^1)+(1)*$U$409*(C30^2)+(1)*$V$409*(C30^3)+(C30^1)*$S$410*(1)+(C30^1)*$T$410*(C30^1)+(C30^1)*$U$410*(C30^2)+(C30^1)*$V$410*(C30^3)+(C30^2)*$S$411*(1)+(C30^2)*$T$411*(C30^1)+(C30^2)*$U$411*(C30^2)+(C30^2)*$V$411*(C30^3)+(C30^3)*$S$412*(1)+(C30^3)*$T$412*(C30^1)+(C30^3)*$U$412*(C30^2)+(C30^3)*$V$412*(C30^3))))</x:f>
        <x:v>7.063229080892504</x:v>
      </x:c>
      <x:c r="I30" s="3"/>
      <x:c r="J30" s="10" t="n">
        <x:v>45881</x:v>
      </x:c>
      <x:c r="K30" s="8" t="n">
        <x:f>INDEX('Сводка'!$S$3:$S$397,U30)</x:f>
        <x:v>315</x:v>
      </x:c>
      <x:c r="L30" s="8" t="n">
        <x:f>INDEX('Сводка'!$S$3:$S$397,V30)</x:f>
        <x:v>303</x:v>
      </x:c>
      <x:c r="M30" s="8" t="n">
        <x:f>INDEX($K$388:$N$400,W30,1)+INDEX($K$388:$N$400,W30,2)*(2*(J30-$T$405)/(T30-$T$405)-1)^1+INDEX($K$388:$N$400,W30,3)*(2*(J30-$T$405)/(T30-$T$405)-1)^2+INDEX($K$388:$N$400,W30,4)*(2*(J30-$T$405)/(T30-$T$405)-1)^3</x:f>
        <x:v>138.18342659630247</x:v>
      </x:c>
      <x:c r="N30" s="8" t="n">
        <x:f>K30-M30</x:f>
        <x:v>176.81657340369753</x:v>
      </x:c>
      <x:c r="O30" s="8" t="n">
        <x:f>ABS(N30)</x:f>
        <x:v>176.81657340369753</x:v>
      </x:c>
      <x:c r="P30" s="8" t="n">
        <x:f>N30^2</x:f>
        <x:v>31264.10063022516</x:v>
      </x:c>
      <x:c r="Q30" s="8" t="n">
        <x:f>K30-L30</x:f>
        <x:v>12</x:v>
      </x:c>
      <x:c r="R30" s="9" t="n">
        <x:f>IF(AND(INDEX('Сводка'!$T$3:$T$397,U30)=0,INDEX('Сводка'!$T$3:$T$397,V30)=0),1,0)</x:f>
        <x:v>1</x:v>
      </x:c>
      <x:c r="S30" s="9" t="n">
        <x:f>IF(AND(R30=1,O30&lt;=$G$13),1,0)</x:f>
        <x:v>0</x:v>
      </x:c>
      <x:c r="T30" s="10" t="n">
        <x:f>EOMONTH(J30-'Сводка'!$B$11,-1)</x:f>
        <x:v>45869</x:v>
      </x:c>
      <x:c r="U30" s="4" t="n">
        <x:f>MATCH(J30,'Сводка'!$R$3:$R$397,0)</x:f>
        <x:v>41</x:v>
      </x:c>
      <x:c r="V30" s="4" t="n">
        <x:f>MATCH(J30-'Сводка'!$B$11,'Сводка'!$R$3:$R$397,0)</x:f>
        <x:v>40</x:v>
      </x:c>
      <x:c r="W30" s="4" t="n">
        <x:f>MATCH(T30,$J$388:$J$400,0)</x:f>
        <x:v>2</x:v>
      </x:c>
      <x:c r="X30" s="3"/>
      <x:c r="Y30" s="3"/>
      <x:c r="Z30" s="3"/>
    </x:row>
    <x:row r="31" ht="15" customHeight="1">
      <x:c r="A31" s="10" t="n">
        <x:f>IF(13&lt;='Сводка'!$B$3,'Сводка'!$B$4+13,"")</x:f>
        <x:v>46248</x:v>
      </x:c>
      <x:c r="B31" s="18" t="n">
        <x:f>IF($A31="","",(A31-$T$405+1)/1000)</x:f>
        <x:v>8.992</x:v>
      </x:c>
      <x:c r="C31" s="18" t="n">
        <x:f>IF($A31="","",2*(A31-$T$405)/$T$406-1)</x:f>
        <x:v>1.002895967921586</x:v>
      </x:c>
      <x:c r="D31" s="8" t="n">
        <x:f>IF($A31="","",$B$4+$B$5*C31^1+$B$6*C31^2+$B$7*C31^3)</x:f>
        <x:v>102.27151331088871</x:v>
      </x:c>
      <x:c r="E31" s="8" t="n">
        <x:f>IF($A31="","",SQRT($T$403^2+H31^2))</x:f>
        <x:v>161.9622892342755</x:v>
      </x:c>
      <x:c r="F31" s="8" t="n">
        <x:f>IF($A31="","",D31-$T$404*E31)</x:f>
        <x:v>-215.2134700073166</x:v>
      </x:c>
      <x:c r="G31" s="8" t="n">
        <x:f>IF($A31="","",D31+$T$404*E31)</x:f>
        <x:v>419.75649662909404</x:v>
      </x:c>
      <x:c r="H31" s="8" t="n">
        <x:f>IF($A31="","",SQRT(MAX(0,(1)*$S$409*(1)+(1)*$T$409*(C31^1)+(1)*$U$409*(C31^2)+(1)*$V$409*(C31^3)+(C31^1)*$S$410*(1)+(C31^1)*$T$410*(C31^1)+(C31^1)*$U$410*(C31^2)+(C31^1)*$V$410*(C31^3)+(C31^2)*$S$411*(1)+(C31^2)*$T$411*(C31^1)+(C31^2)*$U$411*(C31^2)+(C31^2)*$V$411*(C31^3)+(C31^3)*$S$412*(1)+(C31^3)*$T$412*(C31^1)+(C31^3)*$U$412*(C31^2)+(C31^3)*$V$412*(C31^3))))</x:f>
        <x:v>7.069028425562711</x:v>
      </x:c>
      <x:c r="I31" s="3"/>
      <x:c r="J31" s="10" t="n">
        <x:v>45882</x:v>
      </x:c>
      <x:c r="K31" s="8" t="n">
        <x:f>INDEX('Сводка'!$S$3:$S$397,U31)</x:f>
        <x:v>323</x:v>
      </x:c>
      <x:c r="L31" s="8" t="n">
        <x:f>INDEX('Сводка'!$S$3:$S$397,V31)</x:f>
        <x:v>315</x:v>
      </x:c>
      <x:c r="M31" s="8" t="n">
        <x:f>INDEX($K$388:$N$400,W31,1)+INDEX($K$388:$N$400,W31,2)*(2*(J31-$T$405)/(T31-$T$405)-1)^1+INDEX($K$388:$N$400,W31,3)*(2*(J31-$T$405)/(T31-$T$405)-1)^2+INDEX($K$388:$N$400,W31,4)*(2*(J31-$T$405)/(T31-$T$405)-1)^3</x:f>
        <x:v>138.18212058614617</x:v>
      </x:c>
      <x:c r="N31" s="8" t="n">
        <x:f>K31-M31</x:f>
        <x:v>184.81787941385383</x:v>
      </x:c>
      <x:c r="O31" s="8" t="n">
        <x:f>ABS(N31)</x:f>
        <x:v>184.81787941385383</x:v>
      </x:c>
      <x:c r="P31" s="8" t="n">
        <x:f>N31^2</x:f>
        <x:v>34157.64855103382</x:v>
      </x:c>
      <x:c r="Q31" s="8" t="n">
        <x:f>K31-L31</x:f>
        <x:v>8</x:v>
      </x:c>
      <x:c r="R31" s="9" t="n">
        <x:f>IF(AND(INDEX('Сводка'!$T$3:$T$397,U31)=0,INDEX('Сводка'!$T$3:$T$397,V31)=0),1,0)</x:f>
        <x:v>1</x:v>
      </x:c>
      <x:c r="S31" s="9" t="n">
        <x:f>IF(AND(R31=1,O31&lt;=$G$13),1,0)</x:f>
        <x:v>0</x:v>
      </x:c>
      <x:c r="T31" s="10" t="n">
        <x:f>EOMONTH(J31-'Сводка'!$B$11,-1)</x:f>
        <x:v>45869</x:v>
      </x:c>
      <x:c r="U31" s="4" t="n">
        <x:f>MATCH(J31,'Сводка'!$R$3:$R$397,0)</x:f>
        <x:v>42</x:v>
      </x:c>
      <x:c r="V31" s="4" t="n">
        <x:f>MATCH(J31-'Сводка'!$B$11,'Сводка'!$R$3:$R$397,0)</x:f>
        <x:v>41</x:v>
      </x:c>
      <x:c r="W31" s="4" t="n">
        <x:f>MATCH(T31,$J$388:$J$400,0)</x:f>
        <x:v>2</x:v>
      </x:c>
      <x:c r="X31" s="3"/>
      <x:c r="Y31" s="3"/>
      <x:c r="Z31" s="3"/>
    </x:row>
    <x:row r="32" ht="15" customHeight="1">
      <x:c r="A32" s="10" t="n">
        <x:f>IF(14&lt;='Сводка'!$B$3,'Сводка'!$B$4+14,"")</x:f>
        <x:v>46249</x:v>
      </x:c>
      <x:c r="B32" s="18" t="n">
        <x:f>IF($A32="","",(A32-$T$405+1)/1000)</x:f>
        <x:v>8.993</x:v>
      </x:c>
      <x:c r="C32" s="18" t="n">
        <x:f>IF($A32="","",2*(A32-$T$405)/$T$406-1)</x:f>
        <x:v>1.0031187346847852</x:v>
      </x:c>
      <x:c r="D32" s="8" t="n">
        <x:f>IF($A32="","",$B$4+$B$5*C32^1+$B$6*C32^2+$B$7*C32^3)</x:f>
        <x:v>102.24052942986137</x:v>
      </x:c>
      <x:c r="E32" s="8" t="n">
        <x:f>IF($A32="","",SQRT($T$403^2+H32^2))</x:f>
        <x:v>161.96254264140396</x:v>
      </x:c>
      <x:c r="F32" s="8" t="n">
        <x:f>IF($A32="","",D32-$T$404*E32)</x:f>
        <x:v>-215.24495062717332</x:v>
      </x:c>
      <x:c r="G32" s="8" t="n">
        <x:f>IF($A32="","",D32+$T$404*E32)</x:f>
        <x:v>419.72600948689603</x:v>
      </x:c>
      <x:c r="H32" s="8" t="n">
        <x:f>IF($A32="","",SQRT(MAX(0,(1)*$S$409*(1)+(1)*$T$409*(C32^1)+(1)*$U$409*(C32^2)+(1)*$V$409*(C32^3)+(C32^1)*$S$410*(1)+(C32^1)*$T$410*(C32^1)+(C32^1)*$U$410*(C32^2)+(C32^1)*$V$410*(C32^3)+(C32^2)*$S$411*(1)+(C32^2)*$T$411*(C32^1)+(C32^2)*$U$411*(C32^2)+(C32^2)*$V$411*(C32^3)+(C32^3)*$S$412*(1)+(C32^3)*$T$412*(C32^1)+(C32^3)*$U$412*(C32^2)+(C32^3)*$V$412*(C32^3))))</x:f>
        <x:v>7.074831993969824</x:v>
      </x:c>
      <x:c r="I32" s="3"/>
      <x:c r="J32" s="10" t="n">
        <x:v>45883</x:v>
      </x:c>
      <x:c r="K32" s="8" t="n">
        <x:f>INDEX('Сводка'!$S$3:$S$397,U32)</x:f>
        <x:v>327</x:v>
      </x:c>
      <x:c r="L32" s="8" t="n">
        <x:f>INDEX('Сводка'!$S$3:$S$397,V32)</x:f>
        <x:v>323</x:v>
      </x:c>
      <x:c r="M32" s="8" t="n">
        <x:f>INDEX($K$388:$N$400,W32,1)+INDEX($K$388:$N$400,W32,2)*(2*(J32-$T$405)/(T32-$T$405)-1)^1+INDEX($K$388:$N$400,W32,3)*(2*(J32-$T$405)/(T32-$T$405)-1)^2+INDEX($K$388:$N$400,W32,4)*(2*(J32-$T$405)/(T32-$T$405)-1)^3</x:f>
        <x:v>138.18080749180763</x:v>
      </x:c>
      <x:c r="N32" s="8" t="n">
        <x:f>K32-M32</x:f>
        <x:v>188.81919250819237</x:v>
      </x:c>
      <x:c r="O32" s="8" t="n">
        <x:f>ABS(N32)</x:f>
        <x:v>188.81919250819237</x:v>
      </x:c>
      <x:c r="P32" s="8" t="n">
        <x:f>N32^2</x:f>
        <x:v>35652.68745944581</x:v>
      </x:c>
      <x:c r="Q32" s="8" t="n">
        <x:f>K32-L32</x:f>
        <x:v>4</x:v>
      </x:c>
      <x:c r="R32" s="9" t="n">
        <x:f>IF(AND(INDEX('Сводка'!$T$3:$T$397,U32)=0,INDEX('Сводка'!$T$3:$T$397,V32)=0),1,0)</x:f>
        <x:v>1</x:v>
      </x:c>
      <x:c r="S32" s="9" t="n">
        <x:f>IF(AND(R32=1,O32&lt;=$G$13),1,0)</x:f>
        <x:v>0</x:v>
      </x:c>
      <x:c r="T32" s="10" t="n">
        <x:f>EOMONTH(J32-'Сводка'!$B$11,-1)</x:f>
        <x:v>45869</x:v>
      </x:c>
      <x:c r="U32" s="4" t="n">
        <x:f>MATCH(J32,'Сводка'!$R$3:$R$397,0)</x:f>
        <x:v>43</x:v>
      </x:c>
      <x:c r="V32" s="4" t="n">
        <x:f>MATCH(J32-'Сводка'!$B$11,'Сводка'!$R$3:$R$397,0)</x:f>
        <x:v>42</x:v>
      </x:c>
      <x:c r="W32" s="4" t="n">
        <x:f>MATCH(T32,$J$388:$J$400,0)</x:f>
        <x:v>2</x:v>
      </x:c>
      <x:c r="X32" s="3"/>
      <x:c r="Y32" s="3"/>
      <x:c r="Z32" s="3"/>
    </x:row>
    <x:row r="33" ht="15" customHeight="1">
      <x:c r="A33" s="10" t="n">
        <x:f>IF(15&lt;='Сводка'!$B$3,'Сводка'!$B$4+15,"")</x:f>
        <x:v>46250</x:v>
      </x:c>
      <x:c r="B33" s="18" t="n">
        <x:f>IF($A33="","",(A33-$T$405+1)/1000)</x:f>
        <x:v>8.994</x:v>
      </x:c>
      <x:c r="C33" s="18" t="n">
        <x:f>IF($A33="","",2*(A33-$T$405)/$T$406-1)</x:f>
        <x:v>1.0033415014479838</x:v>
      </x:c>
      <x:c r="D33" s="8" t="n">
        <x:f>IF($A33="","",$B$4+$B$5*C33^1+$B$6*C33^2+$B$7*C33^3)</x:f>
        <x:v>102.2095267064355</x:v>
      </x:c>
      <x:c r="E33" s="8" t="n">
        <x:f>IF($A33="","",SQRT($T$403^2+H33^2))</x:f>
        <x:v>161.9627964407334</x:v>
      </x:c>
      <x:c r="F33" s="8" t="n">
        <x:f>IF($A33="","",D33-$T$404*E33)</x:f>
        <x:v>-215.27645085823667</x:v>
      </x:c>
      <x:c r="G33" s="8" t="n">
        <x:f>IF($A33="","",D33+$T$404*E33)</x:f>
        <x:v>419.69550427110767</x:v>
      </x:c>
      <x:c r="H33" s="8" t="n">
        <x:f>IF($A33="","",SQRT(MAX(0,(1)*$S$409*(1)+(1)*$T$409*(C33^1)+(1)*$U$409*(C33^2)+(1)*$V$409*(C33^3)+(C33^1)*$S$410*(1)+(C33^1)*$T$410*(C33^1)+(C33^1)*$U$410*(C33^2)+(C33^1)*$V$410*(C33^3)+(C33^2)*$S$411*(1)+(C33^2)*$T$411*(C33^1)+(C33^2)*$U$411*(C33^2)+(C33^2)*$V$411*(C33^3)+(C33^3)*$S$412*(1)+(C33^3)*$T$412*(C33^1)+(C33^3)*$U$412*(C33^2)+(C33^3)*$V$412*(C33^3))))</x:f>
        <x:v>7.080639785835335</x:v>
      </x:c>
      <x:c r="I33" s="3"/>
      <x:c r="J33" s="10" t="n">
        <x:v>45884</x:v>
      </x:c>
      <x:c r="K33" s="8" t="n">
        <x:f>INDEX('Сводка'!$S$3:$S$397,U33)</x:f>
        <x:v>329</x:v>
      </x:c>
      <x:c r="L33" s="8" t="n">
        <x:f>INDEX('Сводка'!$S$3:$S$397,V33)</x:f>
        <x:v>327</x:v>
      </x:c>
      <x:c r="M33" s="8" t="n">
        <x:f>INDEX($K$388:$N$400,W33,1)+INDEX($K$388:$N$400,W33,2)*(2*(J33-$T$405)/(T33-$T$405)-1)^1+INDEX($K$388:$N$400,W33,3)*(2*(J33-$T$405)/(T33-$T$405)-1)^2+INDEX($K$388:$N$400,W33,4)*(2*(J33-$T$405)/(T33-$T$405)-1)^3</x:f>
        <x:v>138.17948731280464</x:v>
      </x:c>
      <x:c r="N33" s="8" t="n">
        <x:f>K33-M33</x:f>
        <x:v>190.82051268719536</x:v>
      </x:c>
      <x:c r="O33" s="8" t="n">
        <x:f>ABS(N33)</x:f>
        <x:v>190.82051268719536</x:v>
      </x:c>
      <x:c r="P33" s="8" t="n">
        <x:f>N33^2</x:f>
        <x:v>36412.46806220408</x:v>
      </x:c>
      <x:c r="Q33" s="8" t="n">
        <x:f>K33-L33</x:f>
        <x:v>2</x:v>
      </x:c>
      <x:c r="R33" s="9" t="n">
        <x:f>IF(AND(INDEX('Сводка'!$T$3:$T$397,U33)=0,INDEX('Сводка'!$T$3:$T$397,V33)=0),1,0)</x:f>
        <x:v>1</x:v>
      </x:c>
      <x:c r="S33" s="9" t="n">
        <x:f>IF(AND(R33=1,O33&lt;=$G$13),1,0)</x:f>
        <x:v>0</x:v>
      </x:c>
      <x:c r="T33" s="10" t="n">
        <x:f>EOMONTH(J33-'Сводка'!$B$11,-1)</x:f>
        <x:v>45869</x:v>
      </x:c>
      <x:c r="U33" s="4" t="n">
        <x:f>MATCH(J33,'Сводка'!$R$3:$R$397,0)</x:f>
        <x:v>44</x:v>
      </x:c>
      <x:c r="V33" s="4" t="n">
        <x:f>MATCH(J33-'Сводка'!$B$11,'Сводка'!$R$3:$R$397,0)</x:f>
        <x:v>43</x:v>
      </x:c>
      <x:c r="W33" s="4" t="n">
        <x:f>MATCH(T33,$J$388:$J$400,0)</x:f>
        <x:v>2</x:v>
      </x:c>
      <x:c r="X33" s="3"/>
      <x:c r="Y33" s="3"/>
      <x:c r="Z33" s="3"/>
    </x:row>
    <x:row r="34" ht="15" customHeight="1">
      <x:c r="A34" s="10" t="n">
        <x:f>IF(16&lt;='Сводка'!$B$3,'Сводка'!$B$4+16,"")</x:f>
        <x:v>46251</x:v>
      </x:c>
      <x:c r="B34" s="18" t="n">
        <x:f>IF($A34="","",(A34-$T$405+1)/1000)</x:f>
        <x:v>8.995</x:v>
      </x:c>
      <x:c r="C34" s="18" t="n">
        <x:f>IF($A34="","",2*(A34-$T$405)/$T$406-1)</x:f>
        <x:v>1.003564268211183</x:v>
      </x:c>
      <x:c r="D34" s="8" t="n">
        <x:f>IF($A34="","",$B$4+$B$5*C34^1+$B$6*C34^2+$B$7*C34^3)</x:f>
        <x:v>102.17850513792608</x:v>
      </x:c>
      <x:c r="E34" s="8" t="n">
        <x:f>IF($A34="","",SQRT($T$403^2+H34^2))</x:f>
        <x:v>161.96305063270424</x:v>
      </x:c>
      <x:c r="F34" s="8" t="n">
        <x:f>IF($A34="","",D34-$T$404*E34)</x:f>
        <x:v>-215.30797070405492</x:v>
      </x:c>
      <x:c r="G34" s="8" t="n">
        <x:f>IF($A34="","",D34+$T$404*E34)</x:f>
        <x:v>419.6649809799071</x:v>
      </x:c>
      <x:c r="H34" s="8" t="n">
        <x:f>IF($A34="","",SQRT(MAX(0,(1)*$S$409*(1)+(1)*$T$409*(C34^1)+(1)*$U$409*(C34^2)+(1)*$V$409*(C34^3)+(C34^1)*$S$410*(1)+(C34^1)*$T$410*(C34^1)+(C34^1)*$U$410*(C34^2)+(C34^1)*$V$410*(C34^3)+(C34^2)*$S$411*(1)+(C34^2)*$T$411*(C34^1)+(C34^2)*$U$411*(C34^2)+(C34^2)*$V$411*(C34^3)+(C34^3)*$S$412*(1)+(C34^3)*$T$412*(C34^1)+(C34^3)*$U$412*(C34^2)+(C34^3)*$V$412*(C34^3))))</x:f>
        <x:v>7.0864518008819015</x:v>
      </x:c>
      <x:c r="I34" s="3"/>
      <x:c r="J34" s="10" t="n">
        <x:v>45885</x:v>
      </x:c>
      <x:c r="K34" s="8" t="n">
        <x:f>INDEX('Сводка'!$S$3:$S$397,U34)</x:f>
        <x:v>329</x:v>
      </x:c>
      <x:c r="L34" s="8" t="n">
        <x:f>INDEX('Сводка'!$S$3:$S$397,V34)</x:f>
        <x:v>329</x:v>
      </x:c>
      <x:c r="M34" s="8" t="n">
        <x:f>INDEX($K$388:$N$400,W34,1)+INDEX($K$388:$N$400,W34,2)*(2*(J34-$T$405)/(T34-$T$405)-1)^1+INDEX($K$388:$N$400,W34,3)*(2*(J34-$T$405)/(T34-$T$405)-1)^2+INDEX($K$388:$N$400,W34,4)*(2*(J34-$T$405)/(T34-$T$405)-1)^3</x:f>
        <x:v>138.1781600486549</x:v>
      </x:c>
      <x:c r="N34" s="8" t="n">
        <x:f>K34-M34</x:f>
        <x:v>190.8218399513451</x:v>
      </x:c>
      <x:c r="O34" s="8" t="n">
        <x:f>ABS(N34)</x:f>
        <x:v>190.8218399513451</x:v>
      </x:c>
      <x:c r="P34" s="8" t="n">
        <x:f>N34^2</x:f>
        <x:v>36412.97460241677</x:v>
      </x:c>
      <x:c r="Q34" s="8" t="n">
        <x:f>K34-L34</x:f>
        <x:v>0</x:v>
      </x:c>
      <x:c r="R34" s="9" t="n">
        <x:f>IF(AND(INDEX('Сводка'!$T$3:$T$397,U34)=0,INDEX('Сводка'!$T$3:$T$397,V34)=0),1,0)</x:f>
        <x:v>1</x:v>
      </x:c>
      <x:c r="S34" s="9" t="n">
        <x:f>IF(AND(R34=1,O34&lt;=$G$13),1,0)</x:f>
        <x:v>0</x:v>
      </x:c>
      <x:c r="T34" s="10" t="n">
        <x:f>EOMONTH(J34-'Сводка'!$B$11,-1)</x:f>
        <x:v>45869</x:v>
      </x:c>
      <x:c r="U34" s="4" t="n">
        <x:f>MATCH(J34,'Сводка'!$R$3:$R$397,0)</x:f>
        <x:v>45</x:v>
      </x:c>
      <x:c r="V34" s="4" t="n">
        <x:f>MATCH(J34-'Сводка'!$B$11,'Сводка'!$R$3:$R$397,0)</x:f>
        <x:v>44</x:v>
      </x:c>
      <x:c r="W34" s="4" t="n">
        <x:f>MATCH(T34,$J$388:$J$400,0)</x:f>
        <x:v>2</x:v>
      </x:c>
      <x:c r="X34" s="3"/>
      <x:c r="Y34" s="3"/>
      <x:c r="Z34" s="3"/>
    </x:row>
    <x:row r="35" ht="15" customHeight="1">
      <x:c r="A35" s="10" t="n">
        <x:f>IF(17&lt;='Сводка'!$B$3,'Сводка'!$B$4+17,"")</x:f>
        <x:v>46252</x:v>
      </x:c>
      <x:c r="B35" s="18" t="n">
        <x:f>IF($A35="","",(A35-$T$405+1)/1000)</x:f>
        <x:v>8.996</x:v>
      </x:c>
      <x:c r="C35" s="18" t="n">
        <x:f>IF($A35="","",2*(A35-$T$405)/$T$406-1)</x:f>
        <x:v>1.003787034974382</x:v>
      </x:c>
      <x:c r="D35" s="8" t="n">
        <x:f>IF($A35="","",$B$4+$B$5*C35^1+$B$6*C35^2+$B$7*C35^3)</x:f>
        <x:v>102.14746472164835</x:v>
      </x:c>
      <x:c r="E35" s="8" t="n">
        <x:f>IF($A35="","",SQRT($T$403^2+H35^2))</x:f>
        <x:v>161.96330521775712</x:v>
      </x:c>
      <x:c r="F35" s="8" t="n">
        <x:f>IF($A35="","",D35-$T$404*E35)</x:f>
        <x:v>-215.3395101681768</x:v>
      </x:c>
      <x:c r="G35" s="8" t="n">
        <x:f>IF($A35="","",D35+$T$404*E35)</x:f>
        <x:v>419.6344396114735</x:v>
      </x:c>
      <x:c r="H35" s="8" t="n">
        <x:f>IF($A35="","",SQRT(MAX(0,(1)*$S$409*(1)+(1)*$T$409*(C35^1)+(1)*$U$409*(C35^2)+(1)*$V$409*(C35^3)+(C35^1)*$S$410*(1)+(C35^1)*$T$410*(C35^1)+(C35^1)*$U$410*(C35^2)+(C35^1)*$V$410*(C35^3)+(C35^2)*$S$411*(1)+(C35^2)*$T$411*(C35^1)+(C35^2)*$U$411*(C35^2)+(C35^2)*$V$411*(C35^3)+(C35^3)*$S$412*(1)+(C35^3)*$T$412*(C35^1)+(C35^3)*$U$412*(C35^2)+(C35^3)*$V$412*(C35^3))))</x:f>
        <x:v>7.0922680388332795</x:v>
      </x:c>
      <x:c r="I35" s="3"/>
      <x:c r="J35" s="10" t="n">
        <x:v>45886</x:v>
      </x:c>
      <x:c r="K35" s="8" t="n">
        <x:f>INDEX('Сводка'!$S$3:$S$397,U35)</x:f>
        <x:v>325</x:v>
      </x:c>
      <x:c r="L35" s="8" t="n">
        <x:f>INDEX('Сводка'!$S$3:$S$397,V35)</x:f>
        <x:v>329</x:v>
      </x:c>
      <x:c r="M35" s="8" t="n">
        <x:f>INDEX($K$388:$N$400,W35,1)+INDEX($K$388:$N$400,W35,2)*(2*(J35-$T$405)/(T35-$T$405)-1)^1+INDEX($K$388:$N$400,W35,3)*(2*(J35-$T$405)/(T35-$T$405)-1)^2+INDEX($K$388:$N$400,W35,4)*(2*(J35-$T$405)/(T35-$T$405)-1)^3</x:f>
        <x:v>138.17682569887612</x:v>
      </x:c>
      <x:c r="N35" s="8" t="n">
        <x:f>K35-M35</x:f>
        <x:v>186.82317430112388</x:v>
      </x:c>
      <x:c r="O35" s="8" t="n">
        <x:f>ABS(N35)</x:f>
        <x:v>186.82317430112388</x:v>
      </x:c>
      <x:c r="P35" s="8" t="n">
        <x:f>N35^2</x:f>
        <x:v>34902.89845594812</x:v>
      </x:c>
      <x:c r="Q35" s="8" t="n">
        <x:f>K35-L35</x:f>
        <x:v>-4</x:v>
      </x:c>
      <x:c r="R35" s="9" t="n">
        <x:f>IF(AND(INDEX('Сводка'!$T$3:$T$397,U35)=0,INDEX('Сводка'!$T$3:$T$397,V35)=0),1,0)</x:f>
        <x:v>1</x:v>
      </x:c>
      <x:c r="S35" s="9" t="n">
        <x:f>IF(AND(R35=1,O35&lt;=$G$13),1,0)</x:f>
        <x:v>0</x:v>
      </x:c>
      <x:c r="T35" s="10" t="n">
        <x:f>EOMONTH(J35-'Сводка'!$B$11,-1)</x:f>
        <x:v>45869</x:v>
      </x:c>
      <x:c r="U35" s="4" t="n">
        <x:f>MATCH(J35,'Сводка'!$R$3:$R$397,0)</x:f>
        <x:v>46</x:v>
      </x:c>
      <x:c r="V35" s="4" t="n">
        <x:f>MATCH(J35-'Сводка'!$B$11,'Сводка'!$R$3:$R$397,0)</x:f>
        <x:v>45</x:v>
      </x:c>
      <x:c r="W35" s="4" t="n">
        <x:f>MATCH(T35,$J$388:$J$400,0)</x:f>
        <x:v>2</x:v>
      </x:c>
      <x:c r="X35" s="3"/>
      <x:c r="Y35" s="3"/>
      <x:c r="Z35" s="3"/>
    </x:row>
    <x:row r="36" ht="15" customHeight="1">
      <x:c r="A36" s="10" t="n">
        <x:f>IF(18&lt;='Сводка'!$B$3,'Сводка'!$B$4+18,"")</x:f>
        <x:v>46253</x:v>
      </x:c>
      <x:c r="B36" s="18" t="n">
        <x:f>IF($A36="","",(A36-$T$405+1)/1000)</x:f>
        <x:v>8.997</x:v>
      </x:c>
      <x:c r="C36" s="18" t="n">
        <x:f>IF($A36="","",2*(A36-$T$405)/$T$406-1)</x:f>
        <x:v>1.0040098017375807</x:v>
      </x:c>
      <x:c r="D36" s="8" t="n">
        <x:f>IF($A36="","",$B$4+$B$5*C36^1+$B$6*C36^2+$B$7*C36^3)</x:f>
        <x:v>102.11640545491751</x:v>
      </x:c>
      <x:c r="E36" s="8" t="n">
        <x:f>IF($A36="","",SQRT($T$403^2+H36^2))</x:f>
        <x:v>161.96356019633308</x:v>
      </x:c>
      <x:c r="F36" s="8" t="n">
        <x:f>IF($A36="","",D36-$T$404*E36)</x:f>
        <x:v>-215.37106925415145</x:v>
      </x:c>
      <x:c r="G36" s="8" t="n">
        <x:f>IF($A36="","",D36+$T$404*E36)</x:f>
        <x:v>419.6038801639865</x:v>
      </x:c>
      <x:c r="H36" s="8" t="n">
        <x:f>IF($A36="","",SQRT(MAX(0,(1)*$S$409*(1)+(1)*$T$409*(C36^1)+(1)*$U$409*(C36^2)+(1)*$V$409*(C36^3)+(C36^1)*$S$410*(1)+(C36^1)*$T$410*(C36^1)+(C36^1)*$U$410*(C36^2)+(C36^1)*$V$410*(C36^3)+(C36^2)*$S$411*(1)+(C36^2)*$T$411*(C36^1)+(C36^2)*$U$411*(C36^2)+(C36^2)*$V$411*(C36^3)+(C36^3)*$S$412*(1)+(C36^3)*$T$412*(C36^1)+(C36^3)*$U$412*(C36^2)+(C36^3)*$V$412*(C36^3))))</x:f>
        <x:v>7.0980884994143665</x:v>
      </x:c>
      <x:c r="I36" s="3"/>
      <x:c r="J36" s="10" t="n">
        <x:v>45887</x:v>
      </x:c>
      <x:c r="K36" s="8" t="n">
        <x:f>INDEX('Сводка'!$S$3:$S$397,U36)</x:f>
        <x:v>320</x:v>
      </x:c>
      <x:c r="L36" s="8" t="n">
        <x:f>INDEX('Сводка'!$S$3:$S$397,V36)</x:f>
        <x:v>325</x:v>
      </x:c>
      <x:c r="M36" s="8" t="n">
        <x:f>INDEX($K$388:$N$400,W36,1)+INDEX($K$388:$N$400,W36,2)*(2*(J36-$T$405)/(T36-$T$405)-1)^1+INDEX($K$388:$N$400,W36,3)*(2*(J36-$T$405)/(T36-$T$405)-1)^2+INDEX($K$388:$N$400,W36,4)*(2*(J36-$T$405)/(T36-$T$405)-1)^3</x:f>
        <x:v>138.1754842629861</x:v>
      </x:c>
      <x:c r="N36" s="8" t="n">
        <x:f>K36-M36</x:f>
        <x:v>181.8245157370139</x:v>
      </x:c>
      <x:c r="O36" s="8" t="n">
        <x:f>ABS(N36)</x:f>
        <x:v>181.8245157370139</x:v>
      </x:c>
      <x:c r="P36" s="8" t="n">
        <x:f>N36^2</x:f>
        <x:v>33060.15452299962</x:v>
      </x:c>
      <x:c r="Q36" s="8" t="n">
        <x:f>K36-L36</x:f>
        <x:v>-5</x:v>
      </x:c>
      <x:c r="R36" s="9" t="n">
        <x:f>IF(AND(INDEX('Сводка'!$T$3:$T$397,U36)=0,INDEX('Сводка'!$T$3:$T$397,V36)=0),1,0)</x:f>
        <x:v>1</x:v>
      </x:c>
      <x:c r="S36" s="9" t="n">
        <x:f>IF(AND(R36=1,O36&lt;=$G$13),1,0)</x:f>
        <x:v>0</x:v>
      </x:c>
      <x:c r="T36" s="10" t="n">
        <x:f>EOMONTH(J36-'Сводка'!$B$11,-1)</x:f>
        <x:v>45869</x:v>
      </x:c>
      <x:c r="U36" s="4" t="n">
        <x:f>MATCH(J36,'Сводка'!$R$3:$R$397,0)</x:f>
        <x:v>47</x:v>
      </x:c>
      <x:c r="V36" s="4" t="n">
        <x:f>MATCH(J36-'Сводка'!$B$11,'Сводка'!$R$3:$R$397,0)</x:f>
        <x:v>46</x:v>
      </x:c>
      <x:c r="W36" s="4" t="n">
        <x:f>MATCH(T36,$J$388:$J$400,0)</x:f>
        <x:v>2</x:v>
      </x:c>
      <x:c r="X36" s="3"/>
      <x:c r="Y36" s="3"/>
      <x:c r="Z36" s="3"/>
    </x:row>
    <x:row r="37" ht="15" customHeight="1">
      <x:c r="A37" s="10" t="n">
        <x:f>IF(19&lt;='Сводка'!$B$3,'Сводка'!$B$4+19,"")</x:f>
        <x:v>46254</x:v>
      </x:c>
      <x:c r="B37" s="18" t="n">
        <x:f>IF($A37="","",(A37-$T$405+1)/1000)</x:f>
        <x:v>8.998</x:v>
      </x:c>
      <x:c r="C37" s="18" t="n">
        <x:f>IF($A37="","",2*(A37-$T$405)/$T$406-1)</x:f>
        <x:v>1.0042325685007798</x:v>
      </x:c>
      <x:c r="D37" s="8" t="n">
        <x:f>IF($A37="","",$B$4+$B$5*C37^1+$B$6*C37^2+$B$7*C37^3)</x:f>
        <x:v>102.0853273350486</x:v>
      </x:c>
      <x:c r="E37" s="8" t="n">
        <x:f>IF($A37="","",SQRT($T$403^2+H37^2))</x:f>
        <x:v>161.9638155688735</x:v>
      </x:c>
      <x:c r="F37" s="8" t="n">
        <x:f>IF($A37="","",D37-$T$404*E37)</x:f>
        <x:v>-215.40264796552918</x:v>
      </x:c>
      <x:c r="G37" s="8" t="n">
        <x:f>IF($A37="","",D37+$T$404*E37)</x:f>
        <x:v>419.57330263562636</x:v>
      </x:c>
      <x:c r="H37" s="8" t="n">
        <x:f>IF($A37="","",SQRT(MAX(0,(1)*$S$409*(1)+(1)*$T$409*(C37^1)+(1)*$U$409*(C37^2)+(1)*$V$409*(C37^3)+(C37^1)*$S$410*(1)+(C37^1)*$T$410*(C37^1)+(C37^1)*$U$410*(C37^2)+(C37^1)*$V$410*(C37^3)+(C37^2)*$S$411*(1)+(C37^2)*$T$411*(C37^1)+(C37^2)*$U$411*(C37^2)+(C37^2)*$V$411*(C37^3)+(C37^3)*$S$412*(1)+(C37^3)*$T$412*(C37^1)+(C37^3)*$U$412*(C37^2)+(C37^3)*$V$412*(C37^3))))</x:f>
        <x:v>7.103913182351226</x:v>
      </x:c>
      <x:c r="I37" s="3"/>
      <x:c r="J37" s="10" t="n">
        <x:v>45888</x:v>
      </x:c>
      <x:c r="K37" s="8" t="n">
        <x:f>INDEX('Сводка'!$S$3:$S$397,U37)</x:f>
        <x:v>309</x:v>
      </x:c>
      <x:c r="L37" s="8" t="n">
        <x:f>INDEX('Сводка'!$S$3:$S$397,V37)</x:f>
        <x:v>320</x:v>
      </x:c>
      <x:c r="M37" s="8" t="n">
        <x:f>INDEX($K$388:$N$400,W37,1)+INDEX($K$388:$N$400,W37,2)*(2*(J37-$T$405)/(T37-$T$405)-1)^1+INDEX($K$388:$N$400,W37,3)*(2*(J37-$T$405)/(T37-$T$405)-1)^2+INDEX($K$388:$N$400,W37,4)*(2*(J37-$T$405)/(T37-$T$405)-1)^3</x:f>
        <x:v>138.1741357405025</x:v>
      </x:c>
      <x:c r="N37" s="8" t="n">
        <x:f>K37-M37</x:f>
        <x:v>170.8258642594975</x:v>
      </x:c>
      <x:c r="O37" s="8" t="n">
        <x:f>ABS(N37)</x:f>
        <x:v>170.8258642594975</x:v>
      </x:c>
      <x:c r="P37" s="8" t="n">
        <x:f>N37^2</x:f>
        <x:v>29181.47590000427</x:v>
      </x:c>
      <x:c r="Q37" s="8" t="n">
        <x:f>K37-L37</x:f>
        <x:v>-11</x:v>
      </x:c>
      <x:c r="R37" s="9" t="n">
        <x:f>IF(AND(INDEX('Сводка'!$T$3:$T$397,U37)=0,INDEX('Сводка'!$T$3:$T$397,V37)=0),1,0)</x:f>
        <x:v>1</x:v>
      </x:c>
      <x:c r="S37" s="9" t="n">
        <x:f>IF(AND(R37=1,O37&lt;=$G$13),1,0)</x:f>
        <x:v>0</x:v>
      </x:c>
      <x:c r="T37" s="10" t="n">
        <x:f>EOMONTH(J37-'Сводка'!$B$11,-1)</x:f>
        <x:v>45869</x:v>
      </x:c>
      <x:c r="U37" s="4" t="n">
        <x:f>MATCH(J37,'Сводка'!$R$3:$R$397,0)</x:f>
        <x:v>48</x:v>
      </x:c>
      <x:c r="V37" s="4" t="n">
        <x:f>MATCH(J37-'Сводка'!$B$11,'Сводка'!$R$3:$R$397,0)</x:f>
        <x:v>47</x:v>
      </x:c>
      <x:c r="W37" s="4" t="n">
        <x:f>MATCH(T37,$J$388:$J$400,0)</x:f>
        <x:v>2</x:v>
      </x:c>
      <x:c r="X37" s="3"/>
      <x:c r="Y37" s="3"/>
      <x:c r="Z37" s="3"/>
    </x:row>
    <x:row r="38" ht="15" customHeight="1">
      <x:c r="A38" s="10" t="n">
        <x:f>IF(20&lt;='Сводка'!$B$3,'Сводка'!$B$4+20,"")</x:f>
        <x:v>46255</x:v>
      </x:c>
      <x:c r="B38" s="18" t="n">
        <x:f>IF($A38="","",(A38-$T$405+1)/1000)</x:f>
        <x:v>8.999</x:v>
      </x:c>
      <x:c r="C38" s="18" t="n">
        <x:f>IF($A38="","",2*(A38-$T$405)/$T$406-1)</x:f>
        <x:v>1.0044553352639785</x:v>
      </x:c>
      <x:c r="D38" s="8" t="n">
        <x:f>IF($A38="","",$B$4+$B$5*C38^1+$B$6*C38^2+$B$7*C38^3)</x:f>
        <x:v>102.0542303593569</x:v>
      </x:c>
      <x:c r="E38" s="8" t="n">
        <x:f>IF($A38="","",SQRT($T$403^2+H38^2))</x:f>
        <x:v>161.9640713358201</x:v>
      </x:c>
      <x:c r="F38" s="8" t="n">
        <x:f>IF($A38="","",D38-$T$404*E38)</x:f>
        <x:v>-215.43424630586048</x:v>
      </x:c>
      <x:c r="G38" s="8" t="n">
        <x:f>IF($A38="","",D38+$T$404*E38)</x:f>
        <x:v>419.54270702457427</x:v>
      </x:c>
      <x:c r="H38" s="8" t="n">
        <x:f>IF($A38="","",SQRT(MAX(0,(1)*$S$409*(1)+(1)*$T$409*(C38^1)+(1)*$U$409*(C38^2)+(1)*$V$409*(C38^3)+(C38^1)*$S$410*(1)+(C38^1)*$T$410*(C38^1)+(C38^1)*$U$410*(C38^2)+(C38^1)*$V$410*(C38^3)+(C38^2)*$S$411*(1)+(C38^2)*$T$411*(C38^1)+(C38^2)*$U$411*(C38^2)+(C38^2)*$V$411*(C38^3)+(C38^3)*$S$412*(1)+(C38^3)*$T$412*(C38^1)+(C38^3)*$U$412*(C38^2)+(C38^3)*$V$412*(C38^3))))</x:f>
        <x:v>7.109742087371019</x:v>
      </x:c>
      <x:c r="I38" s="3"/>
      <x:c r="J38" s="10" t="n">
        <x:v>45889</x:v>
      </x:c>
      <x:c r="K38" s="8" t="n">
        <x:f>INDEX('Сводка'!$S$3:$S$397,U38)</x:f>
        <x:v>296</x:v>
      </x:c>
      <x:c r="L38" s="8" t="n">
        <x:f>INDEX('Сводка'!$S$3:$S$397,V38)</x:f>
        <x:v>309</x:v>
      </x:c>
      <x:c r="M38" s="8" t="n">
        <x:f>INDEX($K$388:$N$400,W38,1)+INDEX($K$388:$N$400,W38,2)*(2*(J38-$T$405)/(T38-$T$405)-1)^1+INDEX($K$388:$N$400,W38,3)*(2*(J38-$T$405)/(T38-$T$405)-1)^2+INDEX($K$388:$N$400,W38,4)*(2*(J38-$T$405)/(T38-$T$405)-1)^3</x:f>
        <x:v>138.17278013094307</x:v>
      </x:c>
      <x:c r="N38" s="8" t="n">
        <x:f>K38-M38</x:f>
        <x:v>157.82721986905693</x:v>
      </x:c>
      <x:c r="O38" s="8" t="n">
        <x:f>ABS(N38)</x:f>
        <x:v>157.82721986905693</x:v>
      </x:c>
      <x:c r="P38" s="8" t="n">
        <x:f>N38^2</x:f>
        <x:v>24909.43133159564</x:v>
      </x:c>
      <x:c r="Q38" s="8" t="n">
        <x:f>K38-L38</x:f>
        <x:v>-13</x:v>
      </x:c>
      <x:c r="R38" s="9" t="n">
        <x:f>IF(AND(INDEX('Сводка'!$T$3:$T$397,U38)=0,INDEX('Сводка'!$T$3:$T$397,V38)=0),1,0)</x:f>
        <x:v>1</x:v>
      </x:c>
      <x:c r="S38" s="9" t="n">
        <x:f>IF(AND(R38=1,O38&lt;=$G$13),1,0)</x:f>
        <x:v>0</x:v>
      </x:c>
      <x:c r="T38" s="10" t="n">
        <x:f>EOMONTH(J38-'Сводка'!$B$11,-1)</x:f>
        <x:v>45869</x:v>
      </x:c>
      <x:c r="U38" s="4" t="n">
        <x:f>MATCH(J38,'Сводка'!$R$3:$R$397,0)</x:f>
        <x:v>49</x:v>
      </x:c>
      <x:c r="V38" s="4" t="n">
        <x:f>MATCH(J38-'Сводка'!$B$11,'Сводка'!$R$3:$R$397,0)</x:f>
        <x:v>48</x:v>
      </x:c>
      <x:c r="W38" s="4" t="n">
        <x:f>MATCH(T38,$J$388:$J$400,0)</x:f>
        <x:v>2</x:v>
      </x:c>
      <x:c r="X38" s="3"/>
      <x:c r="Y38" s="3"/>
      <x:c r="Z38" s="3"/>
    </x:row>
    <x:row r="39" ht="15" customHeight="1">
      <x:c r="A39" s="10" t="n">
        <x:f>IF(21&lt;='Сводка'!$B$3,'Сводка'!$B$4+21,"")</x:f>
        <x:v>46256</x:v>
      </x:c>
      <x:c r="B39" s="18" t="n">
        <x:f>IF($A39="","",(A39-$T$405+1)/1000)</x:f>
        <x:v>9</x:v>
      </x:c>
      <x:c r="C39" s="18" t="n">
        <x:f>IF($A39="","",2*(A39-$T$405)/$T$406-1)</x:f>
        <x:v>1.0046781020271776</x:v>
      </x:c>
      <x:c r="D39" s="8" t="n">
        <x:f>IF($A39="","",$B$4+$B$5*C39^1+$B$6*C39^2+$B$7*C39^3)</x:f>
        <x:v>102.02311452515745</x:v>
      </x:c>
      <x:c r="E39" s="8" t="n">
        <x:f>IF($A39="","",SQRT($T$403^2+H39^2))</x:f>
        <x:v>161.96432749761493</x:v>
      </x:c>
      <x:c r="F39" s="8" t="n">
        <x:f>IF($A39="","",D39-$T$404*E39)</x:f>
        <x:v>-215.46586427869693</x:v>
      </x:c>
      <x:c r="G39" s="8" t="n">
        <x:f>IF($A39="","",D39+$T$404*E39)</x:f>
        <x:v>419.5120933290118</x:v>
      </x:c>
      <x:c r="H39" s="8" t="n">
        <x:f>IF($A39="","",SQRT(MAX(0,(1)*$S$409*(1)+(1)*$T$409*(C39^1)+(1)*$U$409*(C39^2)+(1)*$V$409*(C39^3)+(C39^1)*$S$410*(1)+(C39^1)*$T$410*(C39^1)+(C39^1)*$U$410*(C39^2)+(C39^1)*$V$410*(C39^3)+(C39^2)*$S$411*(1)+(C39^2)*$T$411*(C39^1)+(C39^2)*$U$411*(C39^2)+(C39^2)*$V$411*(C39^3)+(C39^3)*$S$412*(1)+(C39^3)*$T$412*(C39^1)+(C39^3)*$U$412*(C39^2)+(C39^3)*$V$412*(C39^3))))</x:f>
        <x:v>7.115575214202085</x:v>
      </x:c>
      <x:c r="I39" s="3"/>
      <x:c r="J39" s="10" t="n">
        <x:v>45890</x:v>
      </x:c>
      <x:c r="K39" s="8" t="n">
        <x:f>INDEX('Сводка'!$S$3:$S$397,U39)</x:f>
        <x:v>282</x:v>
      </x:c>
      <x:c r="L39" s="8" t="n">
        <x:f>INDEX('Сводка'!$S$3:$S$397,V39)</x:f>
        <x:v>296</x:v>
      </x:c>
      <x:c r="M39" s="8" t="n">
        <x:f>INDEX($K$388:$N$400,W39,1)+INDEX($K$388:$N$400,W39,2)*(2*(J39-$T$405)/(T39-$T$405)-1)^1+INDEX($K$388:$N$400,W39,3)*(2*(J39-$T$405)/(T39-$T$405)-1)^2+INDEX($K$388:$N$400,W39,4)*(2*(J39-$T$405)/(T39-$T$405)-1)^3</x:f>
        <x:v>138.17141743382558</x:v>
      </x:c>
      <x:c r="N39" s="8" t="n">
        <x:f>K39-M39</x:f>
        <x:v>143.82858256617442</x:v>
      </x:c>
      <x:c r="O39" s="8" t="n">
        <x:f>ABS(N39)</x:f>
        <x:v>143.82858256617442</x:v>
      </x:c>
      <x:c r="P39" s="8" t="n">
        <x:f>N39^2</x:f>
        <x:v>20686.661162994853</x:v>
      </x:c>
      <x:c r="Q39" s="8" t="n">
        <x:f>K39-L39</x:f>
        <x:v>-14</x:v>
      </x:c>
      <x:c r="R39" s="9" t="n">
        <x:f>IF(AND(INDEX('Сводка'!$T$3:$T$397,U39)=0,INDEX('Сводка'!$T$3:$T$397,V39)=0),1,0)</x:f>
        <x:v>1</x:v>
      </x:c>
      <x:c r="S39" s="9" t="n">
        <x:f>IF(AND(R39=1,O39&lt;=$G$13),1,0)</x:f>
        <x:v>0</x:v>
      </x:c>
      <x:c r="T39" s="10" t="n">
        <x:f>EOMONTH(J39-'Сводка'!$B$11,-1)</x:f>
        <x:v>45869</x:v>
      </x:c>
      <x:c r="U39" s="4" t="n">
        <x:f>MATCH(J39,'Сводка'!$R$3:$R$397,0)</x:f>
        <x:v>50</x:v>
      </x:c>
      <x:c r="V39" s="4" t="n">
        <x:f>MATCH(J39-'Сводка'!$B$11,'Сводка'!$R$3:$R$397,0)</x:f>
        <x:v>49</x:v>
      </x:c>
      <x:c r="W39" s="4" t="n">
        <x:f>MATCH(T39,$J$388:$J$400,0)</x:f>
        <x:v>2</x:v>
      </x:c>
      <x:c r="X39" s="3"/>
      <x:c r="Y39" s="3"/>
      <x:c r="Z39" s="3"/>
    </x:row>
    <x:row r="40" ht="15" customHeight="1">
      <x:c r="A40" s="10" t="n">
        <x:f>IF(22&lt;='Сводка'!$B$3,'Сводка'!$B$4+22,"")</x:f>
        <x:v>46257</x:v>
      </x:c>
      <x:c r="B40" s="18" t="n">
        <x:f>IF($A40="","",(A40-$T$405+1)/1000)</x:f>
        <x:v>9.001</x:v>
      </x:c>
      <x:c r="C40" s="18" t="n">
        <x:f>IF($A40="","",2*(A40-$T$405)/$T$406-1)</x:f>
        <x:v>1.0049008687903767</x:v>
      </x:c>
      <x:c r="D40" s="8" t="n">
        <x:f>IF($A40="","",$B$4+$B$5*C40^1+$B$6*C40^2+$B$7*C40^3)</x:f>
        <x:v>101.9919798297654</x:v>
      </x:c>
      <x:c r="E40" s="8" t="n">
        <x:f>IF($A40="","",SQRT($T$403^2+H40^2))</x:f>
        <x:v>161.9645840547003</x:v>
      </x:c>
      <x:c r="F40" s="8" t="n">
        <x:f>IF($A40="","",D40-$T$404*E40)</x:f>
        <x:v>-215.49750188759037</x:v>
      </x:c>
      <x:c r="G40" s="8" t="n">
        <x:f>IF($A40="","",D40+$T$404*E40)</x:f>
        <x:v>419.48146154712117</x:v>
      </x:c>
      <x:c r="H40" s="8" t="n">
        <x:f>IF($A40="","",SQRT(MAX(0,(1)*$S$409*(1)+(1)*$T$409*(C40^1)+(1)*$U$409*(C40^2)+(1)*$V$409*(C40^3)+(C40^1)*$S$410*(1)+(C40^1)*$T$410*(C40^1)+(C40^1)*$U$410*(C40^2)+(C40^1)*$V$410*(C40^3)+(C40^2)*$S$411*(1)+(C40^2)*$T$411*(C40^1)+(C40^2)*$U$411*(C40^2)+(C40^2)*$V$411*(C40^3)+(C40^3)*$S$412*(1)+(C40^3)*$T$412*(C40^1)+(C40^3)*$U$412*(C40^2)+(C40^3)*$V$412*(C40^3))))</x:f>
        <x:v>7.121412562573874</x:v>
      </x:c>
      <x:c r="I40" s="3"/>
      <x:c r="J40" s="10" t="n">
        <x:v>45891</x:v>
      </x:c>
      <x:c r="K40" s="8" t="n">
        <x:f>INDEX('Сводка'!$S$3:$S$397,U40)</x:f>
        <x:v>270</x:v>
      </x:c>
      <x:c r="L40" s="8" t="n">
        <x:f>INDEX('Сводка'!$S$3:$S$397,V40)</x:f>
        <x:v>282</x:v>
      </x:c>
      <x:c r="M40" s="8" t="n">
        <x:f>INDEX($K$388:$N$400,W40,1)+INDEX($K$388:$N$400,W40,2)*(2*(J40-$T$405)/(T40-$T$405)-1)^1+INDEX($K$388:$N$400,W40,3)*(2*(J40-$T$405)/(T40-$T$405)-1)^2+INDEX($K$388:$N$400,W40,4)*(2*(J40-$T$405)/(T40-$T$405)-1)^3</x:f>
        <x:v>138.17004764866772</x:v>
      </x:c>
      <x:c r="N40" s="8" t="n">
        <x:f>K40-M40</x:f>
        <x:v>131.82995235133228</x:v>
      </x:c>
      <x:c r="O40" s="8" t="n">
        <x:f>ABS(N40)</x:f>
        <x:v>131.82995235133228</x:v>
      </x:c>
      <x:c r="P40" s="8" t="n">
        <x:f>N40^2</x:f>
        <x:v>17379.13633695454</x:v>
      </x:c>
      <x:c r="Q40" s="8" t="n">
        <x:f>K40-L40</x:f>
        <x:v>-12</x:v>
      </x:c>
      <x:c r="R40" s="9" t="n">
        <x:f>IF(AND(INDEX('Сводка'!$T$3:$T$397,U40)=0,INDEX('Сводка'!$T$3:$T$397,V40)=0),1,0)</x:f>
        <x:v>1</x:v>
      </x:c>
      <x:c r="S40" s="9" t="n">
        <x:f>IF(AND(R40=1,O40&lt;=$G$13),1,0)</x:f>
        <x:v>0</x:v>
      </x:c>
      <x:c r="T40" s="10" t="n">
        <x:f>EOMONTH(J40-'Сводка'!$B$11,-1)</x:f>
        <x:v>45869</x:v>
      </x:c>
      <x:c r="U40" s="4" t="n">
        <x:f>MATCH(J40,'Сводка'!$R$3:$R$397,0)</x:f>
        <x:v>51</x:v>
      </x:c>
      <x:c r="V40" s="4" t="n">
        <x:f>MATCH(J40-'Сводка'!$B$11,'Сводка'!$R$3:$R$397,0)</x:f>
        <x:v>50</x:v>
      </x:c>
      <x:c r="W40" s="4" t="n">
        <x:f>MATCH(T40,$J$388:$J$400,0)</x:f>
        <x:v>2</x:v>
      </x:c>
      <x:c r="X40" s="3"/>
      <x:c r="Y40" s="3"/>
      <x:c r="Z40" s="3"/>
    </x:row>
    <x:row r="41" ht="15" customHeight="1">
      <x:c r="A41" s="10" t="n">
        <x:f>IF(23&lt;='Сводка'!$B$3,'Сводка'!$B$4+23,"")</x:f>
        <x:v>46258</x:v>
      </x:c>
      <x:c r="B41" s="18" t="n">
        <x:f>IF($A41="","",(A41-$T$405+1)/1000)</x:f>
        <x:v>9.002</x:v>
      </x:c>
      <x:c r="C41" s="18" t="n">
        <x:f>IF($A41="","",2*(A41-$T$405)/$T$406-1)</x:f>
        <x:v>1.0051236355535753</x:v>
      </x:c>
      <x:c r="D41" s="8" t="n">
        <x:f>IF($A41="","",$B$4+$B$5*C41^1+$B$6*C41^2+$B$7*C41^3)</x:f>
        <x:v>101.96082627049603</x:v>
      </x:c>
      <x:c r="E41" s="8" t="n">
        <x:f>IF($A41="","",SQRT($T$403^2+H41^2))</x:f>
        <x:v>161.96484100751897</x:v>
      </x:c>
      <x:c r="F41" s="8" t="n">
        <x:f>IF($A41="","",D41-$T$404*E41)</x:f>
        <x:v>-215.5291591360934</x:v>
      </x:c>
      <x:c r="G41" s="8" t="n">
        <x:f>IF($A41="","",D41+$T$404*E41)</x:f>
        <x:v>419.4508116770854</x:v>
      </x:c>
      <x:c r="H41" s="8" t="n">
        <x:f>IF($A41="","",SQRT(MAX(0,(1)*$S$409*(1)+(1)*$T$409*(C41^1)+(1)*$U$409*(C41^2)+(1)*$V$409*(C41^3)+(C41^1)*$S$410*(1)+(C41^1)*$T$410*(C41^1)+(C41^1)*$U$410*(C41^2)+(C41^1)*$V$410*(C41^3)+(C41^2)*$S$411*(1)+(C41^2)*$T$411*(C41^1)+(C41^2)*$U$411*(C41^2)+(C41^2)*$V$411*(C41^3)+(C41^3)*$S$412*(1)+(C41^3)*$T$412*(C41^1)+(C41^3)*$U$412*(C41^2)+(C41^3)*$V$412*(C41^3))))</x:f>
        <x:v>7.127254132216965</x:v>
      </x:c>
      <x:c r="I41" s="3"/>
      <x:c r="J41" s="10" t="n">
        <x:v>45892</x:v>
      </x:c>
      <x:c r="K41" s="8" t="n">
        <x:f>INDEX('Сводка'!$S$3:$S$397,U41)</x:f>
        <x:v>255</x:v>
      </x:c>
      <x:c r="L41" s="8" t="n">
        <x:f>INDEX('Сводка'!$S$3:$S$397,V41)</x:f>
        <x:v>270</x:v>
      </x:c>
      <x:c r="M41" s="8" t="n">
        <x:f>INDEX($K$388:$N$400,W41,1)+INDEX($K$388:$N$400,W41,2)*(2*(J41-$T$405)/(T41-$T$405)-1)^1+INDEX($K$388:$N$400,W41,3)*(2*(J41-$T$405)/(T41-$T$405)-1)^2+INDEX($K$388:$N$400,W41,4)*(2*(J41-$T$405)/(T41-$T$405)-1)^3</x:f>
        <x:v>138.16867077498716</x:v>
      </x:c>
      <x:c r="N41" s="8" t="n">
        <x:f>K41-M41</x:f>
        <x:v>116.83132922501284</x:v>
      </x:c>
      <x:c r="O41" s="8" t="n">
        <x:f>ABS(N41)</x:f>
        <x:v>116.83132922501284</x:v>
      </x:c>
      <x:c r="P41" s="8" t="n">
        <x:f>N41^2</x:f>
        <x:v>13649.559488483339</x:v>
      </x:c>
      <x:c r="Q41" s="8" t="n">
        <x:f>K41-L41</x:f>
        <x:v>-15</x:v>
      </x:c>
      <x:c r="R41" s="9" t="n">
        <x:f>IF(AND(INDEX('Сводка'!$T$3:$T$397,U41)=0,INDEX('Сводка'!$T$3:$T$397,V41)=0),1,0)</x:f>
        <x:v>1</x:v>
      </x:c>
      <x:c r="S41" s="9" t="n">
        <x:f>IF(AND(R41=1,O41&lt;=$G$13),1,0)</x:f>
        <x:v>0</x:v>
      </x:c>
      <x:c r="T41" s="10" t="n">
        <x:f>EOMONTH(J41-'Сводка'!$B$11,-1)</x:f>
        <x:v>45869</x:v>
      </x:c>
      <x:c r="U41" s="4" t="n">
        <x:f>MATCH(J41,'Сводка'!$R$3:$R$397,0)</x:f>
        <x:v>52</x:v>
      </x:c>
      <x:c r="V41" s="4" t="n">
        <x:f>MATCH(J41-'Сводка'!$B$11,'Сводка'!$R$3:$R$397,0)</x:f>
        <x:v>51</x:v>
      </x:c>
      <x:c r="W41" s="4" t="n">
        <x:f>MATCH(T41,$J$388:$J$400,0)</x:f>
        <x:v>2</x:v>
      </x:c>
      <x:c r="X41" s="3"/>
      <x:c r="Y41" s="3"/>
      <x:c r="Z41" s="3"/>
    </x:row>
    <x:row r="42" ht="15" customHeight="1">
      <x:c r="A42" s="10" t="n">
        <x:f>IF(24&lt;='Сводка'!$B$3,'Сводка'!$B$4+24,"")</x:f>
        <x:v>46259</x:v>
      </x:c>
      <x:c r="B42" s="18" t="n">
        <x:f>IF($A42="","",(A42-$T$405+1)/1000)</x:f>
        <x:v>9.003</x:v>
      </x:c>
      <x:c r="C42" s="18" t="n">
        <x:f>IF($A42="","",2*(A42-$T$405)/$T$406-1)</x:f>
        <x:v>1.0053464023167744</x:v>
      </x:c>
      <x:c r="D42" s="8" t="n">
        <x:f>IF($A42="","",$B$4+$B$5*C42^1+$B$6*C42^2+$B$7*C42^3)</x:f>
        <x:v>101.92965384466433</x:v>
      </x:c>
      <x:c r="E42" s="8" t="n">
        <x:f>IF($A42="","",SQRT($T$403^2+H42^2))</x:f>
        <x:v>161.96509835651395</x:v>
      </x:c>
      <x:c r="F42" s="8" t="n">
        <x:f>IF($A42="","",D42-$T$404*E42)</x:f>
        <x:v>-215.56083602775945</x:v>
      </x:c>
      <x:c r="G42" s="8" t="n">
        <x:f>IF($A42="","",D42+$T$404*E42)</x:f>
        <x:v>419.4201437170881</x:v>
      </x:c>
      <x:c r="H42" s="8" t="n">
        <x:f>IF($A42="","",SQRT(MAX(0,(1)*$S$409*(1)+(1)*$T$409*(C42^1)+(1)*$U$409*(C42^2)+(1)*$V$409*(C42^3)+(C42^1)*$S$410*(1)+(C42^1)*$T$410*(C42^1)+(C42^1)*$U$410*(C42^2)+(C42^1)*$V$410*(C42^3)+(C42^2)*$S$411*(1)+(C42^2)*$T$411*(C42^1)+(C42^2)*$U$411*(C42^2)+(C42^2)*$V$411*(C42^3)+(C42^3)*$S$412*(1)+(C42^3)*$T$412*(C42^1)+(C42^3)*$U$412*(C42^2)+(C42^3)*$V$412*(C42^3))))</x:f>
        <x:v>7.133099922863128</x:v>
      </x:c>
      <x:c r="I42" s="3"/>
      <x:c r="J42" s="10" t="n">
        <x:v>45893</x:v>
      </x:c>
      <x:c r="K42" s="8" t="n">
        <x:f>INDEX('Сводка'!$S$3:$S$397,U42)</x:f>
        <x:v>245</x:v>
      </x:c>
      <x:c r="L42" s="8" t="n">
        <x:f>INDEX('Сводка'!$S$3:$S$397,V42)</x:f>
        <x:v>255</x:v>
      </x:c>
      <x:c r="M42" s="8" t="n">
        <x:f>INDEX($K$388:$N$400,W42,1)+INDEX($K$388:$N$400,W42,2)*(2*(J42-$T$405)/(T42-$T$405)-1)^1+INDEX($K$388:$N$400,W42,3)*(2*(J42-$T$405)/(T42-$T$405)-1)^2+INDEX($K$388:$N$400,W42,4)*(2*(J42-$T$405)/(T42-$T$405)-1)^3</x:f>
        <x:v>138.1672868123018</x:v>
      </x:c>
      <x:c r="N42" s="8" t="n">
        <x:f>K42-M42</x:f>
        <x:v>106.8327131876982</x:v>
      </x:c>
      <x:c r="O42" s="8" t="n">
        <x:f>ABS(N42)</x:f>
        <x:v>106.8327131876982</x:v>
      </x:c>
      <x:c r="P42" s="8" t="n">
        <x:f>N42^2</x:f>
        <x:v>11413.228607044986</x:v>
      </x:c>
      <x:c r="Q42" s="8" t="n">
        <x:f>K42-L42</x:f>
        <x:v>-10</x:v>
      </x:c>
      <x:c r="R42" s="9" t="n">
        <x:f>IF(AND(INDEX('Сводка'!$T$3:$T$397,U42)=0,INDEX('Сводка'!$T$3:$T$397,V42)=0),1,0)</x:f>
        <x:v>1</x:v>
      </x:c>
      <x:c r="S42" s="9" t="n">
        <x:f>IF(AND(R42=1,O42&lt;=$G$13),1,0)</x:f>
        <x:v>0</x:v>
      </x:c>
      <x:c r="T42" s="10" t="n">
        <x:f>EOMONTH(J42-'Сводка'!$B$11,-1)</x:f>
        <x:v>45869</x:v>
      </x:c>
      <x:c r="U42" s="4" t="n">
        <x:f>MATCH(J42,'Сводка'!$R$3:$R$397,0)</x:f>
        <x:v>53</x:v>
      </x:c>
      <x:c r="V42" s="4" t="n">
        <x:f>MATCH(J42-'Сводка'!$B$11,'Сводка'!$R$3:$R$397,0)</x:f>
        <x:v>52</x:v>
      </x:c>
      <x:c r="W42" s="4" t="n">
        <x:f>MATCH(T42,$J$388:$J$400,0)</x:f>
        <x:v>2</x:v>
      </x:c>
      <x:c r="X42" s="3"/>
      <x:c r="Y42" s="3"/>
      <x:c r="Z42" s="3"/>
    </x:row>
    <x:row r="43" ht="15" customHeight="1">
      <x:c r="A43" s="10" t="n">
        <x:f>IF(25&lt;='Сводка'!$B$3,'Сводка'!$B$4+25,"")</x:f>
        <x:v>46260</x:v>
      </x:c>
      <x:c r="B43" s="18" t="n">
        <x:f>IF($A43="","",(A43-$T$405+1)/1000)</x:f>
        <x:v>9.004</x:v>
      </x:c>
      <x:c r="C43" s="18" t="n">
        <x:f>IF($A43="","",2*(A43-$T$405)/$T$406-1)</x:f>
        <x:v>1.005569169079973</x:v>
      </x:c>
      <x:c r="D43" s="8" t="n">
        <x:f>IF($A43="","",$B$4+$B$5*C43^1+$B$6*C43^2+$B$7*C43^3)</x:f>
        <x:v>101.89846254958557</x:v>
      </x:c>
      <x:c r="E43" s="8" t="n">
        <x:f>IF($A43="","",SQRT($T$403^2+H43^2))</x:f>
        <x:v>161.96535610212868</x:v>
      </x:c>
      <x:c r="F43" s="8" t="n">
        <x:f>IF($A43="","",D43-$T$404*E43)</x:f>
        <x:v>-215.59253256614255</x:v>
      </x:c>
      <x:c r="G43" s="8" t="n">
        <x:f>IF($A43="","",D43+$T$404*E43)</x:f>
        <x:v>419.3894576653137</x:v>
      </x:c>
      <x:c r="H43" s="8" t="n">
        <x:f>IF($A43="","",SQRT(MAX(0,(1)*$S$409*(1)+(1)*$T$409*(C43^1)+(1)*$U$409*(C43^2)+(1)*$V$409*(C43^3)+(C43^1)*$S$410*(1)+(C43^1)*$T$410*(C43^1)+(C43^1)*$U$410*(C43^2)+(C43^1)*$V$410*(C43^3)+(C43^2)*$S$411*(1)+(C43^2)*$T$411*(C43^1)+(C43^2)*$U$411*(C43^2)+(C43^2)*$V$411*(C43^3)+(C43^3)*$S$412*(1)+(C43^3)*$T$412*(C43^1)+(C43^3)*$U$412*(C43^2)+(C43^3)*$V$412*(C43^3))))</x:f>
        <x:v>7.138949934245208</x:v>
      </x:c>
      <x:c r="I43" s="3"/>
      <x:c r="J43" s="10" t="n">
        <x:v>45894</x:v>
      </x:c>
      <x:c r="K43" s="8" t="n">
        <x:f>INDEX('Сводка'!$S$3:$S$397,U43)</x:f>
        <x:v>235</x:v>
      </x:c>
      <x:c r="L43" s="8" t="n">
        <x:f>INDEX('Сводка'!$S$3:$S$397,V43)</x:f>
        <x:v>245</x:v>
      </x:c>
      <x:c r="M43" s="8" t="n">
        <x:f>INDEX($K$388:$N$400,W43,1)+INDEX($K$388:$N$400,W43,2)*(2*(J43-$T$405)/(T43-$T$405)-1)^1+INDEX($K$388:$N$400,W43,3)*(2*(J43-$T$405)/(T43-$T$405)-1)^2+INDEX($K$388:$N$400,W43,4)*(2*(J43-$T$405)/(T43-$T$405)-1)^3</x:f>
        <x:v>138.16589576012927</x:v>
      </x:c>
      <x:c r="N43" s="8" t="n">
        <x:f>K43-M43</x:f>
        <x:v>96.83410423987073</x:v>
      </x:c>
      <x:c r="O43" s="8" t="n">
        <x:f>ABS(N43)</x:f>
        <x:v>96.83410423987073</x:v>
      </x:c>
      <x:c r="P43" s="8" t="n">
        <x:f>N43^2</x:f>
        <x:v>9376.84374393815</x:v>
      </x:c>
      <x:c r="Q43" s="8" t="n">
        <x:f>K43-L43</x:f>
        <x:v>-10</x:v>
      </x:c>
      <x:c r="R43" s="9" t="n">
        <x:f>IF(AND(INDEX('Сводка'!$T$3:$T$397,U43)=0,INDEX('Сводка'!$T$3:$T$397,V43)=0),1,0)</x:f>
        <x:v>1</x:v>
      </x:c>
      <x:c r="S43" s="9" t="n">
        <x:f>IF(AND(R43=1,O43&lt;=$G$13),1,0)</x:f>
        <x:v>0</x:v>
      </x:c>
      <x:c r="T43" s="10" t="n">
        <x:f>EOMONTH(J43-'Сводка'!$B$11,-1)</x:f>
        <x:v>45869</x:v>
      </x:c>
      <x:c r="U43" s="4" t="n">
        <x:f>MATCH(J43,'Сводка'!$R$3:$R$397,0)</x:f>
        <x:v>54</x:v>
      </x:c>
      <x:c r="V43" s="4" t="n">
        <x:f>MATCH(J43-'Сводка'!$B$11,'Сводка'!$R$3:$R$397,0)</x:f>
        <x:v>53</x:v>
      </x:c>
      <x:c r="W43" s="4" t="n">
        <x:f>MATCH(T43,$J$388:$J$400,0)</x:f>
        <x:v>2</x:v>
      </x:c>
      <x:c r="X43" s="3"/>
      <x:c r="Y43" s="3"/>
      <x:c r="Z43" s="3"/>
    </x:row>
    <x:row r="44" ht="15" customHeight="1">
      <x:c r="A44" s="10" t="n">
        <x:f>IF(26&lt;='Сводка'!$B$3,'Сводка'!$B$4+26,"")</x:f>
        <x:v>46261</x:v>
      </x:c>
      <x:c r="B44" s="18" t="n">
        <x:f>IF($A44="","",(A44-$T$405+1)/1000)</x:f>
        <x:v>9.005</x:v>
      </x:c>
      <x:c r="C44" s="18" t="n">
        <x:f>IF($A44="","",2*(A44-$T$405)/$T$406-1)</x:f>
        <x:v>1.0057919358431722</x:v>
      </x:c>
      <x:c r="D44" s="8" t="n">
        <x:f>IF($A44="","",$B$4+$B$5*C44^1+$B$6*C44^2+$B$7*C44^3)</x:f>
        <x:v>101.86725238257486</x:v>
      </x:c>
      <x:c r="E44" s="8" t="n">
        <x:f>IF($A44="","",SQRT($T$403^2+H44^2))</x:f>
        <x:v>161.96561424480683</x:v>
      </x:c>
      <x:c r="F44" s="8" t="n">
        <x:f>IF($A44="","",D44-$T$404*E44)</x:f>
        <x:v>-215.6242487547973</x:v>
      </x:c>
      <x:c r="G44" s="8" t="n">
        <x:f>IF($A44="","",D44+$T$404*E44)</x:f>
        <x:v>419.358753519947</x:v>
      </x:c>
      <x:c r="H44" s="8" t="n">
        <x:f>IF($A44="","",SQRT(MAX(0,(1)*$S$409*(1)+(1)*$T$409*(C44^1)+(1)*$U$409*(C44^2)+(1)*$V$409*(C44^3)+(C44^1)*$S$410*(1)+(C44^1)*$T$410*(C44^1)+(C44^1)*$U$410*(C44^2)+(C44^1)*$V$410*(C44^3)+(C44^2)*$S$411*(1)+(C44^2)*$T$411*(C44^1)+(C44^2)*$U$411*(C44^2)+(C44^2)*$V$411*(C44^3)+(C44^3)*$S$412*(1)+(C44^3)*$T$412*(C44^1)+(C44^3)*$U$412*(C44^2)+(C44^3)*$V$412*(C44^3))))</x:f>
        <x:v>7.144804166097256</x:v>
      </x:c>
      <x:c r="I44" s="3"/>
      <x:c r="J44" s="10" t="n">
        <x:v>45895</x:v>
      </x:c>
      <x:c r="K44" s="8" t="n">
        <x:f>INDEX('Сводка'!$S$3:$S$397,U44)</x:f>
        <x:v>227</x:v>
      </x:c>
      <x:c r="L44" s="8" t="n">
        <x:f>INDEX('Сводка'!$S$3:$S$397,V44)</x:f>
        <x:v>235</x:v>
      </x:c>
      <x:c r="M44" s="8" t="n">
        <x:f>INDEX($K$388:$N$400,W44,1)+INDEX($K$388:$N$400,W44,2)*(2*(J44-$T$405)/(T44-$T$405)-1)^1+INDEX($K$388:$N$400,W44,3)*(2*(J44-$T$405)/(T44-$T$405)-1)^2+INDEX($K$388:$N$400,W44,4)*(2*(J44-$T$405)/(T44-$T$405)-1)^3</x:f>
        <x:v>138.16449761798725</x:v>
      </x:c>
      <x:c r="N44" s="8" t="n">
        <x:f>K44-M44</x:f>
        <x:v>88.83550238201275</x:v>
      </x:c>
      <x:c r="O44" s="8" t="n">
        <x:f>ABS(N44)</x:f>
        <x:v>88.83550238201275</x:v>
      </x:c>
      <x:c r="P44" s="8" t="n">
        <x:f>N44^2</x:f>
        <x:v>7891.7464834645925</x:v>
      </x:c>
      <x:c r="Q44" s="8" t="n">
        <x:f>K44-L44</x:f>
        <x:v>-8</x:v>
      </x:c>
      <x:c r="R44" s="9" t="n">
        <x:f>IF(AND(INDEX('Сводка'!$T$3:$T$397,U44)=0,INDEX('Сводка'!$T$3:$T$397,V44)=0),1,0)</x:f>
        <x:v>1</x:v>
      </x:c>
      <x:c r="S44" s="9" t="n">
        <x:f>IF(AND(R44=1,O44&lt;=$G$13),1,0)</x:f>
        <x:v>0</x:v>
      </x:c>
      <x:c r="T44" s="10" t="n">
        <x:f>EOMONTH(J44-'Сводка'!$B$11,-1)</x:f>
        <x:v>45869</x:v>
      </x:c>
      <x:c r="U44" s="4" t="n">
        <x:f>MATCH(J44,'Сводка'!$R$3:$R$397,0)</x:f>
        <x:v>55</x:v>
      </x:c>
      <x:c r="V44" s="4" t="n">
        <x:f>MATCH(J44-'Сводка'!$B$11,'Сводка'!$R$3:$R$397,0)</x:f>
        <x:v>54</x:v>
      </x:c>
      <x:c r="W44" s="4" t="n">
        <x:f>MATCH(T44,$J$388:$J$400,0)</x:f>
        <x:v>2</x:v>
      </x:c>
      <x:c r="X44" s="3"/>
      <x:c r="Y44" s="3"/>
      <x:c r="Z44" s="3"/>
    </x:row>
    <x:row r="45" ht="15" customHeight="1">
      <x:c r="A45" s="10" t="n">
        <x:f>IF(27&lt;='Сводка'!$B$3,'Сводка'!$B$4+27,"")</x:f>
        <x:v>46262</x:v>
      </x:c>
      <x:c r="B45" s="18" t="n">
        <x:f>IF($A45="","",(A45-$T$405+1)/1000)</x:f>
        <x:v>9.006</x:v>
      </x:c>
      <x:c r="C45" s="18" t="n">
        <x:f>IF($A45="","",2*(A45-$T$405)/$T$406-1)</x:f>
        <x:v>1.0060147026063713</x:v>
      </x:c>
      <x:c r="D45" s="8" t="n">
        <x:f>IF($A45="","",$B$4+$B$5*C45^1+$B$6*C45^2+$B$7*C45^3)</x:f>
        <x:v>101.83602334094732</x:v>
      </x:c>
      <x:c r="E45" s="8" t="n">
        <x:f>IF($A45="","",SQRT($T$403^2+H45^2))</x:f>
        <x:v>161.96587278499246</x:v>
      </x:c>
      <x:c r="F45" s="8" t="n">
        <x:f>IF($A45="","",D45-$T$404*E45)</x:f>
        <x:v>-215.655984597279</x:v>
      </x:c>
      <x:c r="G45" s="8" t="n">
        <x:f>IF($A45="","",D45+$T$404*E45)</x:f>
        <x:v>419.3280312791736</x:v>
      </x:c>
      <x:c r="H45" s="8" t="n">
        <x:f>IF($A45="","",SQRT(MAX(0,(1)*$S$409*(1)+(1)*$T$409*(C45^1)+(1)*$U$409*(C45^2)+(1)*$V$409*(C45^3)+(C45^1)*$S$410*(1)+(C45^1)*$T$410*(C45^1)+(C45^1)*$U$410*(C45^2)+(C45^1)*$V$410*(C45^3)+(C45^2)*$S$411*(1)+(C45^2)*$T$411*(C45^1)+(C45^2)*$U$411*(C45^2)+(C45^2)*$V$411*(C45^3)+(C45^3)*$S$412*(1)+(C45^3)*$T$412*(C45^1)+(C45^3)*$U$412*(C45^2)+(C45^3)*$V$412*(C45^3))))</x:f>
        <x:v>7.150662618154414</x:v>
      </x:c>
      <x:c r="I45" s="3"/>
      <x:c r="J45" s="10" t="n">
        <x:v>45896</x:v>
      </x:c>
      <x:c r="K45" s="8" t="n">
        <x:f>INDEX('Сводка'!$S$3:$S$397,U45)</x:f>
        <x:v>226</x:v>
      </x:c>
      <x:c r="L45" s="8" t="n">
        <x:f>INDEX('Сводка'!$S$3:$S$397,V45)</x:f>
        <x:v>227</x:v>
      </x:c>
      <x:c r="M45" s="8" t="n">
        <x:f>INDEX($K$388:$N$400,W45,1)+INDEX($K$388:$N$400,W45,2)*(2*(J45-$T$405)/(T45-$T$405)-1)^1+INDEX($K$388:$N$400,W45,3)*(2*(J45-$T$405)/(T45-$T$405)-1)^2+INDEX($K$388:$N$400,W45,4)*(2*(J45-$T$405)/(T45-$T$405)-1)^3</x:f>
        <x:v>138.16309238539358</x:v>
      </x:c>
      <x:c r="N45" s="8" t="n">
        <x:f>K45-M45</x:f>
        <x:v>87.83690761460642</x:v>
      </x:c>
      <x:c r="O45" s="8" t="n">
        <x:f>ABS(N45)</x:f>
        <x:v>87.83690761460642</x:v>
      </x:c>
      <x:c r="P45" s="8" t="n">
        <x:f>N45^2</x:f>
        <x:v>7715.322339296903</x:v>
      </x:c>
      <x:c r="Q45" s="8" t="n">
        <x:f>K45-L45</x:f>
        <x:v>-1</x:v>
      </x:c>
      <x:c r="R45" s="9" t="n">
        <x:f>IF(AND(INDEX('Сводка'!$T$3:$T$397,U45)=0,INDEX('Сводка'!$T$3:$T$397,V45)=0),1,0)</x:f>
        <x:v>1</x:v>
      </x:c>
      <x:c r="S45" s="9" t="n">
        <x:f>IF(AND(R45=1,O45&lt;=$G$13),1,0)</x:f>
        <x:v>0</x:v>
      </x:c>
      <x:c r="T45" s="10" t="n">
        <x:f>EOMONTH(J45-'Сводка'!$B$11,-1)</x:f>
        <x:v>45869</x:v>
      </x:c>
      <x:c r="U45" s="4" t="n">
        <x:f>MATCH(J45,'Сводка'!$R$3:$R$397,0)</x:f>
        <x:v>56</x:v>
      </x:c>
      <x:c r="V45" s="4" t="n">
        <x:f>MATCH(J45-'Сводка'!$B$11,'Сводка'!$R$3:$R$397,0)</x:f>
        <x:v>55</x:v>
      </x:c>
      <x:c r="W45" s="4" t="n">
        <x:f>MATCH(T45,$J$388:$J$400,0)</x:f>
        <x:v>2</x:v>
      </x:c>
      <x:c r="X45" s="3"/>
      <x:c r="Y45" s="3"/>
      <x:c r="Z45" s="3"/>
    </x:row>
    <x:row r="46" ht="15" customHeight="1">
      <x:c r="A46" s="10" t="n">
        <x:f>IF(28&lt;='Сводка'!$B$3,'Сводка'!$B$4+28,"")</x:f>
        <x:v>46263</x:v>
      </x:c>
      <x:c r="B46" s="18" t="n">
        <x:f>IF($A46="","",(A46-$T$405+1)/1000)</x:f>
        <x:v>9.007</x:v>
      </x:c>
      <x:c r="C46" s="18" t="n">
        <x:f>IF($A46="","",2*(A46-$T$405)/$T$406-1)</x:f>
        <x:v>1.00623746936957</x:v>
      </x:c>
      <x:c r="D46" s="8" t="n">
        <x:f>IF($A46="","",$B$4+$B$5*C46^1+$B$6*C46^2+$B$7*C46^3)</x:f>
        <x:v>101.80477542201817</x:v>
      </x:c>
      <x:c r="E46" s="8" t="n">
        <x:f>IF($A46="","",SQRT($T$403^2+H46^2))</x:f>
        <x:v>161.96613172312996</x:v>
      </x:c>
      <x:c r="F46" s="8" t="n">
        <x:f>IF($A46="","",D46-$T$404*E46)</x:f>
        <x:v>-215.6877400971435</x:v>
      </x:c>
      <x:c r="G46" s="8" t="n">
        <x:f>IF($A46="","",D46+$T$404*E46)</x:f>
        <x:v>419.2972909411798</x:v>
      </x:c>
      <x:c r="H46" s="8" t="n">
        <x:f>IF($A46="","",SQRT(MAX(0,(1)*$S$409*(1)+(1)*$T$409*(C46^1)+(1)*$U$409*(C46^2)+(1)*$V$409*(C46^3)+(C46^1)*$S$410*(1)+(C46^1)*$T$410*(C46^1)+(C46^1)*$U$410*(C46^2)+(C46^1)*$V$410*(C46^3)+(C46^2)*$S$411*(1)+(C46^2)*$T$411*(C46^1)+(C46^2)*$U$411*(C46^2)+(C46^2)*$V$411*(C46^3)+(C46^3)*$S$412*(1)+(C46^3)*$T$412*(C46^1)+(C46^3)*$U$412*(C46^2)+(C46^3)*$V$412*(C46^3))))</x:f>
        <x:v>7.15652529015298</x:v>
      </x:c>
      <x:c r="I46" s="3"/>
      <x:c r="J46" s="10" t="n">
        <x:v>45897</x:v>
      </x:c>
      <x:c r="K46" s="8" t="n">
        <x:f>INDEX('Сводка'!$S$3:$S$397,U46)</x:f>
        <x:v>229</x:v>
      </x:c>
      <x:c r="L46" s="8" t="n">
        <x:f>INDEX('Сводка'!$S$3:$S$397,V46)</x:f>
        <x:v>226</x:v>
      </x:c>
      <x:c r="M46" s="8" t="n">
        <x:f>INDEX($K$388:$N$400,W46,1)+INDEX($K$388:$N$400,W46,2)*(2*(J46-$T$405)/(T46-$T$405)-1)^1+INDEX($K$388:$N$400,W46,3)*(2*(J46-$T$405)/(T46-$T$405)-1)^2+INDEX($K$388:$N$400,W46,4)*(2*(J46-$T$405)/(T46-$T$405)-1)^3</x:f>
        <x:v>138.16168006186592</x:v>
      </x:c>
      <x:c r="N46" s="8" t="n">
        <x:f>K46-M46</x:f>
        <x:v>90.83831993813408</x:v>
      </x:c>
      <x:c r="O46" s="8" t="n">
        <x:f>ABS(N46)</x:f>
        <x:v>90.83831993813408</x:v>
      </x:c>
      <x:c r="P46" s="8" t="n">
        <x:f>N46^2</x:f>
        <x:v>8251.600369182806</x:v>
      </x:c>
      <x:c r="Q46" s="8" t="n">
        <x:f>K46-L46</x:f>
        <x:v>3</x:v>
      </x:c>
      <x:c r="R46" s="9" t="n">
        <x:f>IF(AND(INDEX('Сводка'!$T$3:$T$397,U46)=0,INDEX('Сводка'!$T$3:$T$397,V46)=0),1,0)</x:f>
        <x:v>1</x:v>
      </x:c>
      <x:c r="S46" s="9" t="n">
        <x:f>IF(AND(R46=1,O46&lt;=$G$13),1,0)</x:f>
        <x:v>0</x:v>
      </x:c>
      <x:c r="T46" s="10" t="n">
        <x:f>EOMONTH(J46-'Сводка'!$B$11,-1)</x:f>
        <x:v>45869</x:v>
      </x:c>
      <x:c r="U46" s="4" t="n">
        <x:f>MATCH(J46,'Сводка'!$R$3:$R$397,0)</x:f>
        <x:v>57</x:v>
      </x:c>
      <x:c r="V46" s="4" t="n">
        <x:f>MATCH(J46-'Сводка'!$B$11,'Сводка'!$R$3:$R$397,0)</x:f>
        <x:v>56</x:v>
      </x:c>
      <x:c r="W46" s="4" t="n">
        <x:f>MATCH(T46,$J$388:$J$400,0)</x:f>
        <x:v>2</x:v>
      </x:c>
      <x:c r="X46" s="3"/>
      <x:c r="Y46" s="3"/>
      <x:c r="Z46" s="3"/>
    </x:row>
    <x:row r="47" ht="15" customHeight="1">
      <x:c r="A47" s="10" t="n">
        <x:f>IF(29&lt;='Сводка'!$B$3,'Сводка'!$B$4+29,"")</x:f>
        <x:v>46264</x:v>
      </x:c>
      <x:c r="B47" s="18" t="n">
        <x:f>IF($A47="","",(A47-$T$405+1)/1000)</x:f>
        <x:v>9.008</x:v>
      </x:c>
      <x:c r="C47" s="18" t="n">
        <x:f>IF($A47="","",2*(A47-$T$405)/$T$406-1)</x:f>
        <x:v>1.006460236132769</x:v>
      </x:c>
      <x:c r="D47" s="8" t="n">
        <x:f>IF($A47="","",$B$4+$B$5*C47^1+$B$6*C47^2+$B$7*C47^3)</x:f>
        <x:v>101.77350862310252</x:v>
      </x:c>
      <x:c r="E47" s="8" t="n">
        <x:f>IF($A47="","",SQRT($T$403^2+H47^2))</x:f>
        <x:v>161.9663910596641</x:v>
      </x:c>
      <x:c r="F47" s="8" t="n">
        <x:f>IF($A47="","",D47-$T$404*E47)</x:f>
        <x:v>-215.71951525794762</x:v>
      </x:c>
      <x:c r="G47" s="8" t="n">
        <x:f>IF($A47="","",D47+$T$404*E47)</x:f>
        <x:v>419.2665325041527</x:v>
      </x:c>
      <x:c r="H47" s="8" t="n">
        <x:f>IF($A47="","",SQRT(MAX(0,(1)*$S$409*(1)+(1)*$T$409*(C47^1)+(1)*$U$409*(C47^2)+(1)*$V$409*(C47^3)+(C47^1)*$S$410*(1)+(C47^1)*$T$410*(C47^1)+(C47^1)*$U$410*(C47^2)+(C47^1)*$V$410*(C47^3)+(C47^2)*$S$411*(1)+(C47^2)*$T$411*(C47^1)+(C47^2)*$U$411*(C47^2)+(C47^2)*$V$411*(C47^3)+(C47^3)*$S$412*(1)+(C47^3)*$T$412*(C47^1)+(C47^3)*$U$412*(C47^2)+(C47^3)*$V$412*(C47^3))))</x:f>
        <x:v>7.16239218183042</x:v>
      </x:c>
      <x:c r="I47" s="3"/>
      <x:c r="J47" s="10" t="n">
        <x:v>45898</x:v>
      </x:c>
      <x:c r="K47" s="8" t="n">
        <x:f>INDEX('Сводка'!$S$3:$S$397,U47)</x:f>
        <x:v>233</x:v>
      </x:c>
      <x:c r="L47" s="8" t="n">
        <x:f>INDEX('Сводка'!$S$3:$S$397,V47)</x:f>
        <x:v>229</x:v>
      </x:c>
      <x:c r="M47" s="8" t="n">
        <x:f>INDEX($K$388:$N$400,W47,1)+INDEX($K$388:$N$400,W47,2)*(2*(J47-$T$405)/(T47-$T$405)-1)^1+INDEX($K$388:$N$400,W47,3)*(2*(J47-$T$405)/(T47-$T$405)-1)^2+INDEX($K$388:$N$400,W47,4)*(2*(J47-$T$405)/(T47-$T$405)-1)^3</x:f>
        <x:v>138.160260646922</x:v>
      </x:c>
      <x:c r="N47" s="8" t="n">
        <x:f>K47-M47</x:f>
        <x:v>94.83973935307799</x:v>
      </x:c>
      <x:c r="O47" s="8" t="n">
        <x:f>ABS(N47)</x:f>
        <x:v>94.83973935307799</x:v>
      </x:c>
      <x:c r="P47" s="8" t="n">
        <x:f>N47^2</x:f>
        <x:v>8994.576160559769</x:v>
      </x:c>
      <x:c r="Q47" s="8" t="n">
        <x:f>K47-L47</x:f>
        <x:v>4</x:v>
      </x:c>
      <x:c r="R47" s="9" t="n">
        <x:f>IF(AND(INDEX('Сводка'!$T$3:$T$397,U47)=0,INDEX('Сводка'!$T$3:$T$397,V47)=0),1,0)</x:f>
        <x:v>1</x:v>
      </x:c>
      <x:c r="S47" s="9" t="n">
        <x:f>IF(AND(R47=1,O47&lt;=$G$13),1,0)</x:f>
        <x:v>0</x:v>
      </x:c>
      <x:c r="T47" s="10" t="n">
        <x:f>EOMONTH(J47-'Сводка'!$B$11,-1)</x:f>
        <x:v>45869</x:v>
      </x:c>
      <x:c r="U47" s="4" t="n">
        <x:f>MATCH(J47,'Сводка'!$R$3:$R$397,0)</x:f>
        <x:v>58</x:v>
      </x:c>
      <x:c r="V47" s="4" t="n">
        <x:f>MATCH(J47-'Сводка'!$B$11,'Сводка'!$R$3:$R$397,0)</x:f>
        <x:v>57</x:v>
      </x:c>
      <x:c r="W47" s="4" t="n">
        <x:f>MATCH(T47,$J$388:$J$400,0)</x:f>
        <x:v>2</x:v>
      </x:c>
      <x:c r="X47" s="3"/>
      <x:c r="Y47" s="3"/>
      <x:c r="Z47" s="3"/>
    </x:row>
    <x:row r="48" ht="15" customHeight="1">
      <x:c r="A48" s="10" t="n">
        <x:f>IF(30&lt;='Сводка'!$B$3,'Сводка'!$B$4+30,"")</x:f>
        <x:v>46265</x:v>
      </x:c>
      <x:c r="B48" s="18" t="n">
        <x:f>IF($A48="","",(A48-$T$405+1)/1000)</x:f>
        <x:v>9.009</x:v>
      </x:c>
      <x:c r="C48" s="18" t="n">
        <x:f>IF($A48="","",2*(A48-$T$405)/$T$406-1)</x:f>
        <x:v>1.0066830028959681</x:v>
      </x:c>
      <x:c r="D48" s="8" t="n">
        <x:f>IF($A48="","",$B$4+$B$5*C48^1+$B$6*C48^2+$B$7*C48^3)</x:f>
        <x:v>101.74222294151545</x:v>
      </x:c>
      <x:c r="E48" s="8" t="n">
        <x:f>IF($A48="","",SQRT($T$403^2+H48^2))</x:f>
        <x:v>161.96665079503987</x:v>
      </x:c>
      <x:c r="F48" s="8" t="n">
        <x:f>IF($A48="","",D48-$T$404*E48)</x:f>
        <x:v>-215.7513100832485</x:v>
      </x:c>
      <x:c r="G48" s="8" t="n">
        <x:f>IF($A48="","",D48+$T$404*E48)</x:f>
        <x:v>419.2357559662794</x:v>
      </x:c>
      <x:c r="H48" s="8" t="n">
        <x:f>IF($A48="","",SQRT(MAX(0,(1)*$S$409*(1)+(1)*$T$409*(C48^1)+(1)*$U$409*(C48^2)+(1)*$V$409*(C48^3)+(C48^1)*$S$410*(1)+(C48^1)*$T$410*(C48^1)+(C48^1)*$U$410*(C48^2)+(C48^1)*$V$410*(C48^3)+(C48^2)*$S$411*(1)+(C48^2)*$T$411*(C48^1)+(C48^2)*$U$411*(C48^2)+(C48^2)*$V$411*(C48^3)+(C48^3)*$S$412*(1)+(C48^3)*$T$412*(C48^1)+(C48^3)*$U$412*(C48^2)+(C48^3)*$V$412*(C48^3))))</x:f>
        <x:v>7.1682632929253085</x:v>
      </x:c>
      <x:c r="I48" s="3"/>
      <x:c r="J48" s="10" t="n">
        <x:v>45899</x:v>
      </x:c>
      <x:c r="K48" s="8" t="n">
        <x:f>INDEX('Сводка'!$S$3:$S$397,U48)</x:f>
        <x:v>238</x:v>
      </x:c>
      <x:c r="L48" s="8" t="n">
        <x:f>INDEX('Сводка'!$S$3:$S$397,V48)</x:f>
        <x:v>233</x:v>
      </x:c>
      <x:c r="M48" s="8" t="n">
        <x:f>INDEX($K$388:$N$400,W48,1)+INDEX($K$388:$N$400,W48,2)*(2*(J48-$T$405)/(T48-$T$405)-1)^1+INDEX($K$388:$N$400,W48,3)*(2*(J48-$T$405)/(T48-$T$405)-1)^2+INDEX($K$388:$N$400,W48,4)*(2*(J48-$T$405)/(T48-$T$405)-1)^3</x:f>
        <x:v>138.15883414007962</x:v>
      </x:c>
      <x:c r="N48" s="8" t="n">
        <x:f>K48-M48</x:f>
        <x:v>99.84116585992038</x:v>
      </x:c>
      <x:c r="O48" s="8" t="n">
        <x:f>ABS(N48)</x:f>
        <x:v>99.84116585992038</x:v>
      </x:c>
      <x:c r="P48" s="8" t="n">
        <x:f>N48^2</x:f>
        <x:v>9968.25840026813</x:v>
      </x:c>
      <x:c r="Q48" s="8" t="n">
        <x:f>K48-L48</x:f>
        <x:v>5</x:v>
      </x:c>
      <x:c r="R48" s="9" t="n">
        <x:f>IF(AND(INDEX('Сводка'!$T$3:$T$397,U48)=0,INDEX('Сводка'!$T$3:$T$397,V48)=0),1,0)</x:f>
        <x:v>1</x:v>
      </x:c>
      <x:c r="S48" s="9" t="n">
        <x:f>IF(AND(R48=1,O48&lt;=$G$13),1,0)</x:f>
        <x:v>0</x:v>
      </x:c>
      <x:c r="T48" s="10" t="n">
        <x:f>EOMONTH(J48-'Сводка'!$B$11,-1)</x:f>
        <x:v>45869</x:v>
      </x:c>
      <x:c r="U48" s="4" t="n">
        <x:f>MATCH(J48,'Сводка'!$R$3:$R$397,0)</x:f>
        <x:v>59</x:v>
      </x:c>
      <x:c r="V48" s="4" t="n">
        <x:f>MATCH(J48-'Сводка'!$B$11,'Сводка'!$R$3:$R$397,0)</x:f>
        <x:v>58</x:v>
      </x:c>
      <x:c r="W48" s="4" t="n">
        <x:f>MATCH(T48,$J$388:$J$400,0)</x:f>
        <x:v>2</x:v>
      </x:c>
      <x:c r="X48" s="3"/>
      <x:c r="Y48" s="3"/>
      <x:c r="Z48" s="3"/>
    </x:row>
    <x:row r="49" ht="15" customHeight="1">
      <x:c r="A49" s="7" t="str">
        <x:f>IF(31&lt;='Сводка'!$B$3,'Сводка'!$B$4+31,"")</x:f>
      </x:c>
      <x:c r="B49" s="19" t="str">
        <x:f>IF($A49="","",(A49-$T$405+1)/1000)</x:f>
      </x:c>
      <x:c r="C49" s="19" t="str">
        <x:f>IF($A49="","",2*(A49-$T$405)/$T$406-1)</x:f>
      </x:c>
      <x:c r="D49" s="3" t="str">
        <x:f>IF($A49="","",$B$4+$B$5*C49^1+$B$6*C49^2+$B$7*C49^3)</x:f>
      </x:c>
      <x:c r="E49" s="3" t="str">
        <x:f>IF($A49="","",SQRT($T$403^2+H49^2))</x:f>
      </x:c>
      <x:c r="F49" s="3" t="str">
        <x:f>IF($A49="","",D49-$T$404*E49)</x:f>
      </x:c>
      <x:c r="G49" s="3" t="str">
        <x:f>IF($A49="","",D49+$T$404*E49)</x:f>
      </x:c>
      <x:c r="H49" s="3" t="str">
        <x:f>IF($A49="","",SQRT(MAX(0,(1)*$S$409*(1)+(1)*$T$409*(C49^1)+(1)*$U$409*(C49^2)+(1)*$V$409*(C49^3)+(C49^1)*$S$410*(1)+(C49^1)*$T$410*(C49^1)+(C49^1)*$U$410*(C49^2)+(C49^1)*$V$410*(C49^3)+(C49^2)*$S$411*(1)+(C49^2)*$T$411*(C49^1)+(C49^2)*$U$411*(C49^2)+(C49^2)*$V$411*(C49^3)+(C49^3)*$S$412*(1)+(C49^3)*$T$412*(C49^1)+(C49^3)*$U$412*(C49^2)+(C49^3)*$V$412*(C49^3))))</x:f>
      </x:c>
      <x:c r="I49" s="3"/>
      <x:c r="J49" s="10" t="n">
        <x:v>45900</x:v>
      </x:c>
      <x:c r="K49" s="8" t="n">
        <x:f>INDEX('Сводка'!$S$3:$S$397,U49)</x:f>
        <x:v>238</x:v>
      </x:c>
      <x:c r="L49" s="8" t="n">
        <x:f>INDEX('Сводка'!$S$3:$S$397,V49)</x:f>
        <x:v>238</x:v>
      </x:c>
      <x:c r="M49" s="8" t="n">
        <x:f>INDEX($K$388:$N$400,W49,1)+INDEX($K$388:$N$400,W49,2)*(2*(J49-$T$405)/(T49-$T$405)-1)^1+INDEX($K$388:$N$400,W49,3)*(2*(J49-$T$405)/(T49-$T$405)-1)^2+INDEX($K$388:$N$400,W49,4)*(2*(J49-$T$405)/(T49-$T$405)-1)^3</x:f>
        <x:v>138.15740054085643</x:v>
      </x:c>
      <x:c r="N49" s="8" t="n">
        <x:f>K49-M49</x:f>
        <x:v>99.84259945914357</x:v>
      </x:c>
      <x:c r="O49" s="8" t="n">
        <x:f>ABS(N49)</x:f>
        <x:v>99.84259945914357</x:v>
      </x:c>
      <x:c r="P49" s="8" t="n">
        <x:f>N49^2</x:f>
        <x:v>9968.544666758977</x:v>
      </x:c>
      <x:c r="Q49" s="8" t="n">
        <x:f>K49-L49</x:f>
        <x:v>0</x:v>
      </x:c>
      <x:c r="R49" s="9" t="n">
        <x:f>IF(AND(INDEX('Сводка'!$T$3:$T$397,U49)=0,INDEX('Сводка'!$T$3:$T$397,V49)=0),1,0)</x:f>
        <x:v>1</x:v>
      </x:c>
      <x:c r="S49" s="9" t="n">
        <x:f>IF(AND(R49=1,O49&lt;=$G$13),1,0)</x:f>
        <x:v>0</x:v>
      </x:c>
      <x:c r="T49" s="10" t="n">
        <x:f>EOMONTH(J49-'Сводка'!$B$11,-1)</x:f>
        <x:v>45869</x:v>
      </x:c>
      <x:c r="U49" s="4" t="n">
        <x:f>MATCH(J49,'Сводка'!$R$3:$R$397,0)</x:f>
        <x:v>60</x:v>
      </x:c>
      <x:c r="V49" s="4" t="n">
        <x:f>MATCH(J49-'Сводка'!$B$11,'Сводка'!$R$3:$R$397,0)</x:f>
        <x:v>59</x:v>
      </x:c>
      <x:c r="W49" s="4" t="n">
        <x:f>MATCH(T49,$J$388:$J$400,0)</x:f>
        <x:v>2</x:v>
      </x:c>
      <x:c r="X49" s="3"/>
      <x:c r="Y49" s="3"/>
      <x:c r="Z49" s="3"/>
    </x:row>
    <x:row r="50" ht="15" customHeight="1">
      <x:c r="A50" s="7" t="str">
        <x:f>IF(32&lt;='Сводка'!$B$3,'Сводка'!$B$4+32,"")</x:f>
      </x:c>
      <x:c r="B50" s="19" t="str">
        <x:f>IF($A50="","",(A50-$T$405+1)/1000)</x:f>
      </x:c>
      <x:c r="C50" s="19" t="str">
        <x:f>IF($A50="","",2*(A50-$T$405)/$T$406-1)</x:f>
      </x:c>
      <x:c r="D50" s="3" t="str">
        <x:f>IF($A50="","",$B$4+$B$5*C50^1+$B$6*C50^2+$B$7*C50^3)</x:f>
      </x:c>
      <x:c r="E50" s="3" t="str">
        <x:f>IF($A50="","",SQRT($T$403^2+H50^2))</x:f>
      </x:c>
      <x:c r="F50" s="3" t="str">
        <x:f>IF($A50="","",D50-$T$404*E50)</x:f>
      </x:c>
      <x:c r="G50" s="3" t="str">
        <x:f>IF($A50="","",D50+$T$404*E50)</x:f>
      </x:c>
      <x:c r="H50" s="3" t="str">
        <x:f>IF($A50="","",SQRT(MAX(0,(1)*$S$409*(1)+(1)*$T$409*(C50^1)+(1)*$U$409*(C50^2)+(1)*$V$409*(C50^3)+(C50^1)*$S$410*(1)+(C50^1)*$T$410*(C50^1)+(C50^1)*$U$410*(C50^2)+(C50^1)*$V$410*(C50^3)+(C50^2)*$S$411*(1)+(C50^2)*$T$411*(C50^1)+(C50^2)*$U$411*(C50^2)+(C50^2)*$V$411*(C50^3)+(C50^3)*$S$412*(1)+(C50^3)*$T$412*(C50^1)+(C50^3)*$U$412*(C50^2)+(C50^3)*$V$412*(C50^3))))</x:f>
      </x:c>
      <x:c r="I50" s="3"/>
      <x:c r="J50" s="10" t="n">
        <x:v>45901</x:v>
      </x:c>
      <x:c r="K50" s="8" t="n">
        <x:f>INDEX('Сводка'!$S$3:$S$397,U50)</x:f>
        <x:v>238</x:v>
      </x:c>
      <x:c r="L50" s="8" t="n">
        <x:f>INDEX('Сводка'!$S$3:$S$397,V50)</x:f>
        <x:v>238</x:v>
      </x:c>
      <x:c r="M50" s="8" t="n">
        <x:f>INDEX($K$388:$N$400,W50,1)+INDEX($K$388:$N$400,W50,2)*(2*(J50-$T$405)/(T50-$T$405)-1)^1+INDEX($K$388:$N$400,W50,3)*(2*(J50-$T$405)/(T50-$T$405)-1)^2+INDEX($K$388:$N$400,W50,4)*(2*(J50-$T$405)/(T50-$T$405)-1)^3</x:f>
        <x:v>138.15595984877018</x:v>
      </x:c>
      <x:c r="N50" s="8" t="n">
        <x:f>K50-M50</x:f>
        <x:v>99.84404015122982</x:v>
      </x:c>
      <x:c r="O50" s="8" t="n">
        <x:f>ABS(N50)</x:f>
        <x:v>99.84404015122982</x:v>
      </x:c>
      <x:c r="P50" s="8" t="n">
        <x:f>N50^2</x:f>
        <x:v>9968.832353720392</x:v>
      </x:c>
      <x:c r="Q50" s="8" t="n">
        <x:f>K50-L50</x:f>
        <x:v>0</x:v>
      </x:c>
      <x:c r="R50" s="9" t="n">
        <x:f>IF(AND(INDEX('Сводка'!$T$3:$T$397,U50)=0,INDEX('Сводка'!$T$3:$T$397,V50)=0),1,0)</x:f>
        <x:v>1</x:v>
      </x:c>
      <x:c r="S50" s="9" t="n">
        <x:f>IF(AND(R50=1,O50&lt;=$G$13),1,0)</x:f>
        <x:v>0</x:v>
      </x:c>
      <x:c r="T50" s="10" t="n">
        <x:f>EOMONTH(J50-'Сводка'!$B$11,-1)</x:f>
        <x:v>45869</x:v>
      </x:c>
      <x:c r="U50" s="4" t="n">
        <x:f>MATCH(J50,'Сводка'!$R$3:$R$397,0)</x:f>
        <x:v>61</x:v>
      </x:c>
      <x:c r="V50" s="4" t="n">
        <x:f>MATCH(J50-'Сводка'!$B$11,'Сводка'!$R$3:$R$397,0)</x:f>
        <x:v>60</x:v>
      </x:c>
      <x:c r="W50" s="4" t="n">
        <x:f>MATCH(T50,$J$388:$J$400,0)</x:f>
        <x:v>2</x:v>
      </x:c>
      <x:c r="X50" s="3"/>
      <x:c r="Y50" s="3"/>
      <x:c r="Z50" s="3"/>
    </x:row>
    <x:row r="51" ht="15" customHeight="1">
      <x:c r="A51" s="7" t="str">
        <x:f>IF(33&lt;='Сводка'!$B$3,'Сводка'!$B$4+33,"")</x:f>
      </x:c>
      <x:c r="B51" s="19" t="str">
        <x:f>IF($A51="","",(A51-$T$405+1)/1000)</x:f>
      </x:c>
      <x:c r="C51" s="19" t="str">
        <x:f>IF($A51="","",2*(A51-$T$405)/$T$406-1)</x:f>
      </x:c>
      <x:c r="D51" s="3" t="str">
        <x:f>IF($A51="","",$B$4+$B$5*C51^1+$B$6*C51^2+$B$7*C51^3)</x:f>
      </x:c>
      <x:c r="E51" s="3" t="str">
        <x:f>IF($A51="","",SQRT($T$403^2+H51^2))</x:f>
      </x:c>
      <x:c r="F51" s="3" t="str">
        <x:f>IF($A51="","",D51-$T$404*E51)</x:f>
      </x:c>
      <x:c r="G51" s="3" t="str">
        <x:f>IF($A51="","",D51+$T$404*E51)</x:f>
      </x:c>
      <x:c r="H51" s="3" t="str">
        <x:f>IF($A51="","",SQRT(MAX(0,(1)*$S$409*(1)+(1)*$T$409*(C51^1)+(1)*$U$409*(C51^2)+(1)*$V$409*(C51^3)+(C51^1)*$S$410*(1)+(C51^1)*$T$410*(C51^1)+(C51^1)*$U$410*(C51^2)+(C51^1)*$V$410*(C51^3)+(C51^2)*$S$411*(1)+(C51^2)*$T$411*(C51^1)+(C51^2)*$U$411*(C51^2)+(C51^2)*$V$411*(C51^3)+(C51^3)*$S$412*(1)+(C51^3)*$T$412*(C51^1)+(C51^3)*$U$412*(C51^2)+(C51^3)*$V$412*(C51^3))))</x:f>
      </x:c>
      <x:c r="I51" s="3"/>
      <x:c r="J51" s="10" t="n">
        <x:v>45902</x:v>
      </x:c>
      <x:c r="K51" s="8" t="n">
        <x:f>INDEX('Сводка'!$S$3:$S$397,U51)</x:f>
        <x:v>233</x:v>
      </x:c>
      <x:c r="L51" s="8" t="n">
        <x:f>INDEX('Сводка'!$S$3:$S$397,V51)</x:f>
        <x:v>238</x:v>
      </x:c>
      <x:c r="M51" s="8" t="n">
        <x:f>INDEX($K$388:$N$400,W51,1)+INDEX($K$388:$N$400,W51,2)*(2*(J51-$T$405)/(T51-$T$405)-1)^1+INDEX($K$388:$N$400,W51,3)*(2*(J51-$T$405)/(T51-$T$405)-1)^2+INDEX($K$388:$N$400,W51,4)*(2*(J51-$T$405)/(T51-$T$405)-1)^3</x:f>
        <x:v>146.2500757067973</x:v>
      </x:c>
      <x:c r="N51" s="8" t="n">
        <x:f>K51-M51</x:f>
        <x:v>86.7499242932027</x:v>
      </x:c>
      <x:c r="O51" s="8" t="n">
        <x:f>ABS(N51)</x:f>
        <x:v>86.7499242932027</x:v>
      </x:c>
      <x:c r="P51" s="8" t="n">
        <x:f>N51^2</x:f>
        <x:v>7525.5493648763995</x:v>
      </x:c>
      <x:c r="Q51" s="8" t="n">
        <x:f>K51-L51</x:f>
        <x:v>-5</x:v>
      </x:c>
      <x:c r="R51" s="9" t="n">
        <x:f>IF(AND(INDEX('Сводка'!$T$3:$T$397,U51)=0,INDEX('Сводка'!$T$3:$T$397,V51)=0),1,0)</x:f>
        <x:v>1</x:v>
      </x:c>
      <x:c r="S51" s="9" t="n">
        <x:f>IF(AND(R51=1,O51&lt;=$G$13),1,0)</x:f>
        <x:v>0</x:v>
      </x:c>
      <x:c r="T51" s="10" t="n">
        <x:f>EOMONTH(J51-'Сводка'!$B$11,-1)</x:f>
        <x:v>45900</x:v>
      </x:c>
      <x:c r="U51" s="4" t="n">
        <x:f>MATCH(J51,'Сводка'!$R$3:$R$397,0)</x:f>
        <x:v>62</x:v>
      </x:c>
      <x:c r="V51" s="4" t="n">
        <x:f>MATCH(J51-'Сводка'!$B$11,'Сводка'!$R$3:$R$397,0)</x:f>
        <x:v>61</x:v>
      </x:c>
      <x:c r="W51" s="4" t="n">
        <x:f>MATCH(T51,$J$388:$J$400,0)</x:f>
        <x:v>3</x:v>
      </x:c>
      <x:c r="X51" s="3"/>
      <x:c r="Y51" s="3"/>
      <x:c r="Z51" s="3"/>
    </x:row>
    <x:row r="52" ht="15" customHeight="1">
      <x:c r="A52" s="7" t="str">
        <x:f>IF(34&lt;='Сводка'!$B$3,'Сводка'!$B$4+34,"")</x:f>
      </x:c>
      <x:c r="B52" s="19" t="str">
        <x:f>IF($A52="","",(A52-$T$405+1)/1000)</x:f>
      </x:c>
      <x:c r="C52" s="19" t="str">
        <x:f>IF($A52="","",2*(A52-$T$405)/$T$406-1)</x:f>
      </x:c>
      <x:c r="D52" s="3" t="str">
        <x:f>IF($A52="","",$B$4+$B$5*C52^1+$B$6*C52^2+$B$7*C52^3)</x:f>
      </x:c>
      <x:c r="E52" s="3" t="str">
        <x:f>IF($A52="","",SQRT($T$403^2+H52^2))</x:f>
      </x:c>
      <x:c r="F52" s="3" t="str">
        <x:f>IF($A52="","",D52-$T$404*E52)</x:f>
      </x:c>
      <x:c r="G52" s="3" t="str">
        <x:f>IF($A52="","",D52+$T$404*E52)</x:f>
      </x:c>
      <x:c r="H52" s="3" t="str">
        <x:f>IF($A52="","",SQRT(MAX(0,(1)*$S$409*(1)+(1)*$T$409*(C52^1)+(1)*$U$409*(C52^2)+(1)*$V$409*(C52^3)+(C52^1)*$S$410*(1)+(C52^1)*$T$410*(C52^1)+(C52^1)*$U$410*(C52^2)+(C52^1)*$V$410*(C52^3)+(C52^2)*$S$411*(1)+(C52^2)*$T$411*(C52^1)+(C52^2)*$U$411*(C52^2)+(C52^2)*$V$411*(C52^3)+(C52^3)*$S$412*(1)+(C52^3)*$T$412*(C52^1)+(C52^3)*$U$412*(C52^2)+(C52^3)*$V$412*(C52^3))))</x:f>
      </x:c>
      <x:c r="I52" s="3"/>
      <x:c r="J52" s="10" t="n">
        <x:v>45903</x:v>
      </x:c>
      <x:c r="K52" s="8" t="n">
        <x:f>INDEX('Сводка'!$S$3:$S$397,U52)</x:f>
        <x:v>228</x:v>
      </x:c>
      <x:c r="L52" s="8" t="n">
        <x:f>INDEX('Сводка'!$S$3:$S$397,V52)</x:f>
        <x:v>233</x:v>
      </x:c>
      <x:c r="M52" s="8" t="n">
        <x:f>INDEX($K$388:$N$400,W52,1)+INDEX($K$388:$N$400,W52,2)*(2*(J52-$T$405)/(T52-$T$405)-1)^1+INDEX($K$388:$N$400,W52,3)*(2*(J52-$T$405)/(T52-$T$405)-1)^2+INDEX($K$388:$N$400,W52,4)*(2*(J52-$T$405)/(T52-$T$405)-1)^3</x:f>
        <x:v>146.25544690084647</x:v>
      </x:c>
      <x:c r="N52" s="8" t="n">
        <x:f>K52-M52</x:f>
        <x:v>81.74455309915353</x:v>
      </x:c>
      <x:c r="O52" s="8" t="n">
        <x:f>ABS(N52)</x:f>
        <x:v>81.74455309915353</x:v>
      </x:c>
      <x:c r="P52" s="8" t="n">
        <x:f>N52^2</x:f>
        <x:v>6682.171961380332</x:v>
      </x:c>
      <x:c r="Q52" s="8" t="n">
        <x:f>K52-L52</x:f>
        <x:v>-5</x:v>
      </x:c>
      <x:c r="R52" s="9" t="n">
        <x:f>IF(AND(INDEX('Сводка'!$T$3:$T$397,U52)=0,INDEX('Сводка'!$T$3:$T$397,V52)=0),1,0)</x:f>
        <x:v>1</x:v>
      </x:c>
      <x:c r="S52" s="9" t="n">
        <x:f>IF(AND(R52=1,O52&lt;=$G$13),1,0)</x:f>
        <x:v>0</x:v>
      </x:c>
      <x:c r="T52" s="10" t="n">
        <x:f>EOMONTH(J52-'Сводка'!$B$11,-1)</x:f>
        <x:v>45900</x:v>
      </x:c>
      <x:c r="U52" s="4" t="n">
        <x:f>MATCH(J52,'Сводка'!$R$3:$R$397,0)</x:f>
        <x:v>63</x:v>
      </x:c>
      <x:c r="V52" s="4" t="n">
        <x:f>MATCH(J52-'Сводка'!$B$11,'Сводка'!$R$3:$R$397,0)</x:f>
        <x:v>62</x:v>
      </x:c>
      <x:c r="W52" s="4" t="n">
        <x:f>MATCH(T52,$J$388:$J$400,0)</x:f>
        <x:v>3</x:v>
      </x:c>
      <x:c r="X52" s="3"/>
      <x:c r="Y52" s="3"/>
      <x:c r="Z52" s="3"/>
    </x:row>
    <x:row r="53" ht="15" customHeight="1">
      <x:c r="A53" s="7" t="str">
        <x:f>IF(35&lt;='Сводка'!$B$3,'Сводка'!$B$4+35,"")</x:f>
      </x:c>
      <x:c r="B53" s="19" t="str">
        <x:f>IF($A53="","",(A53-$T$405+1)/1000)</x:f>
      </x:c>
      <x:c r="C53" s="19" t="str">
        <x:f>IF($A53="","",2*(A53-$T$405)/$T$406-1)</x:f>
      </x:c>
      <x:c r="D53" s="3" t="str">
        <x:f>IF($A53="","",$B$4+$B$5*C53^1+$B$6*C53^2+$B$7*C53^3)</x:f>
      </x:c>
      <x:c r="E53" s="3" t="str">
        <x:f>IF($A53="","",SQRT($T$403^2+H53^2))</x:f>
      </x:c>
      <x:c r="F53" s="3" t="str">
        <x:f>IF($A53="","",D53-$T$404*E53)</x:f>
      </x:c>
      <x:c r="G53" s="3" t="str">
        <x:f>IF($A53="","",D53+$T$404*E53)</x:f>
      </x:c>
      <x:c r="H53" s="3" t="str">
        <x:f>IF($A53="","",SQRT(MAX(0,(1)*$S$409*(1)+(1)*$T$409*(C53^1)+(1)*$U$409*(C53^2)+(1)*$V$409*(C53^3)+(C53^1)*$S$410*(1)+(C53^1)*$T$410*(C53^1)+(C53^1)*$U$410*(C53^2)+(C53^1)*$V$410*(C53^3)+(C53^2)*$S$411*(1)+(C53^2)*$T$411*(C53^1)+(C53^2)*$U$411*(C53^2)+(C53^2)*$V$411*(C53^3)+(C53^3)*$S$412*(1)+(C53^3)*$T$412*(C53^1)+(C53^3)*$U$412*(C53^2)+(C53^3)*$V$412*(C53^3))))</x:f>
      </x:c>
      <x:c r="I53" s="3"/>
      <x:c r="J53" s="10" t="n">
        <x:v>45904</x:v>
      </x:c>
      <x:c r="K53" s="8" t="n">
        <x:f>INDEX('Сводка'!$S$3:$S$397,U53)</x:f>
        <x:v>226</x:v>
      </x:c>
      <x:c r="L53" s="8" t="n">
        <x:f>INDEX('Сводка'!$S$3:$S$397,V53)</x:f>
        <x:v>228</x:v>
      </x:c>
      <x:c r="M53" s="8" t="n">
        <x:f>INDEX($K$388:$N$400,W53,1)+INDEX($K$388:$N$400,W53,2)*(2*(J53-$T$405)/(T53-$T$405)-1)^1+INDEX($K$388:$N$400,W53,3)*(2*(J53-$T$405)/(T53-$T$405)-1)^2+INDEX($K$388:$N$400,W53,4)*(2*(J53-$T$405)/(T53-$T$405)-1)^3</x:f>
        <x:v>146.2608141173405</x:v>
      </x:c>
      <x:c r="N53" s="8" t="n">
        <x:f>K53-M53</x:f>
        <x:v>79.73918588265951</x:v>
      </x:c>
      <x:c r="O53" s="8" t="n">
        <x:f>ABS(N53)</x:f>
        <x:v>79.73918588265951</x:v>
      </x:c>
      <x:c r="P53" s="8" t="n">
        <x:f>N53^2</x:f>
        <x:v>6358.337765229326</x:v>
      </x:c>
      <x:c r="Q53" s="8" t="n">
        <x:f>K53-L53</x:f>
        <x:v>-2</x:v>
      </x:c>
      <x:c r="R53" s="9" t="n">
        <x:f>IF(AND(INDEX('Сводка'!$T$3:$T$397,U53)=0,INDEX('Сводка'!$T$3:$T$397,V53)=0),1,0)</x:f>
        <x:v>1</x:v>
      </x:c>
      <x:c r="S53" s="9" t="n">
        <x:f>IF(AND(R53=1,O53&lt;=$G$13),1,0)</x:f>
        <x:v>0</x:v>
      </x:c>
      <x:c r="T53" s="10" t="n">
        <x:f>EOMONTH(J53-'Сводка'!$B$11,-1)</x:f>
        <x:v>45900</x:v>
      </x:c>
      <x:c r="U53" s="4" t="n">
        <x:f>MATCH(J53,'Сводка'!$R$3:$R$397,0)</x:f>
        <x:v>64</x:v>
      </x:c>
      <x:c r="V53" s="4" t="n">
        <x:f>MATCH(J53-'Сводка'!$B$11,'Сводка'!$R$3:$R$397,0)</x:f>
        <x:v>63</x:v>
      </x:c>
      <x:c r="W53" s="4" t="n">
        <x:f>MATCH(T53,$J$388:$J$400,0)</x:f>
        <x:v>3</x:v>
      </x:c>
      <x:c r="X53" s="3"/>
      <x:c r="Y53" s="3"/>
      <x:c r="Z53" s="3"/>
    </x:row>
    <x:row r="54" ht="15" customHeight="1">
      <x:c r="A54" s="7" t="str">
        <x:f>IF(36&lt;='Сводка'!$B$3,'Сводка'!$B$4+36,"")</x:f>
      </x:c>
      <x:c r="B54" s="19" t="str">
        <x:f>IF($A54="","",(A54-$T$405+1)/1000)</x:f>
      </x:c>
      <x:c r="C54" s="19" t="str">
        <x:f>IF($A54="","",2*(A54-$T$405)/$T$406-1)</x:f>
      </x:c>
      <x:c r="D54" s="3" t="str">
        <x:f>IF($A54="","",$B$4+$B$5*C54^1+$B$6*C54^2+$B$7*C54^3)</x:f>
      </x:c>
      <x:c r="E54" s="3" t="str">
        <x:f>IF($A54="","",SQRT($T$403^2+H54^2))</x:f>
      </x:c>
      <x:c r="F54" s="3" t="str">
        <x:f>IF($A54="","",D54-$T$404*E54)</x:f>
      </x:c>
      <x:c r="G54" s="3" t="str">
        <x:f>IF($A54="","",D54+$T$404*E54)</x:f>
      </x:c>
      <x:c r="H54" s="3" t="str">
        <x:f>IF($A54="","",SQRT(MAX(0,(1)*$S$409*(1)+(1)*$T$409*(C54^1)+(1)*$U$409*(C54^2)+(1)*$V$409*(C54^3)+(C54^1)*$S$410*(1)+(C54^1)*$T$410*(C54^1)+(C54^1)*$U$410*(C54^2)+(C54^1)*$V$410*(C54^3)+(C54^2)*$S$411*(1)+(C54^2)*$T$411*(C54^1)+(C54^2)*$U$411*(C54^2)+(C54^2)*$V$411*(C54^3)+(C54^3)*$S$412*(1)+(C54^3)*$T$412*(C54^1)+(C54^3)*$U$412*(C54^2)+(C54^3)*$V$412*(C54^3))))</x:f>
      </x:c>
      <x:c r="I54" s="3"/>
      <x:c r="J54" s="10" t="n">
        <x:v>45905</x:v>
      </x:c>
      <x:c r="K54" s="8" t="n">
        <x:f>INDEX('Сводка'!$S$3:$S$397,U54)</x:f>
        <x:v>226</x:v>
      </x:c>
      <x:c r="L54" s="8" t="n">
        <x:f>INDEX('Сводка'!$S$3:$S$397,V54)</x:f>
        <x:v>226</x:v>
      </x:c>
      <x:c r="M54" s="8" t="n">
        <x:f>INDEX($K$388:$N$400,W54,1)+INDEX($K$388:$N$400,W54,2)*(2*(J54-$T$405)/(T54-$T$405)-1)^1+INDEX($K$388:$N$400,W54,3)*(2*(J54-$T$405)/(T54-$T$405)-1)^2+INDEX($K$388:$N$400,W54,4)*(2*(J54-$T$405)/(T54-$T$405)-1)^3</x:f>
        <x:v>146.2661773564232</x:v>
      </x:c>
      <x:c r="N54" s="8" t="n">
        <x:f>K54-M54</x:f>
        <x:v>79.73382264357679</x:v>
      </x:c>
      <x:c r="O54" s="8" t="n">
        <x:f>ABS(N54)</x:f>
        <x:v>79.73382264357679</x:v>
      </x:c>
      <x:c r="P54" s="8" t="n">
        <x:f>N54^2</x:f>
        <x:v>6357.482473357359</x:v>
      </x:c>
      <x:c r="Q54" s="8" t="n">
        <x:f>K54-L54</x:f>
        <x:v>0</x:v>
      </x:c>
      <x:c r="R54" s="9" t="n">
        <x:f>IF(AND(INDEX('Сводка'!$T$3:$T$397,U54)=0,INDEX('Сводка'!$T$3:$T$397,V54)=0),1,0)</x:f>
        <x:v>1</x:v>
      </x:c>
      <x:c r="S54" s="9" t="n">
        <x:f>IF(AND(R54=1,O54&lt;=$G$13),1,0)</x:f>
        <x:v>0</x:v>
      </x:c>
      <x:c r="T54" s="10" t="n">
        <x:f>EOMONTH(J54-'Сводка'!$B$11,-1)</x:f>
        <x:v>45900</x:v>
      </x:c>
      <x:c r="U54" s="4" t="n">
        <x:f>MATCH(J54,'Сводка'!$R$3:$R$397,0)</x:f>
        <x:v>65</x:v>
      </x:c>
      <x:c r="V54" s="4" t="n">
        <x:f>MATCH(J54-'Сводка'!$B$11,'Сводка'!$R$3:$R$397,0)</x:f>
        <x:v>64</x:v>
      </x:c>
      <x:c r="W54" s="4" t="n">
        <x:f>MATCH(T54,$J$388:$J$400,0)</x:f>
        <x:v>3</x:v>
      </x:c>
      <x:c r="X54" s="3"/>
      <x:c r="Y54" s="3"/>
      <x:c r="Z54" s="3"/>
    </x:row>
    <x:row r="55" ht="15" customHeight="1">
      <x:c r="A55" s="7" t="str">
        <x:f>IF(37&lt;='Сводка'!$B$3,'Сводка'!$B$4+37,"")</x:f>
      </x:c>
      <x:c r="B55" s="19" t="str">
        <x:f>IF($A55="","",(A55-$T$405+1)/1000)</x:f>
      </x:c>
      <x:c r="C55" s="19" t="str">
        <x:f>IF($A55="","",2*(A55-$T$405)/$T$406-1)</x:f>
      </x:c>
      <x:c r="D55" s="3" t="str">
        <x:f>IF($A55="","",$B$4+$B$5*C55^1+$B$6*C55^2+$B$7*C55^3)</x:f>
      </x:c>
      <x:c r="E55" s="3" t="str">
        <x:f>IF($A55="","",SQRT($T$403^2+H55^2))</x:f>
      </x:c>
      <x:c r="F55" s="3" t="str">
        <x:f>IF($A55="","",D55-$T$404*E55)</x:f>
      </x:c>
      <x:c r="G55" s="3" t="str">
        <x:f>IF($A55="","",D55+$T$404*E55)</x:f>
      </x:c>
      <x:c r="H55" s="3" t="str">
        <x:f>IF($A55="","",SQRT(MAX(0,(1)*$S$409*(1)+(1)*$T$409*(C55^1)+(1)*$U$409*(C55^2)+(1)*$V$409*(C55^3)+(C55^1)*$S$410*(1)+(C55^1)*$T$410*(C55^1)+(C55^1)*$U$410*(C55^2)+(C55^1)*$V$410*(C55^3)+(C55^2)*$S$411*(1)+(C55^2)*$T$411*(C55^1)+(C55^2)*$U$411*(C55^2)+(C55^2)*$V$411*(C55^3)+(C55^3)*$S$412*(1)+(C55^3)*$T$412*(C55^1)+(C55^3)*$U$412*(C55^2)+(C55^3)*$V$412*(C55^3))))</x:f>
      </x:c>
      <x:c r="I55" s="3"/>
      <x:c r="J55" s="10" t="n">
        <x:v>45906</x:v>
      </x:c>
      <x:c r="K55" s="8" t="n">
        <x:f>INDEX('Сводка'!$S$3:$S$397,U55)</x:f>
        <x:v>226</x:v>
      </x:c>
      <x:c r="L55" s="8" t="n">
        <x:f>INDEX('Сводка'!$S$3:$S$397,V55)</x:f>
        <x:v>226</x:v>
      </x:c>
      <x:c r="M55" s="8" t="n">
        <x:f>INDEX($K$388:$N$400,W55,1)+INDEX($K$388:$N$400,W55,2)*(2*(J55-$T$405)/(T55-$T$405)-1)^1+INDEX($K$388:$N$400,W55,3)*(2*(J55-$T$405)/(T55-$T$405)-1)^2+INDEX($K$388:$N$400,W55,4)*(2*(J55-$T$405)/(T55-$T$405)-1)^3</x:f>
        <x:v>146.27153661823834</x:v>
      </x:c>
      <x:c r="N55" s="8" t="n">
        <x:f>K55-M55</x:f>
        <x:v>79.72846338176166</x:v>
      </x:c>
      <x:c r="O55" s="8" t="n">
        <x:f>ABS(N55)</x:f>
        <x:v>79.72846338176166</x:v>
      </x:c>
      <x:c r="P55" s="8" t="n">
        <x:f>N55^2</x:f>
        <x:v>6356.627873216909</x:v>
      </x:c>
      <x:c r="Q55" s="8" t="n">
        <x:f>K55-L55</x:f>
        <x:v>0</x:v>
      </x:c>
      <x:c r="R55" s="9" t="n">
        <x:f>IF(AND(INDEX('Сводка'!$T$3:$T$397,U55)=0,INDEX('Сводка'!$T$3:$T$397,V55)=0),1,0)</x:f>
        <x:v>1</x:v>
      </x:c>
      <x:c r="S55" s="9" t="n">
        <x:f>IF(AND(R55=1,O55&lt;=$G$13),1,0)</x:f>
        <x:v>0</x:v>
      </x:c>
      <x:c r="T55" s="10" t="n">
        <x:f>EOMONTH(J55-'Сводка'!$B$11,-1)</x:f>
        <x:v>45900</x:v>
      </x:c>
      <x:c r="U55" s="4" t="n">
        <x:f>MATCH(J55,'Сводка'!$R$3:$R$397,0)</x:f>
        <x:v>66</x:v>
      </x:c>
      <x:c r="V55" s="4" t="n">
        <x:f>MATCH(J55-'Сводка'!$B$11,'Сводка'!$R$3:$R$397,0)</x:f>
        <x:v>65</x:v>
      </x:c>
      <x:c r="W55" s="4" t="n">
        <x:f>MATCH(T55,$J$388:$J$400,0)</x:f>
        <x:v>3</x:v>
      </x:c>
      <x:c r="X55" s="3"/>
      <x:c r="Y55" s="3"/>
      <x:c r="Z55" s="3"/>
    </x:row>
    <x:row r="56" ht="15" customHeight="1">
      <x:c r="A56" s="7" t="str">
        <x:f>IF(38&lt;='Сводка'!$B$3,'Сводка'!$B$4+38,"")</x:f>
      </x:c>
      <x:c r="B56" s="19" t="str">
        <x:f>IF($A56="","",(A56-$T$405+1)/1000)</x:f>
      </x:c>
      <x:c r="C56" s="19" t="str">
        <x:f>IF($A56="","",2*(A56-$T$405)/$T$406-1)</x:f>
      </x:c>
      <x:c r="D56" s="3" t="str">
        <x:f>IF($A56="","",$B$4+$B$5*C56^1+$B$6*C56^2+$B$7*C56^3)</x:f>
      </x:c>
      <x:c r="E56" s="3" t="str">
        <x:f>IF($A56="","",SQRT($T$403^2+H56^2))</x:f>
      </x:c>
      <x:c r="F56" s="3" t="str">
        <x:f>IF($A56="","",D56-$T$404*E56)</x:f>
      </x:c>
      <x:c r="G56" s="3" t="str">
        <x:f>IF($A56="","",D56+$T$404*E56)</x:f>
      </x:c>
      <x:c r="H56" s="3" t="str">
        <x:f>IF($A56="","",SQRT(MAX(0,(1)*$S$409*(1)+(1)*$T$409*(C56^1)+(1)*$U$409*(C56^2)+(1)*$V$409*(C56^3)+(C56^1)*$S$410*(1)+(C56^1)*$T$410*(C56^1)+(C56^1)*$U$410*(C56^2)+(C56^1)*$V$410*(C56^3)+(C56^2)*$S$411*(1)+(C56^2)*$T$411*(C56^1)+(C56^2)*$U$411*(C56^2)+(C56^2)*$V$411*(C56^3)+(C56^3)*$S$412*(1)+(C56^3)*$T$412*(C56^1)+(C56^3)*$U$412*(C56^2)+(C56^3)*$V$412*(C56^3))))</x:f>
      </x:c>
      <x:c r="I56" s="3"/>
      <x:c r="J56" s="10" t="n">
        <x:v>45907</x:v>
      </x:c>
      <x:c r="K56" s="8" t="n">
        <x:f>INDEX('Сводка'!$S$3:$S$397,U56)</x:f>
        <x:v>226</x:v>
      </x:c>
      <x:c r="L56" s="8" t="n">
        <x:f>INDEX('Сводка'!$S$3:$S$397,V56)</x:f>
        <x:v>226</x:v>
      </x:c>
      <x:c r="M56" s="8" t="n">
        <x:f>INDEX($K$388:$N$400,W56,1)+INDEX($K$388:$N$400,W56,2)*(2*(J56-$T$405)/(T56-$T$405)-1)^1+INDEX($K$388:$N$400,W56,3)*(2*(J56-$T$405)/(T56-$T$405)-1)^2+INDEX($K$388:$N$400,W56,4)*(2*(J56-$T$405)/(T56-$T$405)-1)^3</x:f>
        <x:v>146.27689190292978</x:v>
      </x:c>
      <x:c r="N56" s="8" t="n">
        <x:f>K56-M56</x:f>
        <x:v>79.72310809707022</x:v>
      </x:c>
      <x:c r="O56" s="8" t="n">
        <x:f>ABS(N56)</x:f>
        <x:v>79.72310809707022</x:v>
      </x:c>
      <x:c r="P56" s="8" t="n">
        <x:f>N56^2</x:f>
        <x:v>6355.773964657144</x:v>
      </x:c>
      <x:c r="Q56" s="8" t="n">
        <x:f>K56-L56</x:f>
        <x:v>0</x:v>
      </x:c>
      <x:c r="R56" s="9" t="n">
        <x:f>IF(AND(INDEX('Сводка'!$T$3:$T$397,U56)=0,INDEX('Сводка'!$T$3:$T$397,V56)=0),1,0)</x:f>
        <x:v>1</x:v>
      </x:c>
      <x:c r="S56" s="9" t="n">
        <x:f>IF(AND(R56=1,O56&lt;=$G$13),1,0)</x:f>
        <x:v>0</x:v>
      </x:c>
      <x:c r="T56" s="10" t="n">
        <x:f>EOMONTH(J56-'Сводка'!$B$11,-1)</x:f>
        <x:v>45900</x:v>
      </x:c>
      <x:c r="U56" s="4" t="n">
        <x:f>MATCH(J56,'Сводка'!$R$3:$R$397,0)</x:f>
        <x:v>67</x:v>
      </x:c>
      <x:c r="V56" s="4" t="n">
        <x:f>MATCH(J56-'Сводка'!$B$11,'Сводка'!$R$3:$R$397,0)</x:f>
        <x:v>66</x:v>
      </x:c>
      <x:c r="W56" s="4" t="n">
        <x:f>MATCH(T56,$J$388:$J$400,0)</x:f>
        <x:v>3</x:v>
      </x:c>
      <x:c r="X56" s="3"/>
      <x:c r="Y56" s="3"/>
      <x:c r="Z56" s="3"/>
    </x:row>
    <x:row r="57" ht="15" customHeight="1">
      <x:c r="A57" s="7" t="str">
        <x:f>IF(39&lt;='Сводка'!$B$3,'Сводка'!$B$4+39,"")</x:f>
      </x:c>
      <x:c r="B57" s="19" t="str">
        <x:f>IF($A57="","",(A57-$T$405+1)/1000)</x:f>
      </x:c>
      <x:c r="C57" s="19" t="str">
        <x:f>IF($A57="","",2*(A57-$T$405)/$T$406-1)</x:f>
      </x:c>
      <x:c r="D57" s="3" t="str">
        <x:f>IF($A57="","",$B$4+$B$5*C57^1+$B$6*C57^2+$B$7*C57^3)</x:f>
      </x:c>
      <x:c r="E57" s="3" t="str">
        <x:f>IF($A57="","",SQRT($T$403^2+H57^2))</x:f>
      </x:c>
      <x:c r="F57" s="3" t="str">
        <x:f>IF($A57="","",D57-$T$404*E57)</x:f>
      </x:c>
      <x:c r="G57" s="3" t="str">
        <x:f>IF($A57="","",D57+$T$404*E57)</x:f>
      </x:c>
      <x:c r="H57" s="3" t="str">
        <x:f>IF($A57="","",SQRT(MAX(0,(1)*$S$409*(1)+(1)*$T$409*(C57^1)+(1)*$U$409*(C57^2)+(1)*$V$409*(C57^3)+(C57^1)*$S$410*(1)+(C57^1)*$T$410*(C57^1)+(C57^1)*$U$410*(C57^2)+(C57^1)*$V$410*(C57^3)+(C57^2)*$S$411*(1)+(C57^2)*$T$411*(C57^1)+(C57^2)*$U$411*(C57^2)+(C57^2)*$V$411*(C57^3)+(C57^3)*$S$412*(1)+(C57^3)*$T$412*(C57^1)+(C57^3)*$U$412*(C57^2)+(C57^3)*$V$412*(C57^3))))</x:f>
      </x:c>
      <x:c r="I57" s="3"/>
      <x:c r="J57" s="10" t="n">
        <x:v>45908</x:v>
      </x:c>
      <x:c r="K57" s="8" t="n">
        <x:f>INDEX('Сводка'!$S$3:$S$397,U57)</x:f>
        <x:v>222</x:v>
      </x:c>
      <x:c r="L57" s="8" t="n">
        <x:f>INDEX('Сводка'!$S$3:$S$397,V57)</x:f>
        <x:v>226</x:v>
      </x:c>
      <x:c r="M57" s="8" t="n">
        <x:f>INDEX($K$388:$N$400,W57,1)+INDEX($K$388:$N$400,W57,2)*(2*(J57-$T$405)/(T57-$T$405)-1)^1+INDEX($K$388:$N$400,W57,3)*(2*(J57-$T$405)/(T57-$T$405)-1)^2+INDEX($K$388:$N$400,W57,4)*(2*(J57-$T$405)/(T57-$T$405)-1)^3</x:f>
        <x:v>146.28224321064127</x:v>
      </x:c>
      <x:c r="N57" s="8" t="n">
        <x:f>K57-M57</x:f>
        <x:v>75.71775678935873</x:v>
      </x:c>
      <x:c r="O57" s="8" t="n">
        <x:f>ABS(N57)</x:f>
        <x:v>75.71775678935873</x:v>
      </x:c>
      <x:c r="P57" s="8" t="n">
        <x:f>N57^2</x:f>
        <x:v>5733.1786932124805</x:v>
      </x:c>
      <x:c r="Q57" s="8" t="n">
        <x:f>K57-L57</x:f>
        <x:v>-4</x:v>
      </x:c>
      <x:c r="R57" s="9" t="n">
        <x:f>IF(AND(INDEX('Сводка'!$T$3:$T$397,U57)=0,INDEX('Сводка'!$T$3:$T$397,V57)=0),1,0)</x:f>
        <x:v>1</x:v>
      </x:c>
      <x:c r="S57" s="9" t="n">
        <x:f>IF(AND(R57=1,O57&lt;=$G$13),1,0)</x:f>
        <x:v>0</x:v>
      </x:c>
      <x:c r="T57" s="10" t="n">
        <x:f>EOMONTH(J57-'Сводка'!$B$11,-1)</x:f>
        <x:v>45900</x:v>
      </x:c>
      <x:c r="U57" s="4" t="n">
        <x:f>MATCH(J57,'Сводка'!$R$3:$R$397,0)</x:f>
        <x:v>68</x:v>
      </x:c>
      <x:c r="V57" s="4" t="n">
        <x:f>MATCH(J57-'Сводка'!$B$11,'Сводка'!$R$3:$R$397,0)</x:f>
        <x:v>67</x:v>
      </x:c>
      <x:c r="W57" s="4" t="n">
        <x:f>MATCH(T57,$J$388:$J$400,0)</x:f>
        <x:v>3</x:v>
      </x:c>
      <x:c r="X57" s="3"/>
      <x:c r="Y57" s="3"/>
      <x:c r="Z57" s="3"/>
    </x:row>
    <x:row r="58" ht="15" customHeight="1">
      <x:c r="A58" s="7" t="str">
        <x:f>IF(40&lt;='Сводка'!$B$3,'Сводка'!$B$4+40,"")</x:f>
      </x:c>
      <x:c r="B58" s="19" t="str">
        <x:f>IF($A58="","",(A58-$T$405+1)/1000)</x:f>
      </x:c>
      <x:c r="C58" s="19" t="str">
        <x:f>IF($A58="","",2*(A58-$T$405)/$T$406-1)</x:f>
      </x:c>
      <x:c r="D58" s="3" t="str">
        <x:f>IF($A58="","",$B$4+$B$5*C58^1+$B$6*C58^2+$B$7*C58^3)</x:f>
      </x:c>
      <x:c r="E58" s="3" t="str">
        <x:f>IF($A58="","",SQRT($T$403^2+H58^2))</x:f>
      </x:c>
      <x:c r="F58" s="3" t="str">
        <x:f>IF($A58="","",D58-$T$404*E58)</x:f>
      </x:c>
      <x:c r="G58" s="3" t="str">
        <x:f>IF($A58="","",D58+$T$404*E58)</x:f>
      </x:c>
      <x:c r="H58" s="3" t="str">
        <x:f>IF($A58="","",SQRT(MAX(0,(1)*$S$409*(1)+(1)*$T$409*(C58^1)+(1)*$U$409*(C58^2)+(1)*$V$409*(C58^3)+(C58^1)*$S$410*(1)+(C58^1)*$T$410*(C58^1)+(C58^1)*$U$410*(C58^2)+(C58^1)*$V$410*(C58^3)+(C58^2)*$S$411*(1)+(C58^2)*$T$411*(C58^1)+(C58^2)*$U$411*(C58^2)+(C58^2)*$V$411*(C58^3)+(C58^3)*$S$412*(1)+(C58^3)*$T$412*(C58^1)+(C58^3)*$U$412*(C58^2)+(C58^3)*$V$412*(C58^3))))</x:f>
      </x:c>
      <x:c r="I58" s="3"/>
      <x:c r="J58" s="10" t="n">
        <x:v>45909</x:v>
      </x:c>
      <x:c r="K58" s="8" t="n">
        <x:f>INDEX('Сводка'!$S$3:$S$397,U58)</x:f>
        <x:v>218</x:v>
      </x:c>
      <x:c r="L58" s="8" t="n">
        <x:f>INDEX('Сводка'!$S$3:$S$397,V58)</x:f>
        <x:v>222</x:v>
      </x:c>
      <x:c r="M58" s="8" t="n">
        <x:f>INDEX($K$388:$N$400,W58,1)+INDEX($K$388:$N$400,W58,2)*(2*(J58-$T$405)/(T58-$T$405)-1)^1+INDEX($K$388:$N$400,W58,3)*(2*(J58-$T$405)/(T58-$T$405)-1)^2+INDEX($K$388:$N$400,W58,4)*(2*(J58-$T$405)/(T58-$T$405)-1)^3</x:f>
        <x:v>146.2875905415167</x:v>
      </x:c>
      <x:c r="N58" s="8" t="n">
        <x:f>K58-M58</x:f>
        <x:v>71.71240945848331</x:v>
      </x:c>
      <x:c r="O58" s="8" t="n">
        <x:f>ABS(N58)</x:f>
        <x:v>71.71240945848331</x:v>
      </x:c>
      <x:c r="P58" s="8" t="n">
        <x:f>N58^2</x:f>
        <x:v>5142.669670341166</x:v>
      </x:c>
      <x:c r="Q58" s="8" t="n">
        <x:f>K58-L58</x:f>
        <x:v>-4</x:v>
      </x:c>
      <x:c r="R58" s="9" t="n">
        <x:f>IF(AND(INDEX('Сводка'!$T$3:$T$397,U58)=0,INDEX('Сводка'!$T$3:$T$397,V58)=0),1,0)</x:f>
        <x:v>1</x:v>
      </x:c>
      <x:c r="S58" s="9" t="n">
        <x:f>IF(AND(R58=1,O58&lt;=$G$13),1,0)</x:f>
        <x:v>0</x:v>
      </x:c>
      <x:c r="T58" s="10" t="n">
        <x:f>EOMONTH(J58-'Сводка'!$B$11,-1)</x:f>
        <x:v>45900</x:v>
      </x:c>
      <x:c r="U58" s="4" t="n">
        <x:f>MATCH(J58,'Сводка'!$R$3:$R$397,0)</x:f>
        <x:v>69</x:v>
      </x:c>
      <x:c r="V58" s="4" t="n">
        <x:f>MATCH(J58-'Сводка'!$B$11,'Сводка'!$R$3:$R$397,0)</x:f>
        <x:v>68</x:v>
      </x:c>
      <x:c r="W58" s="4" t="n">
        <x:f>MATCH(T58,$J$388:$J$400,0)</x:f>
        <x:v>3</x:v>
      </x:c>
      <x:c r="X58" s="3"/>
      <x:c r="Y58" s="3"/>
      <x:c r="Z58" s="3"/>
    </x:row>
    <x:row r="59" ht="15" customHeight="1">
      <x:c r="A59" s="7" t="str">
        <x:f>IF(41&lt;='Сводка'!$B$3,'Сводка'!$B$4+41,"")</x:f>
      </x:c>
      <x:c r="B59" s="19" t="str">
        <x:f>IF($A59="","",(A59-$T$405+1)/1000)</x:f>
      </x:c>
      <x:c r="C59" s="19" t="str">
        <x:f>IF($A59="","",2*(A59-$T$405)/$T$406-1)</x:f>
      </x:c>
      <x:c r="D59" s="3" t="str">
        <x:f>IF($A59="","",$B$4+$B$5*C59^1+$B$6*C59^2+$B$7*C59^3)</x:f>
      </x:c>
      <x:c r="E59" s="3" t="str">
        <x:f>IF($A59="","",SQRT($T$403^2+H59^2))</x:f>
      </x:c>
      <x:c r="F59" s="3" t="str">
        <x:f>IF($A59="","",D59-$T$404*E59)</x:f>
      </x:c>
      <x:c r="G59" s="3" t="str">
        <x:f>IF($A59="","",D59+$T$404*E59)</x:f>
      </x:c>
      <x:c r="H59" s="3" t="str">
        <x:f>IF($A59="","",SQRT(MAX(0,(1)*$S$409*(1)+(1)*$T$409*(C59^1)+(1)*$U$409*(C59^2)+(1)*$V$409*(C59^3)+(C59^1)*$S$410*(1)+(C59^1)*$T$410*(C59^1)+(C59^1)*$U$410*(C59^2)+(C59^1)*$V$410*(C59^3)+(C59^2)*$S$411*(1)+(C59^2)*$T$411*(C59^1)+(C59^2)*$U$411*(C59^2)+(C59^2)*$V$411*(C59^3)+(C59^3)*$S$412*(1)+(C59^3)*$T$412*(C59^1)+(C59^3)*$U$412*(C59^2)+(C59^3)*$V$412*(C59^3))))</x:f>
      </x:c>
      <x:c r="I59" s="3"/>
      <x:c r="J59" s="10" t="n">
        <x:v>45910</x:v>
      </x:c>
      <x:c r="K59" s="8" t="n">
        <x:f>INDEX('Сводка'!$S$3:$S$397,U59)</x:f>
        <x:v>209</x:v>
      </x:c>
      <x:c r="L59" s="8" t="n">
        <x:f>INDEX('Сводка'!$S$3:$S$397,V59)</x:f>
        <x:v>218</x:v>
      </x:c>
      <x:c r="M59" s="8" t="n">
        <x:f>INDEX($K$388:$N$400,W59,1)+INDEX($K$388:$N$400,W59,2)*(2*(J59-$T$405)/(T59-$T$405)-1)^1+INDEX($K$388:$N$400,W59,3)*(2*(J59-$T$405)/(T59-$T$405)-1)^2+INDEX($K$388:$N$400,W59,4)*(2*(J59-$T$405)/(T59-$T$405)-1)^3</x:f>
        <x:v>146.29293389569986</x:v>
      </x:c>
      <x:c r="N59" s="8" t="n">
        <x:f>K59-M59</x:f>
        <x:v>62.70706610430014</x:v>
      </x:c>
      <x:c r="O59" s="8" t="n">
        <x:f>ABS(N59)</x:f>
        <x:v>62.70706610430014</x:v>
      </x:c>
      <x:c r="P59" s="8" t="n">
        <x:f>N59^2</x:f>
        <x:v>3932.1761394090677</x:v>
      </x:c>
      <x:c r="Q59" s="8" t="n">
        <x:f>K59-L59</x:f>
        <x:v>-9</x:v>
      </x:c>
      <x:c r="R59" s="9" t="n">
        <x:f>IF(AND(INDEX('Сводка'!$T$3:$T$397,U59)=0,INDEX('Сводка'!$T$3:$T$397,V59)=0),1,0)</x:f>
        <x:v>1</x:v>
      </x:c>
      <x:c r="S59" s="9" t="n">
        <x:f>IF(AND(R59=1,O59&lt;=$G$13),1,0)</x:f>
        <x:v>0</x:v>
      </x:c>
      <x:c r="T59" s="10" t="n">
        <x:f>EOMONTH(J59-'Сводка'!$B$11,-1)</x:f>
        <x:v>45900</x:v>
      </x:c>
      <x:c r="U59" s="4" t="n">
        <x:f>MATCH(J59,'Сводка'!$R$3:$R$397,0)</x:f>
        <x:v>70</x:v>
      </x:c>
      <x:c r="V59" s="4" t="n">
        <x:f>MATCH(J59-'Сводка'!$B$11,'Сводка'!$R$3:$R$397,0)</x:f>
        <x:v>69</x:v>
      </x:c>
      <x:c r="W59" s="4" t="n">
        <x:f>MATCH(T59,$J$388:$J$400,0)</x:f>
        <x:v>3</x:v>
      </x:c>
      <x:c r="X59" s="3"/>
      <x:c r="Y59" s="3"/>
      <x:c r="Z59" s="3"/>
    </x:row>
    <x:row r="60" ht="15" customHeight="1">
      <x:c r="A60" s="7" t="str">
        <x:f>IF(42&lt;='Сводка'!$B$3,'Сводка'!$B$4+42,"")</x:f>
      </x:c>
      <x:c r="B60" s="19" t="str">
        <x:f>IF($A60="","",(A60-$T$405+1)/1000)</x:f>
      </x:c>
      <x:c r="C60" s="19" t="str">
        <x:f>IF($A60="","",2*(A60-$T$405)/$T$406-1)</x:f>
      </x:c>
      <x:c r="D60" s="3" t="str">
        <x:f>IF($A60="","",$B$4+$B$5*C60^1+$B$6*C60^2+$B$7*C60^3)</x:f>
      </x:c>
      <x:c r="E60" s="3" t="str">
        <x:f>IF($A60="","",SQRT($T$403^2+H60^2))</x:f>
      </x:c>
      <x:c r="F60" s="3" t="str">
        <x:f>IF($A60="","",D60-$T$404*E60)</x:f>
      </x:c>
      <x:c r="G60" s="3" t="str">
        <x:f>IF($A60="","",D60+$T$404*E60)</x:f>
      </x:c>
      <x:c r="H60" s="3" t="str">
        <x:f>IF($A60="","",SQRT(MAX(0,(1)*$S$409*(1)+(1)*$T$409*(C60^1)+(1)*$U$409*(C60^2)+(1)*$V$409*(C60^3)+(C60^1)*$S$410*(1)+(C60^1)*$T$410*(C60^1)+(C60^1)*$U$410*(C60^2)+(C60^1)*$V$410*(C60^3)+(C60^2)*$S$411*(1)+(C60^2)*$T$411*(C60^1)+(C60^2)*$U$411*(C60^2)+(C60^2)*$V$411*(C60^3)+(C60^3)*$S$412*(1)+(C60^3)*$T$412*(C60^1)+(C60^3)*$U$412*(C60^2)+(C60^3)*$V$412*(C60^3))))</x:f>
      </x:c>
      <x:c r="I60" s="3"/>
      <x:c r="J60" s="10" t="n">
        <x:v>45911</x:v>
      </x:c>
      <x:c r="K60" s="8" t="n">
        <x:f>INDEX('Сводка'!$S$3:$S$397,U60)</x:f>
        <x:v>207</x:v>
      </x:c>
      <x:c r="L60" s="8" t="n">
        <x:f>INDEX('Сводка'!$S$3:$S$397,V60)</x:f>
        <x:v>209</x:v>
      </x:c>
      <x:c r="M60" s="8" t="n">
        <x:f>INDEX($K$388:$N$400,W60,1)+INDEX($K$388:$N$400,W60,2)*(2*(J60-$T$405)/(T60-$T$405)-1)^1+INDEX($K$388:$N$400,W60,3)*(2*(J60-$T$405)/(T60-$T$405)-1)^2+INDEX($K$388:$N$400,W60,4)*(2*(J60-$T$405)/(T60-$T$405)-1)^3</x:f>
        <x:v>146.2982732733346</x:v>
      </x:c>
      <x:c r="N60" s="8" t="n">
        <x:f>K60-M60</x:f>
        <x:v>60.70172672666541</x:v>
      </x:c>
      <x:c r="O60" s="8" t="n">
        <x:f>ABS(N60)</x:f>
        <x:v>60.70172672666541</x:v>
      </x:c>
      <x:c r="P60" s="8" t="n">
        <x:f>N60^2</x:f>
        <x:v>3684.6996275987663</x:v>
      </x:c>
      <x:c r="Q60" s="8" t="n">
        <x:f>K60-L60</x:f>
        <x:v>-2</x:v>
      </x:c>
      <x:c r="R60" s="9" t="n">
        <x:f>IF(AND(INDEX('Сводка'!$T$3:$T$397,U60)=0,INDEX('Сводка'!$T$3:$T$397,V60)=0),1,0)</x:f>
        <x:v>1</x:v>
      </x:c>
      <x:c r="S60" s="9" t="n">
        <x:f>IF(AND(R60=1,O60&lt;=$G$13),1,0)</x:f>
        <x:v>0</x:v>
      </x:c>
      <x:c r="T60" s="10" t="n">
        <x:f>EOMONTH(J60-'Сводка'!$B$11,-1)</x:f>
        <x:v>45900</x:v>
      </x:c>
      <x:c r="U60" s="4" t="n">
        <x:f>MATCH(J60,'Сводка'!$R$3:$R$397,0)</x:f>
        <x:v>71</x:v>
      </x:c>
      <x:c r="V60" s="4" t="n">
        <x:f>MATCH(J60-'Сводка'!$B$11,'Сводка'!$R$3:$R$397,0)</x:f>
        <x:v>70</x:v>
      </x:c>
      <x:c r="W60" s="4" t="n">
        <x:f>MATCH(T60,$J$388:$J$400,0)</x:f>
        <x:v>3</x:v>
      </x:c>
      <x:c r="X60" s="3"/>
      <x:c r="Y60" s="3"/>
      <x:c r="Z60" s="3"/>
    </x:row>
    <x:row r="61" ht="15" customHeight="1">
      <x:c r="A61" s="7" t="str">
        <x:f>IF(43&lt;='Сводка'!$B$3,'Сводка'!$B$4+43,"")</x:f>
      </x:c>
      <x:c r="B61" s="19" t="str">
        <x:f>IF($A61="","",(A61-$T$405+1)/1000)</x:f>
      </x:c>
      <x:c r="C61" s="19" t="str">
        <x:f>IF($A61="","",2*(A61-$T$405)/$T$406-1)</x:f>
      </x:c>
      <x:c r="D61" s="3" t="str">
        <x:f>IF($A61="","",$B$4+$B$5*C61^1+$B$6*C61^2+$B$7*C61^3)</x:f>
      </x:c>
      <x:c r="E61" s="3" t="str">
        <x:f>IF($A61="","",SQRT($T$403^2+H61^2))</x:f>
      </x:c>
      <x:c r="F61" s="3" t="str">
        <x:f>IF($A61="","",D61-$T$404*E61)</x:f>
      </x:c>
      <x:c r="G61" s="3" t="str">
        <x:f>IF($A61="","",D61+$T$404*E61)</x:f>
      </x:c>
      <x:c r="H61" s="3" t="str">
        <x:f>IF($A61="","",SQRT(MAX(0,(1)*$S$409*(1)+(1)*$T$409*(C61^1)+(1)*$U$409*(C61^2)+(1)*$V$409*(C61^3)+(C61^1)*$S$410*(1)+(C61^1)*$T$410*(C61^1)+(C61^1)*$U$410*(C61^2)+(C61^1)*$V$410*(C61^3)+(C61^2)*$S$411*(1)+(C61^2)*$T$411*(C61^1)+(C61^2)*$U$411*(C61^2)+(C61^2)*$V$411*(C61^3)+(C61^3)*$S$412*(1)+(C61^3)*$T$412*(C61^1)+(C61^3)*$U$412*(C61^2)+(C61^3)*$V$412*(C61^3))))</x:f>
      </x:c>
      <x:c r="I61" s="3"/>
      <x:c r="J61" s="10" t="n">
        <x:v>45912</x:v>
      </x:c>
      <x:c r="K61" s="8" t="n">
        <x:f>INDEX('Сводка'!$S$3:$S$397,U61)</x:f>
        <x:v>204</x:v>
      </x:c>
      <x:c r="L61" s="8" t="n">
        <x:f>INDEX('Сводка'!$S$3:$S$397,V61)</x:f>
        <x:v>207</x:v>
      </x:c>
      <x:c r="M61" s="8" t="n">
        <x:f>INDEX($K$388:$N$400,W61,1)+INDEX($K$388:$N$400,W61,2)*(2*(J61-$T$405)/(T61-$T$405)-1)^1+INDEX($K$388:$N$400,W61,3)*(2*(J61-$T$405)/(T61-$T$405)-1)^2+INDEX($K$388:$N$400,W61,4)*(2*(J61-$T$405)/(T61-$T$405)-1)^3</x:f>
        <x:v>146.30360867456457</x:v>
      </x:c>
      <x:c r="N61" s="8" t="n">
        <x:f>K61-M61</x:f>
        <x:v>57.69639132543543</x:v>
      </x:c>
      <x:c r="O61" s="8" t="n">
        <x:f>ABS(N61)</x:f>
        <x:v>57.69639132543543</x:v>
      </x:c>
      <x:c r="P61" s="8" t="n">
        <x:f>N61^2</x:f>
        <x:v>3328.8735719777806</x:v>
      </x:c>
      <x:c r="Q61" s="8" t="n">
        <x:f>K61-L61</x:f>
        <x:v>-3</x:v>
      </x:c>
      <x:c r="R61" s="9" t="n">
        <x:f>IF(AND(INDEX('Сводка'!$T$3:$T$397,U61)=0,INDEX('Сводка'!$T$3:$T$397,V61)=0),1,0)</x:f>
        <x:v>1</x:v>
      </x:c>
      <x:c r="S61" s="9" t="n">
        <x:f>IF(AND(R61=1,O61&lt;=$G$13),1,0)</x:f>
        <x:v>0</x:v>
      </x:c>
      <x:c r="T61" s="10" t="n">
        <x:f>EOMONTH(J61-'Сводка'!$B$11,-1)</x:f>
        <x:v>45900</x:v>
      </x:c>
      <x:c r="U61" s="4" t="n">
        <x:f>MATCH(J61,'Сводка'!$R$3:$R$397,0)</x:f>
        <x:v>72</x:v>
      </x:c>
      <x:c r="V61" s="4" t="n">
        <x:f>MATCH(J61-'Сводка'!$B$11,'Сводка'!$R$3:$R$397,0)</x:f>
        <x:v>71</x:v>
      </x:c>
      <x:c r="W61" s="4" t="n">
        <x:f>MATCH(T61,$J$388:$J$400,0)</x:f>
        <x:v>3</x:v>
      </x:c>
      <x:c r="X61" s="3"/>
      <x:c r="Y61" s="3"/>
      <x:c r="Z61" s="3"/>
    </x:row>
    <x:row r="62" ht="15" customHeight="1">
      <x:c r="A62" s="7" t="str">
        <x:f>IF(44&lt;='Сводка'!$B$3,'Сводка'!$B$4+44,"")</x:f>
      </x:c>
      <x:c r="B62" s="19" t="str">
        <x:f>IF($A62="","",(A62-$T$405+1)/1000)</x:f>
      </x:c>
      <x:c r="C62" s="19" t="str">
        <x:f>IF($A62="","",2*(A62-$T$405)/$T$406-1)</x:f>
      </x:c>
      <x:c r="D62" s="3" t="str">
        <x:f>IF($A62="","",$B$4+$B$5*C62^1+$B$6*C62^2+$B$7*C62^3)</x:f>
      </x:c>
      <x:c r="E62" s="3" t="str">
        <x:f>IF($A62="","",SQRT($T$403^2+H62^2))</x:f>
      </x:c>
      <x:c r="F62" s="3" t="str">
        <x:f>IF($A62="","",D62-$T$404*E62)</x:f>
      </x:c>
      <x:c r="G62" s="3" t="str">
        <x:f>IF($A62="","",D62+$T$404*E62)</x:f>
      </x:c>
      <x:c r="H62" s="3" t="str">
        <x:f>IF($A62="","",SQRT(MAX(0,(1)*$S$409*(1)+(1)*$T$409*(C62^1)+(1)*$U$409*(C62^2)+(1)*$V$409*(C62^3)+(C62^1)*$S$410*(1)+(C62^1)*$T$410*(C62^1)+(C62^1)*$U$410*(C62^2)+(C62^1)*$V$410*(C62^3)+(C62^2)*$S$411*(1)+(C62^2)*$T$411*(C62^1)+(C62^2)*$U$411*(C62^2)+(C62^2)*$V$411*(C62^3)+(C62^3)*$S$412*(1)+(C62^3)*$T$412*(C62^1)+(C62^3)*$U$412*(C62^2)+(C62^3)*$V$412*(C62^3))))</x:f>
      </x:c>
      <x:c r="I62" s="3"/>
      <x:c r="J62" s="10" t="n">
        <x:v>45913</x:v>
      </x:c>
      <x:c r="K62" s="8" t="n">
        <x:f>INDEX('Сводка'!$S$3:$S$397,U62)</x:f>
        <x:v>201</x:v>
      </x:c>
      <x:c r="L62" s="8" t="n">
        <x:f>INDEX('Сводка'!$S$3:$S$397,V62)</x:f>
        <x:v>204</x:v>
      </x:c>
      <x:c r="M62" s="8" t="n">
        <x:f>INDEX($K$388:$N$400,W62,1)+INDEX($K$388:$N$400,W62,2)*(2*(J62-$T$405)/(T62-$T$405)-1)^1+INDEX($K$388:$N$400,W62,3)*(2*(J62-$T$405)/(T62-$T$405)-1)^2+INDEX($K$388:$N$400,W62,4)*(2*(J62-$T$405)/(T62-$T$405)-1)^3</x:f>
        <x:v>146.30894009953371</x:v>
      </x:c>
      <x:c r="N62" s="8" t="n">
        <x:f>K62-M62</x:f>
        <x:v>54.691059900466286</x:v>
      </x:c>
      <x:c r="O62" s="8" t="n">
        <x:f>ABS(N62)</x:f>
        <x:v>54.691059900466286</x:v>
      </x:c>
      <x:c r="P62" s="8" t="n">
        <x:f>N62^2</x:f>
        <x:v>2991.1120330363915</x:v>
      </x:c>
      <x:c r="Q62" s="8" t="n">
        <x:f>K62-L62</x:f>
        <x:v>-3</x:v>
      </x:c>
      <x:c r="R62" s="9" t="n">
        <x:f>IF(AND(INDEX('Сводка'!$T$3:$T$397,U62)=0,INDEX('Сводка'!$T$3:$T$397,V62)=0),1,0)</x:f>
        <x:v>1</x:v>
      </x:c>
      <x:c r="S62" s="9" t="n">
        <x:f>IF(AND(R62=1,O62&lt;=$G$13),1,0)</x:f>
        <x:v>0</x:v>
      </x:c>
      <x:c r="T62" s="10" t="n">
        <x:f>EOMONTH(J62-'Сводка'!$B$11,-1)</x:f>
        <x:v>45900</x:v>
      </x:c>
      <x:c r="U62" s="4" t="n">
        <x:f>MATCH(J62,'Сводка'!$R$3:$R$397,0)</x:f>
        <x:v>73</x:v>
      </x:c>
      <x:c r="V62" s="4" t="n">
        <x:f>MATCH(J62-'Сводка'!$B$11,'Сводка'!$R$3:$R$397,0)</x:f>
        <x:v>72</x:v>
      </x:c>
      <x:c r="W62" s="4" t="n">
        <x:f>MATCH(T62,$J$388:$J$400,0)</x:f>
        <x:v>3</x:v>
      </x:c>
      <x:c r="X62" s="3"/>
      <x:c r="Y62" s="3"/>
      <x:c r="Z62" s="3"/>
    </x:row>
    <x:row r="63" ht="15" customHeight="1">
      <x:c r="A63" s="7" t="str">
        <x:f>IF(45&lt;='Сводка'!$B$3,'Сводка'!$B$4+45,"")</x:f>
      </x:c>
      <x:c r="B63" s="19" t="str">
        <x:f>IF($A63="","",(A63-$T$405+1)/1000)</x:f>
      </x:c>
      <x:c r="C63" s="19" t="str">
        <x:f>IF($A63="","",2*(A63-$T$405)/$T$406-1)</x:f>
      </x:c>
      <x:c r="D63" s="3" t="str">
        <x:f>IF($A63="","",$B$4+$B$5*C63^1+$B$6*C63^2+$B$7*C63^3)</x:f>
      </x:c>
      <x:c r="E63" s="3" t="str">
        <x:f>IF($A63="","",SQRT($T$403^2+H63^2))</x:f>
      </x:c>
      <x:c r="F63" s="3" t="str">
        <x:f>IF($A63="","",D63-$T$404*E63)</x:f>
      </x:c>
      <x:c r="G63" s="3" t="str">
        <x:f>IF($A63="","",D63+$T$404*E63)</x:f>
      </x:c>
      <x:c r="H63" s="3" t="str">
        <x:f>IF($A63="","",SQRT(MAX(0,(1)*$S$409*(1)+(1)*$T$409*(C63^1)+(1)*$U$409*(C63^2)+(1)*$V$409*(C63^3)+(C63^1)*$S$410*(1)+(C63^1)*$T$410*(C63^1)+(C63^1)*$U$410*(C63^2)+(C63^1)*$V$410*(C63^3)+(C63^2)*$S$411*(1)+(C63^2)*$T$411*(C63^1)+(C63^2)*$U$411*(C63^2)+(C63^2)*$V$411*(C63^3)+(C63^3)*$S$412*(1)+(C63^3)*$T$412*(C63^1)+(C63^3)*$U$412*(C63^2)+(C63^3)*$V$412*(C63^3))))</x:f>
      </x:c>
      <x:c r="I63" s="3"/>
      <x:c r="J63" s="10" t="n">
        <x:v>45914</x:v>
      </x:c>
      <x:c r="K63" s="8" t="n">
        <x:f>INDEX('Сводка'!$S$3:$S$397,U63)</x:f>
        <x:v>202</x:v>
      </x:c>
      <x:c r="L63" s="8" t="n">
        <x:f>INDEX('Сводка'!$S$3:$S$397,V63)</x:f>
        <x:v>201</x:v>
      </x:c>
      <x:c r="M63" s="8" t="n">
        <x:f>INDEX($K$388:$N$400,W63,1)+INDEX($K$388:$N$400,W63,2)*(2*(J63-$T$405)/(T63-$T$405)-1)^1+INDEX($K$388:$N$400,W63,3)*(2*(J63-$T$405)/(T63-$T$405)-1)^2+INDEX($K$388:$N$400,W63,4)*(2*(J63-$T$405)/(T63-$T$405)-1)^3</x:f>
        <x:v>146.31426754838586</x:v>
      </x:c>
      <x:c r="N63" s="8" t="n">
        <x:f>K63-M63</x:f>
        <x:v>55.68573245161414</x:v>
      </x:c>
      <x:c r="O63" s="8" t="n">
        <x:f>ABS(N63)</x:f>
        <x:v>55.68573245161414</x:v>
      </x:c>
      <x:c r="P63" s="8" t="n">
        <x:f>N63^2</x:f>
        <x:v>3100.9007986727524</x:v>
      </x:c>
      <x:c r="Q63" s="8" t="n">
        <x:f>K63-L63</x:f>
        <x:v>1</x:v>
      </x:c>
      <x:c r="R63" s="9" t="n">
        <x:f>IF(AND(INDEX('Сводка'!$T$3:$T$397,U63)=0,INDEX('Сводка'!$T$3:$T$397,V63)=0),1,0)</x:f>
        <x:v>1</x:v>
      </x:c>
      <x:c r="S63" s="9" t="n">
        <x:f>IF(AND(R63=1,O63&lt;=$G$13),1,0)</x:f>
        <x:v>0</x:v>
      </x:c>
      <x:c r="T63" s="10" t="n">
        <x:f>EOMONTH(J63-'Сводка'!$B$11,-1)</x:f>
        <x:v>45900</x:v>
      </x:c>
      <x:c r="U63" s="4" t="n">
        <x:f>MATCH(J63,'Сводка'!$R$3:$R$397,0)</x:f>
        <x:v>74</x:v>
      </x:c>
      <x:c r="V63" s="4" t="n">
        <x:f>MATCH(J63-'Сводка'!$B$11,'Сводка'!$R$3:$R$397,0)</x:f>
        <x:v>73</x:v>
      </x:c>
      <x:c r="W63" s="4" t="n">
        <x:f>MATCH(T63,$J$388:$J$400,0)</x:f>
        <x:v>3</x:v>
      </x:c>
      <x:c r="X63" s="3"/>
      <x:c r="Y63" s="3"/>
      <x:c r="Z63" s="3"/>
    </x:row>
    <x:row r="64" ht="15" customHeight="1">
      <x:c r="A64" s="7" t="str">
        <x:f>IF(46&lt;='Сводка'!$B$3,'Сводка'!$B$4+46,"")</x:f>
      </x:c>
      <x:c r="B64" s="19" t="str">
        <x:f>IF($A64="","",(A64-$T$405+1)/1000)</x:f>
      </x:c>
      <x:c r="C64" s="19" t="str">
        <x:f>IF($A64="","",2*(A64-$T$405)/$T$406-1)</x:f>
      </x:c>
      <x:c r="D64" s="3" t="str">
        <x:f>IF($A64="","",$B$4+$B$5*C64^1+$B$6*C64^2+$B$7*C64^3)</x:f>
      </x:c>
      <x:c r="E64" s="3" t="str">
        <x:f>IF($A64="","",SQRT($T$403^2+H64^2))</x:f>
      </x:c>
      <x:c r="F64" s="3" t="str">
        <x:f>IF($A64="","",D64-$T$404*E64)</x:f>
      </x:c>
      <x:c r="G64" s="3" t="str">
        <x:f>IF($A64="","",D64+$T$404*E64)</x:f>
      </x:c>
      <x:c r="H64" s="3" t="str">
        <x:f>IF($A64="","",SQRT(MAX(0,(1)*$S$409*(1)+(1)*$T$409*(C64^1)+(1)*$U$409*(C64^2)+(1)*$V$409*(C64^3)+(C64^1)*$S$410*(1)+(C64^1)*$T$410*(C64^1)+(C64^1)*$U$410*(C64^2)+(C64^1)*$V$410*(C64^3)+(C64^2)*$S$411*(1)+(C64^2)*$T$411*(C64^1)+(C64^2)*$U$411*(C64^2)+(C64^2)*$V$411*(C64^3)+(C64^3)*$S$412*(1)+(C64^3)*$T$412*(C64^1)+(C64^3)*$U$412*(C64^2)+(C64^3)*$V$412*(C64^3))))</x:f>
      </x:c>
      <x:c r="I64" s="3"/>
      <x:c r="J64" s="10" t="n">
        <x:v>45915</x:v>
      </x:c>
      <x:c r="K64" s="8" t="n">
        <x:f>INDEX('Сводка'!$S$3:$S$397,U64)</x:f>
        <x:v>204</x:v>
      </x:c>
      <x:c r="L64" s="8" t="n">
        <x:f>INDEX('Сводка'!$S$3:$S$397,V64)</x:f>
        <x:v>202</x:v>
      </x:c>
      <x:c r="M64" s="8" t="n">
        <x:f>INDEX($K$388:$N$400,W64,1)+INDEX($K$388:$N$400,W64,2)*(2*(J64-$T$405)/(T64-$T$405)-1)^1+INDEX($K$388:$N$400,W64,3)*(2*(J64-$T$405)/(T64-$T$405)-1)^2+INDEX($K$388:$N$400,W64,4)*(2*(J64-$T$405)/(T64-$T$405)-1)^3</x:f>
        <x:v>146.31959102126476</x:v>
      </x:c>
      <x:c r="N64" s="8" t="n">
        <x:f>K64-M64</x:f>
        <x:v>57.680408978735244</x:v>
      </x:c>
      <x:c r="O64" s="8" t="n">
        <x:f>ABS(N64)</x:f>
        <x:v>57.680408978735244</x:v>
      </x:c>
      <x:c r="P64" s="8" t="n">
        <x:f>N64^2</x:f>
        <x:v>3327.0295799541614</x:v>
      </x:c>
      <x:c r="Q64" s="8" t="n">
        <x:f>K64-L64</x:f>
        <x:v>2</x:v>
      </x:c>
      <x:c r="R64" s="9" t="n">
        <x:f>IF(AND(INDEX('Сводка'!$T$3:$T$397,U64)=0,INDEX('Сводка'!$T$3:$T$397,V64)=0),1,0)</x:f>
        <x:v>1</x:v>
      </x:c>
      <x:c r="S64" s="9" t="n">
        <x:f>IF(AND(R64=1,O64&lt;=$G$13),1,0)</x:f>
        <x:v>0</x:v>
      </x:c>
      <x:c r="T64" s="10" t="n">
        <x:f>EOMONTH(J64-'Сводка'!$B$11,-1)</x:f>
        <x:v>45900</x:v>
      </x:c>
      <x:c r="U64" s="4" t="n">
        <x:f>MATCH(J64,'Сводка'!$R$3:$R$397,0)</x:f>
        <x:v>75</x:v>
      </x:c>
      <x:c r="V64" s="4" t="n">
        <x:f>MATCH(J64-'Сводка'!$B$11,'Сводка'!$R$3:$R$397,0)</x:f>
        <x:v>74</x:v>
      </x:c>
      <x:c r="W64" s="4" t="n">
        <x:f>MATCH(T64,$J$388:$J$400,0)</x:f>
        <x:v>3</x:v>
      </x:c>
      <x:c r="X64" s="3"/>
      <x:c r="Y64" s="3"/>
      <x:c r="Z64" s="3"/>
    </x:row>
    <x:row r="65" ht="15" customHeight="1">
      <x:c r="A65" s="7" t="str">
        <x:f>IF(47&lt;='Сводка'!$B$3,'Сводка'!$B$4+47,"")</x:f>
      </x:c>
      <x:c r="B65" s="19" t="str">
        <x:f>IF($A65="","",(A65-$T$405+1)/1000)</x:f>
      </x:c>
      <x:c r="C65" s="19" t="str">
        <x:f>IF($A65="","",2*(A65-$T$405)/$T$406-1)</x:f>
      </x:c>
      <x:c r="D65" s="3" t="str">
        <x:f>IF($A65="","",$B$4+$B$5*C65^1+$B$6*C65^2+$B$7*C65^3)</x:f>
      </x:c>
      <x:c r="E65" s="3" t="str">
        <x:f>IF($A65="","",SQRT($T$403^2+H65^2))</x:f>
      </x:c>
      <x:c r="F65" s="3" t="str">
        <x:f>IF($A65="","",D65-$T$404*E65)</x:f>
      </x:c>
      <x:c r="G65" s="3" t="str">
        <x:f>IF($A65="","",D65+$T$404*E65)</x:f>
      </x:c>
      <x:c r="H65" s="3" t="str">
        <x:f>IF($A65="","",SQRT(MAX(0,(1)*$S$409*(1)+(1)*$T$409*(C65^1)+(1)*$U$409*(C65^2)+(1)*$V$409*(C65^3)+(C65^1)*$S$410*(1)+(C65^1)*$T$410*(C65^1)+(C65^1)*$U$410*(C65^2)+(C65^1)*$V$410*(C65^3)+(C65^2)*$S$411*(1)+(C65^2)*$T$411*(C65^1)+(C65^2)*$U$411*(C65^2)+(C65^2)*$V$411*(C65^3)+(C65^3)*$S$412*(1)+(C65^3)*$T$412*(C65^1)+(C65^3)*$U$412*(C65^2)+(C65^3)*$V$412*(C65^3))))</x:f>
      </x:c>
      <x:c r="I65" s="3"/>
      <x:c r="J65" s="10" t="n">
        <x:v>45916</x:v>
      </x:c>
      <x:c r="K65" s="8" t="n">
        <x:f>INDEX('Сводка'!$S$3:$S$397,U65)</x:f>
        <x:v>213</x:v>
      </x:c>
      <x:c r="L65" s="8" t="n">
        <x:f>INDEX('Сводка'!$S$3:$S$397,V65)</x:f>
        <x:v>204</x:v>
      </x:c>
      <x:c r="M65" s="8" t="n">
        <x:f>INDEX($K$388:$N$400,W65,1)+INDEX($K$388:$N$400,W65,2)*(2*(J65-$T$405)/(T65-$T$405)-1)^1+INDEX($K$388:$N$400,W65,3)*(2*(J65-$T$405)/(T65-$T$405)-1)^2+INDEX($K$388:$N$400,W65,4)*(2*(J65-$T$405)/(T65-$T$405)-1)^3</x:f>
        <x:v>146.32491051831425</x:v>
      </x:c>
      <x:c r="N65" s="8" t="n">
        <x:f>K65-M65</x:f>
        <x:v>66.67508948168575</x:v>
      </x:c>
      <x:c r="O65" s="8" t="n">
        <x:f>ABS(N65)</x:f>
        <x:v>66.67508948168575</x:v>
      </x:c>
      <x:c r="P65" s="8" t="n">
        <x:f>N65^2</x:f>
        <x:v>4445.567557390801</x:v>
      </x:c>
      <x:c r="Q65" s="8" t="n">
        <x:f>K65-L65</x:f>
        <x:v>9</x:v>
      </x:c>
      <x:c r="R65" s="9" t="n">
        <x:f>IF(AND(INDEX('Сводка'!$T$3:$T$397,U65)=0,INDEX('Сводка'!$T$3:$T$397,V65)=0),1,0)</x:f>
        <x:v>1</x:v>
      </x:c>
      <x:c r="S65" s="9" t="n">
        <x:f>IF(AND(R65=1,O65&lt;=$G$13),1,0)</x:f>
        <x:v>0</x:v>
      </x:c>
      <x:c r="T65" s="10" t="n">
        <x:f>EOMONTH(J65-'Сводка'!$B$11,-1)</x:f>
        <x:v>45900</x:v>
      </x:c>
      <x:c r="U65" s="4" t="n">
        <x:f>MATCH(J65,'Сводка'!$R$3:$R$397,0)</x:f>
        <x:v>76</x:v>
      </x:c>
      <x:c r="V65" s="4" t="n">
        <x:f>MATCH(J65-'Сводка'!$B$11,'Сводка'!$R$3:$R$397,0)</x:f>
        <x:v>75</x:v>
      </x:c>
      <x:c r="W65" s="4" t="n">
        <x:f>MATCH(T65,$J$388:$J$400,0)</x:f>
        <x:v>3</x:v>
      </x:c>
      <x:c r="X65" s="3"/>
      <x:c r="Y65" s="3"/>
      <x:c r="Z65" s="3"/>
    </x:row>
    <x:row r="66" ht="15" customHeight="1">
      <x:c r="A66" s="7" t="str">
        <x:f>IF(48&lt;='Сводка'!$B$3,'Сводка'!$B$4+48,"")</x:f>
      </x:c>
      <x:c r="B66" s="19" t="str">
        <x:f>IF($A66="","",(A66-$T$405+1)/1000)</x:f>
      </x:c>
      <x:c r="C66" s="19" t="str">
        <x:f>IF($A66="","",2*(A66-$T$405)/$T$406-1)</x:f>
      </x:c>
      <x:c r="D66" s="3" t="str">
        <x:f>IF($A66="","",$B$4+$B$5*C66^1+$B$6*C66^2+$B$7*C66^3)</x:f>
      </x:c>
      <x:c r="E66" s="3" t="str">
        <x:f>IF($A66="","",SQRT($T$403^2+H66^2))</x:f>
      </x:c>
      <x:c r="F66" s="3" t="str">
        <x:f>IF($A66="","",D66-$T$404*E66)</x:f>
      </x:c>
      <x:c r="G66" s="3" t="str">
        <x:f>IF($A66="","",D66+$T$404*E66)</x:f>
      </x:c>
      <x:c r="H66" s="3" t="str">
        <x:f>IF($A66="","",SQRT(MAX(0,(1)*$S$409*(1)+(1)*$T$409*(C66^1)+(1)*$U$409*(C66^2)+(1)*$V$409*(C66^3)+(C66^1)*$S$410*(1)+(C66^1)*$T$410*(C66^1)+(C66^1)*$U$410*(C66^2)+(C66^1)*$V$410*(C66^3)+(C66^2)*$S$411*(1)+(C66^2)*$T$411*(C66^1)+(C66^2)*$U$411*(C66^2)+(C66^2)*$V$411*(C66^3)+(C66^3)*$S$412*(1)+(C66^3)*$T$412*(C66^1)+(C66^3)*$U$412*(C66^2)+(C66^3)*$V$412*(C66^3))))</x:f>
      </x:c>
      <x:c r="I66" s="3"/>
      <x:c r="J66" s="10" t="n">
        <x:v>45917</x:v>
      </x:c>
      <x:c r="K66" s="8" t="n">
        <x:f>INDEX('Сводка'!$S$3:$S$397,U66)</x:f>
        <x:v>219</x:v>
      </x:c>
      <x:c r="L66" s="8" t="n">
        <x:f>INDEX('Сводка'!$S$3:$S$397,V66)</x:f>
        <x:v>213</x:v>
      </x:c>
      <x:c r="M66" s="8" t="n">
        <x:f>INDEX($K$388:$N$400,W66,1)+INDEX($K$388:$N$400,W66,2)*(2*(J66-$T$405)/(T66-$T$405)-1)^1+INDEX($K$388:$N$400,W66,3)*(2*(J66-$T$405)/(T66-$T$405)-1)^2+INDEX($K$388:$N$400,W66,4)*(2*(J66-$T$405)/(T66-$T$405)-1)^3</x:f>
        <x:v>146.3302260396782</x:v>
      </x:c>
      <x:c r="N66" s="8" t="n">
        <x:f>K66-M66</x:f>
        <x:v>72.6697739603218</x:v>
      </x:c>
      <x:c r="O66" s="8" t="n">
        <x:f>ABS(N66)</x:f>
        <x:v>72.6697739603218</x:v>
      </x:c>
      <x:c r="P66" s="8" t="n">
        <x:f>N66^2</x:f>
        <x:v>5280.896047444265</x:v>
      </x:c>
      <x:c r="Q66" s="8" t="n">
        <x:f>K66-L66</x:f>
        <x:v>6</x:v>
      </x:c>
      <x:c r="R66" s="9" t="n">
        <x:f>IF(AND(INDEX('Сводка'!$T$3:$T$397,U66)=0,INDEX('Сводка'!$T$3:$T$397,V66)=0),1,0)</x:f>
        <x:v>1</x:v>
      </x:c>
      <x:c r="S66" s="9" t="n">
        <x:f>IF(AND(R66=1,O66&lt;=$G$13),1,0)</x:f>
        <x:v>0</x:v>
      </x:c>
      <x:c r="T66" s="10" t="n">
        <x:f>EOMONTH(J66-'Сводка'!$B$11,-1)</x:f>
        <x:v>45900</x:v>
      </x:c>
      <x:c r="U66" s="4" t="n">
        <x:f>MATCH(J66,'Сводка'!$R$3:$R$397,0)</x:f>
        <x:v>77</x:v>
      </x:c>
      <x:c r="V66" s="4" t="n">
        <x:f>MATCH(J66-'Сводка'!$B$11,'Сводка'!$R$3:$R$397,0)</x:f>
        <x:v>76</x:v>
      </x:c>
      <x:c r="W66" s="4" t="n">
        <x:f>MATCH(T66,$J$388:$J$400,0)</x:f>
        <x:v>3</x:v>
      </x:c>
      <x:c r="X66" s="3"/>
      <x:c r="Y66" s="3"/>
      <x:c r="Z66" s="3"/>
    </x:row>
    <x:row r="67" ht="15" customHeight="1">
      <x:c r="A67" s="7" t="str">
        <x:f>IF(49&lt;='Сводка'!$B$3,'Сводка'!$B$4+49,"")</x:f>
      </x:c>
      <x:c r="B67" s="19" t="str">
        <x:f>IF($A67="","",(A67-$T$405+1)/1000)</x:f>
      </x:c>
      <x:c r="C67" s="19" t="str">
        <x:f>IF($A67="","",2*(A67-$T$405)/$T$406-1)</x:f>
      </x:c>
      <x:c r="D67" s="3" t="str">
        <x:f>IF($A67="","",$B$4+$B$5*C67^1+$B$6*C67^2+$B$7*C67^3)</x:f>
      </x:c>
      <x:c r="E67" s="3" t="str">
        <x:f>IF($A67="","",SQRT($T$403^2+H67^2))</x:f>
      </x:c>
      <x:c r="F67" s="3" t="str">
        <x:f>IF($A67="","",D67-$T$404*E67)</x:f>
      </x:c>
      <x:c r="G67" s="3" t="str">
        <x:f>IF($A67="","",D67+$T$404*E67)</x:f>
      </x:c>
      <x:c r="H67" s="3" t="str">
        <x:f>IF($A67="","",SQRT(MAX(0,(1)*$S$409*(1)+(1)*$T$409*(C67^1)+(1)*$U$409*(C67^2)+(1)*$V$409*(C67^3)+(C67^1)*$S$410*(1)+(C67^1)*$T$410*(C67^1)+(C67^1)*$U$410*(C67^2)+(C67^1)*$V$410*(C67^3)+(C67^2)*$S$411*(1)+(C67^2)*$T$411*(C67^1)+(C67^2)*$U$411*(C67^2)+(C67^2)*$V$411*(C67^3)+(C67^3)*$S$412*(1)+(C67^3)*$T$412*(C67^1)+(C67^3)*$U$412*(C67^2)+(C67^3)*$V$412*(C67^3))))</x:f>
      </x:c>
      <x:c r="I67" s="3"/>
      <x:c r="J67" s="10" t="n">
        <x:v>45918</x:v>
      </x:c>
      <x:c r="K67" s="8" t="n">
        <x:f>INDEX('Сводка'!$S$3:$S$397,U67)</x:f>
        <x:v>227</x:v>
      </x:c>
      <x:c r="L67" s="8" t="n">
        <x:f>INDEX('Сводка'!$S$3:$S$397,V67)</x:f>
        <x:v>219</x:v>
      </x:c>
      <x:c r="M67" s="8" t="n">
        <x:f>INDEX($K$388:$N$400,W67,1)+INDEX($K$388:$N$400,W67,2)*(2*(J67-$T$405)/(T67-$T$405)-1)^1+INDEX($K$388:$N$400,W67,3)*(2*(J67-$T$405)/(T67-$T$405)-1)^2+INDEX($K$388:$N$400,W67,4)*(2*(J67-$T$405)/(T67-$T$405)-1)^3</x:f>
        <x:v>146.33553758550033</x:v>
      </x:c>
      <x:c r="N67" s="8" t="n">
        <x:f>K67-M67</x:f>
        <x:v>80.66446241449967</x:v>
      </x:c>
      <x:c r="O67" s="8" t="n">
        <x:f>ABS(N67)</x:f>
        <x:v>80.66446241449967</x:v>
      </x:c>
      <x:c r="P67" s="8" t="n">
        <x:f>N67^2</x:f>
        <x:v>6506.75549662023</x:v>
      </x:c>
      <x:c r="Q67" s="8" t="n">
        <x:f>K67-L67</x:f>
        <x:v>8</x:v>
      </x:c>
      <x:c r="R67" s="9" t="n">
        <x:f>IF(AND(INDEX('Сводка'!$T$3:$T$397,U67)=0,INDEX('Сводка'!$T$3:$T$397,V67)=0),1,0)</x:f>
        <x:v>1</x:v>
      </x:c>
      <x:c r="S67" s="9" t="n">
        <x:f>IF(AND(R67=1,O67&lt;=$G$13),1,0)</x:f>
        <x:v>0</x:v>
      </x:c>
      <x:c r="T67" s="10" t="n">
        <x:f>EOMONTH(J67-'Сводка'!$B$11,-1)</x:f>
        <x:v>45900</x:v>
      </x:c>
      <x:c r="U67" s="4" t="n">
        <x:f>MATCH(J67,'Сводка'!$R$3:$R$397,0)</x:f>
        <x:v>78</x:v>
      </x:c>
      <x:c r="V67" s="4" t="n">
        <x:f>MATCH(J67-'Сводка'!$B$11,'Сводка'!$R$3:$R$397,0)</x:f>
        <x:v>77</x:v>
      </x:c>
      <x:c r="W67" s="4" t="n">
        <x:f>MATCH(T67,$J$388:$J$400,0)</x:f>
        <x:v>3</x:v>
      </x:c>
      <x:c r="X67" s="3"/>
      <x:c r="Y67" s="3"/>
      <x:c r="Z67" s="3"/>
    </x:row>
    <x:row r="68" ht="15" customHeight="1">
      <x:c r="A68" s="7" t="str">
        <x:f>IF(50&lt;='Сводка'!$B$3,'Сводка'!$B$4+50,"")</x:f>
      </x:c>
      <x:c r="B68" s="19" t="str">
        <x:f>IF($A68="","",(A68-$T$405+1)/1000)</x:f>
      </x:c>
      <x:c r="C68" s="19" t="str">
        <x:f>IF($A68="","",2*(A68-$T$405)/$T$406-1)</x:f>
      </x:c>
      <x:c r="D68" s="3" t="str">
        <x:f>IF($A68="","",$B$4+$B$5*C68^1+$B$6*C68^2+$B$7*C68^3)</x:f>
      </x:c>
      <x:c r="E68" s="3" t="str">
        <x:f>IF($A68="","",SQRT($T$403^2+H68^2))</x:f>
      </x:c>
      <x:c r="F68" s="3" t="str">
        <x:f>IF($A68="","",D68-$T$404*E68)</x:f>
      </x:c>
      <x:c r="G68" s="3" t="str">
        <x:f>IF($A68="","",D68+$T$404*E68)</x:f>
      </x:c>
      <x:c r="H68" s="3" t="str">
        <x:f>IF($A68="","",SQRT(MAX(0,(1)*$S$409*(1)+(1)*$T$409*(C68^1)+(1)*$U$409*(C68^2)+(1)*$V$409*(C68^3)+(C68^1)*$S$410*(1)+(C68^1)*$T$410*(C68^1)+(C68^1)*$U$410*(C68^2)+(C68^1)*$V$410*(C68^3)+(C68^2)*$S$411*(1)+(C68^2)*$T$411*(C68^1)+(C68^2)*$U$411*(C68^2)+(C68^2)*$V$411*(C68^3)+(C68^3)*$S$412*(1)+(C68^3)*$T$412*(C68^1)+(C68^3)*$U$412*(C68^2)+(C68^3)*$V$412*(C68^3))))</x:f>
      </x:c>
      <x:c r="I68" s="3"/>
      <x:c r="J68" s="10" t="n">
        <x:v>45919</x:v>
      </x:c>
      <x:c r="K68" s="8" t="n">
        <x:f>INDEX('Сводка'!$S$3:$S$397,U68)</x:f>
        <x:v>241</x:v>
      </x:c>
      <x:c r="L68" s="8" t="n">
        <x:f>INDEX('Сводка'!$S$3:$S$397,V68)</x:f>
        <x:v>227</x:v>
      </x:c>
      <x:c r="M68" s="8" t="n">
        <x:f>INDEX($K$388:$N$400,W68,1)+INDEX($K$388:$N$400,W68,2)*(2*(J68-$T$405)/(T68-$T$405)-1)^1+INDEX($K$388:$N$400,W68,3)*(2*(J68-$T$405)/(T68-$T$405)-1)^2+INDEX($K$388:$N$400,W68,4)*(2*(J68-$T$405)/(T68-$T$405)-1)^3</x:f>
        <x:v>146.34084515592448</x:v>
      </x:c>
      <x:c r="N68" s="8" t="n">
        <x:f>K68-M68</x:f>
        <x:v>94.65915484407552</x:v>
      </x:c>
      <x:c r="O68" s="8" t="n">
        <x:f>ABS(N68)</x:f>
        <x:v>94.65915484407552</x:v>
      </x:c>
      <x:c r="P68" s="8" t="n">
        <x:f>N68^2</x:f>
        <x:v>8960.355595794665</x:v>
      </x:c>
      <x:c r="Q68" s="8" t="n">
        <x:f>K68-L68</x:f>
        <x:v>14</x:v>
      </x:c>
      <x:c r="R68" s="9" t="n">
        <x:f>IF(AND(INDEX('Сводка'!$T$3:$T$397,U68)=0,INDEX('Сводка'!$T$3:$T$397,V68)=0),1,0)</x:f>
        <x:v>1</x:v>
      </x:c>
      <x:c r="S68" s="9" t="n">
        <x:f>IF(AND(R68=1,O68&lt;=$G$13),1,0)</x:f>
        <x:v>0</x:v>
      </x:c>
      <x:c r="T68" s="10" t="n">
        <x:f>EOMONTH(J68-'Сводка'!$B$11,-1)</x:f>
        <x:v>45900</x:v>
      </x:c>
      <x:c r="U68" s="4" t="n">
        <x:f>MATCH(J68,'Сводка'!$R$3:$R$397,0)</x:f>
        <x:v>79</x:v>
      </x:c>
      <x:c r="V68" s="4" t="n">
        <x:f>MATCH(J68-'Сводка'!$B$11,'Сводка'!$R$3:$R$397,0)</x:f>
        <x:v>78</x:v>
      </x:c>
      <x:c r="W68" s="4" t="n">
        <x:f>MATCH(T68,$J$388:$J$400,0)</x:f>
        <x:v>3</x:v>
      </x:c>
      <x:c r="X68" s="3"/>
      <x:c r="Y68" s="3"/>
      <x:c r="Z68" s="3"/>
    </x:row>
    <x:row r="69" ht="15" customHeight="1">
      <x:c r="A69" s="7" t="str">
        <x:f>IF(51&lt;='Сводка'!$B$3,'Сводка'!$B$4+51,"")</x:f>
      </x:c>
      <x:c r="B69" s="19" t="str">
        <x:f>IF($A69="","",(A69-$T$405+1)/1000)</x:f>
      </x:c>
      <x:c r="C69" s="19" t="str">
        <x:f>IF($A69="","",2*(A69-$T$405)/$T$406-1)</x:f>
      </x:c>
      <x:c r="D69" s="3" t="str">
        <x:f>IF($A69="","",$B$4+$B$5*C69^1+$B$6*C69^2+$B$7*C69^3)</x:f>
      </x:c>
      <x:c r="E69" s="3" t="str">
        <x:f>IF($A69="","",SQRT($T$403^2+H69^2))</x:f>
      </x:c>
      <x:c r="F69" s="3" t="str">
        <x:f>IF($A69="","",D69-$T$404*E69)</x:f>
      </x:c>
      <x:c r="G69" s="3" t="str">
        <x:f>IF($A69="","",D69+$T$404*E69)</x:f>
      </x:c>
      <x:c r="H69" s="3" t="str">
        <x:f>IF($A69="","",SQRT(MAX(0,(1)*$S$409*(1)+(1)*$T$409*(C69^1)+(1)*$U$409*(C69^2)+(1)*$V$409*(C69^3)+(C69^1)*$S$410*(1)+(C69^1)*$T$410*(C69^1)+(C69^1)*$U$410*(C69^2)+(C69^1)*$V$410*(C69^3)+(C69^2)*$S$411*(1)+(C69^2)*$T$411*(C69^1)+(C69^2)*$U$411*(C69^2)+(C69^2)*$V$411*(C69^3)+(C69^3)*$S$412*(1)+(C69^3)*$T$412*(C69^1)+(C69^3)*$U$412*(C69^2)+(C69^3)*$V$412*(C69^3))))</x:f>
      </x:c>
      <x:c r="I69" s="3"/>
      <x:c r="J69" s="10" t="n">
        <x:v>45920</x:v>
      </x:c>
      <x:c r="K69" s="8" t="n">
        <x:f>INDEX('Сводка'!$S$3:$S$397,U69)</x:f>
        <x:v>249</x:v>
      </x:c>
      <x:c r="L69" s="8" t="n">
        <x:f>INDEX('Сводка'!$S$3:$S$397,V69)</x:f>
        <x:v>241</x:v>
      </x:c>
      <x:c r="M69" s="8" t="n">
        <x:f>INDEX($K$388:$N$400,W69,1)+INDEX($K$388:$N$400,W69,2)*(2*(J69-$T$405)/(T69-$T$405)-1)^1+INDEX($K$388:$N$400,W69,3)*(2*(J69-$T$405)/(T69-$T$405)-1)^2+INDEX($K$388:$N$400,W69,4)*(2*(J69-$T$405)/(T69-$T$405)-1)^3</x:f>
        <x:v>146.34614875109446</x:v>
      </x:c>
      <x:c r="N69" s="8" t="n">
        <x:f>K69-M69</x:f>
        <x:v>102.65385124890554</x:v>
      </x:c>
      <x:c r="O69" s="8" t="n">
        <x:f>ABS(N69)</x:f>
        <x:v>102.65385124890554</x:v>
      </x:c>
      <x:c r="P69" s="8" t="n">
        <x:f>N69^2</x:f>
        <x:v>10537.813176232425</x:v>
      </x:c>
      <x:c r="Q69" s="8" t="n">
        <x:f>K69-L69</x:f>
        <x:v>8</x:v>
      </x:c>
      <x:c r="R69" s="9" t="n">
        <x:f>IF(AND(INDEX('Сводка'!$T$3:$T$397,U69)=0,INDEX('Сводка'!$T$3:$T$397,V69)=0),1,0)</x:f>
        <x:v>1</x:v>
      </x:c>
      <x:c r="S69" s="9" t="n">
        <x:f>IF(AND(R69=1,O69&lt;=$G$13),1,0)</x:f>
        <x:v>0</x:v>
      </x:c>
      <x:c r="T69" s="10" t="n">
        <x:f>EOMONTH(J69-'Сводка'!$B$11,-1)</x:f>
        <x:v>45900</x:v>
      </x:c>
      <x:c r="U69" s="4" t="n">
        <x:f>MATCH(J69,'Сводка'!$R$3:$R$397,0)</x:f>
        <x:v>80</x:v>
      </x:c>
      <x:c r="V69" s="4" t="n">
        <x:f>MATCH(J69-'Сводка'!$B$11,'Сводка'!$R$3:$R$397,0)</x:f>
        <x:v>79</x:v>
      </x:c>
      <x:c r="W69" s="4" t="n">
        <x:f>MATCH(T69,$J$388:$J$400,0)</x:f>
        <x:v>3</x:v>
      </x:c>
      <x:c r="X69" s="3"/>
      <x:c r="Y69" s="3"/>
      <x:c r="Z69" s="3"/>
    </x:row>
    <x:row r="70" ht="15" customHeight="1">
      <x:c r="A70" s="7" t="str">
        <x:f>IF(52&lt;='Сводка'!$B$3,'Сводка'!$B$4+52,"")</x:f>
      </x:c>
      <x:c r="B70" s="19" t="str">
        <x:f>IF($A70="","",(A70-$T$405+1)/1000)</x:f>
      </x:c>
      <x:c r="C70" s="19" t="str">
        <x:f>IF($A70="","",2*(A70-$T$405)/$T$406-1)</x:f>
      </x:c>
      <x:c r="D70" s="3" t="str">
        <x:f>IF($A70="","",$B$4+$B$5*C70^1+$B$6*C70^2+$B$7*C70^3)</x:f>
      </x:c>
      <x:c r="E70" s="3" t="str">
        <x:f>IF($A70="","",SQRT($T$403^2+H70^2))</x:f>
      </x:c>
      <x:c r="F70" s="3" t="str">
        <x:f>IF($A70="","",D70-$T$404*E70)</x:f>
      </x:c>
      <x:c r="G70" s="3" t="str">
        <x:f>IF($A70="","",D70+$T$404*E70)</x:f>
      </x:c>
      <x:c r="H70" s="3" t="str">
        <x:f>IF($A70="","",SQRT(MAX(0,(1)*$S$409*(1)+(1)*$T$409*(C70^1)+(1)*$U$409*(C70^2)+(1)*$V$409*(C70^3)+(C70^1)*$S$410*(1)+(C70^1)*$T$410*(C70^1)+(C70^1)*$U$410*(C70^2)+(C70^1)*$V$410*(C70^3)+(C70^2)*$S$411*(1)+(C70^2)*$T$411*(C70^1)+(C70^2)*$U$411*(C70^2)+(C70^2)*$V$411*(C70^3)+(C70^3)*$S$412*(1)+(C70^3)*$T$412*(C70^1)+(C70^3)*$U$412*(C70^2)+(C70^3)*$V$412*(C70^3))))</x:f>
      </x:c>
      <x:c r="I70" s="3"/>
      <x:c r="J70" s="10" t="n">
        <x:v>45921</x:v>
      </x:c>
      <x:c r="K70" s="8" t="n">
        <x:f>INDEX('Сводка'!$S$3:$S$397,U70)</x:f>
        <x:v>260</x:v>
      </x:c>
      <x:c r="L70" s="8" t="n">
        <x:f>INDEX('Сводка'!$S$3:$S$397,V70)</x:f>
        <x:v>249</x:v>
      </x:c>
      <x:c r="M70" s="8" t="n">
        <x:f>INDEX($K$388:$N$400,W70,1)+INDEX($K$388:$N$400,W70,2)*(2*(J70-$T$405)/(T70-$T$405)-1)^1+INDEX($K$388:$N$400,W70,3)*(2*(J70-$T$405)/(T70-$T$405)-1)^2+INDEX($K$388:$N$400,W70,4)*(2*(J70-$T$405)/(T70-$T$405)-1)^3</x:f>
        <x:v>146.3514483711541</x:v>
      </x:c>
      <x:c r="N70" s="8" t="n">
        <x:f>K70-M70</x:f>
        <x:v>113.6485516288459</x:v>
      </x:c>
      <x:c r="O70" s="8" t="n">
        <x:f>ABS(N70)</x:f>
        <x:v>113.6485516288459</x:v>
      </x:c>
      <x:c r="P70" s="8" t="n">
        <x:f>N70^2</x:f>
        <x:v>12915.993287334451</x:v>
      </x:c>
      <x:c r="Q70" s="8" t="n">
        <x:f>K70-L70</x:f>
        <x:v>11</x:v>
      </x:c>
      <x:c r="R70" s="9" t="n">
        <x:f>IF(AND(INDEX('Сводка'!$T$3:$T$397,U70)=0,INDEX('Сводка'!$T$3:$T$397,V70)=0),1,0)</x:f>
        <x:v>1</x:v>
      </x:c>
      <x:c r="S70" s="9" t="n">
        <x:f>IF(AND(R70=1,O70&lt;=$G$13),1,0)</x:f>
        <x:v>0</x:v>
      </x:c>
      <x:c r="T70" s="10" t="n">
        <x:f>EOMONTH(J70-'Сводка'!$B$11,-1)</x:f>
        <x:v>45900</x:v>
      </x:c>
      <x:c r="U70" s="4" t="n">
        <x:f>MATCH(J70,'Сводка'!$R$3:$R$397,0)</x:f>
        <x:v>81</x:v>
      </x:c>
      <x:c r="V70" s="4" t="n">
        <x:f>MATCH(J70-'Сводка'!$B$11,'Сводка'!$R$3:$R$397,0)</x:f>
        <x:v>80</x:v>
      </x:c>
      <x:c r="W70" s="4" t="n">
        <x:f>MATCH(T70,$J$388:$J$400,0)</x:f>
        <x:v>3</x:v>
      </x:c>
      <x:c r="X70" s="3"/>
      <x:c r="Y70" s="3"/>
      <x:c r="Z70" s="3"/>
    </x:row>
    <x:row r="71" ht="15" customHeight="1">
      <x:c r="A71" s="7" t="str">
        <x:f>IF(53&lt;='Сводка'!$B$3,'Сводка'!$B$4+53,"")</x:f>
      </x:c>
      <x:c r="B71" s="19" t="str">
        <x:f>IF($A71="","",(A71-$T$405+1)/1000)</x:f>
      </x:c>
      <x:c r="C71" s="19" t="str">
        <x:f>IF($A71="","",2*(A71-$T$405)/$T$406-1)</x:f>
      </x:c>
      <x:c r="D71" s="3" t="str">
        <x:f>IF($A71="","",$B$4+$B$5*C71^1+$B$6*C71^2+$B$7*C71^3)</x:f>
      </x:c>
      <x:c r="E71" s="3" t="str">
        <x:f>IF($A71="","",SQRT($T$403^2+H71^2))</x:f>
      </x:c>
      <x:c r="F71" s="3" t="str">
        <x:f>IF($A71="","",D71-$T$404*E71)</x:f>
      </x:c>
      <x:c r="G71" s="3" t="str">
        <x:f>IF($A71="","",D71+$T$404*E71)</x:f>
      </x:c>
      <x:c r="H71" s="3" t="str">
        <x:f>IF($A71="","",SQRT(MAX(0,(1)*$S$409*(1)+(1)*$T$409*(C71^1)+(1)*$U$409*(C71^2)+(1)*$V$409*(C71^3)+(C71^1)*$S$410*(1)+(C71^1)*$T$410*(C71^1)+(C71^1)*$U$410*(C71^2)+(C71^1)*$V$410*(C71^3)+(C71^2)*$S$411*(1)+(C71^2)*$T$411*(C71^1)+(C71^2)*$U$411*(C71^2)+(C71^2)*$V$411*(C71^3)+(C71^3)*$S$412*(1)+(C71^3)*$T$412*(C71^1)+(C71^3)*$U$412*(C71^2)+(C71^3)*$V$412*(C71^3))))</x:f>
      </x:c>
      <x:c r="I71" s="3"/>
      <x:c r="J71" s="10" t="n">
        <x:v>45922</x:v>
      </x:c>
      <x:c r="K71" s="8" t="n">
        <x:f>INDEX('Сводка'!$S$3:$S$397,U71)</x:f>
        <x:v>272</x:v>
      </x:c>
      <x:c r="L71" s="8" t="n">
        <x:f>INDEX('Сводка'!$S$3:$S$397,V71)</x:f>
        <x:v>260</x:v>
      </x:c>
      <x:c r="M71" s="8" t="n">
        <x:f>INDEX($K$388:$N$400,W71,1)+INDEX($K$388:$N$400,W71,2)*(2*(J71-$T$405)/(T71-$T$405)-1)^1+INDEX($K$388:$N$400,W71,3)*(2*(J71-$T$405)/(T71-$T$405)-1)^2+INDEX($K$388:$N$400,W71,4)*(2*(J71-$T$405)/(T71-$T$405)-1)^3</x:f>
        <x:v>146.3567440162472</x:v>
      </x:c>
      <x:c r="N71" s="8" t="n">
        <x:f>K71-M71</x:f>
        <x:v>125.6432559837528</x:v>
      </x:c>
      <x:c r="O71" s="8" t="n">
        <x:f>ABS(N71)</x:f>
        <x:v>125.6432559837528</x:v>
      </x:c>
      <x:c r="P71" s="8" t="n">
        <x:f>N71^2</x:f>
        <x:v>15786.227774198833</x:v>
      </x:c>
      <x:c r="Q71" s="8" t="n">
        <x:f>K71-L71</x:f>
        <x:v>12</x:v>
      </x:c>
      <x:c r="R71" s="9" t="n">
        <x:f>IF(AND(INDEX('Сводка'!$T$3:$T$397,U71)=0,INDEX('Сводка'!$T$3:$T$397,V71)=0),1,0)</x:f>
        <x:v>1</x:v>
      </x:c>
      <x:c r="S71" s="9" t="n">
        <x:f>IF(AND(R71=1,O71&lt;=$G$13),1,0)</x:f>
        <x:v>0</x:v>
      </x:c>
      <x:c r="T71" s="10" t="n">
        <x:f>EOMONTH(J71-'Сводка'!$B$11,-1)</x:f>
        <x:v>45900</x:v>
      </x:c>
      <x:c r="U71" s="4" t="n">
        <x:f>MATCH(J71,'Сводка'!$R$3:$R$397,0)</x:f>
        <x:v>82</x:v>
      </x:c>
      <x:c r="V71" s="4" t="n">
        <x:f>MATCH(J71-'Сводка'!$B$11,'Сводка'!$R$3:$R$397,0)</x:f>
        <x:v>81</x:v>
      </x:c>
      <x:c r="W71" s="4" t="n">
        <x:f>MATCH(T71,$J$388:$J$400,0)</x:f>
        <x:v>3</x:v>
      </x:c>
      <x:c r="X71" s="3"/>
      <x:c r="Y71" s="3"/>
      <x:c r="Z71" s="3"/>
    </x:row>
    <x:row r="72" ht="15" customHeight="1">
      <x:c r="A72" s="7" t="str">
        <x:f>IF(54&lt;='Сводка'!$B$3,'Сводка'!$B$4+54,"")</x:f>
      </x:c>
      <x:c r="B72" s="19" t="str">
        <x:f>IF($A72="","",(A72-$T$405+1)/1000)</x:f>
      </x:c>
      <x:c r="C72" s="19" t="str">
        <x:f>IF($A72="","",2*(A72-$T$405)/$T$406-1)</x:f>
      </x:c>
      <x:c r="D72" s="3" t="str">
        <x:f>IF($A72="","",$B$4+$B$5*C72^1+$B$6*C72^2+$B$7*C72^3)</x:f>
      </x:c>
      <x:c r="E72" s="3" t="str">
        <x:f>IF($A72="","",SQRT($T$403^2+H72^2))</x:f>
      </x:c>
      <x:c r="F72" s="3" t="str">
        <x:f>IF($A72="","",D72-$T$404*E72)</x:f>
      </x:c>
      <x:c r="G72" s="3" t="str">
        <x:f>IF($A72="","",D72+$T$404*E72)</x:f>
      </x:c>
      <x:c r="H72" s="3" t="str">
        <x:f>IF($A72="","",SQRT(MAX(0,(1)*$S$409*(1)+(1)*$T$409*(C72^1)+(1)*$U$409*(C72^2)+(1)*$V$409*(C72^3)+(C72^1)*$S$410*(1)+(C72^1)*$T$410*(C72^1)+(C72^1)*$U$410*(C72^2)+(C72^1)*$V$410*(C72^3)+(C72^2)*$S$411*(1)+(C72^2)*$T$411*(C72^1)+(C72^2)*$U$411*(C72^2)+(C72^2)*$V$411*(C72^3)+(C72^3)*$S$412*(1)+(C72^3)*$T$412*(C72^1)+(C72^3)*$U$412*(C72^2)+(C72^3)*$V$412*(C72^3))))</x:f>
      </x:c>
      <x:c r="I72" s="3"/>
      <x:c r="J72" s="10" t="n">
        <x:v>45923</x:v>
      </x:c>
      <x:c r="K72" s="8" t="n">
        <x:f>INDEX('Сводка'!$S$3:$S$397,U72)</x:f>
        <x:v>279</x:v>
      </x:c>
      <x:c r="L72" s="8" t="n">
        <x:f>INDEX('Сводка'!$S$3:$S$397,V72)</x:f>
        <x:v>272</x:v>
      </x:c>
      <x:c r="M72" s="8" t="n">
        <x:f>INDEX($K$388:$N$400,W72,1)+INDEX($K$388:$N$400,W72,2)*(2*(J72-$T$405)/(T72-$T$405)-1)^1+INDEX($K$388:$N$400,W72,3)*(2*(J72-$T$405)/(T72-$T$405)-1)^2+INDEX($K$388:$N$400,W72,4)*(2*(J72-$T$405)/(T72-$T$405)-1)^3</x:f>
        <x:v>146.36203568651763</x:v>
      </x:c>
      <x:c r="N72" s="8" t="n">
        <x:f>K72-M72</x:f>
        <x:v>132.63796431348237</x:v>
      </x:c>
      <x:c r="O72" s="8" t="n">
        <x:f>ABS(N72)</x:f>
        <x:v>132.63796431348237</x:v>
      </x:c>
      <x:c r="P72" s="8" t="n">
        <x:f>N72^2</x:f>
        <x:v>17592.829577224624</x:v>
      </x:c>
      <x:c r="Q72" s="8" t="n">
        <x:f>K72-L72</x:f>
        <x:v>7</x:v>
      </x:c>
      <x:c r="R72" s="9" t="n">
        <x:f>IF(AND(INDEX('Сводка'!$T$3:$T$397,U72)=0,INDEX('Сводка'!$T$3:$T$397,V72)=0),1,0)</x:f>
        <x:v>1</x:v>
      </x:c>
      <x:c r="S72" s="9" t="n">
        <x:f>IF(AND(R72=1,O72&lt;=$G$13),1,0)</x:f>
        <x:v>0</x:v>
      </x:c>
      <x:c r="T72" s="10" t="n">
        <x:f>EOMONTH(J72-'Сводка'!$B$11,-1)</x:f>
        <x:v>45900</x:v>
      </x:c>
      <x:c r="U72" s="4" t="n">
        <x:f>MATCH(J72,'Сводка'!$R$3:$R$397,0)</x:f>
        <x:v>83</x:v>
      </x:c>
      <x:c r="V72" s="4" t="n">
        <x:f>MATCH(J72-'Сводка'!$B$11,'Сводка'!$R$3:$R$397,0)</x:f>
        <x:v>82</x:v>
      </x:c>
      <x:c r="W72" s="4" t="n">
        <x:f>MATCH(T72,$J$388:$J$400,0)</x:f>
        <x:v>3</x:v>
      </x:c>
      <x:c r="X72" s="3"/>
      <x:c r="Y72" s="3"/>
      <x:c r="Z72" s="3"/>
    </x:row>
    <x:row r="73" ht="15" customHeight="1">
      <x:c r="A73" s="7" t="str">
        <x:f>IF(55&lt;='Сводка'!$B$3,'Сводка'!$B$4+55,"")</x:f>
      </x:c>
      <x:c r="B73" s="19" t="str">
        <x:f>IF($A73="","",(A73-$T$405+1)/1000)</x:f>
      </x:c>
      <x:c r="C73" s="19" t="str">
        <x:f>IF($A73="","",2*(A73-$T$405)/$T$406-1)</x:f>
      </x:c>
      <x:c r="D73" s="3" t="str">
        <x:f>IF($A73="","",$B$4+$B$5*C73^1+$B$6*C73^2+$B$7*C73^3)</x:f>
      </x:c>
      <x:c r="E73" s="3" t="str">
        <x:f>IF($A73="","",SQRT($T$403^2+H73^2))</x:f>
      </x:c>
      <x:c r="F73" s="3" t="str">
        <x:f>IF($A73="","",D73-$T$404*E73)</x:f>
      </x:c>
      <x:c r="G73" s="3" t="str">
        <x:f>IF($A73="","",D73+$T$404*E73)</x:f>
      </x:c>
      <x:c r="H73" s="3" t="str">
        <x:f>IF($A73="","",SQRT(MAX(0,(1)*$S$409*(1)+(1)*$T$409*(C73^1)+(1)*$U$409*(C73^2)+(1)*$V$409*(C73^3)+(C73^1)*$S$410*(1)+(C73^1)*$T$410*(C73^1)+(C73^1)*$U$410*(C73^2)+(C73^1)*$V$410*(C73^3)+(C73^2)*$S$411*(1)+(C73^2)*$T$411*(C73^1)+(C73^2)*$U$411*(C73^2)+(C73^2)*$V$411*(C73^3)+(C73^3)*$S$412*(1)+(C73^3)*$T$412*(C73^1)+(C73^3)*$U$412*(C73^2)+(C73^3)*$V$412*(C73^3))))</x:f>
      </x:c>
      <x:c r="I73" s="3"/>
      <x:c r="J73" s="10" t="n">
        <x:v>45924</x:v>
      </x:c>
      <x:c r="K73" s="8" t="n">
        <x:f>INDEX('Сводка'!$S$3:$S$397,U73)</x:f>
        <x:v>284</x:v>
      </x:c>
      <x:c r="L73" s="8" t="n">
        <x:f>INDEX('Сводка'!$S$3:$S$397,V73)</x:f>
        <x:v>279</x:v>
      </x:c>
      <x:c r="M73" s="8" t="n">
        <x:f>INDEX($K$388:$N$400,W73,1)+INDEX($K$388:$N$400,W73,2)*(2*(J73-$T$405)/(T73-$T$405)-1)^1+INDEX($K$388:$N$400,W73,3)*(2*(J73-$T$405)/(T73-$T$405)-1)^2+INDEX($K$388:$N$400,W73,4)*(2*(J73-$T$405)/(T73-$T$405)-1)^3</x:f>
        <x:v>146.3673233821091</x:v>
      </x:c>
      <x:c r="N73" s="8" t="n">
        <x:f>K73-M73</x:f>
        <x:v>137.6326766178909</x:v>
      </x:c>
      <x:c r="O73" s="8" t="n">
        <x:f>ABS(N73)</x:f>
        <x:v>137.6326766178909</x:v>
      </x:c>
      <x:c r="P73" s="8" t="n">
        <x:f>N73^2</x:f>
        <x:v>18942.753673004932</x:v>
      </x:c>
      <x:c r="Q73" s="8" t="n">
        <x:f>K73-L73</x:f>
        <x:v>5</x:v>
      </x:c>
      <x:c r="R73" s="9" t="n">
        <x:f>IF(AND(INDEX('Сводка'!$T$3:$T$397,U73)=0,INDEX('Сводка'!$T$3:$T$397,V73)=0),1,0)</x:f>
        <x:v>1</x:v>
      </x:c>
      <x:c r="S73" s="9" t="n">
        <x:f>IF(AND(R73=1,O73&lt;=$G$13),1,0)</x:f>
        <x:v>0</x:v>
      </x:c>
      <x:c r="T73" s="10" t="n">
        <x:f>EOMONTH(J73-'Сводка'!$B$11,-1)</x:f>
        <x:v>45900</x:v>
      </x:c>
      <x:c r="U73" s="4" t="n">
        <x:f>MATCH(J73,'Сводка'!$R$3:$R$397,0)</x:f>
        <x:v>84</x:v>
      </x:c>
      <x:c r="V73" s="4" t="n">
        <x:f>MATCH(J73-'Сводка'!$B$11,'Сводка'!$R$3:$R$397,0)</x:f>
        <x:v>83</x:v>
      </x:c>
      <x:c r="W73" s="4" t="n">
        <x:f>MATCH(T73,$J$388:$J$400,0)</x:f>
        <x:v>3</x:v>
      </x:c>
      <x:c r="X73" s="3"/>
      <x:c r="Y73" s="3"/>
      <x:c r="Z73" s="3"/>
    </x:row>
    <x:row r="74" ht="15" customHeight="1">
      <x:c r="A74" s="7" t="str">
        <x:f>IF(56&lt;='Сводка'!$B$3,'Сводка'!$B$4+56,"")</x:f>
      </x:c>
      <x:c r="B74" s="19" t="str">
        <x:f>IF($A74="","",(A74-$T$405+1)/1000)</x:f>
      </x:c>
      <x:c r="C74" s="19" t="str">
        <x:f>IF($A74="","",2*(A74-$T$405)/$T$406-1)</x:f>
      </x:c>
      <x:c r="D74" s="3" t="str">
        <x:f>IF($A74="","",$B$4+$B$5*C74^1+$B$6*C74^2+$B$7*C74^3)</x:f>
      </x:c>
      <x:c r="E74" s="3" t="str">
        <x:f>IF($A74="","",SQRT($T$403^2+H74^2))</x:f>
      </x:c>
      <x:c r="F74" s="3" t="str">
        <x:f>IF($A74="","",D74-$T$404*E74)</x:f>
      </x:c>
      <x:c r="G74" s="3" t="str">
        <x:f>IF($A74="","",D74+$T$404*E74)</x:f>
      </x:c>
      <x:c r="H74" s="3" t="str">
        <x:f>IF($A74="","",SQRT(MAX(0,(1)*$S$409*(1)+(1)*$T$409*(C74^1)+(1)*$U$409*(C74^2)+(1)*$V$409*(C74^3)+(C74^1)*$S$410*(1)+(C74^1)*$T$410*(C74^1)+(C74^1)*$U$410*(C74^2)+(C74^1)*$V$410*(C74^3)+(C74^2)*$S$411*(1)+(C74^2)*$T$411*(C74^1)+(C74^2)*$U$411*(C74^2)+(C74^2)*$V$411*(C74^3)+(C74^3)*$S$412*(1)+(C74^3)*$T$412*(C74^1)+(C74^3)*$U$412*(C74^2)+(C74^3)*$V$412*(C74^3))))</x:f>
      </x:c>
      <x:c r="I74" s="3"/>
      <x:c r="J74" s="10" t="n">
        <x:v>45925</x:v>
      </x:c>
      <x:c r="K74" s="8" t="n">
        <x:f>INDEX('Сводка'!$S$3:$S$397,U74)</x:f>
        <x:v>288</x:v>
      </x:c>
      <x:c r="L74" s="8" t="n">
        <x:f>INDEX('Сводка'!$S$3:$S$397,V74)</x:f>
        <x:v>284</x:v>
      </x:c>
      <x:c r="M74" s="8" t="n">
        <x:f>INDEX($K$388:$N$400,W74,1)+INDEX($K$388:$N$400,W74,2)*(2*(J74-$T$405)/(T74-$T$405)-1)^1+INDEX($K$388:$N$400,W74,3)*(2*(J74-$T$405)/(T74-$T$405)-1)^2+INDEX($K$388:$N$400,W74,4)*(2*(J74-$T$405)/(T74-$T$405)-1)^3</x:f>
        <x:v>146.37260710316548</x:v>
      </x:c>
      <x:c r="N74" s="8" t="n">
        <x:f>K74-M74</x:f>
        <x:v>141.62739289683452</x:v>
      </x:c>
      <x:c r="O74" s="8" t="n">
        <x:f>ABS(N74)</x:f>
        <x:v>141.62739289683452</x:v>
      </x:c>
      <x:c r="P74" s="8" t="n">
        <x:f>N74^2</x:f>
        <x:v>20058.318418754334</x:v>
      </x:c>
      <x:c r="Q74" s="8" t="n">
        <x:f>K74-L74</x:f>
        <x:v>4</x:v>
      </x:c>
      <x:c r="R74" s="9" t="n">
        <x:f>IF(AND(INDEX('Сводка'!$T$3:$T$397,U74)=0,INDEX('Сводка'!$T$3:$T$397,V74)=0),1,0)</x:f>
        <x:v>1</x:v>
      </x:c>
      <x:c r="S74" s="9" t="n">
        <x:f>IF(AND(R74=1,O74&lt;=$G$13),1,0)</x:f>
        <x:v>0</x:v>
      </x:c>
      <x:c r="T74" s="10" t="n">
        <x:f>EOMONTH(J74-'Сводка'!$B$11,-1)</x:f>
        <x:v>45900</x:v>
      </x:c>
      <x:c r="U74" s="4" t="n">
        <x:f>MATCH(J74,'Сводка'!$R$3:$R$397,0)</x:f>
        <x:v>85</x:v>
      </x:c>
      <x:c r="V74" s="4" t="n">
        <x:f>MATCH(J74-'Сводка'!$B$11,'Сводка'!$R$3:$R$397,0)</x:f>
        <x:v>84</x:v>
      </x:c>
      <x:c r="W74" s="4" t="n">
        <x:f>MATCH(T74,$J$388:$J$400,0)</x:f>
        <x:v>3</x:v>
      </x:c>
      <x:c r="X74" s="3"/>
      <x:c r="Y74" s="3"/>
      <x:c r="Z74" s="3"/>
    </x:row>
    <x:row r="75" ht="15" customHeight="1">
      <x:c r="A75" s="7" t="str">
        <x:f>IF(57&lt;='Сводка'!$B$3,'Сводка'!$B$4+57,"")</x:f>
      </x:c>
      <x:c r="B75" s="19" t="str">
        <x:f>IF($A75="","",(A75-$T$405+1)/1000)</x:f>
      </x:c>
      <x:c r="C75" s="19" t="str">
        <x:f>IF($A75="","",2*(A75-$T$405)/$T$406-1)</x:f>
      </x:c>
      <x:c r="D75" s="3" t="str">
        <x:f>IF($A75="","",$B$4+$B$5*C75^1+$B$6*C75^2+$B$7*C75^3)</x:f>
      </x:c>
      <x:c r="E75" s="3" t="str">
        <x:f>IF($A75="","",SQRT($T$403^2+H75^2))</x:f>
      </x:c>
      <x:c r="F75" s="3" t="str">
        <x:f>IF($A75="","",D75-$T$404*E75)</x:f>
      </x:c>
      <x:c r="G75" s="3" t="str">
        <x:f>IF($A75="","",D75+$T$404*E75)</x:f>
      </x:c>
      <x:c r="H75" s="3" t="str">
        <x:f>IF($A75="","",SQRT(MAX(0,(1)*$S$409*(1)+(1)*$T$409*(C75^1)+(1)*$U$409*(C75^2)+(1)*$V$409*(C75^3)+(C75^1)*$S$410*(1)+(C75^1)*$T$410*(C75^1)+(C75^1)*$U$410*(C75^2)+(C75^1)*$V$410*(C75^3)+(C75^2)*$S$411*(1)+(C75^2)*$T$411*(C75^1)+(C75^2)*$U$411*(C75^2)+(C75^2)*$V$411*(C75^3)+(C75^3)*$S$412*(1)+(C75^3)*$T$412*(C75^1)+(C75^3)*$U$412*(C75^2)+(C75^3)*$V$412*(C75^3))))</x:f>
      </x:c>
      <x:c r="I75" s="3"/>
      <x:c r="J75" s="10" t="n">
        <x:v>45926</x:v>
      </x:c>
      <x:c r="K75" s="8" t="n">
        <x:f>INDEX('Сводка'!$S$3:$S$397,U75)</x:f>
        <x:v>290</x:v>
      </x:c>
      <x:c r="L75" s="8" t="n">
        <x:f>INDEX('Сводка'!$S$3:$S$397,V75)</x:f>
        <x:v>288</x:v>
      </x:c>
      <x:c r="M75" s="8" t="n">
        <x:f>INDEX($K$388:$N$400,W75,1)+INDEX($K$388:$N$400,W75,2)*(2*(J75-$T$405)/(T75-$T$405)-1)^1+INDEX($K$388:$N$400,W75,3)*(2*(J75-$T$405)/(T75-$T$405)-1)^2+INDEX($K$388:$N$400,W75,4)*(2*(J75-$T$405)/(T75-$T$405)-1)^3</x:f>
        <x:v>146.3778868498306</x:v>
      </x:c>
      <x:c r="N75" s="8" t="n">
        <x:f>K75-M75</x:f>
        <x:v>143.6221131501694</x:v>
      </x:c>
      <x:c r="O75" s="8" t="n">
        <x:f>ABS(N75)</x:f>
        <x:v>143.6221131501694</x:v>
      </x:c>
      <x:c r="P75" s="8" t="n">
        <x:f>N75^2</x:f>
        <x:v>20627.311385720066</x:v>
      </x:c>
      <x:c r="Q75" s="8" t="n">
        <x:f>K75-L75</x:f>
        <x:v>2</x:v>
      </x:c>
      <x:c r="R75" s="9" t="n">
        <x:f>IF(AND(INDEX('Сводка'!$T$3:$T$397,U75)=0,INDEX('Сводка'!$T$3:$T$397,V75)=0),1,0)</x:f>
        <x:v>1</x:v>
      </x:c>
      <x:c r="S75" s="9" t="n">
        <x:f>IF(AND(R75=1,O75&lt;=$G$13),1,0)</x:f>
        <x:v>0</x:v>
      </x:c>
      <x:c r="T75" s="10" t="n">
        <x:f>EOMONTH(J75-'Сводка'!$B$11,-1)</x:f>
        <x:v>45900</x:v>
      </x:c>
      <x:c r="U75" s="4" t="n">
        <x:f>MATCH(J75,'Сводка'!$R$3:$R$397,0)</x:f>
        <x:v>86</x:v>
      </x:c>
      <x:c r="V75" s="4" t="n">
        <x:f>MATCH(J75-'Сводка'!$B$11,'Сводка'!$R$3:$R$397,0)</x:f>
        <x:v>85</x:v>
      </x:c>
      <x:c r="W75" s="4" t="n">
        <x:f>MATCH(T75,$J$388:$J$400,0)</x:f>
        <x:v>3</x:v>
      </x:c>
      <x:c r="X75" s="3"/>
      <x:c r="Y75" s="3"/>
      <x:c r="Z75" s="3"/>
    </x:row>
    <x:row r="76" ht="15" customHeight="1">
      <x:c r="A76" s="7" t="str">
        <x:f>IF(58&lt;='Сводка'!$B$3,'Сводка'!$B$4+58,"")</x:f>
      </x:c>
      <x:c r="B76" s="19" t="str">
        <x:f>IF($A76="","",(A76-$T$405+1)/1000)</x:f>
      </x:c>
      <x:c r="C76" s="19" t="str">
        <x:f>IF($A76="","",2*(A76-$T$405)/$T$406-1)</x:f>
      </x:c>
      <x:c r="D76" s="3" t="str">
        <x:f>IF($A76="","",$B$4+$B$5*C76^1+$B$6*C76^2+$B$7*C76^3)</x:f>
      </x:c>
      <x:c r="E76" s="3" t="str">
        <x:f>IF($A76="","",SQRT($T$403^2+H76^2))</x:f>
      </x:c>
      <x:c r="F76" s="3" t="str">
        <x:f>IF($A76="","",D76-$T$404*E76)</x:f>
      </x:c>
      <x:c r="G76" s="3" t="str">
        <x:f>IF($A76="","",D76+$T$404*E76)</x:f>
      </x:c>
      <x:c r="H76" s="3" t="str">
        <x:f>IF($A76="","",SQRT(MAX(0,(1)*$S$409*(1)+(1)*$T$409*(C76^1)+(1)*$U$409*(C76^2)+(1)*$V$409*(C76^3)+(C76^1)*$S$410*(1)+(C76^1)*$T$410*(C76^1)+(C76^1)*$U$410*(C76^2)+(C76^1)*$V$410*(C76^3)+(C76^2)*$S$411*(1)+(C76^2)*$T$411*(C76^1)+(C76^2)*$U$411*(C76^2)+(C76^2)*$V$411*(C76^3)+(C76^3)*$S$412*(1)+(C76^3)*$T$412*(C76^1)+(C76^3)*$U$412*(C76^2)+(C76^3)*$V$412*(C76^3))))</x:f>
      </x:c>
      <x:c r="I76" s="3"/>
      <x:c r="J76" s="10" t="n">
        <x:v>45927</x:v>
      </x:c>
      <x:c r="K76" s="8" t="n">
        <x:f>INDEX('Сводка'!$S$3:$S$397,U76)</x:f>
        <x:v>291</x:v>
      </x:c>
      <x:c r="L76" s="8" t="n">
        <x:f>INDEX('Сводка'!$S$3:$S$397,V76)</x:f>
        <x:v>290</x:v>
      </x:c>
      <x:c r="M76" s="8" t="n">
        <x:f>INDEX($K$388:$N$400,W76,1)+INDEX($K$388:$N$400,W76,2)*(2*(J76-$T$405)/(T76-$T$405)-1)^1+INDEX($K$388:$N$400,W76,3)*(2*(J76-$T$405)/(T76-$T$405)-1)^2+INDEX($K$388:$N$400,W76,4)*(2*(J76-$T$405)/(T76-$T$405)-1)^3</x:f>
        <x:v>146.38316262224816</x:v>
      </x:c>
      <x:c r="N76" s="8" t="n">
        <x:f>K76-M76</x:f>
        <x:v>144.61683737775184</x:v>
      </x:c>
      <x:c r="O76" s="8" t="n">
        <x:f>ABS(N76)</x:f>
        <x:v>144.61683737775184</x:v>
      </x:c>
      <x:c r="P76" s="8" t="n">
        <x:f>N76^2</x:f>
        <x:v>20914.02965314312</x:v>
      </x:c>
      <x:c r="Q76" s="8" t="n">
        <x:f>K76-L76</x:f>
        <x:v>1</x:v>
      </x:c>
      <x:c r="R76" s="9" t="n">
        <x:f>IF(AND(INDEX('Сводка'!$T$3:$T$397,U76)=0,INDEX('Сводка'!$T$3:$T$397,V76)=0),1,0)</x:f>
        <x:v>1</x:v>
      </x:c>
      <x:c r="S76" s="9" t="n">
        <x:f>IF(AND(R76=1,O76&lt;=$G$13),1,0)</x:f>
        <x:v>0</x:v>
      </x:c>
      <x:c r="T76" s="10" t="n">
        <x:f>EOMONTH(J76-'Сводка'!$B$11,-1)</x:f>
        <x:v>45900</x:v>
      </x:c>
      <x:c r="U76" s="4" t="n">
        <x:f>MATCH(J76,'Сводка'!$R$3:$R$397,0)</x:f>
        <x:v>87</x:v>
      </x:c>
      <x:c r="V76" s="4" t="n">
        <x:f>MATCH(J76-'Сводка'!$B$11,'Сводка'!$R$3:$R$397,0)</x:f>
        <x:v>86</x:v>
      </x:c>
      <x:c r="W76" s="4" t="n">
        <x:f>MATCH(T76,$J$388:$J$400,0)</x:f>
        <x:v>3</x:v>
      </x:c>
      <x:c r="X76" s="3"/>
      <x:c r="Y76" s="3"/>
      <x:c r="Z76" s="3"/>
    </x:row>
    <x:row r="77" ht="15" customHeight="1">
      <x:c r="A77" s="7" t="str">
        <x:f>IF(59&lt;='Сводка'!$B$3,'Сводка'!$B$4+59,"")</x:f>
      </x:c>
      <x:c r="B77" s="19" t="str">
        <x:f>IF($A77="","",(A77-$T$405+1)/1000)</x:f>
      </x:c>
      <x:c r="C77" s="19" t="str">
        <x:f>IF($A77="","",2*(A77-$T$405)/$T$406-1)</x:f>
      </x:c>
      <x:c r="D77" s="3" t="str">
        <x:f>IF($A77="","",$B$4+$B$5*C77^1+$B$6*C77^2+$B$7*C77^3)</x:f>
      </x:c>
      <x:c r="E77" s="3" t="str">
        <x:f>IF($A77="","",SQRT($T$403^2+H77^2))</x:f>
      </x:c>
      <x:c r="F77" s="3" t="str">
        <x:f>IF($A77="","",D77-$T$404*E77)</x:f>
      </x:c>
      <x:c r="G77" s="3" t="str">
        <x:f>IF($A77="","",D77+$T$404*E77)</x:f>
      </x:c>
      <x:c r="H77" s="3" t="str">
        <x:f>IF($A77="","",SQRT(MAX(0,(1)*$S$409*(1)+(1)*$T$409*(C77^1)+(1)*$U$409*(C77^2)+(1)*$V$409*(C77^3)+(C77^1)*$S$410*(1)+(C77^1)*$T$410*(C77^1)+(C77^1)*$U$410*(C77^2)+(C77^1)*$V$410*(C77^3)+(C77^2)*$S$411*(1)+(C77^2)*$T$411*(C77^1)+(C77^2)*$U$411*(C77^2)+(C77^2)*$V$411*(C77^3)+(C77^3)*$S$412*(1)+(C77^3)*$T$412*(C77^1)+(C77^3)*$U$412*(C77^2)+(C77^3)*$V$412*(C77^3))))</x:f>
      </x:c>
      <x:c r="I77" s="3"/>
      <x:c r="J77" s="10" t="n">
        <x:v>45928</x:v>
      </x:c>
      <x:c r="K77" s="8" t="n">
        <x:f>INDEX('Сводка'!$S$3:$S$397,U77)</x:f>
        <x:v>290</x:v>
      </x:c>
      <x:c r="L77" s="8" t="n">
        <x:f>INDEX('Сводка'!$S$3:$S$397,V77)</x:f>
        <x:v>291</x:v>
      </x:c>
      <x:c r="M77" s="8" t="n">
        <x:f>INDEX($K$388:$N$400,W77,1)+INDEX($K$388:$N$400,W77,2)*(2*(J77-$T$405)/(T77-$T$405)-1)^1+INDEX($K$388:$N$400,W77,3)*(2*(J77-$T$405)/(T77-$T$405)-1)^2+INDEX($K$388:$N$400,W77,4)*(2*(J77-$T$405)/(T77-$T$405)-1)^3</x:f>
        <x:v>146.38843442056213</x:v>
      </x:c>
      <x:c r="N77" s="8" t="n">
        <x:f>K77-M77</x:f>
        <x:v>143.61156557943787</x:v>
      </x:c>
      <x:c r="O77" s="8" t="n">
        <x:f>ABS(N77)</x:f>
        <x:v>143.61156557943787</x:v>
      </x:c>
      <x:c r="P77" s="8" t="n">
        <x:f>N77^2</x:f>
        <x:v>20624.28176817718</x:v>
      </x:c>
      <x:c r="Q77" s="8" t="n">
        <x:f>K77-L77</x:f>
        <x:v>-1</x:v>
      </x:c>
      <x:c r="R77" s="9" t="n">
        <x:f>IF(AND(INDEX('Сводка'!$T$3:$T$397,U77)=0,INDEX('Сводка'!$T$3:$T$397,V77)=0),1,0)</x:f>
        <x:v>1</x:v>
      </x:c>
      <x:c r="S77" s="9" t="n">
        <x:f>IF(AND(R77=1,O77&lt;=$G$13),1,0)</x:f>
        <x:v>0</x:v>
      </x:c>
      <x:c r="T77" s="10" t="n">
        <x:f>EOMONTH(J77-'Сводка'!$B$11,-1)</x:f>
        <x:v>45900</x:v>
      </x:c>
      <x:c r="U77" s="4" t="n">
        <x:f>MATCH(J77,'Сводка'!$R$3:$R$397,0)</x:f>
        <x:v>88</x:v>
      </x:c>
      <x:c r="V77" s="4" t="n">
        <x:f>MATCH(J77-'Сводка'!$B$11,'Сводка'!$R$3:$R$397,0)</x:f>
        <x:v>87</x:v>
      </x:c>
      <x:c r="W77" s="4" t="n">
        <x:f>MATCH(T77,$J$388:$J$400,0)</x:f>
        <x:v>3</x:v>
      </x:c>
      <x:c r="X77" s="3"/>
      <x:c r="Y77" s="3"/>
      <x:c r="Z77" s="3"/>
    </x:row>
    <x:row r="78" ht="15" customHeight="1">
      <x:c r="A78" s="7" t="str">
        <x:f>IF(60&lt;='Сводка'!$B$3,'Сводка'!$B$4+60,"")</x:f>
      </x:c>
      <x:c r="B78" s="19" t="str">
        <x:f>IF($A78="","",(A78-$T$405+1)/1000)</x:f>
      </x:c>
      <x:c r="C78" s="19" t="str">
        <x:f>IF($A78="","",2*(A78-$T$405)/$T$406-1)</x:f>
      </x:c>
      <x:c r="D78" s="3" t="str">
        <x:f>IF($A78="","",$B$4+$B$5*C78^1+$B$6*C78^2+$B$7*C78^3)</x:f>
      </x:c>
      <x:c r="E78" s="3" t="str">
        <x:f>IF($A78="","",SQRT($T$403^2+H78^2))</x:f>
      </x:c>
      <x:c r="F78" s="3" t="str">
        <x:f>IF($A78="","",D78-$T$404*E78)</x:f>
      </x:c>
      <x:c r="G78" s="3" t="str">
        <x:f>IF($A78="","",D78+$T$404*E78)</x:f>
      </x:c>
      <x:c r="H78" s="3" t="str">
        <x:f>IF($A78="","",SQRT(MAX(0,(1)*$S$409*(1)+(1)*$T$409*(C78^1)+(1)*$U$409*(C78^2)+(1)*$V$409*(C78^3)+(C78^1)*$S$410*(1)+(C78^1)*$T$410*(C78^1)+(C78^1)*$U$410*(C78^2)+(C78^1)*$V$410*(C78^3)+(C78^2)*$S$411*(1)+(C78^2)*$T$411*(C78^1)+(C78^2)*$U$411*(C78^2)+(C78^2)*$V$411*(C78^3)+(C78^3)*$S$412*(1)+(C78^3)*$T$412*(C78^1)+(C78^3)*$U$412*(C78^2)+(C78^3)*$V$412*(C78^3))))</x:f>
      </x:c>
      <x:c r="I78" s="3"/>
      <x:c r="J78" s="10" t="n">
        <x:v>45929</x:v>
      </x:c>
      <x:c r="K78" s="8" t="n">
        <x:f>INDEX('Сводка'!$S$3:$S$397,U78)</x:f>
        <x:v>290</x:v>
      </x:c>
      <x:c r="L78" s="8" t="n">
        <x:f>INDEX('Сводка'!$S$3:$S$397,V78)</x:f>
        <x:v>290</x:v>
      </x:c>
      <x:c r="M78" s="8" t="n">
        <x:f>INDEX($K$388:$N$400,W78,1)+INDEX($K$388:$N$400,W78,2)*(2*(J78-$T$405)/(T78-$T$405)-1)^1+INDEX($K$388:$N$400,W78,3)*(2*(J78-$T$405)/(T78-$T$405)-1)^2+INDEX($K$388:$N$400,W78,4)*(2*(J78-$T$405)/(T78-$T$405)-1)^3</x:f>
        <x:v>146.39370224491623</x:v>
      </x:c>
      <x:c r="N78" s="8" t="n">
        <x:f>K78-M78</x:f>
        <x:v>143.60629775508377</x:v>
      </x:c>
      <x:c r="O78" s="8" t="n">
        <x:f>ABS(N78)</x:f>
        <x:v>143.60629775508377</x:v>
      </x:c>
      <x:c r="P78" s="8" t="n">
        <x:f>N78^2</x:f>
        <x:v>20622.768754921777</x:v>
      </x:c>
      <x:c r="Q78" s="8" t="n">
        <x:f>K78-L78</x:f>
        <x:v>0</x:v>
      </x:c>
      <x:c r="R78" s="9" t="n">
        <x:f>IF(AND(INDEX('Сводка'!$T$3:$T$397,U78)=0,INDEX('Сводка'!$T$3:$T$397,V78)=0),1,0)</x:f>
        <x:v>1</x:v>
      </x:c>
      <x:c r="S78" s="9" t="n">
        <x:f>IF(AND(R78=1,O78&lt;=$G$13),1,0)</x:f>
        <x:v>0</x:v>
      </x:c>
      <x:c r="T78" s="10" t="n">
        <x:f>EOMONTH(J78-'Сводка'!$B$11,-1)</x:f>
        <x:v>45900</x:v>
      </x:c>
      <x:c r="U78" s="4" t="n">
        <x:f>MATCH(J78,'Сводка'!$R$3:$R$397,0)</x:f>
        <x:v>89</x:v>
      </x:c>
      <x:c r="V78" s="4" t="n">
        <x:f>MATCH(J78-'Сводка'!$B$11,'Сводка'!$R$3:$R$397,0)</x:f>
        <x:v>88</x:v>
      </x:c>
      <x:c r="W78" s="4" t="n">
        <x:f>MATCH(T78,$J$388:$J$400,0)</x:f>
        <x:v>3</x:v>
      </x:c>
      <x:c r="X78" s="3"/>
      <x:c r="Y78" s="3"/>
      <x:c r="Z78" s="3"/>
    </x:row>
    <x:row r="79" ht="15" customHeight="1">
      <x:c r="A79" s="7" t="str">
        <x:f>IF(61&lt;='Сводка'!$B$3,'Сводка'!$B$4+61,"")</x:f>
      </x:c>
      <x:c r="B79" s="19" t="str">
        <x:f>IF($A79="","",(A79-$T$405+1)/1000)</x:f>
      </x:c>
      <x:c r="C79" s="19" t="str">
        <x:f>IF($A79="","",2*(A79-$T$405)/$T$406-1)</x:f>
      </x:c>
      <x:c r="D79" s="3" t="str">
        <x:f>IF($A79="","",$B$4+$B$5*C79^1+$B$6*C79^2+$B$7*C79^3)</x:f>
      </x:c>
      <x:c r="E79" s="3" t="str">
        <x:f>IF($A79="","",SQRT($T$403^2+H79^2))</x:f>
      </x:c>
      <x:c r="F79" s="3" t="str">
        <x:f>IF($A79="","",D79-$T$404*E79)</x:f>
      </x:c>
      <x:c r="G79" s="3" t="str">
        <x:f>IF($A79="","",D79+$T$404*E79)</x:f>
      </x:c>
      <x:c r="H79" s="3" t="str">
        <x:f>IF($A79="","",SQRT(MAX(0,(1)*$S$409*(1)+(1)*$T$409*(C79^1)+(1)*$U$409*(C79^2)+(1)*$V$409*(C79^3)+(C79^1)*$S$410*(1)+(C79^1)*$T$410*(C79^1)+(C79^1)*$U$410*(C79^2)+(C79^1)*$V$410*(C79^3)+(C79^2)*$S$411*(1)+(C79^2)*$T$411*(C79^1)+(C79^2)*$U$411*(C79^2)+(C79^2)*$V$411*(C79^3)+(C79^3)*$S$412*(1)+(C79^3)*$T$412*(C79^1)+(C79^3)*$U$412*(C79^2)+(C79^3)*$V$412*(C79^3))))</x:f>
      </x:c>
      <x:c r="I79" s="3"/>
      <x:c r="J79" s="10" t="n">
        <x:v>45930</x:v>
      </x:c>
      <x:c r="K79" s="8" t="n">
        <x:f>INDEX('Сводка'!$S$3:$S$397,U79)</x:f>
        <x:v>293</x:v>
      </x:c>
      <x:c r="L79" s="8" t="n">
        <x:f>INDEX('Сводка'!$S$3:$S$397,V79)</x:f>
        <x:v>290</x:v>
      </x:c>
      <x:c r="M79" s="8" t="n">
        <x:f>INDEX($K$388:$N$400,W79,1)+INDEX($K$388:$N$400,W79,2)*(2*(J79-$T$405)/(T79-$T$405)-1)^1+INDEX($K$388:$N$400,W79,3)*(2*(J79-$T$405)/(T79-$T$405)-1)^2+INDEX($K$388:$N$400,W79,4)*(2*(J79-$T$405)/(T79-$T$405)-1)^3</x:f>
        <x:v>146.3989660954543</x:v>
      </x:c>
      <x:c r="N79" s="8" t="n">
        <x:f>K79-M79</x:f>
        <x:v>146.6010339045457</x:v>
      </x:c>
      <x:c r="O79" s="8" t="n">
        <x:f>ABS(N79)</x:f>
        <x:v>146.6010339045457</x:v>
      </x:c>
      <x:c r="P79" s="8" t="n">
        <x:f>N79^2</x:f>
        <x:v>21491.863141881753</x:v>
      </x:c>
      <x:c r="Q79" s="8" t="n">
        <x:f>K79-L79</x:f>
        <x:v>3</x:v>
      </x:c>
      <x:c r="R79" s="9" t="n">
        <x:f>IF(AND(INDEX('Сводка'!$T$3:$T$397,U79)=0,INDEX('Сводка'!$T$3:$T$397,V79)=0),1,0)</x:f>
        <x:v>1</x:v>
      </x:c>
      <x:c r="S79" s="9" t="n">
        <x:f>IF(AND(R79=1,O79&lt;=$G$13),1,0)</x:f>
        <x:v>0</x:v>
      </x:c>
      <x:c r="T79" s="10" t="n">
        <x:f>EOMONTH(J79-'Сводка'!$B$11,-1)</x:f>
        <x:v>45900</x:v>
      </x:c>
      <x:c r="U79" s="4" t="n">
        <x:f>MATCH(J79,'Сводка'!$R$3:$R$397,0)</x:f>
        <x:v>90</x:v>
      </x:c>
      <x:c r="V79" s="4" t="n">
        <x:f>MATCH(J79-'Сводка'!$B$11,'Сводка'!$R$3:$R$397,0)</x:f>
        <x:v>89</x:v>
      </x:c>
      <x:c r="W79" s="4" t="n">
        <x:f>MATCH(T79,$J$388:$J$400,0)</x:f>
        <x:v>3</x:v>
      </x:c>
      <x:c r="X79" s="3"/>
      <x:c r="Y79" s="3"/>
      <x:c r="Z79" s="3"/>
    </x:row>
    <x:row r="80" ht="15" customHeight="1">
      <x:c r="A80" s="7" t="str">
        <x:f>IF(62&lt;='Сводка'!$B$3,'Сводка'!$B$4+62,"")</x:f>
      </x:c>
      <x:c r="B80" s="19" t="str">
        <x:f>IF($A80="","",(A80-$T$405+1)/1000)</x:f>
      </x:c>
      <x:c r="C80" s="19" t="str">
        <x:f>IF($A80="","",2*(A80-$T$405)/$T$406-1)</x:f>
      </x:c>
      <x:c r="D80" s="3" t="str">
        <x:f>IF($A80="","",$B$4+$B$5*C80^1+$B$6*C80^2+$B$7*C80^3)</x:f>
      </x:c>
      <x:c r="E80" s="3" t="str">
        <x:f>IF($A80="","",SQRT($T$403^2+H80^2))</x:f>
      </x:c>
      <x:c r="F80" s="3" t="str">
        <x:f>IF($A80="","",D80-$T$404*E80)</x:f>
      </x:c>
      <x:c r="G80" s="3" t="str">
        <x:f>IF($A80="","",D80+$T$404*E80)</x:f>
      </x:c>
      <x:c r="H80" s="3" t="str">
        <x:f>IF($A80="","",SQRT(MAX(0,(1)*$S$409*(1)+(1)*$T$409*(C80^1)+(1)*$U$409*(C80^2)+(1)*$V$409*(C80^3)+(C80^1)*$S$410*(1)+(C80^1)*$T$410*(C80^1)+(C80^1)*$U$410*(C80^2)+(C80^1)*$V$410*(C80^3)+(C80^2)*$S$411*(1)+(C80^2)*$T$411*(C80^1)+(C80^2)*$U$411*(C80^2)+(C80^2)*$V$411*(C80^3)+(C80^3)*$S$412*(1)+(C80^3)*$T$412*(C80^1)+(C80^3)*$U$412*(C80^2)+(C80^3)*$V$412*(C80^3))))</x:f>
      </x:c>
      <x:c r="I80" s="3"/>
      <x:c r="J80" s="10" t="n">
        <x:v>45931</x:v>
      </x:c>
      <x:c r="K80" s="8" t="n">
        <x:f>INDEX('Сводка'!$S$3:$S$397,U80)</x:f>
        <x:v>292</x:v>
      </x:c>
      <x:c r="L80" s="8" t="n">
        <x:f>INDEX('Сводка'!$S$3:$S$397,V80)</x:f>
        <x:v>293</x:v>
      </x:c>
      <x:c r="M80" s="8" t="n">
        <x:f>INDEX($K$388:$N$400,W80,1)+INDEX($K$388:$N$400,W80,2)*(2*(J80-$T$405)/(T80-$T$405)-1)^1+INDEX($K$388:$N$400,W80,3)*(2*(J80-$T$405)/(T80-$T$405)-1)^2+INDEX($K$388:$N$400,W80,4)*(2*(J80-$T$405)/(T80-$T$405)-1)^3</x:f>
        <x:v>146.40422597232015</x:v>
      </x:c>
      <x:c r="N80" s="8" t="n">
        <x:f>K80-M80</x:f>
        <x:v>145.59577402767985</x:v>
      </x:c>
      <x:c r="O80" s="8" t="n">
        <x:f>ABS(N80)</x:f>
        <x:v>145.59577402767985</x:v>
      </x:c>
      <x:c r="P80" s="8" t="n">
        <x:f>N80^2</x:f>
        <x:v>21198.129414719217</x:v>
      </x:c>
      <x:c r="Q80" s="8" t="n">
        <x:f>K80-L80</x:f>
        <x:v>-1</x:v>
      </x:c>
      <x:c r="R80" s="9" t="n">
        <x:f>IF(AND(INDEX('Сводка'!$T$3:$T$397,U80)=0,INDEX('Сводка'!$T$3:$T$397,V80)=0),1,0)</x:f>
        <x:v>1</x:v>
      </x:c>
      <x:c r="S80" s="9" t="n">
        <x:f>IF(AND(R80=1,O80&lt;=$G$13),1,0)</x:f>
        <x:v>0</x:v>
      </x:c>
      <x:c r="T80" s="10" t="n">
        <x:f>EOMONTH(J80-'Сводка'!$B$11,-1)</x:f>
        <x:v>45900</x:v>
      </x:c>
      <x:c r="U80" s="4" t="n">
        <x:f>MATCH(J80,'Сводка'!$R$3:$R$397,0)</x:f>
        <x:v>91</x:v>
      </x:c>
      <x:c r="V80" s="4" t="n">
        <x:f>MATCH(J80-'Сводка'!$B$11,'Сводка'!$R$3:$R$397,0)</x:f>
        <x:v>90</x:v>
      </x:c>
      <x:c r="W80" s="4" t="n">
        <x:f>MATCH(T80,$J$388:$J$400,0)</x:f>
        <x:v>3</x:v>
      </x:c>
      <x:c r="X80" s="3"/>
      <x:c r="Y80" s="3"/>
      <x:c r="Z80" s="3"/>
    </x:row>
    <x:row r="81" ht="15" customHeight="1">
      <x:c r="A81" s="7" t="str">
        <x:f>IF(63&lt;='Сводка'!$B$3,'Сводка'!$B$4+63,"")</x:f>
      </x:c>
      <x:c r="B81" s="19" t="str">
        <x:f>IF($A81="","",(A81-$T$405+1)/1000)</x:f>
      </x:c>
      <x:c r="C81" s="19" t="str">
        <x:f>IF($A81="","",2*(A81-$T$405)/$T$406-1)</x:f>
      </x:c>
      <x:c r="D81" s="3" t="str">
        <x:f>IF($A81="","",$B$4+$B$5*C81^1+$B$6*C81^2+$B$7*C81^3)</x:f>
      </x:c>
      <x:c r="E81" s="3" t="str">
        <x:f>IF($A81="","",SQRT($T$403^2+H81^2))</x:f>
      </x:c>
      <x:c r="F81" s="3" t="str">
        <x:f>IF($A81="","",D81-$T$404*E81)</x:f>
      </x:c>
      <x:c r="G81" s="3" t="str">
        <x:f>IF($A81="","",D81+$T$404*E81)</x:f>
      </x:c>
      <x:c r="H81" s="3" t="str">
        <x:f>IF($A81="","",SQRT(MAX(0,(1)*$S$409*(1)+(1)*$T$409*(C81^1)+(1)*$U$409*(C81^2)+(1)*$V$409*(C81^3)+(C81^1)*$S$410*(1)+(C81^1)*$T$410*(C81^1)+(C81^1)*$U$410*(C81^2)+(C81^1)*$V$410*(C81^3)+(C81^2)*$S$411*(1)+(C81^2)*$T$411*(C81^1)+(C81^2)*$U$411*(C81^2)+(C81^2)*$V$411*(C81^3)+(C81^3)*$S$412*(1)+(C81^3)*$T$412*(C81^1)+(C81^3)*$U$412*(C81^2)+(C81^3)*$V$412*(C81^3))))</x:f>
      </x:c>
      <x:c r="I81" s="3"/>
      <x:c r="J81" s="10" t="n">
        <x:v>45932</x:v>
      </x:c>
      <x:c r="K81" s="8" t="n">
        <x:f>INDEX('Сводка'!$S$3:$S$397,U81)</x:f>
        <x:v>284</x:v>
      </x:c>
      <x:c r="L81" s="8" t="n">
        <x:f>INDEX('Сводка'!$S$3:$S$397,V81)</x:f>
        <x:v>292</x:v>
      </x:c>
      <x:c r="M81" s="8" t="n">
        <x:f>INDEX($K$388:$N$400,W81,1)+INDEX($K$388:$N$400,W81,2)*(2*(J81-$T$405)/(T81-$T$405)-1)^1+INDEX($K$388:$N$400,W81,3)*(2*(J81-$T$405)/(T81-$T$405)-1)^2+INDEX($K$388:$N$400,W81,4)*(2*(J81-$T$405)/(T81-$T$405)-1)^3</x:f>
        <x:v>152.11317017935696</x:v>
      </x:c>
      <x:c r="N81" s="8" t="n">
        <x:f>K81-M81</x:f>
        <x:v>131.88682982064304</x:v>
      </x:c>
      <x:c r="O81" s="8" t="n">
        <x:f>ABS(N81)</x:f>
        <x:v>131.88682982064304</x:v>
      </x:c>
      <x:c r="P81" s="8" t="n">
        <x:f>N81^2</x:f>
        <x:v>17394.13588013926</x:v>
      </x:c>
      <x:c r="Q81" s="8" t="n">
        <x:f>K81-L81</x:f>
        <x:v>-8</x:v>
      </x:c>
      <x:c r="R81" s="9" t="n">
        <x:f>IF(AND(INDEX('Сводка'!$T$3:$T$397,U81)=0,INDEX('Сводка'!$T$3:$T$397,V81)=0),1,0)</x:f>
        <x:v>1</x:v>
      </x:c>
      <x:c r="S81" s="9" t="n">
        <x:f>IF(AND(R81=1,O81&lt;=$G$13),1,0)</x:f>
        <x:v>0</x:v>
      </x:c>
      <x:c r="T81" s="10" t="n">
        <x:f>EOMONTH(J81-'Сводка'!$B$11,-1)</x:f>
        <x:v>45930</x:v>
      </x:c>
      <x:c r="U81" s="4" t="n">
        <x:f>MATCH(J81,'Сводка'!$R$3:$R$397,0)</x:f>
        <x:v>92</x:v>
      </x:c>
      <x:c r="V81" s="4" t="n">
        <x:f>MATCH(J81-'Сводка'!$B$11,'Сводка'!$R$3:$R$397,0)</x:f>
        <x:v>91</x:v>
      </x:c>
      <x:c r="W81" s="4" t="n">
        <x:f>MATCH(T81,$J$388:$J$400,0)</x:f>
        <x:v>4</x:v>
      </x:c>
      <x:c r="X81" s="3"/>
      <x:c r="Y81" s="3"/>
      <x:c r="Z81" s="3"/>
    </x:row>
    <x:row r="82" ht="15" customHeight="1">
      <x:c r="A82" s="7" t="str">
        <x:f>IF(64&lt;='Сводка'!$B$3,'Сводка'!$B$4+64,"")</x:f>
      </x:c>
      <x:c r="B82" s="19" t="str">
        <x:f>IF($A82="","",(A82-$T$405+1)/1000)</x:f>
      </x:c>
      <x:c r="C82" s="19" t="str">
        <x:f>IF($A82="","",2*(A82-$T$405)/$T$406-1)</x:f>
      </x:c>
      <x:c r="D82" s="3" t="str">
        <x:f>IF($A82="","",$B$4+$B$5*C82^1+$B$6*C82^2+$B$7*C82^3)</x:f>
      </x:c>
      <x:c r="E82" s="3" t="str">
        <x:f>IF($A82="","",SQRT($T$403^2+H82^2))</x:f>
      </x:c>
      <x:c r="F82" s="3" t="str">
        <x:f>IF($A82="","",D82-$T$404*E82)</x:f>
      </x:c>
      <x:c r="G82" s="3" t="str">
        <x:f>IF($A82="","",D82+$T$404*E82)</x:f>
      </x:c>
      <x:c r="H82" s="3" t="str">
        <x:f>IF($A82="","",SQRT(MAX(0,(1)*$S$409*(1)+(1)*$T$409*(C82^1)+(1)*$U$409*(C82^2)+(1)*$V$409*(C82^3)+(C82^1)*$S$410*(1)+(C82^1)*$T$410*(C82^1)+(C82^1)*$U$410*(C82^2)+(C82^1)*$V$410*(C82^3)+(C82^2)*$S$411*(1)+(C82^2)*$T$411*(C82^1)+(C82^2)*$U$411*(C82^2)+(C82^2)*$V$411*(C82^3)+(C82^3)*$S$412*(1)+(C82^3)*$T$412*(C82^1)+(C82^3)*$U$412*(C82^2)+(C82^3)*$V$412*(C82^3))))</x:f>
      </x:c>
      <x:c r="I82" s="3"/>
      <x:c r="J82" s="10" t="n">
        <x:v>45933</x:v>
      </x:c>
      <x:c r="K82" s="8" t="n">
        <x:f>INDEX('Сводка'!$S$3:$S$397,U82)</x:f>
        <x:v>274</x:v>
      </x:c>
      <x:c r="L82" s="8" t="n">
        <x:f>INDEX('Сводка'!$S$3:$S$397,V82)</x:f>
        <x:v>284</x:v>
      </x:c>
      <x:c r="M82" s="8" t="n">
        <x:f>INDEX($K$388:$N$400,W82,1)+INDEX($K$388:$N$400,W82,2)*(2*(J82-$T$405)/(T82-$T$405)-1)^1+INDEX($K$388:$N$400,W82,3)*(2*(J82-$T$405)/(T82-$T$405)-1)^2+INDEX($K$388:$N$400,W82,4)*(2*(J82-$T$405)/(T82-$T$405)-1)^3</x:f>
        <x:v>152.1232212270402</x:v>
      </x:c>
      <x:c r="N82" s="8" t="n">
        <x:f>K82-M82</x:f>
        <x:v>121.8767787729598</x:v>
      </x:c>
      <x:c r="O82" s="8" t="n">
        <x:f>ABS(N82)</x:f>
        <x:v>121.8767787729598</x:v>
      </x:c>
      <x:c r="P82" s="8" t="n">
        <x:f>N82^2</x:f>
        <x:v>14853.949204072984</x:v>
      </x:c>
      <x:c r="Q82" s="8" t="n">
        <x:f>K82-L82</x:f>
        <x:v>-10</x:v>
      </x:c>
      <x:c r="R82" s="9" t="n">
        <x:f>IF(AND(INDEX('Сводка'!$T$3:$T$397,U82)=0,INDEX('Сводка'!$T$3:$T$397,V82)=0),1,0)</x:f>
        <x:v>1</x:v>
      </x:c>
      <x:c r="S82" s="9" t="n">
        <x:f>IF(AND(R82=1,O82&lt;=$G$13),1,0)</x:f>
        <x:v>0</x:v>
      </x:c>
      <x:c r="T82" s="10" t="n">
        <x:f>EOMONTH(J82-'Сводка'!$B$11,-1)</x:f>
        <x:v>45930</x:v>
      </x:c>
      <x:c r="U82" s="4" t="n">
        <x:f>MATCH(J82,'Сводка'!$R$3:$R$397,0)</x:f>
        <x:v>93</x:v>
      </x:c>
      <x:c r="V82" s="4" t="n">
        <x:f>MATCH(J82-'Сводка'!$B$11,'Сводка'!$R$3:$R$397,0)</x:f>
        <x:v>92</x:v>
      </x:c>
      <x:c r="W82" s="4" t="n">
        <x:f>MATCH(T82,$J$388:$J$400,0)</x:f>
        <x:v>4</x:v>
      </x:c>
      <x:c r="X82" s="3"/>
      <x:c r="Y82" s="3"/>
      <x:c r="Z82" s="3"/>
    </x:row>
    <x:row r="83" ht="15" customHeight="1">
      <x:c r="A83" s="7" t="str">
        <x:f>IF(65&lt;='Сводка'!$B$3,'Сводка'!$B$4+65,"")</x:f>
      </x:c>
      <x:c r="B83" s="19" t="str">
        <x:f>IF($A83="","",(A83-$T$405+1)/1000)</x:f>
      </x:c>
      <x:c r="C83" s="19" t="str">
        <x:f>IF($A83="","",2*(A83-$T$405)/$T$406-1)</x:f>
      </x:c>
      <x:c r="D83" s="3" t="str">
        <x:f>IF($A83="","",$B$4+$B$5*C83^1+$B$6*C83^2+$B$7*C83^3)</x:f>
      </x:c>
      <x:c r="E83" s="3" t="str">
        <x:f>IF($A83="","",SQRT($T$403^2+H83^2))</x:f>
      </x:c>
      <x:c r="F83" s="3" t="str">
        <x:f>IF($A83="","",D83-$T$404*E83)</x:f>
      </x:c>
      <x:c r="G83" s="3" t="str">
        <x:f>IF($A83="","",D83+$T$404*E83)</x:f>
      </x:c>
      <x:c r="H83" s="3" t="str">
        <x:f>IF($A83="","",SQRT(MAX(0,(1)*$S$409*(1)+(1)*$T$409*(C83^1)+(1)*$U$409*(C83^2)+(1)*$V$409*(C83^3)+(C83^1)*$S$410*(1)+(C83^1)*$T$410*(C83^1)+(C83^1)*$U$410*(C83^2)+(C83^1)*$V$410*(C83^3)+(C83^2)*$S$411*(1)+(C83^2)*$T$411*(C83^1)+(C83^2)*$U$411*(C83^2)+(C83^2)*$V$411*(C83^3)+(C83^3)*$S$412*(1)+(C83^3)*$T$412*(C83^1)+(C83^3)*$U$412*(C83^2)+(C83^3)*$V$412*(C83^3))))</x:f>
      </x:c>
      <x:c r="I83" s="3"/>
      <x:c r="J83" s="10" t="n">
        <x:v>45934</x:v>
      </x:c>
      <x:c r="K83" s="8" t="n">
        <x:f>INDEX('Сводка'!$S$3:$S$397,U83)</x:f>
        <x:v>258</x:v>
      </x:c>
      <x:c r="L83" s="8" t="n">
        <x:f>INDEX('Сводка'!$S$3:$S$397,V83)</x:f>
        <x:v>274</x:v>
      </x:c>
      <x:c r="M83" s="8" t="n">
        <x:f>INDEX($K$388:$N$400,W83,1)+INDEX($K$388:$N$400,W83,2)*(2*(J83-$T$405)/(T83-$T$405)-1)^1+INDEX($K$388:$N$400,W83,3)*(2*(J83-$T$405)/(T83-$T$405)-1)^2+INDEX($K$388:$N$400,W83,4)*(2*(J83-$T$405)/(T83-$T$405)-1)^3</x:f>
        <x:v>152.13327048664647</x:v>
      </x:c>
      <x:c r="N83" s="8" t="n">
        <x:f>K83-M83</x:f>
        <x:v>105.86672951335353</x:v>
      </x:c>
      <x:c r="O83" s="8" t="n">
        <x:f>ABS(N83)</x:f>
        <x:v>105.86672951335353</x:v>
      </x:c>
      <x:c r="P83" s="8" t="n">
        <x:f>N83^2</x:f>
        <x:v>11207.76441785356</x:v>
      </x:c>
      <x:c r="Q83" s="8" t="n">
        <x:f>K83-L83</x:f>
        <x:v>-16</x:v>
      </x:c>
      <x:c r="R83" s="9" t="n">
        <x:f>IF(AND(INDEX('Сводка'!$T$3:$T$397,U83)=0,INDEX('Сводка'!$T$3:$T$397,V83)=0),1,0)</x:f>
        <x:v>1</x:v>
      </x:c>
      <x:c r="S83" s="9" t="n">
        <x:f>IF(AND(R83=1,O83&lt;=$G$13),1,0)</x:f>
        <x:v>0</x:v>
      </x:c>
      <x:c r="T83" s="10" t="n">
        <x:f>EOMONTH(J83-'Сводка'!$B$11,-1)</x:f>
        <x:v>45930</x:v>
      </x:c>
      <x:c r="U83" s="4" t="n">
        <x:f>MATCH(J83,'Сводка'!$R$3:$R$397,0)</x:f>
        <x:v>94</x:v>
      </x:c>
      <x:c r="V83" s="4" t="n">
        <x:f>MATCH(J83-'Сводка'!$B$11,'Сводка'!$R$3:$R$397,0)</x:f>
        <x:v>93</x:v>
      </x:c>
      <x:c r="W83" s="4" t="n">
        <x:f>MATCH(T83,$J$388:$J$400,0)</x:f>
        <x:v>4</x:v>
      </x:c>
      <x:c r="X83" s="3"/>
      <x:c r="Y83" s="3"/>
      <x:c r="Z83" s="3"/>
    </x:row>
    <x:row r="84" ht="15" customHeight="1">
      <x:c r="A84" s="7" t="str">
        <x:f>IF(66&lt;='Сводка'!$B$3,'Сводка'!$B$4+66,"")</x:f>
      </x:c>
      <x:c r="B84" s="19" t="str">
        <x:f>IF($A84="","",(A84-$T$405+1)/1000)</x:f>
      </x:c>
      <x:c r="C84" s="19" t="str">
        <x:f>IF($A84="","",2*(A84-$T$405)/$T$406-1)</x:f>
      </x:c>
      <x:c r="D84" s="3" t="str">
        <x:f>IF($A84="","",$B$4+$B$5*C84^1+$B$6*C84^2+$B$7*C84^3)</x:f>
      </x:c>
      <x:c r="E84" s="3" t="str">
        <x:f>IF($A84="","",SQRT($T$403^2+H84^2))</x:f>
      </x:c>
      <x:c r="F84" s="3" t="str">
        <x:f>IF($A84="","",D84-$T$404*E84)</x:f>
      </x:c>
      <x:c r="G84" s="3" t="str">
        <x:f>IF($A84="","",D84+$T$404*E84)</x:f>
      </x:c>
      <x:c r="H84" s="3" t="str">
        <x:f>IF($A84="","",SQRT(MAX(0,(1)*$S$409*(1)+(1)*$T$409*(C84^1)+(1)*$U$409*(C84^2)+(1)*$V$409*(C84^3)+(C84^1)*$S$410*(1)+(C84^1)*$T$410*(C84^1)+(C84^1)*$U$410*(C84^2)+(C84^1)*$V$410*(C84^3)+(C84^2)*$S$411*(1)+(C84^2)*$T$411*(C84^1)+(C84^2)*$U$411*(C84^2)+(C84^2)*$V$411*(C84^3)+(C84^3)*$S$412*(1)+(C84^3)*$T$412*(C84^1)+(C84^3)*$U$412*(C84^2)+(C84^3)*$V$412*(C84^3))))</x:f>
      </x:c>
      <x:c r="I84" s="3"/>
      <x:c r="J84" s="10" t="n">
        <x:v>45935</x:v>
      </x:c>
      <x:c r="K84" s="8" t="n">
        <x:f>INDEX('Сводка'!$S$3:$S$397,U84)</x:f>
        <x:v>240</x:v>
      </x:c>
      <x:c r="L84" s="8" t="n">
        <x:f>INDEX('Сводка'!$S$3:$S$397,V84)</x:f>
        <x:v>258</x:v>
      </x:c>
      <x:c r="M84" s="8" t="n">
        <x:f>INDEX($K$388:$N$400,W84,1)+INDEX($K$388:$N$400,W84,2)*(2*(J84-$T$405)/(T84-$T$405)-1)^1+INDEX($K$388:$N$400,W84,3)*(2*(J84-$T$405)/(T84-$T$405)-1)^2+INDEX($K$388:$N$400,W84,4)*(2*(J84-$T$405)/(T84-$T$405)-1)^3</x:f>
        <x:v>152.1433179587572</x:v>
      </x:c>
      <x:c r="N84" s="8" t="n">
        <x:f>K84-M84</x:f>
        <x:v>87.8566820412428</x:v>
      </x:c>
      <x:c r="O84" s="8" t="n">
        <x:f>ABS(N84)</x:f>
        <x:v>87.8566820412428</x:v>
      </x:c>
      <x:c r="P84" s="8" t="n">
        <x:f>N84^2</x:f>
        <x:v>7718.796579296036</x:v>
      </x:c>
      <x:c r="Q84" s="8" t="n">
        <x:f>K84-L84</x:f>
        <x:v>-18</x:v>
      </x:c>
      <x:c r="R84" s="9" t="n">
        <x:f>IF(AND(INDEX('Сводка'!$T$3:$T$397,U84)=0,INDEX('Сводка'!$T$3:$T$397,V84)=0),1,0)</x:f>
        <x:v>1</x:v>
      </x:c>
      <x:c r="S84" s="9" t="n">
        <x:f>IF(AND(R84=1,O84&lt;=$G$13),1,0)</x:f>
        <x:v>0</x:v>
      </x:c>
      <x:c r="T84" s="10" t="n">
        <x:f>EOMONTH(J84-'Сводка'!$B$11,-1)</x:f>
        <x:v>45930</x:v>
      </x:c>
      <x:c r="U84" s="4" t="n">
        <x:f>MATCH(J84,'Сводка'!$R$3:$R$397,0)</x:f>
        <x:v>95</x:v>
      </x:c>
      <x:c r="V84" s="4" t="n">
        <x:f>MATCH(J84-'Сводка'!$B$11,'Сводка'!$R$3:$R$397,0)</x:f>
        <x:v>94</x:v>
      </x:c>
      <x:c r="W84" s="4" t="n">
        <x:f>MATCH(T84,$J$388:$J$400,0)</x:f>
        <x:v>4</x:v>
      </x:c>
      <x:c r="X84" s="3"/>
      <x:c r="Y84" s="3"/>
      <x:c r="Z84" s="3"/>
    </x:row>
    <x:row r="85" ht="15" customHeight="1">
      <x:c r="A85" s="7" t="str">
        <x:f>IF(67&lt;='Сводка'!$B$3,'Сводка'!$B$4+67,"")</x:f>
      </x:c>
      <x:c r="B85" s="19" t="str">
        <x:f>IF($A85="","",(A85-$T$405+1)/1000)</x:f>
      </x:c>
      <x:c r="C85" s="19" t="str">
        <x:f>IF($A85="","",2*(A85-$T$405)/$T$406-1)</x:f>
      </x:c>
      <x:c r="D85" s="3" t="str">
        <x:f>IF($A85="","",$B$4+$B$5*C85^1+$B$6*C85^2+$B$7*C85^3)</x:f>
      </x:c>
      <x:c r="E85" s="3" t="str">
        <x:f>IF($A85="","",SQRT($T$403^2+H85^2))</x:f>
      </x:c>
      <x:c r="F85" s="3" t="str">
        <x:f>IF($A85="","",D85-$T$404*E85)</x:f>
      </x:c>
      <x:c r="G85" s="3" t="str">
        <x:f>IF($A85="","",D85+$T$404*E85)</x:f>
      </x:c>
      <x:c r="H85" s="3" t="str">
        <x:f>IF($A85="","",SQRT(MAX(0,(1)*$S$409*(1)+(1)*$T$409*(C85^1)+(1)*$U$409*(C85^2)+(1)*$V$409*(C85^3)+(C85^1)*$S$410*(1)+(C85^1)*$T$410*(C85^1)+(C85^1)*$U$410*(C85^2)+(C85^1)*$V$410*(C85^3)+(C85^2)*$S$411*(1)+(C85^2)*$T$411*(C85^1)+(C85^2)*$U$411*(C85^2)+(C85^2)*$V$411*(C85^3)+(C85^3)*$S$412*(1)+(C85^3)*$T$412*(C85^1)+(C85^3)*$U$412*(C85^2)+(C85^3)*$V$412*(C85^3))))</x:f>
      </x:c>
      <x:c r="I85" s="3"/>
      <x:c r="J85" s="10" t="n">
        <x:v>45936</x:v>
      </x:c>
      <x:c r="K85" s="8" t="n">
        <x:f>INDEX('Сводка'!$S$3:$S$397,U85)</x:f>
        <x:v>224</x:v>
      </x:c>
      <x:c r="L85" s="8" t="n">
        <x:f>INDEX('Сводка'!$S$3:$S$397,V85)</x:f>
        <x:v>240</x:v>
      </x:c>
      <x:c r="M85" s="8" t="n">
        <x:f>INDEX($K$388:$N$400,W85,1)+INDEX($K$388:$N$400,W85,2)*(2*(J85-$T$405)/(T85-$T$405)-1)^1+INDEX($K$388:$N$400,W85,3)*(2*(J85-$T$405)/(T85-$T$405)-1)^2+INDEX($K$388:$N$400,W85,4)*(2*(J85-$T$405)/(T85-$T$405)-1)^3</x:f>
        <x:v>152.1533636439538</x:v>
      </x:c>
      <x:c r="N85" s="8" t="n">
        <x:f>K85-M85</x:f>
        <x:v>71.84663635604619</x:v>
      </x:c>
      <x:c r="O85" s="8" t="n">
        <x:f>ABS(N85)</x:f>
        <x:v>71.84663635604619</x:v>
      </x:c>
      <x:c r="P85" s="8" t="n">
        <x:f>N85^2</x:f>
        <x:v>5161.939155677938</x:v>
      </x:c>
      <x:c r="Q85" s="8" t="n">
        <x:f>K85-L85</x:f>
        <x:v>-16</x:v>
      </x:c>
      <x:c r="R85" s="9" t="n">
        <x:f>IF(AND(INDEX('Сводка'!$T$3:$T$397,U85)=0,INDEX('Сводка'!$T$3:$T$397,V85)=0),1,0)</x:f>
        <x:v>1</x:v>
      </x:c>
      <x:c r="S85" s="9" t="n">
        <x:f>IF(AND(R85=1,O85&lt;=$G$13),1,0)</x:f>
        <x:v>0</x:v>
      </x:c>
      <x:c r="T85" s="10" t="n">
        <x:f>EOMONTH(J85-'Сводка'!$B$11,-1)</x:f>
        <x:v>45930</x:v>
      </x:c>
      <x:c r="U85" s="4" t="n">
        <x:f>MATCH(J85,'Сводка'!$R$3:$R$397,0)</x:f>
        <x:v>96</x:v>
      </x:c>
      <x:c r="V85" s="4" t="n">
        <x:f>MATCH(J85-'Сводка'!$B$11,'Сводка'!$R$3:$R$397,0)</x:f>
        <x:v>95</x:v>
      </x:c>
      <x:c r="W85" s="4" t="n">
        <x:f>MATCH(T85,$J$388:$J$400,0)</x:f>
        <x:v>4</x:v>
      </x:c>
      <x:c r="X85" s="3"/>
      <x:c r="Y85" s="3"/>
      <x:c r="Z85" s="3"/>
    </x:row>
    <x:row r="86" ht="15" customHeight="1">
      <x:c r="A86" s="7" t="str">
        <x:f>IF(68&lt;='Сводка'!$B$3,'Сводка'!$B$4+68,"")</x:f>
      </x:c>
      <x:c r="B86" s="19" t="str">
        <x:f>IF($A86="","",(A86-$T$405+1)/1000)</x:f>
      </x:c>
      <x:c r="C86" s="19" t="str">
        <x:f>IF($A86="","",2*(A86-$T$405)/$T$406-1)</x:f>
      </x:c>
      <x:c r="D86" s="3" t="str">
        <x:f>IF($A86="","",$B$4+$B$5*C86^1+$B$6*C86^2+$B$7*C86^3)</x:f>
      </x:c>
      <x:c r="E86" s="3" t="str">
        <x:f>IF($A86="","",SQRT($T$403^2+H86^2))</x:f>
      </x:c>
      <x:c r="F86" s="3" t="str">
        <x:f>IF($A86="","",D86-$T$404*E86)</x:f>
      </x:c>
      <x:c r="G86" s="3" t="str">
        <x:f>IF($A86="","",D86+$T$404*E86)</x:f>
      </x:c>
      <x:c r="H86" s="3" t="str">
        <x:f>IF($A86="","",SQRT(MAX(0,(1)*$S$409*(1)+(1)*$T$409*(C86^1)+(1)*$U$409*(C86^2)+(1)*$V$409*(C86^3)+(C86^1)*$S$410*(1)+(C86^1)*$T$410*(C86^1)+(C86^1)*$U$410*(C86^2)+(C86^1)*$V$410*(C86^3)+(C86^2)*$S$411*(1)+(C86^2)*$T$411*(C86^1)+(C86^2)*$U$411*(C86^2)+(C86^2)*$V$411*(C86^3)+(C86^3)*$S$412*(1)+(C86^3)*$T$412*(C86^1)+(C86^3)*$U$412*(C86^2)+(C86^3)*$V$412*(C86^3))))</x:f>
      </x:c>
      <x:c r="I86" s="3"/>
      <x:c r="J86" s="10" t="n">
        <x:v>45937</x:v>
      </x:c>
      <x:c r="K86" s="8" t="n">
        <x:f>INDEX('Сводка'!$S$3:$S$397,U86)</x:f>
        <x:v>210</x:v>
      </x:c>
      <x:c r="L86" s="8" t="n">
        <x:f>INDEX('Сводка'!$S$3:$S$397,V86)</x:f>
        <x:v>224</x:v>
      </x:c>
      <x:c r="M86" s="8" t="n">
        <x:f>INDEX($K$388:$N$400,W86,1)+INDEX($K$388:$N$400,W86,2)*(2*(J86-$T$405)/(T86-$T$405)-1)^1+INDEX($K$388:$N$400,W86,3)*(2*(J86-$T$405)/(T86-$T$405)-1)^2+INDEX($K$388:$N$400,W86,4)*(2*(J86-$T$405)/(T86-$T$405)-1)^3</x:f>
        <x:v>152.1634075428177</x:v>
      </x:c>
      <x:c r="N86" s="8" t="n">
        <x:f>K86-M86</x:f>
        <x:v>57.83659245718229</x:v>
      </x:c>
      <x:c r="O86" s="8" t="n">
        <x:f>ABS(N86)</x:f>
        <x:v>57.83659245718229</x:v>
      </x:c>
      <x:c r="P86" s="8" t="n">
        <x:f>N86^2</x:f>
        <x:v>3345.0714270581957</x:v>
      </x:c>
      <x:c r="Q86" s="8" t="n">
        <x:f>K86-L86</x:f>
        <x:v>-14</x:v>
      </x:c>
      <x:c r="R86" s="9" t="n">
        <x:f>IF(AND(INDEX('Сводка'!$T$3:$T$397,U86)=0,INDEX('Сводка'!$T$3:$T$397,V86)=0),1,0)</x:f>
        <x:v>1</x:v>
      </x:c>
      <x:c r="S86" s="9" t="n">
        <x:f>IF(AND(R86=1,O86&lt;=$G$13),1,0)</x:f>
        <x:v>0</x:v>
      </x:c>
      <x:c r="T86" s="10" t="n">
        <x:f>EOMONTH(J86-'Сводка'!$B$11,-1)</x:f>
        <x:v>45930</x:v>
      </x:c>
      <x:c r="U86" s="4" t="n">
        <x:f>MATCH(J86,'Сводка'!$R$3:$R$397,0)</x:f>
        <x:v>97</x:v>
      </x:c>
      <x:c r="V86" s="4" t="n">
        <x:f>MATCH(J86-'Сводка'!$B$11,'Сводка'!$R$3:$R$397,0)</x:f>
        <x:v>96</x:v>
      </x:c>
      <x:c r="W86" s="4" t="n">
        <x:f>MATCH(T86,$J$388:$J$400,0)</x:f>
        <x:v>4</x:v>
      </x:c>
      <x:c r="X86" s="3"/>
      <x:c r="Y86" s="3"/>
      <x:c r="Z86" s="3"/>
    </x:row>
    <x:row r="87" ht="15" customHeight="1">
      <x:c r="A87" s="7" t="str">
        <x:f>IF(69&lt;='Сводка'!$B$3,'Сводка'!$B$4+69,"")</x:f>
      </x:c>
      <x:c r="B87" s="19" t="str">
        <x:f>IF($A87="","",(A87-$T$405+1)/1000)</x:f>
      </x:c>
      <x:c r="C87" s="19" t="str">
        <x:f>IF($A87="","",2*(A87-$T$405)/$T$406-1)</x:f>
      </x:c>
      <x:c r="D87" s="3" t="str">
        <x:f>IF($A87="","",$B$4+$B$5*C87^1+$B$6*C87^2+$B$7*C87^3)</x:f>
      </x:c>
      <x:c r="E87" s="3" t="str">
        <x:f>IF($A87="","",SQRT($T$403^2+H87^2))</x:f>
      </x:c>
      <x:c r="F87" s="3" t="str">
        <x:f>IF($A87="","",D87-$T$404*E87)</x:f>
      </x:c>
      <x:c r="G87" s="3" t="str">
        <x:f>IF($A87="","",D87+$T$404*E87)</x:f>
      </x:c>
      <x:c r="H87" s="3" t="str">
        <x:f>IF($A87="","",SQRT(MAX(0,(1)*$S$409*(1)+(1)*$T$409*(C87^1)+(1)*$U$409*(C87^2)+(1)*$V$409*(C87^3)+(C87^1)*$S$410*(1)+(C87^1)*$T$410*(C87^1)+(C87^1)*$U$410*(C87^2)+(C87^1)*$V$410*(C87^3)+(C87^2)*$S$411*(1)+(C87^2)*$T$411*(C87^1)+(C87^2)*$U$411*(C87^2)+(C87^2)*$V$411*(C87^3)+(C87^3)*$S$412*(1)+(C87^3)*$T$412*(C87^1)+(C87^3)*$U$412*(C87^2)+(C87^3)*$V$412*(C87^3))))</x:f>
      </x:c>
      <x:c r="I87" s="3"/>
      <x:c r="J87" s="10" t="n">
        <x:v>45938</x:v>
      </x:c>
      <x:c r="K87" s="8" t="n">
        <x:f>INDEX('Сводка'!$S$3:$S$397,U87)</x:f>
        <x:v>198</x:v>
      </x:c>
      <x:c r="L87" s="8" t="n">
        <x:f>INDEX('Сводка'!$S$3:$S$397,V87)</x:f>
        <x:v>210</x:v>
      </x:c>
      <x:c r="M87" s="8" t="n">
        <x:f>INDEX($K$388:$N$400,W87,1)+INDEX($K$388:$N$400,W87,2)*(2*(J87-$T$405)/(T87-$T$405)-1)^1+INDEX($K$388:$N$400,W87,3)*(2*(J87-$T$405)/(T87-$T$405)-1)^2+INDEX($K$388:$N$400,W87,4)*(2*(J87-$T$405)/(T87-$T$405)-1)^3</x:f>
        <x:v>152.17344965593028</x:v>
      </x:c>
      <x:c r="N87" s="8" t="n">
        <x:f>K87-M87</x:f>
        <x:v>45.826550344069716</x:v>
      </x:c>
      <x:c r="O87" s="8" t="n">
        <x:f>ABS(N87)</x:f>
        <x:v>45.826550344069716</x:v>
      </x:c>
      <x:c r="P87" s="8" t="n">
        <x:f>N87^2</x:f>
        <x:v>2100.072716437556</x:v>
      </x:c>
      <x:c r="Q87" s="8" t="n">
        <x:f>K87-L87</x:f>
        <x:v>-12</x:v>
      </x:c>
      <x:c r="R87" s="9" t="n">
        <x:f>IF(AND(INDEX('Сводка'!$T$3:$T$397,U87)=0,INDEX('Сводка'!$T$3:$T$397,V87)=0),1,0)</x:f>
        <x:v>1</x:v>
      </x:c>
      <x:c r="S87" s="9" t="n">
        <x:f>IF(AND(R87=1,O87&lt;=$G$13),1,0)</x:f>
        <x:v>0</x:v>
      </x:c>
      <x:c r="T87" s="10" t="n">
        <x:f>EOMONTH(J87-'Сводка'!$B$11,-1)</x:f>
        <x:v>45930</x:v>
      </x:c>
      <x:c r="U87" s="4" t="n">
        <x:f>MATCH(J87,'Сводка'!$R$3:$R$397,0)</x:f>
        <x:v>98</x:v>
      </x:c>
      <x:c r="V87" s="4" t="n">
        <x:f>MATCH(J87-'Сводка'!$B$11,'Сводка'!$R$3:$R$397,0)</x:f>
        <x:v>97</x:v>
      </x:c>
      <x:c r="W87" s="4" t="n">
        <x:f>MATCH(T87,$J$388:$J$400,0)</x:f>
        <x:v>4</x:v>
      </x:c>
      <x:c r="X87" s="3"/>
      <x:c r="Y87" s="3"/>
      <x:c r="Z87" s="3"/>
    </x:row>
    <x:row r="88" ht="15" customHeight="1">
      <x:c r="A88" s="7" t="str">
        <x:f>IF(70&lt;='Сводка'!$B$3,'Сводка'!$B$4+70,"")</x:f>
      </x:c>
      <x:c r="B88" s="19" t="str">
        <x:f>IF($A88="","",(A88-$T$405+1)/1000)</x:f>
      </x:c>
      <x:c r="C88" s="19" t="str">
        <x:f>IF($A88="","",2*(A88-$T$405)/$T$406-1)</x:f>
      </x:c>
      <x:c r="D88" s="3" t="str">
        <x:f>IF($A88="","",$B$4+$B$5*C88^1+$B$6*C88^2+$B$7*C88^3)</x:f>
      </x:c>
      <x:c r="E88" s="3" t="str">
        <x:f>IF($A88="","",SQRT($T$403^2+H88^2))</x:f>
      </x:c>
      <x:c r="F88" s="3" t="str">
        <x:f>IF($A88="","",D88-$T$404*E88)</x:f>
      </x:c>
      <x:c r="G88" s="3" t="str">
        <x:f>IF($A88="","",D88+$T$404*E88)</x:f>
      </x:c>
      <x:c r="H88" s="3" t="str">
        <x:f>IF($A88="","",SQRT(MAX(0,(1)*$S$409*(1)+(1)*$T$409*(C88^1)+(1)*$U$409*(C88^2)+(1)*$V$409*(C88^3)+(C88^1)*$S$410*(1)+(C88^1)*$T$410*(C88^1)+(C88^1)*$U$410*(C88^2)+(C88^1)*$V$410*(C88^3)+(C88^2)*$S$411*(1)+(C88^2)*$T$411*(C88^1)+(C88^2)*$U$411*(C88^2)+(C88^2)*$V$411*(C88^3)+(C88^3)*$S$412*(1)+(C88^3)*$T$412*(C88^1)+(C88^3)*$U$412*(C88^2)+(C88^3)*$V$412*(C88^3))))</x:f>
      </x:c>
      <x:c r="I88" s="3"/>
      <x:c r="J88" s="10" t="n">
        <x:v>45939</x:v>
      </x:c>
      <x:c r="K88" s="8" t="n">
        <x:f>INDEX('Сводка'!$S$3:$S$397,U88)</x:f>
        <x:v>178</x:v>
      </x:c>
      <x:c r="L88" s="8" t="n">
        <x:f>INDEX('Сводка'!$S$3:$S$397,V88)</x:f>
        <x:v>198</x:v>
      </x:c>
      <x:c r="M88" s="8" t="n">
        <x:f>INDEX($K$388:$N$400,W88,1)+INDEX($K$388:$N$400,W88,2)*(2*(J88-$T$405)/(T88-$T$405)-1)^1+INDEX($K$388:$N$400,W88,3)*(2*(J88-$T$405)/(T88-$T$405)-1)^2+INDEX($K$388:$N$400,W88,4)*(2*(J88-$T$405)/(T88-$T$405)-1)^3</x:f>
        <x:v>152.18348998387302</x:v>
      </x:c>
      <x:c r="N88" s="8" t="n">
        <x:f>K88-M88</x:f>
        <x:v>25.816510016126983</x:v>
      </x:c>
      <x:c r="O88" s="8" t="n">
        <x:f>ABS(N88)</x:f>
        <x:v>25.816510016126983</x:v>
      </x:c>
      <x:c r="P88" s="8" t="n">
        <x:f>N88^2</x:f>
        <x:v>666.4921894127849</x:v>
      </x:c>
      <x:c r="Q88" s="8" t="n">
        <x:f>K88-L88</x:f>
        <x:v>-20</x:v>
      </x:c>
      <x:c r="R88" s="9" t="n">
        <x:f>IF(AND(INDEX('Сводка'!$T$3:$T$397,U88)=0,INDEX('Сводка'!$T$3:$T$397,V88)=0),1,0)</x:f>
        <x:v>1</x:v>
      </x:c>
      <x:c r="S88" s="9" t="n">
        <x:f>IF(AND(R88=1,O88&lt;=$G$13),1,0)</x:f>
        <x:v>0</x:v>
      </x:c>
      <x:c r="T88" s="10" t="n">
        <x:f>EOMONTH(J88-'Сводка'!$B$11,-1)</x:f>
        <x:v>45930</x:v>
      </x:c>
      <x:c r="U88" s="4" t="n">
        <x:f>MATCH(J88,'Сводка'!$R$3:$R$397,0)</x:f>
        <x:v>99</x:v>
      </x:c>
      <x:c r="V88" s="4" t="n">
        <x:f>MATCH(J88-'Сводка'!$B$11,'Сводка'!$R$3:$R$397,0)</x:f>
        <x:v>98</x:v>
      </x:c>
      <x:c r="W88" s="4" t="n">
        <x:f>MATCH(T88,$J$388:$J$400,0)</x:f>
        <x:v>4</x:v>
      </x:c>
      <x:c r="X88" s="3"/>
      <x:c r="Y88" s="3"/>
      <x:c r="Z88" s="3"/>
    </x:row>
    <x:row r="89" ht="15" customHeight="1">
      <x:c r="A89" s="7" t="str">
        <x:f>IF(71&lt;='Сводка'!$B$3,'Сводка'!$B$4+71,"")</x:f>
      </x:c>
      <x:c r="B89" s="19" t="str">
        <x:f>IF($A89="","",(A89-$T$405+1)/1000)</x:f>
      </x:c>
      <x:c r="C89" s="19" t="str">
        <x:f>IF($A89="","",2*(A89-$T$405)/$T$406-1)</x:f>
      </x:c>
      <x:c r="D89" s="3" t="str">
        <x:f>IF($A89="","",$B$4+$B$5*C89^1+$B$6*C89^2+$B$7*C89^3)</x:f>
      </x:c>
      <x:c r="E89" s="3" t="str">
        <x:f>IF($A89="","",SQRT($T$403^2+H89^2))</x:f>
      </x:c>
      <x:c r="F89" s="3" t="str">
        <x:f>IF($A89="","",D89-$T$404*E89)</x:f>
      </x:c>
      <x:c r="G89" s="3" t="str">
        <x:f>IF($A89="","",D89+$T$404*E89)</x:f>
      </x:c>
      <x:c r="H89" s="3" t="str">
        <x:f>IF($A89="","",SQRT(MAX(0,(1)*$S$409*(1)+(1)*$T$409*(C89^1)+(1)*$U$409*(C89^2)+(1)*$V$409*(C89^3)+(C89^1)*$S$410*(1)+(C89^1)*$T$410*(C89^1)+(C89^1)*$U$410*(C89^2)+(C89^1)*$V$410*(C89^3)+(C89^2)*$S$411*(1)+(C89^2)*$T$411*(C89^1)+(C89^2)*$U$411*(C89^2)+(C89^2)*$V$411*(C89^3)+(C89^3)*$S$412*(1)+(C89^3)*$T$412*(C89^1)+(C89^3)*$U$412*(C89^2)+(C89^3)*$V$412*(C89^3))))</x:f>
      </x:c>
      <x:c r="I89" s="3"/>
      <x:c r="J89" s="10" t="n">
        <x:v>45940</x:v>
      </x:c>
      <x:c r="K89" s="8" t="n">
        <x:f>INDEX('Сводка'!$S$3:$S$397,U89)</x:f>
        <x:v>163</x:v>
      </x:c>
      <x:c r="L89" s="8" t="n">
        <x:f>INDEX('Сводка'!$S$3:$S$397,V89)</x:f>
        <x:v>178</x:v>
      </x:c>
      <x:c r="M89" s="8" t="n">
        <x:f>INDEX($K$388:$N$400,W89,1)+INDEX($K$388:$N$400,W89,2)*(2*(J89-$T$405)/(T89-$T$405)-1)^1+INDEX($K$388:$N$400,W89,3)*(2*(J89-$T$405)/(T89-$T$405)-1)^2+INDEX($K$388:$N$400,W89,4)*(2*(J89-$T$405)/(T89-$T$405)-1)^3</x:f>
        <x:v>152.19352852722724</x:v>
      </x:c>
      <x:c r="N89" s="8" t="n">
        <x:f>K89-M89</x:f>
        <x:v>10.806471472772756</x:v>
      </x:c>
      <x:c r="O89" s="8" t="n">
        <x:f>ABS(N89)</x:f>
        <x:v>10.806471472772756</x:v>
      </x:c>
      <x:c r="P89" s="8" t="n">
        <x:f>N89^2</x:f>
        <x:v>116.77982569185139</x:v>
      </x:c>
      <x:c r="Q89" s="8" t="n">
        <x:f>K89-L89</x:f>
        <x:v>-15</x:v>
      </x:c>
      <x:c r="R89" s="9" t="n">
        <x:f>IF(AND(INDEX('Сводка'!$T$3:$T$397,U89)=0,INDEX('Сводка'!$T$3:$T$397,V89)=0),1,0)</x:f>
        <x:v>1</x:v>
      </x:c>
      <x:c r="S89" s="9" t="n">
        <x:f>IF(AND(R89=1,O89&lt;=$G$13),1,0)</x:f>
        <x:v>0</x:v>
      </x:c>
      <x:c r="T89" s="10" t="n">
        <x:f>EOMONTH(J89-'Сводка'!$B$11,-1)</x:f>
        <x:v>45930</x:v>
      </x:c>
      <x:c r="U89" s="4" t="n">
        <x:f>MATCH(J89,'Сводка'!$R$3:$R$397,0)</x:f>
        <x:v>100</x:v>
      </x:c>
      <x:c r="V89" s="4" t="n">
        <x:f>MATCH(J89-'Сводка'!$B$11,'Сводка'!$R$3:$R$397,0)</x:f>
        <x:v>99</x:v>
      </x:c>
      <x:c r="W89" s="4" t="n">
        <x:f>MATCH(T89,$J$388:$J$400,0)</x:f>
        <x:v>4</x:v>
      </x:c>
      <x:c r="X89" s="3"/>
      <x:c r="Y89" s="3"/>
      <x:c r="Z89" s="3"/>
    </x:row>
    <x:row r="90" ht="15" customHeight="1">
      <x:c r="A90" s="7" t="str">
        <x:f>IF(72&lt;='Сводка'!$B$3,'Сводка'!$B$4+72,"")</x:f>
      </x:c>
      <x:c r="B90" s="19" t="str">
        <x:f>IF($A90="","",(A90-$T$405+1)/1000)</x:f>
      </x:c>
      <x:c r="C90" s="19" t="str">
        <x:f>IF($A90="","",2*(A90-$T$405)/$T$406-1)</x:f>
      </x:c>
      <x:c r="D90" s="3" t="str">
        <x:f>IF($A90="","",$B$4+$B$5*C90^1+$B$6*C90^2+$B$7*C90^3)</x:f>
      </x:c>
      <x:c r="E90" s="3" t="str">
        <x:f>IF($A90="","",SQRT($T$403^2+H90^2))</x:f>
      </x:c>
      <x:c r="F90" s="3" t="str">
        <x:f>IF($A90="","",D90-$T$404*E90)</x:f>
      </x:c>
      <x:c r="G90" s="3" t="str">
        <x:f>IF($A90="","",D90+$T$404*E90)</x:f>
      </x:c>
      <x:c r="H90" s="3" t="str">
        <x:f>IF($A90="","",SQRT(MAX(0,(1)*$S$409*(1)+(1)*$T$409*(C90^1)+(1)*$U$409*(C90^2)+(1)*$V$409*(C90^3)+(C90^1)*$S$410*(1)+(C90^1)*$T$410*(C90^1)+(C90^1)*$U$410*(C90^2)+(C90^1)*$V$410*(C90^3)+(C90^2)*$S$411*(1)+(C90^2)*$T$411*(C90^1)+(C90^2)*$U$411*(C90^2)+(C90^2)*$V$411*(C90^3)+(C90^3)*$S$412*(1)+(C90^3)*$T$412*(C90^1)+(C90^3)*$U$412*(C90^2)+(C90^3)*$V$412*(C90^3))))</x:f>
      </x:c>
      <x:c r="I90" s="3"/>
      <x:c r="J90" s="10" t="n">
        <x:v>45941</x:v>
      </x:c>
      <x:c r="K90" s="8" t="n">
        <x:f>INDEX('Сводка'!$S$3:$S$397,U90)</x:f>
        <x:v>152</x:v>
      </x:c>
      <x:c r="L90" s="8" t="n">
        <x:f>INDEX('Сводка'!$S$3:$S$397,V90)</x:f>
        <x:v>163</x:v>
      </x:c>
      <x:c r="M90" s="8" t="n">
        <x:f>INDEX($K$388:$N$400,W90,1)+INDEX($K$388:$N$400,W90,2)*(2*(J90-$T$405)/(T90-$T$405)-1)^1+INDEX($K$388:$N$400,W90,3)*(2*(J90-$T$405)/(T90-$T$405)-1)^2+INDEX($K$388:$N$400,W90,4)*(2*(J90-$T$405)/(T90-$T$405)-1)^3</x:f>
        <x:v>152.20356528657453</x:v>
      </x:c>
      <x:c r="N90" s="8" t="n">
        <x:f>K90-M90</x:f>
        <x:v>-0.20356528657453055</x:v>
      </x:c>
      <x:c r="O90" s="8" t="n">
        <x:f>ABS(N90)</x:f>
        <x:v>0.20356528657453055</x:v>
      </x:c>
      <x:c r="P90" s="8" t="n">
        <x:f>N90^2</x:f>
        <x:v>0.041438825898170745</x:v>
      </x:c>
      <x:c r="Q90" s="8" t="n">
        <x:f>K90-L90</x:f>
        <x:v>-11</x:v>
      </x:c>
      <x:c r="R90" s="9" t="n">
        <x:f>IF(AND(INDEX('Сводка'!$T$3:$T$397,U90)=0,INDEX('Сводка'!$T$3:$T$397,V90)=0),1,0)</x:f>
        <x:v>1</x:v>
      </x:c>
      <x:c r="S90" s="9" t="n">
        <x:f>IF(AND(R90=1,O90&lt;=$G$13),1,0)</x:f>
        <x:v>1</x:v>
      </x:c>
      <x:c r="T90" s="10" t="n">
        <x:f>EOMONTH(J90-'Сводка'!$B$11,-1)</x:f>
        <x:v>45930</x:v>
      </x:c>
      <x:c r="U90" s="4" t="n">
        <x:f>MATCH(J90,'Сводка'!$R$3:$R$397,0)</x:f>
        <x:v>101</x:v>
      </x:c>
      <x:c r="V90" s="4" t="n">
        <x:f>MATCH(J90-'Сводка'!$B$11,'Сводка'!$R$3:$R$397,0)</x:f>
        <x:v>100</x:v>
      </x:c>
      <x:c r="W90" s="4" t="n">
        <x:f>MATCH(T90,$J$388:$J$400,0)</x:f>
        <x:v>4</x:v>
      </x:c>
      <x:c r="X90" s="3"/>
      <x:c r="Y90" s="3"/>
      <x:c r="Z90" s="3"/>
    </x:row>
    <x:row r="91" ht="15" customHeight="1">
      <x:c r="A91" s="7" t="str">
        <x:f>IF(73&lt;='Сводка'!$B$3,'Сводка'!$B$4+73,"")</x:f>
      </x:c>
      <x:c r="B91" s="19" t="str">
        <x:f>IF($A91="","",(A91-$T$405+1)/1000)</x:f>
      </x:c>
      <x:c r="C91" s="19" t="str">
        <x:f>IF($A91="","",2*(A91-$T$405)/$T$406-1)</x:f>
      </x:c>
      <x:c r="D91" s="3" t="str">
        <x:f>IF($A91="","",$B$4+$B$5*C91^1+$B$6*C91^2+$B$7*C91^3)</x:f>
      </x:c>
      <x:c r="E91" s="3" t="str">
        <x:f>IF($A91="","",SQRT($T$403^2+H91^2))</x:f>
      </x:c>
      <x:c r="F91" s="3" t="str">
        <x:f>IF($A91="","",D91-$T$404*E91)</x:f>
      </x:c>
      <x:c r="G91" s="3" t="str">
        <x:f>IF($A91="","",D91+$T$404*E91)</x:f>
      </x:c>
      <x:c r="H91" s="3" t="str">
        <x:f>IF($A91="","",SQRT(MAX(0,(1)*$S$409*(1)+(1)*$T$409*(C91^1)+(1)*$U$409*(C91^2)+(1)*$V$409*(C91^3)+(C91^1)*$S$410*(1)+(C91^1)*$T$410*(C91^1)+(C91^1)*$U$410*(C91^2)+(C91^1)*$V$410*(C91^3)+(C91^2)*$S$411*(1)+(C91^2)*$T$411*(C91^1)+(C91^2)*$U$411*(C91^2)+(C91^2)*$V$411*(C91^3)+(C91^3)*$S$412*(1)+(C91^3)*$T$412*(C91^1)+(C91^3)*$U$412*(C91^2)+(C91^3)*$V$412*(C91^3))))</x:f>
      </x:c>
      <x:c r="I91" s="3"/>
      <x:c r="J91" s="10" t="n">
        <x:v>45942</x:v>
      </x:c>
      <x:c r="K91" s="8" t="n">
        <x:f>INDEX('Сводка'!$S$3:$S$397,U91)</x:f>
        <x:v>138</x:v>
      </x:c>
      <x:c r="L91" s="8" t="n">
        <x:f>INDEX('Сводка'!$S$3:$S$397,V91)</x:f>
        <x:v>152</x:v>
      </x:c>
      <x:c r="M91" s="8" t="n">
        <x:f>INDEX($K$388:$N$400,W91,1)+INDEX($K$388:$N$400,W91,2)*(2*(J91-$T$405)/(T91-$T$405)-1)^1+INDEX($K$388:$N$400,W91,3)*(2*(J91-$T$405)/(T91-$T$405)-1)^2+INDEX($K$388:$N$400,W91,4)*(2*(J91-$T$405)/(T91-$T$405)-1)^3</x:f>
        <x:v>152.21360026249613</x:v>
      </x:c>
      <x:c r="N91" s="8" t="n">
        <x:f>K91-M91</x:f>
        <x:v>-14.21360026249613</x:v>
      </x:c>
      <x:c r="O91" s="8" t="n">
        <x:f>ABS(N91)</x:f>
        <x:v>14.21360026249613</x:v>
      </x:c>
      <x:c r="P91" s="8" t="n">
        <x:f>N91^2</x:f>
        <x:v>202.02643242203004</x:v>
      </x:c>
      <x:c r="Q91" s="8" t="n">
        <x:f>K91-L91</x:f>
        <x:v>-14</x:v>
      </x:c>
      <x:c r="R91" s="9" t="n">
        <x:f>IF(AND(INDEX('Сводка'!$T$3:$T$397,U91)=0,INDEX('Сводка'!$T$3:$T$397,V91)=0),1,0)</x:f>
        <x:v>1</x:v>
      </x:c>
      <x:c r="S91" s="9" t="n">
        <x:f>IF(AND(R91=1,O91&lt;=$G$13),1,0)</x:f>
        <x:v>0</x:v>
      </x:c>
      <x:c r="T91" s="10" t="n">
        <x:f>EOMONTH(J91-'Сводка'!$B$11,-1)</x:f>
        <x:v>45930</x:v>
      </x:c>
      <x:c r="U91" s="4" t="n">
        <x:f>MATCH(J91,'Сводка'!$R$3:$R$397,0)</x:f>
        <x:v>102</x:v>
      </x:c>
      <x:c r="V91" s="4" t="n">
        <x:f>MATCH(J91-'Сводка'!$B$11,'Сводка'!$R$3:$R$397,0)</x:f>
        <x:v>101</x:v>
      </x:c>
      <x:c r="W91" s="4" t="n">
        <x:f>MATCH(T91,$J$388:$J$400,0)</x:f>
        <x:v>4</x:v>
      </x:c>
      <x:c r="X91" s="3"/>
      <x:c r="Y91" s="3"/>
      <x:c r="Z91" s="3"/>
    </x:row>
    <x:row r="92" ht="15" customHeight="1">
      <x:c r="A92" s="7" t="str">
        <x:f>IF(74&lt;='Сводка'!$B$3,'Сводка'!$B$4+74,"")</x:f>
      </x:c>
      <x:c r="B92" s="19" t="str">
        <x:f>IF($A92="","",(A92-$T$405+1)/1000)</x:f>
      </x:c>
      <x:c r="C92" s="19" t="str">
        <x:f>IF($A92="","",2*(A92-$T$405)/$T$406-1)</x:f>
      </x:c>
      <x:c r="D92" s="3" t="str">
        <x:f>IF($A92="","",$B$4+$B$5*C92^1+$B$6*C92^2+$B$7*C92^3)</x:f>
      </x:c>
      <x:c r="E92" s="3" t="str">
        <x:f>IF($A92="","",SQRT($T$403^2+H92^2))</x:f>
      </x:c>
      <x:c r="F92" s="3" t="str">
        <x:f>IF($A92="","",D92-$T$404*E92)</x:f>
      </x:c>
      <x:c r="G92" s="3" t="str">
        <x:f>IF($A92="","",D92+$T$404*E92)</x:f>
      </x:c>
      <x:c r="H92" s="3" t="str">
        <x:f>IF($A92="","",SQRT(MAX(0,(1)*$S$409*(1)+(1)*$T$409*(C92^1)+(1)*$U$409*(C92^2)+(1)*$V$409*(C92^3)+(C92^1)*$S$410*(1)+(C92^1)*$T$410*(C92^1)+(C92^1)*$U$410*(C92^2)+(C92^1)*$V$410*(C92^3)+(C92^2)*$S$411*(1)+(C92^2)*$T$411*(C92^1)+(C92^2)*$U$411*(C92^2)+(C92^2)*$V$411*(C92^3)+(C92^3)*$S$412*(1)+(C92^3)*$T$412*(C92^1)+(C92^3)*$U$412*(C92^2)+(C92^3)*$V$412*(C92^3))))</x:f>
      </x:c>
      <x:c r="I92" s="3"/>
      <x:c r="J92" s="10" t="n">
        <x:v>45943</x:v>
      </x:c>
      <x:c r="K92" s="8" t="n">
        <x:f>INDEX('Сводка'!$S$3:$S$397,U92)</x:f>
        <x:v>123</x:v>
      </x:c>
      <x:c r="L92" s="8" t="n">
        <x:f>INDEX('Сводка'!$S$3:$S$397,V92)</x:f>
        <x:v>138</x:v>
      </x:c>
      <x:c r="M92" s="8" t="n">
        <x:f>INDEX($K$388:$N$400,W92,1)+INDEX($K$388:$N$400,W92,2)*(2*(J92-$T$405)/(T92-$T$405)-1)^1+INDEX($K$388:$N$400,W92,3)*(2*(J92-$T$405)/(T92-$T$405)-1)^2+INDEX($K$388:$N$400,W92,4)*(2*(J92-$T$405)/(T92-$T$405)-1)^3</x:f>
        <x:v>152.22363345557363</x:v>
      </x:c>
      <x:c r="N92" s="8" t="n">
        <x:f>K92-M92</x:f>
        <x:v>-29.223633455573633</x:v>
      </x:c>
      <x:c r="O92" s="8" t="n">
        <x:f>ABS(N92)</x:f>
        <x:v>29.223633455573633</x:v>
      </x:c>
      <x:c r="P92" s="8" t="n">
        <x:f>N92^2</x:f>
        <x:v>854.0207523457226</x:v>
      </x:c>
      <x:c r="Q92" s="8" t="n">
        <x:f>K92-L92</x:f>
        <x:v>-15</x:v>
      </x:c>
      <x:c r="R92" s="9" t="n">
        <x:f>IF(AND(INDEX('Сводка'!$T$3:$T$397,U92)=0,INDEX('Сводка'!$T$3:$T$397,V92)=0),1,0)</x:f>
        <x:v>1</x:v>
      </x:c>
      <x:c r="S92" s="9" t="n">
        <x:f>IF(AND(R92=1,O92&lt;=$G$13),1,0)</x:f>
        <x:v>0</x:v>
      </x:c>
      <x:c r="T92" s="10" t="n">
        <x:f>EOMONTH(J92-'Сводка'!$B$11,-1)</x:f>
        <x:v>45930</x:v>
      </x:c>
      <x:c r="U92" s="4" t="n">
        <x:f>MATCH(J92,'Сводка'!$R$3:$R$397,0)</x:f>
        <x:v>103</x:v>
      </x:c>
      <x:c r="V92" s="4" t="n">
        <x:f>MATCH(J92-'Сводка'!$B$11,'Сводка'!$R$3:$R$397,0)</x:f>
        <x:v>102</x:v>
      </x:c>
      <x:c r="W92" s="4" t="n">
        <x:f>MATCH(T92,$J$388:$J$400,0)</x:f>
        <x:v>4</x:v>
      </x:c>
      <x:c r="X92" s="3"/>
      <x:c r="Y92" s="3"/>
      <x:c r="Z92" s="3"/>
    </x:row>
    <x:row r="93" ht="15" customHeight="1">
      <x:c r="A93" s="7" t="str">
        <x:f>IF(75&lt;='Сводка'!$B$3,'Сводка'!$B$4+75,"")</x:f>
      </x:c>
      <x:c r="B93" s="19" t="str">
        <x:f>IF($A93="","",(A93-$T$405+1)/1000)</x:f>
      </x:c>
      <x:c r="C93" s="19" t="str">
        <x:f>IF($A93="","",2*(A93-$T$405)/$T$406-1)</x:f>
      </x:c>
      <x:c r="D93" s="3" t="str">
        <x:f>IF($A93="","",$B$4+$B$5*C93^1+$B$6*C93^2+$B$7*C93^3)</x:f>
      </x:c>
      <x:c r="E93" s="3" t="str">
        <x:f>IF($A93="","",SQRT($T$403^2+H93^2))</x:f>
      </x:c>
      <x:c r="F93" s="3" t="str">
        <x:f>IF($A93="","",D93-$T$404*E93)</x:f>
      </x:c>
      <x:c r="G93" s="3" t="str">
        <x:f>IF($A93="","",D93+$T$404*E93)</x:f>
      </x:c>
      <x:c r="H93" s="3" t="str">
        <x:f>IF($A93="","",SQRT(MAX(0,(1)*$S$409*(1)+(1)*$T$409*(C93^1)+(1)*$U$409*(C93^2)+(1)*$V$409*(C93^3)+(C93^1)*$S$410*(1)+(C93^1)*$T$410*(C93^1)+(C93^1)*$U$410*(C93^2)+(C93^1)*$V$410*(C93^3)+(C93^2)*$S$411*(1)+(C93^2)*$T$411*(C93^1)+(C93^2)*$U$411*(C93^2)+(C93^2)*$V$411*(C93^3)+(C93^3)*$S$412*(1)+(C93^3)*$T$412*(C93^1)+(C93^3)*$U$412*(C93^2)+(C93^3)*$V$412*(C93^3))))</x:f>
      </x:c>
      <x:c r="I93" s="3"/>
      <x:c r="J93" s="10" t="n">
        <x:v>45944</x:v>
      </x:c>
      <x:c r="K93" s="8" t="n">
        <x:f>INDEX('Сводка'!$S$3:$S$397,U93)</x:f>
        <x:v>111</x:v>
      </x:c>
      <x:c r="L93" s="8" t="n">
        <x:f>INDEX('Сводка'!$S$3:$S$397,V93)</x:f>
        <x:v>123</x:v>
      </x:c>
      <x:c r="M93" s="8" t="n">
        <x:f>INDEX($K$388:$N$400,W93,1)+INDEX($K$388:$N$400,W93,2)*(2*(J93-$T$405)/(T93-$T$405)-1)^1+INDEX($K$388:$N$400,W93,3)*(2*(J93-$T$405)/(T93-$T$405)-1)^2+INDEX($K$388:$N$400,W93,4)*(2*(J93-$T$405)/(T93-$T$405)-1)^3</x:f>
        <x:v>152.23366486638827</x:v>
      </x:c>
      <x:c r="N93" s="8" t="n">
        <x:f>K93-M93</x:f>
        <x:v>-41.23366486638827</x:v>
      </x:c>
      <x:c r="O93" s="8" t="n">
        <x:f>ABS(N93)</x:f>
        <x:v>41.23366486638827</x:v>
      </x:c>
      <x:c r="P93" s="8" t="n">
        <x:f>N93^2</x:f>
        <x:v>1700.215118313622</x:v>
      </x:c>
      <x:c r="Q93" s="8" t="n">
        <x:f>K93-L93</x:f>
        <x:v>-12</x:v>
      </x:c>
      <x:c r="R93" s="9" t="n">
        <x:f>IF(AND(INDEX('Сводка'!$T$3:$T$397,U93)=0,INDEX('Сводка'!$T$3:$T$397,V93)=0),1,0)</x:f>
        <x:v>1</x:v>
      </x:c>
      <x:c r="S93" s="9" t="n">
        <x:f>IF(AND(R93=1,O93&lt;=$G$13),1,0)</x:f>
        <x:v>0</x:v>
      </x:c>
      <x:c r="T93" s="10" t="n">
        <x:f>EOMONTH(J93-'Сводка'!$B$11,-1)</x:f>
        <x:v>45930</x:v>
      </x:c>
      <x:c r="U93" s="4" t="n">
        <x:f>MATCH(J93,'Сводка'!$R$3:$R$397,0)</x:f>
        <x:v>104</x:v>
      </x:c>
      <x:c r="V93" s="4" t="n">
        <x:f>MATCH(J93-'Сводка'!$B$11,'Сводка'!$R$3:$R$397,0)</x:f>
        <x:v>103</x:v>
      </x:c>
      <x:c r="W93" s="4" t="n">
        <x:f>MATCH(T93,$J$388:$J$400,0)</x:f>
        <x:v>4</x:v>
      </x:c>
      <x:c r="X93" s="3"/>
      <x:c r="Y93" s="3"/>
      <x:c r="Z93" s="3"/>
    </x:row>
    <x:row r="94" ht="15" customHeight="1">
      <x:c r="A94" s="7" t="str">
        <x:f>IF(76&lt;='Сводка'!$B$3,'Сводка'!$B$4+76,"")</x:f>
      </x:c>
      <x:c r="B94" s="19" t="str">
        <x:f>IF($A94="","",(A94-$T$405+1)/1000)</x:f>
      </x:c>
      <x:c r="C94" s="19" t="str">
        <x:f>IF($A94="","",2*(A94-$T$405)/$T$406-1)</x:f>
      </x:c>
      <x:c r="D94" s="3" t="str">
        <x:f>IF($A94="","",$B$4+$B$5*C94^1+$B$6*C94^2+$B$7*C94^3)</x:f>
      </x:c>
      <x:c r="E94" s="3" t="str">
        <x:f>IF($A94="","",SQRT($T$403^2+H94^2))</x:f>
      </x:c>
      <x:c r="F94" s="3" t="str">
        <x:f>IF($A94="","",D94-$T$404*E94)</x:f>
      </x:c>
      <x:c r="G94" s="3" t="str">
        <x:f>IF($A94="","",D94+$T$404*E94)</x:f>
      </x:c>
      <x:c r="H94" s="3" t="str">
        <x:f>IF($A94="","",SQRT(MAX(0,(1)*$S$409*(1)+(1)*$T$409*(C94^1)+(1)*$U$409*(C94^2)+(1)*$V$409*(C94^3)+(C94^1)*$S$410*(1)+(C94^1)*$T$410*(C94^1)+(C94^1)*$U$410*(C94^2)+(C94^1)*$V$410*(C94^3)+(C94^2)*$S$411*(1)+(C94^2)*$T$411*(C94^1)+(C94^2)*$U$411*(C94^2)+(C94^2)*$V$411*(C94^3)+(C94^3)*$S$412*(1)+(C94^3)*$T$412*(C94^1)+(C94^3)*$U$412*(C94^2)+(C94^3)*$V$412*(C94^3))))</x:f>
      </x:c>
      <x:c r="I94" s="3"/>
      <x:c r="J94" s="10" t="n">
        <x:v>45945</x:v>
      </x:c>
      <x:c r="K94" s="8" t="n">
        <x:f>INDEX('Сводка'!$S$3:$S$397,U94)</x:f>
        <x:v>100</x:v>
      </x:c>
      <x:c r="L94" s="8" t="n">
        <x:f>INDEX('Сводка'!$S$3:$S$397,V94)</x:f>
        <x:v>111</x:v>
      </x:c>
      <x:c r="M94" s="8" t="n">
        <x:f>INDEX($K$388:$N$400,W94,1)+INDEX($K$388:$N$400,W94,2)*(2*(J94-$T$405)/(T94-$T$405)-1)^1+INDEX($K$388:$N$400,W94,3)*(2*(J94-$T$405)/(T94-$T$405)-1)^2+INDEX($K$388:$N$400,W94,4)*(2*(J94-$T$405)/(T94-$T$405)-1)^3</x:f>
        <x:v>152.24369449552162</x:v>
      </x:c>
      <x:c r="N94" s="8" t="n">
        <x:f>K94-M94</x:f>
        <x:v>-52.24369449552162</x:v>
      </x:c>
      <x:c r="O94" s="8" t="n">
        <x:f>ABS(N94)</x:f>
        <x:v>52.24369449552162</x:v>
      </x:c>
      <x:c r="P94" s="8" t="n">
        <x:f>N94^2</x:f>
        <x:v>2729.4036145413966</x:v>
      </x:c>
      <x:c r="Q94" s="8" t="n">
        <x:f>K94-L94</x:f>
        <x:v>-11</x:v>
      </x:c>
      <x:c r="R94" s="9" t="n">
        <x:f>IF(AND(INDEX('Сводка'!$T$3:$T$397,U94)=0,INDEX('Сводка'!$T$3:$T$397,V94)=0),1,0)</x:f>
        <x:v>1</x:v>
      </x:c>
      <x:c r="S94" s="9" t="n">
        <x:f>IF(AND(R94=1,O94&lt;=$G$13),1,0)</x:f>
        <x:v>0</x:v>
      </x:c>
      <x:c r="T94" s="10" t="n">
        <x:f>EOMONTH(J94-'Сводка'!$B$11,-1)</x:f>
        <x:v>45930</x:v>
      </x:c>
      <x:c r="U94" s="4" t="n">
        <x:f>MATCH(J94,'Сводка'!$R$3:$R$397,0)</x:f>
        <x:v>105</x:v>
      </x:c>
      <x:c r="V94" s="4" t="n">
        <x:f>MATCH(J94-'Сводка'!$B$11,'Сводка'!$R$3:$R$397,0)</x:f>
        <x:v>104</x:v>
      </x:c>
      <x:c r="W94" s="4" t="n">
        <x:f>MATCH(T94,$J$388:$J$400,0)</x:f>
        <x:v>4</x:v>
      </x:c>
      <x:c r="X94" s="3"/>
      <x:c r="Y94" s="3"/>
      <x:c r="Z94" s="3"/>
    </x:row>
    <x:row r="95" ht="15" customHeight="1">
      <x:c r="A95" s="7" t="str">
        <x:f>IF(77&lt;='Сводка'!$B$3,'Сводка'!$B$4+77,"")</x:f>
      </x:c>
      <x:c r="B95" s="19" t="str">
        <x:f>IF($A95="","",(A95-$T$405+1)/1000)</x:f>
      </x:c>
      <x:c r="C95" s="19" t="str">
        <x:f>IF($A95="","",2*(A95-$T$405)/$T$406-1)</x:f>
      </x:c>
      <x:c r="D95" s="3" t="str">
        <x:f>IF($A95="","",$B$4+$B$5*C95^1+$B$6*C95^2+$B$7*C95^3)</x:f>
      </x:c>
      <x:c r="E95" s="3" t="str">
        <x:f>IF($A95="","",SQRT($T$403^2+H95^2))</x:f>
      </x:c>
      <x:c r="F95" s="3" t="str">
        <x:f>IF($A95="","",D95-$T$404*E95)</x:f>
      </x:c>
      <x:c r="G95" s="3" t="str">
        <x:f>IF($A95="","",D95+$T$404*E95)</x:f>
      </x:c>
      <x:c r="H95" s="3" t="str">
        <x:f>IF($A95="","",SQRT(MAX(0,(1)*$S$409*(1)+(1)*$T$409*(C95^1)+(1)*$U$409*(C95^2)+(1)*$V$409*(C95^3)+(C95^1)*$S$410*(1)+(C95^1)*$T$410*(C95^1)+(C95^1)*$U$410*(C95^2)+(C95^1)*$V$410*(C95^3)+(C95^2)*$S$411*(1)+(C95^2)*$T$411*(C95^1)+(C95^2)*$U$411*(C95^2)+(C95^2)*$V$411*(C95^3)+(C95^3)*$S$412*(1)+(C95^3)*$T$412*(C95^1)+(C95^3)*$U$412*(C95^2)+(C95^3)*$V$412*(C95^3))))</x:f>
      </x:c>
      <x:c r="I95" s="3"/>
      <x:c r="J95" s="10" t="n">
        <x:v>45946</x:v>
      </x:c>
      <x:c r="K95" s="8" t="n">
        <x:f>INDEX('Сводка'!$S$3:$S$397,U95)</x:f>
        <x:v>89</x:v>
      </x:c>
      <x:c r="L95" s="8" t="n">
        <x:f>INDEX('Сводка'!$S$3:$S$397,V95)</x:f>
        <x:v>100</x:v>
      </x:c>
      <x:c r="M95" s="8" t="n">
        <x:f>INDEX($K$388:$N$400,W95,1)+INDEX($K$388:$N$400,W95,2)*(2*(J95-$T$405)/(T95-$T$405)-1)^1+INDEX($K$388:$N$400,W95,3)*(2*(J95-$T$405)/(T95-$T$405)-1)^2+INDEX($K$388:$N$400,W95,4)*(2*(J95-$T$405)/(T95-$T$405)-1)^3</x:f>
        <x:v>152.253722343555</x:v>
      </x:c>
      <x:c r="N95" s="8" t="n">
        <x:f>K95-M95</x:f>
        <x:v>-63.25372234355501</x:v>
      </x:c>
      <x:c r="O95" s="8" t="n">
        <x:f>ABS(N95)</x:f>
        <x:v>63.25372234355501</x:v>
      </x:c>
      <x:c r="P95" s="8" t="n">
        <x:f>N95^2</x:f>
        <x:v>4001.0333903155506</x:v>
      </x:c>
      <x:c r="Q95" s="8" t="n">
        <x:f>K95-L95</x:f>
        <x:v>-11</x:v>
      </x:c>
      <x:c r="R95" s="9" t="n">
        <x:f>IF(AND(INDEX('Сводка'!$T$3:$T$397,U95)=0,INDEX('Сводка'!$T$3:$T$397,V95)=0),1,0)</x:f>
        <x:v>1</x:v>
      </x:c>
      <x:c r="S95" s="9" t="n">
        <x:f>IF(AND(R95=1,O95&lt;=$G$13),1,0)</x:f>
        <x:v>0</x:v>
      </x:c>
      <x:c r="T95" s="10" t="n">
        <x:f>EOMONTH(J95-'Сводка'!$B$11,-1)</x:f>
        <x:v>45930</x:v>
      </x:c>
      <x:c r="U95" s="4" t="n">
        <x:f>MATCH(J95,'Сводка'!$R$3:$R$397,0)</x:f>
        <x:v>106</x:v>
      </x:c>
      <x:c r="V95" s="4" t="n">
        <x:f>MATCH(J95-'Сводка'!$B$11,'Сводка'!$R$3:$R$397,0)</x:f>
        <x:v>105</x:v>
      </x:c>
      <x:c r="W95" s="4" t="n">
        <x:f>MATCH(T95,$J$388:$J$400,0)</x:f>
        <x:v>4</x:v>
      </x:c>
      <x:c r="X95" s="3"/>
      <x:c r="Y95" s="3"/>
      <x:c r="Z95" s="3"/>
    </x:row>
    <x:row r="96" ht="15" customHeight="1">
      <x:c r="A96" s="7" t="str">
        <x:f>IF(78&lt;='Сводка'!$B$3,'Сводка'!$B$4+78,"")</x:f>
      </x:c>
      <x:c r="B96" s="19" t="str">
        <x:f>IF($A96="","",(A96-$T$405+1)/1000)</x:f>
      </x:c>
      <x:c r="C96" s="19" t="str">
        <x:f>IF($A96="","",2*(A96-$T$405)/$T$406-1)</x:f>
      </x:c>
      <x:c r="D96" s="3" t="str">
        <x:f>IF($A96="","",$B$4+$B$5*C96^1+$B$6*C96^2+$B$7*C96^3)</x:f>
      </x:c>
      <x:c r="E96" s="3" t="str">
        <x:f>IF($A96="","",SQRT($T$403^2+H96^2))</x:f>
      </x:c>
      <x:c r="F96" s="3" t="str">
        <x:f>IF($A96="","",D96-$T$404*E96)</x:f>
      </x:c>
      <x:c r="G96" s="3" t="str">
        <x:f>IF($A96="","",D96+$T$404*E96)</x:f>
      </x:c>
      <x:c r="H96" s="3" t="str">
        <x:f>IF($A96="","",SQRT(MAX(0,(1)*$S$409*(1)+(1)*$T$409*(C96^1)+(1)*$U$409*(C96^2)+(1)*$V$409*(C96^3)+(C96^1)*$S$410*(1)+(C96^1)*$T$410*(C96^1)+(C96^1)*$U$410*(C96^2)+(C96^1)*$V$410*(C96^3)+(C96^2)*$S$411*(1)+(C96^2)*$T$411*(C96^1)+(C96^2)*$U$411*(C96^2)+(C96^2)*$V$411*(C96^3)+(C96^3)*$S$412*(1)+(C96^3)*$T$412*(C96^1)+(C96^3)*$U$412*(C96^2)+(C96^3)*$V$412*(C96^3))))</x:f>
      </x:c>
      <x:c r="I96" s="3"/>
      <x:c r="J96" s="10" t="n">
        <x:v>45947</x:v>
      </x:c>
      <x:c r="K96" s="8" t="n">
        <x:f>INDEX('Сводка'!$S$3:$S$397,U96)</x:f>
        <x:v>79</x:v>
      </x:c>
      <x:c r="L96" s="8" t="n">
        <x:f>INDEX('Сводка'!$S$3:$S$397,V96)</x:f>
        <x:v>89</x:v>
      </x:c>
      <x:c r="M96" s="8" t="n">
        <x:f>INDEX($K$388:$N$400,W96,1)+INDEX($K$388:$N$400,W96,2)*(2*(J96-$T$405)/(T96-$T$405)-1)^1+INDEX($K$388:$N$400,W96,3)*(2*(J96-$T$405)/(T96-$T$405)-1)^2+INDEX($K$388:$N$400,W96,4)*(2*(J96-$T$405)/(T96-$T$405)-1)^3</x:f>
        <x:v>152.2637484110699</x:v>
      </x:c>
      <x:c r="N96" s="8" t="n">
        <x:f>K96-M96</x:f>
        <x:v>-73.26374841106991</x:v>
      </x:c>
      <x:c r="O96" s="8" t="n">
        <x:f>ABS(N96)</x:f>
        <x:v>73.26374841106991</x:v>
      </x:c>
      <x:c r="P96" s="8" t="n">
        <x:f>N96^2</x:f>
        <x:v>5367.576831240549</x:v>
      </x:c>
      <x:c r="Q96" s="8" t="n">
        <x:f>K96-L96</x:f>
        <x:v>-10</x:v>
      </x:c>
      <x:c r="R96" s="9" t="n">
        <x:f>IF(AND(INDEX('Сводка'!$T$3:$T$397,U96)=0,INDEX('Сводка'!$T$3:$T$397,V96)=0),1,0)</x:f>
        <x:v>1</x:v>
      </x:c>
      <x:c r="S96" s="9" t="n">
        <x:f>IF(AND(R96=1,O96&lt;=$G$13),1,0)</x:f>
        <x:v>0</x:v>
      </x:c>
      <x:c r="T96" s="10" t="n">
        <x:f>EOMONTH(J96-'Сводка'!$B$11,-1)</x:f>
        <x:v>45930</x:v>
      </x:c>
      <x:c r="U96" s="4" t="n">
        <x:f>MATCH(J96,'Сводка'!$R$3:$R$397,0)</x:f>
        <x:v>107</x:v>
      </x:c>
      <x:c r="V96" s="4" t="n">
        <x:f>MATCH(J96-'Сводка'!$B$11,'Сводка'!$R$3:$R$397,0)</x:f>
        <x:v>106</x:v>
      </x:c>
      <x:c r="W96" s="4" t="n">
        <x:f>MATCH(T96,$J$388:$J$400,0)</x:f>
        <x:v>4</x:v>
      </x:c>
      <x:c r="X96" s="3"/>
      <x:c r="Y96" s="3"/>
      <x:c r="Z96" s="3"/>
    </x:row>
    <x:row r="97" ht="15" customHeight="1">
      <x:c r="A97" s="7" t="str">
        <x:f>IF(79&lt;='Сводка'!$B$3,'Сводка'!$B$4+79,"")</x:f>
      </x:c>
      <x:c r="B97" s="19" t="str">
        <x:f>IF($A97="","",(A97-$T$405+1)/1000)</x:f>
      </x:c>
      <x:c r="C97" s="19" t="str">
        <x:f>IF($A97="","",2*(A97-$T$405)/$T$406-1)</x:f>
      </x:c>
      <x:c r="D97" s="3" t="str">
        <x:f>IF($A97="","",$B$4+$B$5*C97^1+$B$6*C97^2+$B$7*C97^3)</x:f>
      </x:c>
      <x:c r="E97" s="3" t="str">
        <x:f>IF($A97="","",SQRT($T$403^2+H97^2))</x:f>
      </x:c>
      <x:c r="F97" s="3" t="str">
        <x:f>IF($A97="","",D97-$T$404*E97)</x:f>
      </x:c>
      <x:c r="G97" s="3" t="str">
        <x:f>IF($A97="","",D97+$T$404*E97)</x:f>
      </x:c>
      <x:c r="H97" s="3" t="str">
        <x:f>IF($A97="","",SQRT(MAX(0,(1)*$S$409*(1)+(1)*$T$409*(C97^1)+(1)*$U$409*(C97^2)+(1)*$V$409*(C97^3)+(C97^1)*$S$410*(1)+(C97^1)*$T$410*(C97^1)+(C97^1)*$U$410*(C97^2)+(C97^1)*$V$410*(C97^3)+(C97^2)*$S$411*(1)+(C97^2)*$T$411*(C97^1)+(C97^2)*$U$411*(C97^2)+(C97^2)*$V$411*(C97^3)+(C97^3)*$S$412*(1)+(C97^3)*$T$412*(C97^1)+(C97^3)*$U$412*(C97^2)+(C97^3)*$V$412*(C97^3))))</x:f>
      </x:c>
      <x:c r="I97" s="3"/>
      <x:c r="J97" s="10" t="n">
        <x:v>45948</x:v>
      </x:c>
      <x:c r="K97" s="8" t="n">
        <x:f>INDEX('Сводка'!$S$3:$S$397,U97)</x:f>
        <x:v>66</x:v>
      </x:c>
      <x:c r="L97" s="8" t="n">
        <x:f>INDEX('Сводка'!$S$3:$S$397,V97)</x:f>
        <x:v>79</x:v>
      </x:c>
      <x:c r="M97" s="8" t="n">
        <x:f>INDEX($K$388:$N$400,W97,1)+INDEX($K$388:$N$400,W97,2)*(2*(J97-$T$405)/(T97-$T$405)-1)^1+INDEX($K$388:$N$400,W97,3)*(2*(J97-$T$405)/(T97-$T$405)-1)^2+INDEX($K$388:$N$400,W97,4)*(2*(J97-$T$405)/(T97-$T$405)-1)^3</x:f>
        <x:v>152.27377269864775</x:v>
      </x:c>
      <x:c r="N97" s="8" t="n">
        <x:f>K97-M97</x:f>
        <x:v>-86.27377269864775</x:v>
      </x:c>
      <x:c r="O97" s="8" t="n">
        <x:f>ABS(N97)</x:f>
        <x:v>86.27377269864775</x:v>
      </x:c>
      <x:c r="P97" s="8" t="n">
        <x:f>N97^2</x:f>
        <x:v>7443.163855657937</x:v>
      </x:c>
      <x:c r="Q97" s="8" t="n">
        <x:f>K97-L97</x:f>
        <x:v>-13</x:v>
      </x:c>
      <x:c r="R97" s="9" t="n">
        <x:f>IF(AND(INDEX('Сводка'!$T$3:$T$397,U97)=0,INDEX('Сводка'!$T$3:$T$397,V97)=0),1,0)</x:f>
        <x:v>1</x:v>
      </x:c>
      <x:c r="S97" s="9" t="n">
        <x:f>IF(AND(R97=1,O97&lt;=$G$13),1,0)</x:f>
        <x:v>0</x:v>
      </x:c>
      <x:c r="T97" s="10" t="n">
        <x:f>EOMONTH(J97-'Сводка'!$B$11,-1)</x:f>
        <x:v>45930</x:v>
      </x:c>
      <x:c r="U97" s="4" t="n">
        <x:f>MATCH(J97,'Сводка'!$R$3:$R$397,0)</x:f>
        <x:v>108</x:v>
      </x:c>
      <x:c r="V97" s="4" t="n">
        <x:f>MATCH(J97-'Сводка'!$B$11,'Сводка'!$R$3:$R$397,0)</x:f>
        <x:v>107</x:v>
      </x:c>
      <x:c r="W97" s="4" t="n">
        <x:f>MATCH(T97,$J$388:$J$400,0)</x:f>
        <x:v>4</x:v>
      </x:c>
      <x:c r="X97" s="3"/>
      <x:c r="Y97" s="3"/>
      <x:c r="Z97" s="3"/>
    </x:row>
    <x:row r="98" ht="15" customHeight="1">
      <x:c r="A98" s="7" t="str">
        <x:f>IF(80&lt;='Сводка'!$B$3,'Сводка'!$B$4+80,"")</x:f>
      </x:c>
      <x:c r="B98" s="19" t="str">
        <x:f>IF($A98="","",(A98-$T$405+1)/1000)</x:f>
      </x:c>
      <x:c r="C98" s="19" t="str">
        <x:f>IF($A98="","",2*(A98-$T$405)/$T$406-1)</x:f>
      </x:c>
      <x:c r="D98" s="3" t="str">
        <x:f>IF($A98="","",$B$4+$B$5*C98^1+$B$6*C98^2+$B$7*C98^3)</x:f>
      </x:c>
      <x:c r="E98" s="3" t="str">
        <x:f>IF($A98="","",SQRT($T$403^2+H98^2))</x:f>
      </x:c>
      <x:c r="F98" s="3" t="str">
        <x:f>IF($A98="","",D98-$T$404*E98)</x:f>
      </x:c>
      <x:c r="G98" s="3" t="str">
        <x:f>IF($A98="","",D98+$T$404*E98)</x:f>
      </x:c>
      <x:c r="H98" s="3" t="str">
        <x:f>IF($A98="","",SQRT(MAX(0,(1)*$S$409*(1)+(1)*$T$409*(C98^1)+(1)*$U$409*(C98^2)+(1)*$V$409*(C98^3)+(C98^1)*$S$410*(1)+(C98^1)*$T$410*(C98^1)+(C98^1)*$U$410*(C98^2)+(C98^1)*$V$410*(C98^3)+(C98^2)*$S$411*(1)+(C98^2)*$T$411*(C98^1)+(C98^2)*$U$411*(C98^2)+(C98^2)*$V$411*(C98^3)+(C98^3)*$S$412*(1)+(C98^3)*$T$412*(C98^1)+(C98^3)*$U$412*(C98^2)+(C98^3)*$V$412*(C98^3))))</x:f>
      </x:c>
      <x:c r="I98" s="3"/>
      <x:c r="J98" s="10" t="n">
        <x:v>45949</x:v>
      </x:c>
      <x:c r="K98" s="8" t="n">
        <x:f>INDEX('Сводка'!$S$3:$S$397,U98)</x:f>
        <x:v>56</x:v>
      </x:c>
      <x:c r="L98" s="8" t="n">
        <x:f>INDEX('Сводка'!$S$3:$S$397,V98)</x:f>
        <x:v>66</x:v>
      </x:c>
      <x:c r="M98" s="8" t="n">
        <x:f>INDEX($K$388:$N$400,W98,1)+INDEX($K$388:$N$400,W98,2)*(2*(J98-$T$405)/(T98-$T$405)-1)^1+INDEX($K$388:$N$400,W98,3)*(2*(J98-$T$405)/(T98-$T$405)-1)^2+INDEX($K$388:$N$400,W98,4)*(2*(J98-$T$405)/(T98-$T$405)-1)^3</x:f>
        <x:v>152.28379520686988</x:v>
      </x:c>
      <x:c r="N98" s="8" t="n">
        <x:f>K98-M98</x:f>
        <x:v>-96.28379520686988</x:v>
      </x:c>
      <x:c r="O98" s="8" t="n">
        <x:f>ABS(N98)</x:f>
        <x:v>96.28379520686988</x:v>
      </x:c>
      <x:c r="P98" s="8" t="n">
        <x:f>N98^2</x:f>
        <x:v>9270.56921943846</x:v>
      </x:c>
      <x:c r="Q98" s="8" t="n">
        <x:f>K98-L98</x:f>
        <x:v>-10</x:v>
      </x:c>
      <x:c r="R98" s="9" t="n">
        <x:f>IF(AND(INDEX('Сводка'!$T$3:$T$397,U98)=0,INDEX('Сводка'!$T$3:$T$397,V98)=0),1,0)</x:f>
        <x:v>1</x:v>
      </x:c>
      <x:c r="S98" s="9" t="n">
        <x:f>IF(AND(R98=1,O98&lt;=$G$13),1,0)</x:f>
        <x:v>0</x:v>
      </x:c>
      <x:c r="T98" s="10" t="n">
        <x:f>EOMONTH(J98-'Сводка'!$B$11,-1)</x:f>
        <x:v>45930</x:v>
      </x:c>
      <x:c r="U98" s="4" t="n">
        <x:f>MATCH(J98,'Сводка'!$R$3:$R$397,0)</x:f>
        <x:v>109</x:v>
      </x:c>
      <x:c r="V98" s="4" t="n">
        <x:f>MATCH(J98-'Сводка'!$B$11,'Сводка'!$R$3:$R$397,0)</x:f>
        <x:v>108</x:v>
      </x:c>
      <x:c r="W98" s="4" t="n">
        <x:f>MATCH(T98,$J$388:$J$400,0)</x:f>
        <x:v>4</x:v>
      </x:c>
      <x:c r="X98" s="3"/>
      <x:c r="Y98" s="3"/>
      <x:c r="Z98" s="3"/>
    </x:row>
    <x:row r="99" ht="15" customHeight="1">
      <x:c r="A99" s="7" t="str">
        <x:f>IF(81&lt;='Сводка'!$B$3,'Сводка'!$B$4+81,"")</x:f>
      </x:c>
      <x:c r="B99" s="19" t="str">
        <x:f>IF($A99="","",(A99-$T$405+1)/1000)</x:f>
      </x:c>
      <x:c r="C99" s="19" t="str">
        <x:f>IF($A99="","",2*(A99-$T$405)/$T$406-1)</x:f>
      </x:c>
      <x:c r="D99" s="3" t="str">
        <x:f>IF($A99="","",$B$4+$B$5*C99^1+$B$6*C99^2+$B$7*C99^3)</x:f>
      </x:c>
      <x:c r="E99" s="3" t="str">
        <x:f>IF($A99="","",SQRT($T$403^2+H99^2))</x:f>
      </x:c>
      <x:c r="F99" s="3" t="str">
        <x:f>IF($A99="","",D99-$T$404*E99)</x:f>
      </x:c>
      <x:c r="G99" s="3" t="str">
        <x:f>IF($A99="","",D99+$T$404*E99)</x:f>
      </x:c>
      <x:c r="H99" s="3" t="str">
        <x:f>IF($A99="","",SQRT(MAX(0,(1)*$S$409*(1)+(1)*$T$409*(C99^1)+(1)*$U$409*(C99^2)+(1)*$V$409*(C99^3)+(C99^1)*$S$410*(1)+(C99^1)*$T$410*(C99^1)+(C99^1)*$U$410*(C99^2)+(C99^1)*$V$410*(C99^3)+(C99^2)*$S$411*(1)+(C99^2)*$T$411*(C99^1)+(C99^2)*$U$411*(C99^2)+(C99^2)*$V$411*(C99^3)+(C99^3)*$S$412*(1)+(C99^3)*$T$412*(C99^1)+(C99^3)*$U$412*(C99^2)+(C99^3)*$V$412*(C99^3))))</x:f>
      </x:c>
      <x:c r="I99" s="3"/>
      <x:c r="J99" s="10" t="n">
        <x:v>45950</x:v>
      </x:c>
      <x:c r="K99" s="8" t="n">
        <x:f>INDEX('Сводка'!$S$3:$S$397,U99)</x:f>
        <x:v>46</x:v>
      </x:c>
      <x:c r="L99" s="8" t="n">
        <x:f>INDEX('Сводка'!$S$3:$S$397,V99)</x:f>
        <x:v>56</x:v>
      </x:c>
      <x:c r="M99" s="8" t="n">
        <x:f>INDEX($K$388:$N$400,W99,1)+INDEX($K$388:$N$400,W99,2)*(2*(J99-$T$405)/(T99-$T$405)-1)^1+INDEX($K$388:$N$400,W99,3)*(2*(J99-$T$405)/(T99-$T$405)-1)^2+INDEX($K$388:$N$400,W99,4)*(2*(J99-$T$405)/(T99-$T$405)-1)^3</x:f>
        <x:v>152.2938159363178</x:v>
      </x:c>
      <x:c r="N99" s="8" t="n">
        <x:f>K99-M99</x:f>
        <x:v>-106.2938159363178</x:v>
      </x:c>
      <x:c r="O99" s="8" t="n">
        <x:f>ABS(N99)</x:f>
        <x:v>106.2938159363178</x:v>
      </x:c>
      <x:c r="P99" s="8" t="n">
        <x:f>N99^2</x:f>
        <x:v>11298.375306303808</x:v>
      </x:c>
      <x:c r="Q99" s="8" t="n">
        <x:f>K99-L99</x:f>
        <x:v>-10</x:v>
      </x:c>
      <x:c r="R99" s="9" t="n">
        <x:f>IF(AND(INDEX('Сводка'!$T$3:$T$397,U99)=0,INDEX('Сводка'!$T$3:$T$397,V99)=0),1,0)</x:f>
        <x:v>1</x:v>
      </x:c>
      <x:c r="S99" s="9" t="n">
        <x:f>IF(AND(R99=1,O99&lt;=$G$13),1,0)</x:f>
        <x:v>0</x:v>
      </x:c>
      <x:c r="T99" s="10" t="n">
        <x:f>EOMONTH(J99-'Сводка'!$B$11,-1)</x:f>
        <x:v>45930</x:v>
      </x:c>
      <x:c r="U99" s="4" t="n">
        <x:f>MATCH(J99,'Сводка'!$R$3:$R$397,0)</x:f>
        <x:v>110</x:v>
      </x:c>
      <x:c r="V99" s="4" t="n">
        <x:f>MATCH(J99-'Сводка'!$B$11,'Сводка'!$R$3:$R$397,0)</x:f>
        <x:v>109</x:v>
      </x:c>
      <x:c r="W99" s="4" t="n">
        <x:f>MATCH(T99,$J$388:$J$400,0)</x:f>
        <x:v>4</x:v>
      </x:c>
      <x:c r="X99" s="3"/>
      <x:c r="Y99" s="3"/>
      <x:c r="Z99" s="3"/>
    </x:row>
    <x:row r="100" ht="15" customHeight="1">
      <x:c r="A100" s="7" t="str">
        <x:f>IF(82&lt;='Сводка'!$B$3,'Сводка'!$B$4+82,"")</x:f>
      </x:c>
      <x:c r="B100" s="19" t="str">
        <x:f>IF($A100="","",(A100-$T$405+1)/1000)</x:f>
      </x:c>
      <x:c r="C100" s="19" t="str">
        <x:f>IF($A100="","",2*(A100-$T$405)/$T$406-1)</x:f>
      </x:c>
      <x:c r="D100" s="3" t="str">
        <x:f>IF($A100="","",$B$4+$B$5*C100^1+$B$6*C100^2+$B$7*C100^3)</x:f>
      </x:c>
      <x:c r="E100" s="3" t="str">
        <x:f>IF($A100="","",SQRT($T$403^2+H100^2))</x:f>
      </x:c>
      <x:c r="F100" s="3" t="str">
        <x:f>IF($A100="","",D100-$T$404*E100)</x:f>
      </x:c>
      <x:c r="G100" s="3" t="str">
        <x:f>IF($A100="","",D100+$T$404*E100)</x:f>
      </x:c>
      <x:c r="H100" s="3" t="str">
        <x:f>IF($A100="","",SQRT(MAX(0,(1)*$S$409*(1)+(1)*$T$409*(C100^1)+(1)*$U$409*(C100^2)+(1)*$V$409*(C100^3)+(C100^1)*$S$410*(1)+(C100^1)*$T$410*(C100^1)+(C100^1)*$U$410*(C100^2)+(C100^1)*$V$410*(C100^3)+(C100^2)*$S$411*(1)+(C100^2)*$T$411*(C100^1)+(C100^2)*$U$411*(C100^2)+(C100^2)*$V$411*(C100^3)+(C100^3)*$S$412*(1)+(C100^3)*$T$412*(C100^1)+(C100^3)*$U$412*(C100^2)+(C100^3)*$V$412*(C100^3))))</x:f>
      </x:c>
      <x:c r="I100" s="3"/>
      <x:c r="J100" s="10" t="n">
        <x:v>45951</x:v>
      </x:c>
      <x:c r="K100" s="8" t="n">
        <x:f>INDEX('Сводка'!$S$3:$S$397,U100)</x:f>
        <x:v>36</x:v>
      </x:c>
      <x:c r="L100" s="8" t="n">
        <x:f>INDEX('Сводка'!$S$3:$S$397,V100)</x:f>
        <x:v>46</x:v>
      </x:c>
      <x:c r="M100" s="8" t="n">
        <x:f>INDEX($K$388:$N$400,W100,1)+INDEX($K$388:$N$400,W100,2)*(2*(J100-$T$405)/(T100-$T$405)-1)^1+INDEX($K$388:$N$400,W100,3)*(2*(J100-$T$405)/(T100-$T$405)-1)^2+INDEX($K$388:$N$400,W100,4)*(2*(J100-$T$405)/(T100-$T$405)-1)^3</x:f>
        <x:v>152.3038348875728</x:v>
      </x:c>
      <x:c r="N100" s="8" t="n">
        <x:f>K100-M100</x:f>
        <x:v>-116.3038348875728</x:v>
      </x:c>
      <x:c r="O100" s="8" t="n">
        <x:f>ABS(N100)</x:f>
        <x:v>116.3038348875728</x:v>
      </x:c>
      <x:c r="P100" s="8" t="n">
        <x:f>N100^2</x:f>
        <x:v>13526.582009555797</x:v>
      </x:c>
      <x:c r="Q100" s="8" t="n">
        <x:f>K100-L100</x:f>
        <x:v>-10</x:v>
      </x:c>
      <x:c r="R100" s="9" t="n">
        <x:f>IF(AND(INDEX('Сводка'!$T$3:$T$397,U100)=0,INDEX('Сводка'!$T$3:$T$397,V100)=0),1,0)</x:f>
        <x:v>1</x:v>
      </x:c>
      <x:c r="S100" s="9" t="n">
        <x:f>IF(AND(R100=1,O100&lt;=$G$13),1,0)</x:f>
        <x:v>0</x:v>
      </x:c>
      <x:c r="T100" s="10" t="n">
        <x:f>EOMONTH(J100-'Сводка'!$B$11,-1)</x:f>
        <x:v>45930</x:v>
      </x:c>
      <x:c r="U100" s="4" t="n">
        <x:f>MATCH(J100,'Сводка'!$R$3:$R$397,0)</x:f>
        <x:v>111</x:v>
      </x:c>
      <x:c r="V100" s="4" t="n">
        <x:f>MATCH(J100-'Сводка'!$B$11,'Сводка'!$R$3:$R$397,0)</x:f>
        <x:v>110</x:v>
      </x:c>
      <x:c r="W100" s="4" t="n">
        <x:f>MATCH(T100,$J$388:$J$400,0)</x:f>
        <x:v>4</x:v>
      </x:c>
      <x:c r="X100" s="3"/>
      <x:c r="Y100" s="3"/>
      <x:c r="Z100" s="3"/>
    </x:row>
    <x:row r="101" ht="15" customHeight="1">
      <x:c r="A101" s="7" t="str">
        <x:f>IF(83&lt;='Сводка'!$B$3,'Сводка'!$B$4+83,"")</x:f>
      </x:c>
      <x:c r="B101" s="19" t="str">
        <x:f>IF($A101="","",(A101-$T$405+1)/1000)</x:f>
      </x:c>
      <x:c r="C101" s="19" t="str">
        <x:f>IF($A101="","",2*(A101-$T$405)/$T$406-1)</x:f>
      </x:c>
      <x:c r="D101" s="3" t="str">
        <x:f>IF($A101="","",$B$4+$B$5*C101^1+$B$6*C101^2+$B$7*C101^3)</x:f>
      </x:c>
      <x:c r="E101" s="3" t="str">
        <x:f>IF($A101="","",SQRT($T$403^2+H101^2))</x:f>
      </x:c>
      <x:c r="F101" s="3" t="str">
        <x:f>IF($A101="","",D101-$T$404*E101)</x:f>
      </x:c>
      <x:c r="G101" s="3" t="str">
        <x:f>IF($A101="","",D101+$T$404*E101)</x:f>
      </x:c>
      <x:c r="H101" s="3" t="str">
        <x:f>IF($A101="","",SQRT(MAX(0,(1)*$S$409*(1)+(1)*$T$409*(C101^1)+(1)*$U$409*(C101^2)+(1)*$V$409*(C101^3)+(C101^1)*$S$410*(1)+(C101^1)*$T$410*(C101^1)+(C101^1)*$U$410*(C101^2)+(C101^1)*$V$410*(C101^3)+(C101^2)*$S$411*(1)+(C101^2)*$T$411*(C101^1)+(C101^2)*$U$411*(C101^2)+(C101^2)*$V$411*(C101^3)+(C101^3)*$S$412*(1)+(C101^3)*$T$412*(C101^1)+(C101^3)*$U$412*(C101^2)+(C101^3)*$V$412*(C101^3))))</x:f>
      </x:c>
      <x:c r="I101" s="3"/>
      <x:c r="J101" s="10" t="n">
        <x:v>45952</x:v>
      </x:c>
      <x:c r="K101" s="8" t="n">
        <x:f>INDEX('Сводка'!$S$3:$S$397,U101)</x:f>
        <x:v>30</x:v>
      </x:c>
      <x:c r="L101" s="8" t="n">
        <x:f>INDEX('Сводка'!$S$3:$S$397,V101)</x:f>
        <x:v>36</x:v>
      </x:c>
      <x:c r="M101" s="8" t="n">
        <x:f>INDEX($K$388:$N$400,W101,1)+INDEX($K$388:$N$400,W101,2)*(2*(J101-$T$405)/(T101-$T$405)-1)^1+INDEX($K$388:$N$400,W101,3)*(2*(J101-$T$405)/(T101-$T$405)-1)^2+INDEX($K$388:$N$400,W101,4)*(2*(J101-$T$405)/(T101-$T$405)-1)^3</x:f>
        <x:v>152.3138520612165</x:v>
      </x:c>
      <x:c r="N101" s="8" t="n">
        <x:f>K101-M101</x:f>
        <x:v>-122.3138520612165</x:v>
      </x:c>
      <x:c r="O101" s="8" t="n">
        <x:f>ABS(N101)</x:f>
        <x:v>122.3138520612165</x:v>
      </x:c>
      <x:c r="P101" s="8" t="n">
        <x:f>N101^2</x:f>
        <x:v>14960.678406053154</x:v>
      </x:c>
      <x:c r="Q101" s="8" t="n">
        <x:f>K101-L101</x:f>
        <x:v>-6</x:v>
      </x:c>
      <x:c r="R101" s="9" t="n">
        <x:f>IF(AND(INDEX('Сводка'!$T$3:$T$397,U101)=0,INDEX('Сводка'!$T$3:$T$397,V101)=0),1,0)</x:f>
        <x:v>1</x:v>
      </x:c>
      <x:c r="S101" s="9" t="n">
        <x:f>IF(AND(R101=1,O101&lt;=$G$13),1,0)</x:f>
        <x:v>0</x:v>
      </x:c>
      <x:c r="T101" s="10" t="n">
        <x:f>EOMONTH(J101-'Сводка'!$B$11,-1)</x:f>
        <x:v>45930</x:v>
      </x:c>
      <x:c r="U101" s="4" t="n">
        <x:f>MATCH(J101,'Сводка'!$R$3:$R$397,0)</x:f>
        <x:v>112</x:v>
      </x:c>
      <x:c r="V101" s="4" t="n">
        <x:f>MATCH(J101-'Сводка'!$B$11,'Сводка'!$R$3:$R$397,0)</x:f>
        <x:v>111</x:v>
      </x:c>
      <x:c r="W101" s="4" t="n">
        <x:f>MATCH(T101,$J$388:$J$400,0)</x:f>
        <x:v>4</x:v>
      </x:c>
      <x:c r="X101" s="3"/>
      <x:c r="Y101" s="3"/>
      <x:c r="Z101" s="3"/>
    </x:row>
    <x:row r="102" ht="15" customHeight="1">
      <x:c r="A102" s="7" t="str">
        <x:f>IF(84&lt;='Сводка'!$B$3,'Сводка'!$B$4+84,"")</x:f>
      </x:c>
      <x:c r="B102" s="19" t="str">
        <x:f>IF($A102="","",(A102-$T$405+1)/1000)</x:f>
      </x:c>
      <x:c r="C102" s="19" t="str">
        <x:f>IF($A102="","",2*(A102-$T$405)/$T$406-1)</x:f>
      </x:c>
      <x:c r="D102" s="3" t="str">
        <x:f>IF($A102="","",$B$4+$B$5*C102^1+$B$6*C102^2+$B$7*C102^3)</x:f>
      </x:c>
      <x:c r="E102" s="3" t="str">
        <x:f>IF($A102="","",SQRT($T$403^2+H102^2))</x:f>
      </x:c>
      <x:c r="F102" s="3" t="str">
        <x:f>IF($A102="","",D102-$T$404*E102)</x:f>
      </x:c>
      <x:c r="G102" s="3" t="str">
        <x:f>IF($A102="","",D102+$T$404*E102)</x:f>
      </x:c>
      <x:c r="H102" s="3" t="str">
        <x:f>IF($A102="","",SQRT(MAX(0,(1)*$S$409*(1)+(1)*$T$409*(C102^1)+(1)*$U$409*(C102^2)+(1)*$V$409*(C102^3)+(C102^1)*$S$410*(1)+(C102^1)*$T$410*(C102^1)+(C102^1)*$U$410*(C102^2)+(C102^1)*$V$410*(C102^3)+(C102^2)*$S$411*(1)+(C102^2)*$T$411*(C102^1)+(C102^2)*$U$411*(C102^2)+(C102^2)*$V$411*(C102^3)+(C102^3)*$S$412*(1)+(C102^3)*$T$412*(C102^1)+(C102^3)*$U$412*(C102^2)+(C102^3)*$V$412*(C102^3))))</x:f>
      </x:c>
      <x:c r="I102" s="3"/>
      <x:c r="J102" s="10" t="n">
        <x:v>45953</x:v>
      </x:c>
      <x:c r="K102" s="8" t="n">
        <x:f>INDEX('Сводка'!$S$3:$S$397,U102)</x:f>
        <x:v>19</x:v>
      </x:c>
      <x:c r="L102" s="8" t="n">
        <x:f>INDEX('Сводка'!$S$3:$S$397,V102)</x:f>
        <x:v>30</x:v>
      </x:c>
      <x:c r="M102" s="8" t="n">
        <x:f>INDEX($K$388:$N$400,W102,1)+INDEX($K$388:$N$400,W102,2)*(2*(J102-$T$405)/(T102-$T$405)-1)^1+INDEX($K$388:$N$400,W102,3)*(2*(J102-$T$405)/(T102-$T$405)-1)^2+INDEX($K$388:$N$400,W102,4)*(2*(J102-$T$405)/(T102-$T$405)-1)^3</x:f>
        <x:v>152.32386745783018</x:v>
      </x:c>
      <x:c r="N102" s="8" t="n">
        <x:f>K102-M102</x:f>
        <x:v>-133.32386745783018</x:v>
      </x:c>
      <x:c r="O102" s="8" t="n">
        <x:f>ABS(N102)</x:f>
        <x:v>133.32386745783018</x:v>
      </x:c>
      <x:c r="P102" s="8" t="n">
        <x:f>N102^2</x:f>
        <x:v>17775.253633913067</x:v>
      </x:c>
      <x:c r="Q102" s="8" t="n">
        <x:f>K102-L102</x:f>
        <x:v>-11</x:v>
      </x:c>
      <x:c r="R102" s="9" t="n">
        <x:f>IF(AND(INDEX('Сводка'!$T$3:$T$397,U102)=0,INDEX('Сводка'!$T$3:$T$397,V102)=0),1,0)</x:f>
        <x:v>1</x:v>
      </x:c>
      <x:c r="S102" s="9" t="n">
        <x:f>IF(AND(R102=1,O102&lt;=$G$13),1,0)</x:f>
        <x:v>0</x:v>
      </x:c>
      <x:c r="T102" s="10" t="n">
        <x:f>EOMONTH(J102-'Сводка'!$B$11,-1)</x:f>
        <x:v>45930</x:v>
      </x:c>
      <x:c r="U102" s="4" t="n">
        <x:f>MATCH(J102,'Сводка'!$R$3:$R$397,0)</x:f>
        <x:v>113</x:v>
      </x:c>
      <x:c r="V102" s="4" t="n">
        <x:f>MATCH(J102-'Сводка'!$B$11,'Сводка'!$R$3:$R$397,0)</x:f>
        <x:v>112</x:v>
      </x:c>
      <x:c r="W102" s="4" t="n">
        <x:f>MATCH(T102,$J$388:$J$400,0)</x:f>
        <x:v>4</x:v>
      </x:c>
      <x:c r="X102" s="3"/>
      <x:c r="Y102" s="3"/>
      <x:c r="Z102" s="3"/>
    </x:row>
    <x:row r="103" ht="15" customHeight="1">
      <x:c r="A103" s="7" t="str">
        <x:f>IF(85&lt;='Сводка'!$B$3,'Сводка'!$B$4+85,"")</x:f>
      </x:c>
      <x:c r="B103" s="19" t="str">
        <x:f>IF($A103="","",(A103-$T$405+1)/1000)</x:f>
      </x:c>
      <x:c r="C103" s="19" t="str">
        <x:f>IF($A103="","",2*(A103-$T$405)/$T$406-1)</x:f>
      </x:c>
      <x:c r="D103" s="3" t="str">
        <x:f>IF($A103="","",$B$4+$B$5*C103^1+$B$6*C103^2+$B$7*C103^3)</x:f>
      </x:c>
      <x:c r="E103" s="3" t="str">
        <x:f>IF($A103="","",SQRT($T$403^2+H103^2))</x:f>
      </x:c>
      <x:c r="F103" s="3" t="str">
        <x:f>IF($A103="","",D103-$T$404*E103)</x:f>
      </x:c>
      <x:c r="G103" s="3" t="str">
        <x:f>IF($A103="","",D103+$T$404*E103)</x:f>
      </x:c>
      <x:c r="H103" s="3" t="str">
        <x:f>IF($A103="","",SQRT(MAX(0,(1)*$S$409*(1)+(1)*$T$409*(C103^1)+(1)*$U$409*(C103^2)+(1)*$V$409*(C103^3)+(C103^1)*$S$410*(1)+(C103^1)*$T$410*(C103^1)+(C103^1)*$U$410*(C103^2)+(C103^1)*$V$410*(C103^3)+(C103^2)*$S$411*(1)+(C103^2)*$T$411*(C103^1)+(C103^2)*$U$411*(C103^2)+(C103^2)*$V$411*(C103^3)+(C103^3)*$S$412*(1)+(C103^3)*$T$412*(C103^1)+(C103^3)*$U$412*(C103^2)+(C103^3)*$V$412*(C103^3))))</x:f>
      </x:c>
      <x:c r="I103" s="3"/>
      <x:c r="J103" s="10" t="n">
        <x:v>45954</x:v>
      </x:c>
      <x:c r="K103" s="8" t="n">
        <x:f>INDEX('Сводка'!$S$3:$S$397,U103)</x:f>
        <x:v>12</x:v>
      </x:c>
      <x:c r="L103" s="8" t="n">
        <x:f>INDEX('Сводка'!$S$3:$S$397,V103)</x:f>
        <x:v>19</x:v>
      </x:c>
      <x:c r="M103" s="8" t="n">
        <x:f>INDEX($K$388:$N$400,W103,1)+INDEX($K$388:$N$400,W103,2)*(2*(J103-$T$405)/(T103-$T$405)-1)^1+INDEX($K$388:$N$400,W103,3)*(2*(J103-$T$405)/(T103-$T$405)-1)^2+INDEX($K$388:$N$400,W103,4)*(2*(J103-$T$405)/(T103-$T$405)-1)^3</x:f>
        <x:v>152.3338810779953</x:v>
      </x:c>
      <x:c r="N103" s="8" t="n">
        <x:f>K103-M103</x:f>
        <x:v>-140.3338810779953</x:v>
      </x:c>
      <x:c r="O103" s="8" t="n">
        <x:f>ABS(N103)</x:f>
        <x:v>140.3338810779953</x:v>
      </x:c>
      <x:c r="P103" s="8" t="n">
        <x:f>N103^2</x:f>
        <x:v>19693.59817841293</x:v>
      </x:c>
      <x:c r="Q103" s="8" t="n">
        <x:f>K103-L103</x:f>
        <x:v>-7</x:v>
      </x:c>
      <x:c r="R103" s="9" t="n">
        <x:f>IF(AND(INDEX('Сводка'!$T$3:$T$397,U103)=0,INDEX('Сводка'!$T$3:$T$397,V103)=0),1,0)</x:f>
        <x:v>1</x:v>
      </x:c>
      <x:c r="S103" s="9" t="n">
        <x:f>IF(AND(R103=1,O103&lt;=$G$13),1,0)</x:f>
        <x:v>0</x:v>
      </x:c>
      <x:c r="T103" s="10" t="n">
        <x:f>EOMONTH(J103-'Сводка'!$B$11,-1)</x:f>
        <x:v>45930</x:v>
      </x:c>
      <x:c r="U103" s="4" t="n">
        <x:f>MATCH(J103,'Сводка'!$R$3:$R$397,0)</x:f>
        <x:v>114</x:v>
      </x:c>
      <x:c r="V103" s="4" t="n">
        <x:f>MATCH(J103-'Сводка'!$B$11,'Сводка'!$R$3:$R$397,0)</x:f>
        <x:v>113</x:v>
      </x:c>
      <x:c r="W103" s="4" t="n">
        <x:f>MATCH(T103,$J$388:$J$400,0)</x:f>
        <x:v>4</x:v>
      </x:c>
      <x:c r="X103" s="3"/>
      <x:c r="Y103" s="3"/>
      <x:c r="Z103" s="3"/>
    </x:row>
    <x:row r="104" ht="15" customHeight="1">
      <x:c r="A104" s="7" t="str">
        <x:f>IF(86&lt;='Сводка'!$B$3,'Сводка'!$B$4+86,"")</x:f>
      </x:c>
      <x:c r="B104" s="19" t="str">
        <x:f>IF($A104="","",(A104-$T$405+1)/1000)</x:f>
      </x:c>
      <x:c r="C104" s="19" t="str">
        <x:f>IF($A104="","",2*(A104-$T$405)/$T$406-1)</x:f>
      </x:c>
      <x:c r="D104" s="3" t="str">
        <x:f>IF($A104="","",$B$4+$B$5*C104^1+$B$6*C104^2+$B$7*C104^3)</x:f>
      </x:c>
      <x:c r="E104" s="3" t="str">
        <x:f>IF($A104="","",SQRT($T$403^2+H104^2))</x:f>
      </x:c>
      <x:c r="F104" s="3" t="str">
        <x:f>IF($A104="","",D104-$T$404*E104)</x:f>
      </x:c>
      <x:c r="G104" s="3" t="str">
        <x:f>IF($A104="","",D104+$T$404*E104)</x:f>
      </x:c>
      <x:c r="H104" s="3" t="str">
        <x:f>IF($A104="","",SQRT(MAX(0,(1)*$S$409*(1)+(1)*$T$409*(C104^1)+(1)*$U$409*(C104^2)+(1)*$V$409*(C104^3)+(C104^1)*$S$410*(1)+(C104^1)*$T$410*(C104^1)+(C104^1)*$U$410*(C104^2)+(C104^1)*$V$410*(C104^3)+(C104^2)*$S$411*(1)+(C104^2)*$T$411*(C104^1)+(C104^2)*$U$411*(C104^2)+(C104^2)*$V$411*(C104^3)+(C104^3)*$S$412*(1)+(C104^3)*$T$412*(C104^1)+(C104^3)*$U$412*(C104^2)+(C104^3)*$V$412*(C104^3))))</x:f>
      </x:c>
      <x:c r="I104" s="3"/>
      <x:c r="J104" s="10" t="n">
        <x:v>45955</x:v>
      </x:c>
      <x:c r="K104" s="8" t="n">
        <x:f>INDEX('Сводка'!$S$3:$S$397,U104)</x:f>
        <x:v>5</x:v>
      </x:c>
      <x:c r="L104" s="8" t="n">
        <x:f>INDEX('Сводка'!$S$3:$S$397,V104)</x:f>
        <x:v>12</x:v>
      </x:c>
      <x:c r="M104" s="8" t="n">
        <x:f>INDEX($K$388:$N$400,W104,1)+INDEX($K$388:$N$400,W104,2)*(2*(J104-$T$405)/(T104-$T$405)-1)^1+INDEX($K$388:$N$400,W104,3)*(2*(J104-$T$405)/(T104-$T$405)-1)^2+INDEX($K$388:$N$400,W104,4)*(2*(J104-$T$405)/(T104-$T$405)-1)^3</x:f>
        <x:v>152.34389292229326</x:v>
      </x:c>
      <x:c r="N104" s="8" t="n">
        <x:f>K104-M104</x:f>
        <x:v>-147.34389292229326</x:v>
      </x:c>
      <x:c r="O104" s="8" t="n">
        <x:f>ABS(N104)</x:f>
        <x:v>147.34389292229326</x:v>
      </x:c>
      <x:c r="P104" s="8" t="n">
        <x:f>N104^2</x:f>
        <x:v>21710.222781496224</x:v>
      </x:c>
      <x:c r="Q104" s="8" t="n">
        <x:f>K104-L104</x:f>
        <x:v>-7</x:v>
      </x:c>
      <x:c r="R104" s="9" t="n">
        <x:f>IF(AND(INDEX('Сводка'!$T$3:$T$397,U104)=0,INDEX('Сводка'!$T$3:$T$397,V104)=0),1,0)</x:f>
        <x:v>1</x:v>
      </x:c>
      <x:c r="S104" s="9" t="n">
        <x:f>IF(AND(R104=1,O104&lt;=$G$13),1,0)</x:f>
        <x:v>0</x:v>
      </x:c>
      <x:c r="T104" s="10" t="n">
        <x:f>EOMONTH(J104-'Сводка'!$B$11,-1)</x:f>
        <x:v>45930</x:v>
      </x:c>
      <x:c r="U104" s="4" t="n">
        <x:f>MATCH(J104,'Сводка'!$R$3:$R$397,0)</x:f>
        <x:v>115</x:v>
      </x:c>
      <x:c r="V104" s="4" t="n">
        <x:f>MATCH(J104-'Сводка'!$B$11,'Сводка'!$R$3:$R$397,0)</x:f>
        <x:v>114</x:v>
      </x:c>
      <x:c r="W104" s="4" t="n">
        <x:f>MATCH(T104,$J$388:$J$400,0)</x:f>
        <x:v>4</x:v>
      </x:c>
      <x:c r="X104" s="3"/>
      <x:c r="Y104" s="3"/>
      <x:c r="Z104" s="3"/>
    </x:row>
    <x:row r="105" ht="15" customHeight="1">
      <x:c r="A105" s="7" t="str">
        <x:f>IF(87&lt;='Сводка'!$B$3,'Сводка'!$B$4+87,"")</x:f>
      </x:c>
      <x:c r="B105" s="19" t="str">
        <x:f>IF($A105="","",(A105-$T$405+1)/1000)</x:f>
      </x:c>
      <x:c r="C105" s="19" t="str">
        <x:f>IF($A105="","",2*(A105-$T$405)/$T$406-1)</x:f>
      </x:c>
      <x:c r="D105" s="3" t="str">
        <x:f>IF($A105="","",$B$4+$B$5*C105^1+$B$6*C105^2+$B$7*C105^3)</x:f>
      </x:c>
      <x:c r="E105" s="3" t="str">
        <x:f>IF($A105="","",SQRT($T$403^2+H105^2))</x:f>
      </x:c>
      <x:c r="F105" s="3" t="str">
        <x:f>IF($A105="","",D105-$T$404*E105)</x:f>
      </x:c>
      <x:c r="G105" s="3" t="str">
        <x:f>IF($A105="","",D105+$T$404*E105)</x:f>
      </x:c>
      <x:c r="H105" s="3" t="str">
        <x:f>IF($A105="","",SQRT(MAX(0,(1)*$S$409*(1)+(1)*$T$409*(C105^1)+(1)*$U$409*(C105^2)+(1)*$V$409*(C105^3)+(C105^1)*$S$410*(1)+(C105^1)*$T$410*(C105^1)+(C105^1)*$U$410*(C105^2)+(C105^1)*$V$410*(C105^3)+(C105^2)*$S$411*(1)+(C105^2)*$T$411*(C105^1)+(C105^2)*$U$411*(C105^2)+(C105^2)*$V$411*(C105^3)+(C105^3)*$S$412*(1)+(C105^3)*$T$412*(C105^1)+(C105^3)*$U$412*(C105^2)+(C105^3)*$V$412*(C105^3))))</x:f>
      </x:c>
      <x:c r="I105" s="3"/>
      <x:c r="J105" s="10" t="n">
        <x:v>45956</x:v>
      </x:c>
      <x:c r="K105" s="8" t="n">
        <x:f>INDEX('Сводка'!$S$3:$S$397,U105)</x:f>
        <x:v>-1</x:v>
      </x:c>
      <x:c r="L105" s="8" t="n">
        <x:f>INDEX('Сводка'!$S$3:$S$397,V105)</x:f>
        <x:v>5</x:v>
      </x:c>
      <x:c r="M105" s="8" t="n">
        <x:f>INDEX($K$388:$N$400,W105,1)+INDEX($K$388:$N$400,W105,2)*(2*(J105-$T$405)/(T105-$T$405)-1)^1+INDEX($K$388:$N$400,W105,3)*(2*(J105-$T$405)/(T105-$T$405)-1)^2+INDEX($K$388:$N$400,W105,4)*(2*(J105-$T$405)/(T105-$T$405)-1)^3</x:f>
        <x:v>152.35390299130552</x:v>
      </x:c>
      <x:c r="N105" s="8" t="n">
        <x:f>K105-M105</x:f>
        <x:v>-153.35390299130552</x:v>
      </x:c>
      <x:c r="O105" s="8" t="n">
        <x:f>ABS(N105)</x:f>
        <x:v>153.35390299130552</x:v>
      </x:c>
      <x:c r="P105" s="8" t="n">
        <x:f>N105^2</x:f>
        <x:v>23517.419562666742</x:v>
      </x:c>
      <x:c r="Q105" s="8" t="n">
        <x:f>K105-L105</x:f>
        <x:v>-6</x:v>
      </x:c>
      <x:c r="R105" s="9" t="n">
        <x:f>IF(AND(INDEX('Сводка'!$T$3:$T$397,U105)=0,INDEX('Сводка'!$T$3:$T$397,V105)=0),1,0)</x:f>
        <x:v>1</x:v>
      </x:c>
      <x:c r="S105" s="9" t="n">
        <x:f>IF(AND(R105=1,O105&lt;=$G$13),1,0)</x:f>
        <x:v>0</x:v>
      </x:c>
      <x:c r="T105" s="10" t="n">
        <x:f>EOMONTH(J105-'Сводка'!$B$11,-1)</x:f>
        <x:v>45930</x:v>
      </x:c>
      <x:c r="U105" s="4" t="n">
        <x:f>MATCH(J105,'Сводка'!$R$3:$R$397,0)</x:f>
        <x:v>116</x:v>
      </x:c>
      <x:c r="V105" s="4" t="n">
        <x:f>MATCH(J105-'Сводка'!$B$11,'Сводка'!$R$3:$R$397,0)</x:f>
        <x:v>115</x:v>
      </x:c>
      <x:c r="W105" s="4" t="n">
        <x:f>MATCH(T105,$J$388:$J$400,0)</x:f>
        <x:v>4</x:v>
      </x:c>
      <x:c r="X105" s="3"/>
      <x:c r="Y105" s="3"/>
      <x:c r="Z105" s="3"/>
    </x:row>
    <x:row r="106" ht="15" customHeight="1">
      <x:c r="A106" s="7" t="str">
        <x:f>IF(88&lt;='Сводка'!$B$3,'Сводка'!$B$4+88,"")</x:f>
      </x:c>
      <x:c r="B106" s="19" t="str">
        <x:f>IF($A106="","",(A106-$T$405+1)/1000)</x:f>
      </x:c>
      <x:c r="C106" s="19" t="str">
        <x:f>IF($A106="","",2*(A106-$T$405)/$T$406-1)</x:f>
      </x:c>
      <x:c r="D106" s="3" t="str">
        <x:f>IF($A106="","",$B$4+$B$5*C106^1+$B$6*C106^2+$B$7*C106^3)</x:f>
      </x:c>
      <x:c r="E106" s="3" t="str">
        <x:f>IF($A106="","",SQRT($T$403^2+H106^2))</x:f>
      </x:c>
      <x:c r="F106" s="3" t="str">
        <x:f>IF($A106="","",D106-$T$404*E106)</x:f>
      </x:c>
      <x:c r="G106" s="3" t="str">
        <x:f>IF($A106="","",D106+$T$404*E106)</x:f>
      </x:c>
      <x:c r="H106" s="3" t="str">
        <x:f>IF($A106="","",SQRT(MAX(0,(1)*$S$409*(1)+(1)*$T$409*(C106^1)+(1)*$U$409*(C106^2)+(1)*$V$409*(C106^3)+(C106^1)*$S$410*(1)+(C106^1)*$T$410*(C106^1)+(C106^1)*$U$410*(C106^2)+(C106^1)*$V$410*(C106^3)+(C106^2)*$S$411*(1)+(C106^2)*$T$411*(C106^1)+(C106^2)*$U$411*(C106^2)+(C106^2)*$V$411*(C106^3)+(C106^3)*$S$412*(1)+(C106^3)*$T$412*(C106^1)+(C106^3)*$U$412*(C106^2)+(C106^3)*$V$412*(C106^3))))</x:f>
      </x:c>
      <x:c r="I106" s="3"/>
      <x:c r="J106" s="10" t="n">
        <x:v>45957</x:v>
      </x:c>
      <x:c r="K106" s="8" t="n">
        <x:f>INDEX('Сводка'!$S$3:$S$397,U106)</x:f>
        <x:v>-11</x:v>
      </x:c>
      <x:c r="L106" s="8" t="n">
        <x:f>INDEX('Сводка'!$S$3:$S$397,V106)</x:f>
        <x:v>-1</x:v>
      </x:c>
      <x:c r="M106" s="8" t="n">
        <x:f>INDEX($K$388:$N$400,W106,1)+INDEX($K$388:$N$400,W106,2)*(2*(J106-$T$405)/(T106-$T$405)-1)^1+INDEX($K$388:$N$400,W106,3)*(2*(J106-$T$405)/(T106-$T$405)-1)^2+INDEX($K$388:$N$400,W106,4)*(2*(J106-$T$405)/(T106-$T$405)-1)^3</x:f>
        <x:v>152.36391128561348</x:v>
      </x:c>
      <x:c r="N106" s="8" t="n">
        <x:f>K106-M106</x:f>
        <x:v>-163.36391128561348</x:v>
      </x:c>
      <x:c r="O106" s="8" t="n">
        <x:f>ABS(N106)</x:f>
        <x:v>163.36391128561348</x:v>
      </x:c>
      <x:c r="P106" s="8" t="n">
        <x:f>N106^2</x:f>
        <x:v>26687.76751053379</x:v>
      </x:c>
      <x:c r="Q106" s="8" t="n">
        <x:f>K106-L106</x:f>
        <x:v>-10</x:v>
      </x:c>
      <x:c r="R106" s="9" t="n">
        <x:f>IF(AND(INDEX('Сводка'!$T$3:$T$397,U106)=0,INDEX('Сводка'!$T$3:$T$397,V106)=0),1,0)</x:f>
        <x:v>1</x:v>
      </x:c>
      <x:c r="S106" s="9" t="n">
        <x:f>IF(AND(R106=1,O106&lt;=$G$13),1,0)</x:f>
        <x:v>0</x:v>
      </x:c>
      <x:c r="T106" s="10" t="n">
        <x:f>EOMONTH(J106-'Сводка'!$B$11,-1)</x:f>
        <x:v>45930</x:v>
      </x:c>
      <x:c r="U106" s="4" t="n">
        <x:f>MATCH(J106,'Сводка'!$R$3:$R$397,0)</x:f>
        <x:v>117</x:v>
      </x:c>
      <x:c r="V106" s="4" t="n">
        <x:f>MATCH(J106-'Сводка'!$B$11,'Сводка'!$R$3:$R$397,0)</x:f>
        <x:v>116</x:v>
      </x:c>
      <x:c r="W106" s="4" t="n">
        <x:f>MATCH(T106,$J$388:$J$400,0)</x:f>
        <x:v>4</x:v>
      </x:c>
      <x:c r="X106" s="3"/>
      <x:c r="Y106" s="3"/>
      <x:c r="Z106" s="3"/>
    </x:row>
    <x:row r="107" ht="15" customHeight="1">
      <x:c r="A107" s="7" t="str">
        <x:f>IF(89&lt;='Сводка'!$B$3,'Сводка'!$B$4+89,"")</x:f>
      </x:c>
      <x:c r="B107" s="19" t="str">
        <x:f>IF($A107="","",(A107-$T$405+1)/1000)</x:f>
      </x:c>
      <x:c r="C107" s="19" t="str">
        <x:f>IF($A107="","",2*(A107-$T$405)/$T$406-1)</x:f>
      </x:c>
      <x:c r="D107" s="3" t="str">
        <x:f>IF($A107="","",$B$4+$B$5*C107^1+$B$6*C107^2+$B$7*C107^3)</x:f>
      </x:c>
      <x:c r="E107" s="3" t="str">
        <x:f>IF($A107="","",SQRT($T$403^2+H107^2))</x:f>
      </x:c>
      <x:c r="F107" s="3" t="str">
        <x:f>IF($A107="","",D107-$T$404*E107)</x:f>
      </x:c>
      <x:c r="G107" s="3" t="str">
        <x:f>IF($A107="","",D107+$T$404*E107)</x:f>
      </x:c>
      <x:c r="H107" s="3" t="str">
        <x:f>IF($A107="","",SQRT(MAX(0,(1)*$S$409*(1)+(1)*$T$409*(C107^1)+(1)*$U$409*(C107^2)+(1)*$V$409*(C107^3)+(C107^1)*$S$410*(1)+(C107^1)*$T$410*(C107^1)+(C107^1)*$U$410*(C107^2)+(C107^1)*$V$410*(C107^3)+(C107^2)*$S$411*(1)+(C107^2)*$T$411*(C107^1)+(C107^2)*$U$411*(C107^2)+(C107^2)*$V$411*(C107^3)+(C107^3)*$S$412*(1)+(C107^3)*$T$412*(C107^1)+(C107^3)*$U$412*(C107^2)+(C107^3)*$V$412*(C107^3))))</x:f>
      </x:c>
      <x:c r="I107" s="3"/>
      <x:c r="J107" s="10" t="n">
        <x:v>45958</x:v>
      </x:c>
      <x:c r="K107" s="8" t="n">
        <x:f>INDEX('Сводка'!$S$3:$S$397,U107)</x:f>
        <x:v>-20</x:v>
      </x:c>
      <x:c r="L107" s="8" t="n">
        <x:f>INDEX('Сводка'!$S$3:$S$397,V107)</x:f>
        <x:v>-11</x:v>
      </x:c>
      <x:c r="M107" s="8" t="n">
        <x:f>INDEX($K$388:$N$400,W107,1)+INDEX($K$388:$N$400,W107,2)*(2*(J107-$T$405)/(T107-$T$405)-1)^1+INDEX($K$388:$N$400,W107,3)*(2*(J107-$T$405)/(T107-$T$405)-1)^2+INDEX($K$388:$N$400,W107,4)*(2*(J107-$T$405)/(T107-$T$405)-1)^3</x:f>
        <x:v>152.37391780579853</x:v>
      </x:c>
      <x:c r="N107" s="8" t="n">
        <x:f>K107-M107</x:f>
        <x:v>-172.37391780579853</x:v>
      </x:c>
      <x:c r="O107" s="8" t="n">
        <x:f>ABS(N107)</x:f>
        <x:v>172.37391780579853</x:v>
      </x:c>
      <x:c r="P107" s="8" t="n">
        <x:f>N107^2</x:f>
        <x:v>29712.767539720186</x:v>
      </x:c>
      <x:c r="Q107" s="8" t="n">
        <x:f>K107-L107</x:f>
        <x:v>-9</x:v>
      </x:c>
      <x:c r="R107" s="9" t="n">
        <x:f>IF(AND(INDEX('Сводка'!$T$3:$T$397,U107)=0,INDEX('Сводка'!$T$3:$T$397,V107)=0),1,0)</x:f>
        <x:v>1</x:v>
      </x:c>
      <x:c r="S107" s="9" t="n">
        <x:f>IF(AND(R107=1,O107&lt;=$G$13),1,0)</x:f>
        <x:v>0</x:v>
      </x:c>
      <x:c r="T107" s="10" t="n">
        <x:f>EOMONTH(J107-'Сводка'!$B$11,-1)</x:f>
        <x:v>45930</x:v>
      </x:c>
      <x:c r="U107" s="4" t="n">
        <x:f>MATCH(J107,'Сводка'!$R$3:$R$397,0)</x:f>
        <x:v>118</x:v>
      </x:c>
      <x:c r="V107" s="4" t="n">
        <x:f>MATCH(J107-'Сводка'!$B$11,'Сводка'!$R$3:$R$397,0)</x:f>
        <x:v>117</x:v>
      </x:c>
      <x:c r="W107" s="4" t="n">
        <x:f>MATCH(T107,$J$388:$J$400,0)</x:f>
        <x:v>4</x:v>
      </x:c>
      <x:c r="X107" s="3"/>
      <x:c r="Y107" s="3"/>
      <x:c r="Z107" s="3"/>
    </x:row>
    <x:row r="108" ht="15" customHeight="1">
      <x:c r="A108" s="7" t="str">
        <x:f>IF(90&lt;='Сводка'!$B$3,'Сводка'!$B$4+90,"")</x:f>
      </x:c>
      <x:c r="B108" s="19" t="str">
        <x:f>IF($A108="","",(A108-$T$405+1)/1000)</x:f>
      </x:c>
      <x:c r="C108" s="19" t="str">
        <x:f>IF($A108="","",2*(A108-$T$405)/$T$406-1)</x:f>
      </x:c>
      <x:c r="D108" s="3" t="str">
        <x:f>IF($A108="","",$B$4+$B$5*C108^1+$B$6*C108^2+$B$7*C108^3)</x:f>
      </x:c>
      <x:c r="E108" s="3" t="str">
        <x:f>IF($A108="","",SQRT($T$403^2+H108^2))</x:f>
      </x:c>
      <x:c r="F108" s="3" t="str">
        <x:f>IF($A108="","",D108-$T$404*E108)</x:f>
      </x:c>
      <x:c r="G108" s="3" t="str">
        <x:f>IF($A108="","",D108+$T$404*E108)</x:f>
      </x:c>
      <x:c r="H108" s="3" t="str">
        <x:f>IF($A108="","",SQRT(MAX(0,(1)*$S$409*(1)+(1)*$T$409*(C108^1)+(1)*$U$409*(C108^2)+(1)*$V$409*(C108^3)+(C108^1)*$S$410*(1)+(C108^1)*$T$410*(C108^1)+(C108^1)*$U$410*(C108^2)+(C108^1)*$V$410*(C108^3)+(C108^2)*$S$411*(1)+(C108^2)*$T$411*(C108^1)+(C108^2)*$U$411*(C108^2)+(C108^2)*$V$411*(C108^3)+(C108^3)*$S$412*(1)+(C108^3)*$T$412*(C108^1)+(C108^3)*$U$412*(C108^2)+(C108^3)*$V$412*(C108^3))))</x:f>
      </x:c>
      <x:c r="I108" s="3"/>
      <x:c r="J108" s="10" t="n">
        <x:v>45959</x:v>
      </x:c>
      <x:c r="K108" s="8" t="n">
        <x:f>INDEX('Сводка'!$S$3:$S$397,U108)</x:f>
        <x:v>-27</x:v>
      </x:c>
      <x:c r="L108" s="8" t="n">
        <x:f>INDEX('Сводка'!$S$3:$S$397,V108)</x:f>
        <x:v>-20</x:v>
      </x:c>
      <x:c r="M108" s="8" t="n">
        <x:f>INDEX($K$388:$N$400,W108,1)+INDEX($K$388:$N$400,W108,2)*(2*(J108-$T$405)/(T108-$T$405)-1)^1+INDEX($K$388:$N$400,W108,3)*(2*(J108-$T$405)/(T108-$T$405)-1)^2+INDEX($K$388:$N$400,W108,4)*(2*(J108-$T$405)/(T108-$T$405)-1)^3</x:f>
        <x:v>152.3839225524421</x:v>
      </x:c>
      <x:c r="N108" s="8" t="n">
        <x:f>K108-M108</x:f>
        <x:v>-179.3839225524421</x:v>
      </x:c>
      <x:c r="O108" s="8" t="n">
        <x:f>ABS(N108)</x:f>
        <x:v>179.3839225524421</x:v>
      </x:c>
      <x:c r="P108" s="8" t="n">
        <x:f>N108^2</x:f>
        <x:v>32178.591670300546</x:v>
      </x:c>
      <x:c r="Q108" s="8" t="n">
        <x:f>K108-L108</x:f>
        <x:v>-7</x:v>
      </x:c>
      <x:c r="R108" s="9" t="n">
        <x:f>IF(AND(INDEX('Сводка'!$T$3:$T$397,U108)=0,INDEX('Сводка'!$T$3:$T$397,V108)=0),1,0)</x:f>
        <x:v>1</x:v>
      </x:c>
      <x:c r="S108" s="9" t="n">
        <x:f>IF(AND(R108=1,O108&lt;=$G$13),1,0)</x:f>
        <x:v>0</x:v>
      </x:c>
      <x:c r="T108" s="10" t="n">
        <x:f>EOMONTH(J108-'Сводка'!$B$11,-1)</x:f>
        <x:v>45930</x:v>
      </x:c>
      <x:c r="U108" s="4" t="n">
        <x:f>MATCH(J108,'Сводка'!$R$3:$R$397,0)</x:f>
        <x:v>119</x:v>
      </x:c>
      <x:c r="V108" s="4" t="n">
        <x:f>MATCH(J108-'Сводка'!$B$11,'Сводка'!$R$3:$R$397,0)</x:f>
        <x:v>118</x:v>
      </x:c>
      <x:c r="W108" s="4" t="n">
        <x:f>MATCH(T108,$J$388:$J$400,0)</x:f>
        <x:v>4</x:v>
      </x:c>
      <x:c r="X108" s="3"/>
      <x:c r="Y108" s="3"/>
      <x:c r="Z108" s="3"/>
    </x:row>
    <x:row r="109" ht="15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10" t="n">
        <x:v>45960</x:v>
      </x:c>
      <x:c r="K109" s="8" t="n">
        <x:f>INDEX('Сводка'!$S$3:$S$397,U109)</x:f>
        <x:v>-33</x:v>
      </x:c>
      <x:c r="L109" s="8" t="n">
        <x:f>INDEX('Сводка'!$S$3:$S$397,V109)</x:f>
        <x:v>-27</x:v>
      </x:c>
      <x:c r="M109" s="8" t="n">
        <x:f>INDEX($K$388:$N$400,W109,1)+INDEX($K$388:$N$400,W109,2)*(2*(J109-$T$405)/(T109-$T$405)-1)^1+INDEX($K$388:$N$400,W109,3)*(2*(J109-$T$405)/(T109-$T$405)-1)^2+INDEX($K$388:$N$400,W109,4)*(2*(J109-$T$405)/(T109-$T$405)-1)^3</x:f>
        <x:v>152.39392552612566</x:v>
      </x:c>
      <x:c r="N109" s="8" t="n">
        <x:f>K109-M109</x:f>
        <x:v>-185.39392552612566</x:v>
      </x:c>
      <x:c r="O109" s="8" t="n">
        <x:f>ABS(N109)</x:f>
        <x:v>185.39392552612566</x:v>
      </x:c>
      <x:c r="P109" s="8" t="n">
        <x:f>N109^2</x:f>
        <x:v>34370.907621986626</x:v>
      </x:c>
      <x:c r="Q109" s="8" t="n">
        <x:f>K109-L109</x:f>
        <x:v>-6</x:v>
      </x:c>
      <x:c r="R109" s="9" t="n">
        <x:f>IF(AND(INDEX('Сводка'!$T$3:$T$397,U109)=0,INDEX('Сводка'!$T$3:$T$397,V109)=0),1,0)</x:f>
        <x:v>1</x:v>
      </x:c>
      <x:c r="S109" s="9" t="n">
        <x:f>IF(AND(R109=1,O109&lt;=$G$13),1,0)</x:f>
        <x:v>0</x:v>
      </x:c>
      <x:c r="T109" s="10" t="n">
        <x:f>EOMONTH(J109-'Сводка'!$B$11,-1)</x:f>
        <x:v>45930</x:v>
      </x:c>
      <x:c r="U109" s="4" t="n">
        <x:f>MATCH(J109,'Сводка'!$R$3:$R$397,0)</x:f>
        <x:v>120</x:v>
      </x:c>
      <x:c r="V109" s="4" t="n">
        <x:f>MATCH(J109-'Сводка'!$B$11,'Сводка'!$R$3:$R$397,0)</x:f>
        <x:v>119</x:v>
      </x:c>
      <x:c r="W109" s="4" t="n">
        <x:f>MATCH(T109,$J$388:$J$400,0)</x:f>
        <x:v>4</x:v>
      </x:c>
      <x:c r="X109" s="3"/>
      <x:c r="Y109" s="3"/>
      <x:c r="Z109" s="3"/>
    </x:row>
    <x:row r="110" ht="15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10" t="n">
        <x:v>45961</x:v>
      </x:c>
      <x:c r="K110" s="8" t="n">
        <x:f>INDEX('Сводка'!$S$3:$S$397,U110)</x:f>
        <x:v>-36</x:v>
      </x:c>
      <x:c r="L110" s="8" t="n">
        <x:f>INDEX('Сводка'!$S$3:$S$397,V110)</x:f>
        <x:v>-33</x:v>
      </x:c>
      <x:c r="M110" s="8" t="n">
        <x:f>INDEX($K$388:$N$400,W110,1)+INDEX($K$388:$N$400,W110,2)*(2*(J110-$T$405)/(T110-$T$405)-1)^1+INDEX($K$388:$N$400,W110,3)*(2*(J110-$T$405)/(T110-$T$405)-1)^2+INDEX($K$388:$N$400,W110,4)*(2*(J110-$T$405)/(T110-$T$405)-1)^3</x:f>
        <x:v>152.40392672743062</x:v>
      </x:c>
      <x:c r="N110" s="8" t="n">
        <x:f>K110-M110</x:f>
        <x:v>-188.40392672743062</x:v>
      </x:c>
      <x:c r="O110" s="8" t="n">
        <x:f>ABS(N110)</x:f>
        <x:v>188.40392672743062</x:v>
      </x:c>
      <x:c r="P110" s="8" t="n">
        <x:f>N110^2</x:f>
        <x:v>35496.03960631505</x:v>
      </x:c>
      <x:c r="Q110" s="8" t="n">
        <x:f>K110-L110</x:f>
        <x:v>-3</x:v>
      </x:c>
      <x:c r="R110" s="9" t="n">
        <x:f>IF(AND(INDEX('Сводка'!$T$3:$T$397,U110)=0,INDEX('Сводка'!$T$3:$T$397,V110)=0),1,0)</x:f>
        <x:v>1</x:v>
      </x:c>
      <x:c r="S110" s="9" t="n">
        <x:f>IF(AND(R110=1,O110&lt;=$G$13),1,0)</x:f>
        <x:v>0</x:v>
      </x:c>
      <x:c r="T110" s="10" t="n">
        <x:f>EOMONTH(J110-'Сводка'!$B$11,-1)</x:f>
        <x:v>45930</x:v>
      </x:c>
      <x:c r="U110" s="4" t="n">
        <x:f>MATCH(J110,'Сводка'!$R$3:$R$397,0)</x:f>
        <x:v>121</x:v>
      </x:c>
      <x:c r="V110" s="4" t="n">
        <x:f>MATCH(J110-'Сводка'!$B$11,'Сводка'!$R$3:$R$397,0)</x:f>
        <x:v>120</x:v>
      </x:c>
      <x:c r="W110" s="4" t="n">
        <x:f>MATCH(T110,$J$388:$J$400,0)</x:f>
        <x:v>4</x:v>
      </x:c>
      <x:c r="X110" s="3"/>
      <x:c r="Y110" s="3"/>
      <x:c r="Z110" s="3"/>
    </x:row>
    <x:row r="111" ht="15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10" t="n">
        <x:v>45962</x:v>
      </x:c>
      <x:c r="K111" s="8" t="n">
        <x:f>INDEX('Сводка'!$S$3:$S$397,U111)</x:f>
        <x:v>-37</x:v>
      </x:c>
      <x:c r="L111" s="8" t="n">
        <x:f>INDEX('Сводка'!$S$3:$S$397,V111)</x:f>
        <x:v>-36</x:v>
      </x:c>
      <x:c r="M111" s="8" t="n">
        <x:f>INDEX($K$388:$N$400,W111,1)+INDEX($K$388:$N$400,W111,2)*(2*(J111-$T$405)/(T111-$T$405)-1)^1+INDEX($K$388:$N$400,W111,3)*(2*(J111-$T$405)/(T111-$T$405)-1)^2+INDEX($K$388:$N$400,W111,4)*(2*(J111-$T$405)/(T111-$T$405)-1)^3</x:f>
        <x:v>152.4139261569383</x:v>
      </x:c>
      <x:c r="N111" s="8" t="n">
        <x:f>K111-M111</x:f>
        <x:v>-189.4139261569383</x:v>
      </x:c>
      <x:c r="O111" s="8" t="n">
        <x:f>ABS(N111)</x:f>
        <x:v>189.4139261569383</x:v>
      </x:c>
      <x:c r="P111" s="8" t="n">
        <x:f>N111^2</x:f>
        <x:v>35877.63542218607</x:v>
      </x:c>
      <x:c r="Q111" s="8" t="n">
        <x:f>K111-L111</x:f>
        <x:v>-1</x:v>
      </x:c>
      <x:c r="R111" s="9" t="n">
        <x:f>IF(AND(INDEX('Сводка'!$T$3:$T$397,U111)=0,INDEX('Сводка'!$T$3:$T$397,V111)=0),1,0)</x:f>
        <x:v>1</x:v>
      </x:c>
      <x:c r="S111" s="9" t="n">
        <x:f>IF(AND(R111=1,O111&lt;=$G$13),1,0)</x:f>
        <x:v>0</x:v>
      </x:c>
      <x:c r="T111" s="10" t="n">
        <x:f>EOMONTH(J111-'Сводка'!$B$11,-1)</x:f>
        <x:v>45930</x:v>
      </x:c>
      <x:c r="U111" s="4" t="n">
        <x:f>MATCH(J111,'Сводка'!$R$3:$R$397,0)</x:f>
        <x:v>122</x:v>
      </x:c>
      <x:c r="V111" s="4" t="n">
        <x:f>MATCH(J111-'Сводка'!$B$11,'Сводка'!$R$3:$R$397,0)</x:f>
        <x:v>121</x:v>
      </x:c>
      <x:c r="W111" s="4" t="n">
        <x:f>MATCH(T111,$J$388:$J$400,0)</x:f>
        <x:v>4</x:v>
      </x:c>
      <x:c r="X111" s="3"/>
      <x:c r="Y111" s="3"/>
      <x:c r="Z111" s="3"/>
    </x:row>
    <x:row r="112" ht="15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10" t="n">
        <x:v>45963</x:v>
      </x:c>
      <x:c r="K112" s="8" t="n">
        <x:f>INDEX('Сводка'!$S$3:$S$397,U112)</x:f>
        <x:v>-40</x:v>
      </x:c>
      <x:c r="L112" s="8" t="n">
        <x:f>INDEX('Сводка'!$S$3:$S$397,V112)</x:f>
        <x:v>-37</x:v>
      </x:c>
      <x:c r="M112" s="8" t="n">
        <x:f>INDEX($K$388:$N$400,W112,1)+INDEX($K$388:$N$400,W112,2)*(2*(J112-$T$405)/(T112-$T$405)-1)^1+INDEX($K$388:$N$400,W112,3)*(2*(J112-$T$405)/(T112-$T$405)-1)^2+INDEX($K$388:$N$400,W112,4)*(2*(J112-$T$405)/(T112-$T$405)-1)^3</x:f>
        <x:v>149.49667469972607</x:v>
      </x:c>
      <x:c r="N112" s="8" t="n">
        <x:f>K112-M112</x:f>
        <x:v>-189.49667469972607</x:v>
      </x:c>
      <x:c r="O112" s="8" t="n">
        <x:f>ABS(N112)</x:f>
        <x:v>189.49667469972607</x:v>
      </x:c>
      <x:c r="P112" s="8" t="n">
        <x:f>N112^2</x:f>
        <x:v>35908.989722253806</x:v>
      </x:c>
      <x:c r="Q112" s="8" t="n">
        <x:f>K112-L112</x:f>
        <x:v>-3</x:v>
      </x:c>
      <x:c r="R112" s="9" t="n">
        <x:f>IF(AND(INDEX('Сводка'!$T$3:$T$397,U112)=0,INDEX('Сводка'!$T$3:$T$397,V112)=0),1,0)</x:f>
        <x:v>1</x:v>
      </x:c>
      <x:c r="S112" s="9" t="n">
        <x:f>IF(AND(R112=1,O112&lt;=$G$13),1,0)</x:f>
        <x:v>0</x:v>
      </x:c>
      <x:c r="T112" s="10" t="n">
        <x:f>EOMONTH(J112-'Сводка'!$B$11,-1)</x:f>
        <x:v>45961</x:v>
      </x:c>
      <x:c r="U112" s="4" t="n">
        <x:f>MATCH(J112,'Сводка'!$R$3:$R$397,0)</x:f>
        <x:v>123</x:v>
      </x:c>
      <x:c r="V112" s="4" t="n">
        <x:f>MATCH(J112-'Сводка'!$B$11,'Сводка'!$R$3:$R$397,0)</x:f>
        <x:v>122</x:v>
      </x:c>
      <x:c r="W112" s="4" t="n">
        <x:f>MATCH(T112,$J$388:$J$400,0)</x:f>
        <x:v>5</x:v>
      </x:c>
      <x:c r="X112" s="3"/>
      <x:c r="Y112" s="3"/>
      <x:c r="Z112" s="3"/>
    </x:row>
    <x:row r="113" ht="15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10" t="n">
        <x:v>45964</x:v>
      </x:c>
      <x:c r="K113" s="8" t="n">
        <x:f>INDEX('Сводка'!$S$3:$S$397,U113)</x:f>
        <x:v>-46</x:v>
      </x:c>
      <x:c r="L113" s="8" t="n">
        <x:f>INDEX('Сводка'!$S$3:$S$397,V113)</x:f>
        <x:v>-40</x:v>
      </x:c>
      <x:c r="M113" s="8" t="n">
        <x:f>INDEX($K$388:$N$400,W113,1)+INDEX($K$388:$N$400,W113,2)*(2*(J113-$T$405)/(T113-$T$405)-1)^1+INDEX($K$388:$N$400,W113,3)*(2*(J113-$T$405)/(T113-$T$405)-1)^2+INDEX($K$388:$N$400,W113,4)*(2*(J113-$T$405)/(T113-$T$405)-1)^3</x:f>
        <x:v>149.50420306555685</x:v>
      </x:c>
      <x:c r="N113" s="8" t="n">
        <x:f>K113-M113</x:f>
        <x:v>-195.50420306555685</x:v>
      </x:c>
      <x:c r="O113" s="8" t="n">
        <x:f>ABS(N113)</x:f>
        <x:v>195.50420306555685</x:v>
      </x:c>
      <x:c r="P113" s="8" t="n">
        <x:f>N113^2</x:f>
        <x:v>38221.89341629849</x:v>
      </x:c>
      <x:c r="Q113" s="8" t="n">
        <x:f>K113-L113</x:f>
        <x:v>-6</x:v>
      </x:c>
      <x:c r="R113" s="9" t="n">
        <x:f>IF(AND(INDEX('Сводка'!$T$3:$T$397,U113)=0,INDEX('Сводка'!$T$3:$T$397,V113)=0),1,0)</x:f>
        <x:v>1</x:v>
      </x:c>
      <x:c r="S113" s="9" t="n">
        <x:f>IF(AND(R113=1,O113&lt;=$G$13),1,0)</x:f>
        <x:v>0</x:v>
      </x:c>
      <x:c r="T113" s="10" t="n">
        <x:f>EOMONTH(J113-'Сводка'!$B$11,-1)</x:f>
        <x:v>45961</x:v>
      </x:c>
      <x:c r="U113" s="4" t="n">
        <x:f>MATCH(J113,'Сводка'!$R$3:$R$397,0)</x:f>
        <x:v>124</x:v>
      </x:c>
      <x:c r="V113" s="4" t="n">
        <x:f>MATCH(J113-'Сводка'!$B$11,'Сводка'!$R$3:$R$397,0)</x:f>
        <x:v>123</x:v>
      </x:c>
      <x:c r="W113" s="4" t="n">
        <x:f>MATCH(T113,$J$388:$J$400,0)</x:f>
        <x:v>5</x:v>
      </x:c>
      <x:c r="X113" s="3"/>
      <x:c r="Y113" s="3"/>
      <x:c r="Z113" s="3"/>
    </x:row>
    <x:row r="114" ht="15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10" t="n">
        <x:v>45965</x:v>
      </x:c>
      <x:c r="K114" s="8" t="n">
        <x:f>INDEX('Сводка'!$S$3:$S$397,U114)</x:f>
        <x:v>-49</x:v>
      </x:c>
      <x:c r="L114" s="8" t="n">
        <x:f>INDEX('Сводка'!$S$3:$S$397,V114)</x:f>
        <x:v>-46</x:v>
      </x:c>
      <x:c r="M114" s="8" t="n">
        <x:f>INDEX($K$388:$N$400,W114,1)+INDEX($K$388:$N$400,W114,2)*(2*(J114-$T$405)/(T114-$T$405)-1)^1+INDEX($K$388:$N$400,W114,3)*(2*(J114-$T$405)/(T114-$T$405)-1)^2+INDEX($K$388:$N$400,W114,4)*(2*(J114-$T$405)/(T114-$T$405)-1)^3</x:f>
        <x:v>149.51172853872922</x:v>
      </x:c>
      <x:c r="N114" s="8" t="n">
        <x:f>K114-M114</x:f>
        <x:v>-198.51172853872922</x:v>
      </x:c>
      <x:c r="O114" s="8" t="n">
        <x:f>ABS(N114)</x:f>
        <x:v>198.51172853872922</x:v>
      </x:c>
      <x:c r="P114" s="8" t="n">
        <x:f>N114^2</x:f>
        <x:v>39406.906367434116</x:v>
      </x:c>
      <x:c r="Q114" s="8" t="n">
        <x:f>K114-L114</x:f>
        <x:v>-3</x:v>
      </x:c>
      <x:c r="R114" s="9" t="n">
        <x:f>IF(AND(INDEX('Сводка'!$T$3:$T$397,U114)=0,INDEX('Сводка'!$T$3:$T$397,V114)=0),1,0)</x:f>
        <x:v>1</x:v>
      </x:c>
      <x:c r="S114" s="9" t="n">
        <x:f>IF(AND(R114=1,O114&lt;=$G$13),1,0)</x:f>
        <x:v>0</x:v>
      </x:c>
      <x:c r="T114" s="10" t="n">
        <x:f>EOMONTH(J114-'Сводка'!$B$11,-1)</x:f>
        <x:v>45961</x:v>
      </x:c>
      <x:c r="U114" s="4" t="n">
        <x:f>MATCH(J114,'Сводка'!$R$3:$R$397,0)</x:f>
        <x:v>125</x:v>
      </x:c>
      <x:c r="V114" s="4" t="n">
        <x:f>MATCH(J114-'Сводка'!$B$11,'Сводка'!$R$3:$R$397,0)</x:f>
        <x:v>124</x:v>
      </x:c>
      <x:c r="W114" s="4" t="n">
        <x:f>MATCH(T114,$J$388:$J$400,0)</x:f>
        <x:v>5</x:v>
      </x:c>
      <x:c r="X114" s="3"/>
      <x:c r="Y114" s="3"/>
      <x:c r="Z114" s="3"/>
    </x:row>
    <x:row r="115" ht="15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10" t="n">
        <x:v>45966</x:v>
      </x:c>
      <x:c r="K115" s="8" t="n">
        <x:f>INDEX('Сводка'!$S$3:$S$397,U115)</x:f>
        <x:v>-56</x:v>
      </x:c>
      <x:c r="L115" s="8" t="n">
        <x:f>INDEX('Сводка'!$S$3:$S$397,V115)</x:f>
        <x:v>-49</x:v>
      </x:c>
      <x:c r="M115" s="8" t="n">
        <x:f>INDEX($K$388:$N$400,W115,1)+INDEX($K$388:$N$400,W115,2)*(2*(J115-$T$405)/(T115-$T$405)-1)^1+INDEX($K$388:$N$400,W115,3)*(2*(J115-$T$405)/(T115-$T$405)-1)^2+INDEX($K$388:$N$400,W115,4)*(2*(J115-$T$405)/(T115-$T$405)-1)^3</x:f>
        <x:v>149.51925111960034</x:v>
      </x:c>
      <x:c r="N115" s="8" t="n">
        <x:f>K115-M115</x:f>
        <x:v>-205.51925111960034</x:v>
      </x:c>
      <x:c r="O115" s="8" t="n">
        <x:f>ABS(N115)</x:f>
        <x:v>205.51925111960034</x:v>
      </x:c>
      <x:c r="P115" s="8" t="n">
        <x:f>N115^2</x:f>
        <x:v>42238.162580761345</x:v>
      </x:c>
      <x:c r="Q115" s="8" t="n">
        <x:f>K115-L115</x:f>
        <x:v>-7</x:v>
      </x:c>
      <x:c r="R115" s="9" t="n">
        <x:f>IF(AND(INDEX('Сводка'!$T$3:$T$397,U115)=0,INDEX('Сводка'!$T$3:$T$397,V115)=0),1,0)</x:f>
        <x:v>1</x:v>
      </x:c>
      <x:c r="S115" s="9" t="n">
        <x:f>IF(AND(R115=1,O115&lt;=$G$13),1,0)</x:f>
        <x:v>0</x:v>
      </x:c>
      <x:c r="T115" s="10" t="n">
        <x:f>EOMONTH(J115-'Сводка'!$B$11,-1)</x:f>
        <x:v>45961</x:v>
      </x:c>
      <x:c r="U115" s="4" t="n">
        <x:f>MATCH(J115,'Сводка'!$R$3:$R$397,0)</x:f>
        <x:v>126</x:v>
      </x:c>
      <x:c r="V115" s="4" t="n">
        <x:f>MATCH(J115-'Сводка'!$B$11,'Сводка'!$R$3:$R$397,0)</x:f>
        <x:v>125</x:v>
      </x:c>
      <x:c r="W115" s="4" t="n">
        <x:f>MATCH(T115,$J$388:$J$400,0)</x:f>
        <x:v>5</x:v>
      </x:c>
      <x:c r="X115" s="3"/>
      <x:c r="Y115" s="3"/>
      <x:c r="Z115" s="3"/>
    </x:row>
    <x:row r="116" ht="15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10" t="n">
        <x:v>45967</x:v>
      </x:c>
      <x:c r="K116" s="8" t="n">
        <x:f>INDEX('Сводка'!$S$3:$S$397,U116)</x:f>
        <x:v>-61</x:v>
      </x:c>
      <x:c r="L116" s="8" t="n">
        <x:f>INDEX('Сводка'!$S$3:$S$397,V116)</x:f>
        <x:v>-56</x:v>
      </x:c>
      <x:c r="M116" s="8" t="n">
        <x:f>INDEX($K$388:$N$400,W116,1)+INDEX($K$388:$N$400,W116,2)*(2*(J116-$T$405)/(T116-$T$405)-1)^1+INDEX($K$388:$N$400,W116,3)*(2*(J116-$T$405)/(T116-$T$405)-1)^2+INDEX($K$388:$N$400,W116,4)*(2*(J116-$T$405)/(T116-$T$405)-1)^3</x:f>
        <x:v>149.52677080852712</x:v>
      </x:c>
      <x:c r="N116" s="8" t="n">
        <x:f>K116-M116</x:f>
        <x:v>-210.52677080852712</x:v>
      </x:c>
      <x:c r="O116" s="8" t="n">
        <x:f>ABS(N116)</x:f>
        <x:v>210.52677080852712</x:v>
      </x:c>
      <x:c r="P116" s="8" t="n">
        <x:f>N116^2</x:f>
        <x:v>44321.52122706611</x:v>
      </x:c>
      <x:c r="Q116" s="8" t="n">
        <x:f>K116-L116</x:f>
        <x:v>-5</x:v>
      </x:c>
      <x:c r="R116" s="9" t="n">
        <x:f>IF(AND(INDEX('Сводка'!$T$3:$T$397,U116)=0,INDEX('Сводка'!$T$3:$T$397,V116)=0),1,0)</x:f>
        <x:v>1</x:v>
      </x:c>
      <x:c r="S116" s="9" t="n">
        <x:f>IF(AND(R116=1,O116&lt;=$G$13),1,0)</x:f>
        <x:v>0</x:v>
      </x:c>
      <x:c r="T116" s="10" t="n">
        <x:f>EOMONTH(J116-'Сводка'!$B$11,-1)</x:f>
        <x:v>45961</x:v>
      </x:c>
      <x:c r="U116" s="4" t="n">
        <x:f>MATCH(J116,'Сводка'!$R$3:$R$397,0)</x:f>
        <x:v>127</x:v>
      </x:c>
      <x:c r="V116" s="4" t="n">
        <x:f>MATCH(J116-'Сводка'!$B$11,'Сводка'!$R$3:$R$397,0)</x:f>
        <x:v>126</x:v>
      </x:c>
      <x:c r="W116" s="4" t="n">
        <x:f>MATCH(T116,$J$388:$J$400,0)</x:f>
        <x:v>5</x:v>
      </x:c>
      <x:c r="X116" s="3"/>
      <x:c r="Y116" s="3"/>
      <x:c r="Z116" s="3"/>
    </x:row>
    <x:row r="117" ht="15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10" t="n">
        <x:v>45968</x:v>
      </x:c>
      <x:c r="K117" s="8" t="n">
        <x:f>INDEX('Сводка'!$S$3:$S$397,U117)</x:f>
        <x:v>-69</x:v>
      </x:c>
      <x:c r="L117" s="8" t="n">
        <x:f>INDEX('Сводка'!$S$3:$S$397,V117)</x:f>
        <x:v>-61</x:v>
      </x:c>
      <x:c r="M117" s="8" t="n">
        <x:f>INDEX($K$388:$N$400,W117,1)+INDEX($K$388:$N$400,W117,2)*(2*(J117-$T$405)/(T117-$T$405)-1)^1+INDEX($K$388:$N$400,W117,3)*(2*(J117-$T$405)/(T117-$T$405)-1)^2+INDEX($K$388:$N$400,W117,4)*(2*(J117-$T$405)/(T117-$T$405)-1)^3</x:f>
        <x:v>149.53428760586667</x:v>
      </x:c>
      <x:c r="N117" s="8" t="n">
        <x:f>K117-M117</x:f>
        <x:v>-218.53428760586667</x:v>
      </x:c>
      <x:c r="O117" s="8" t="n">
        <x:f>ABS(N117)</x:f>
        <x:v>218.53428760586667</x:v>
      </x:c>
      <x:c r="P117" s="8" t="n">
        <x:f>N117^2</x:f>
        <x:v>47757.23485940365</x:v>
      </x:c>
      <x:c r="Q117" s="8" t="n">
        <x:f>K117-L117</x:f>
        <x:v>-8</x:v>
      </x:c>
      <x:c r="R117" s="9" t="n">
        <x:f>IF(AND(INDEX('Сводка'!$T$3:$T$397,U117)=0,INDEX('Сводка'!$T$3:$T$397,V117)=0),1,0)</x:f>
        <x:v>1</x:v>
      </x:c>
      <x:c r="S117" s="9" t="n">
        <x:f>IF(AND(R117=1,O117&lt;=$G$13),1,0)</x:f>
        <x:v>0</x:v>
      </x:c>
      <x:c r="T117" s="10" t="n">
        <x:f>EOMONTH(J117-'Сводка'!$B$11,-1)</x:f>
        <x:v>45961</x:v>
      </x:c>
      <x:c r="U117" s="4" t="n">
        <x:f>MATCH(J117,'Сводка'!$R$3:$R$397,0)</x:f>
        <x:v>128</x:v>
      </x:c>
      <x:c r="V117" s="4" t="n">
        <x:f>MATCH(J117-'Сводка'!$B$11,'Сводка'!$R$3:$R$397,0)</x:f>
        <x:v>127</x:v>
      </x:c>
      <x:c r="W117" s="4" t="n">
        <x:f>MATCH(T117,$J$388:$J$400,0)</x:f>
        <x:v>5</x:v>
      </x:c>
      <x:c r="X117" s="3"/>
      <x:c r="Y117" s="3"/>
      <x:c r="Z117" s="3"/>
    </x:row>
    <x:row r="118" ht="15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10" t="n">
        <x:v>45969</x:v>
      </x:c>
      <x:c r="K118" s="8" t="n">
        <x:f>INDEX('Сводка'!$S$3:$S$397,U118)</x:f>
        <x:v>-74</x:v>
      </x:c>
      <x:c r="L118" s="8" t="n">
        <x:f>INDEX('Сводка'!$S$3:$S$397,V118)</x:f>
        <x:v>-69</x:v>
      </x:c>
      <x:c r="M118" s="8" t="n">
        <x:f>INDEX($K$388:$N$400,W118,1)+INDEX($K$388:$N$400,W118,2)*(2*(J118-$T$405)/(T118-$T$405)-1)^1+INDEX($K$388:$N$400,W118,3)*(2*(J118-$T$405)/(T118-$T$405)-1)^2+INDEX($K$388:$N$400,W118,4)*(2*(J118-$T$405)/(T118-$T$405)-1)^3</x:f>
        <x:v>149.54180151197593</x:v>
      </x:c>
      <x:c r="N118" s="8" t="n">
        <x:f>K118-M118</x:f>
        <x:v>-223.54180151197593</x:v>
      </x:c>
      <x:c r="O118" s="8" t="n">
        <x:f>ABS(N118)</x:f>
        <x:v>223.54180151197593</x:v>
      </x:c>
      <x:c r="P118" s="8" t="n">
        <x:f>N118^2</x:f>
        <x:v>49970.937023219645</x:v>
      </x:c>
      <x:c r="Q118" s="8" t="n">
        <x:f>K118-L118</x:f>
        <x:v>-5</x:v>
      </x:c>
      <x:c r="R118" s="9" t="n">
        <x:f>IF(AND(INDEX('Сводка'!$T$3:$T$397,U118)=0,INDEX('Сводка'!$T$3:$T$397,V118)=0),1,0)</x:f>
        <x:v>1</x:v>
      </x:c>
      <x:c r="S118" s="9" t="n">
        <x:f>IF(AND(R118=1,O118&lt;=$G$13),1,0)</x:f>
        <x:v>0</x:v>
      </x:c>
      <x:c r="T118" s="10" t="n">
        <x:f>EOMONTH(J118-'Сводка'!$B$11,-1)</x:f>
        <x:v>45961</x:v>
      </x:c>
      <x:c r="U118" s="4" t="n">
        <x:f>MATCH(J118,'Сводка'!$R$3:$R$397,0)</x:f>
        <x:v>129</x:v>
      </x:c>
      <x:c r="V118" s="4" t="n">
        <x:f>MATCH(J118-'Сводка'!$B$11,'Сводка'!$R$3:$R$397,0)</x:f>
        <x:v>128</x:v>
      </x:c>
      <x:c r="W118" s="4" t="n">
        <x:f>MATCH(T118,$J$388:$J$400,0)</x:f>
        <x:v>5</x:v>
      </x:c>
      <x:c r="X118" s="3"/>
      <x:c r="Y118" s="3"/>
      <x:c r="Z118" s="3"/>
    </x:row>
    <x:row r="119" ht="15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10" t="n">
        <x:v>45970</x:v>
      </x:c>
      <x:c r="K119" s="8" t="n">
        <x:f>INDEX('Сводка'!$S$3:$S$397,U119)</x:f>
        <x:v>-80</x:v>
      </x:c>
      <x:c r="L119" s="8" t="n">
        <x:f>INDEX('Сводка'!$S$3:$S$397,V119)</x:f>
        <x:v>-74</x:v>
      </x:c>
      <x:c r="M119" s="8" t="n">
        <x:f>INDEX($K$388:$N$400,W119,1)+INDEX($K$388:$N$400,W119,2)*(2*(J119-$T$405)/(T119-$T$405)-1)^1+INDEX($K$388:$N$400,W119,3)*(2*(J119-$T$405)/(T119-$T$405)-1)^2+INDEX($K$388:$N$400,W119,4)*(2*(J119-$T$405)/(T119-$T$405)-1)^3</x:f>
        <x:v>149.5493125272121</x:v>
      </x:c>
      <x:c r="N119" s="8" t="n">
        <x:f>K119-M119</x:f>
        <x:v>-229.5493125272121</x:v>
      </x:c>
      <x:c r="O119" s="8" t="n">
        <x:f>ABS(N119)</x:f>
        <x:v>229.5493125272121</x:v>
      </x:c>
      <x:c r="P119" s="8" t="n">
        <x:f>N119^2</x:f>
        <x:v>52692.88688171569</x:v>
      </x:c>
      <x:c r="Q119" s="8" t="n">
        <x:f>K119-L119</x:f>
        <x:v>-6</x:v>
      </x:c>
      <x:c r="R119" s="9" t="n">
        <x:f>IF(AND(INDEX('Сводка'!$T$3:$T$397,U119)=0,INDEX('Сводка'!$T$3:$T$397,V119)=0),1,0)</x:f>
        <x:v>1</x:v>
      </x:c>
      <x:c r="S119" s="9" t="n">
        <x:f>IF(AND(R119=1,O119&lt;=$G$13),1,0)</x:f>
        <x:v>0</x:v>
      </x:c>
      <x:c r="T119" s="10" t="n">
        <x:f>EOMONTH(J119-'Сводка'!$B$11,-1)</x:f>
        <x:v>45961</x:v>
      </x:c>
      <x:c r="U119" s="4" t="n">
        <x:f>MATCH(J119,'Сводка'!$R$3:$R$397,0)</x:f>
        <x:v>130</x:v>
      </x:c>
      <x:c r="V119" s="4" t="n">
        <x:f>MATCH(J119-'Сводка'!$B$11,'Сводка'!$R$3:$R$397,0)</x:f>
        <x:v>129</x:v>
      </x:c>
      <x:c r="W119" s="4" t="n">
        <x:f>MATCH(T119,$J$388:$J$400,0)</x:f>
        <x:v>5</x:v>
      </x:c>
      <x:c r="X119" s="3"/>
      <x:c r="Y119" s="3"/>
      <x:c r="Z119" s="3"/>
    </x:row>
    <x:row r="120" ht="15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10" t="n">
        <x:v>45971</x:v>
      </x:c>
      <x:c r="K120" s="8" t="n">
        <x:f>INDEX('Сводка'!$S$3:$S$397,U120)</x:f>
        <x:v>-83</x:v>
      </x:c>
      <x:c r="L120" s="8" t="n">
        <x:f>INDEX('Сводка'!$S$3:$S$397,V120)</x:f>
        <x:v>-80</x:v>
      </x:c>
      <x:c r="M120" s="8" t="n">
        <x:f>INDEX($K$388:$N$400,W120,1)+INDEX($K$388:$N$400,W120,2)*(2*(J120-$T$405)/(T120-$T$405)-1)^1+INDEX($K$388:$N$400,W120,3)*(2*(J120-$T$405)/(T120-$T$405)-1)^2+INDEX($K$388:$N$400,W120,4)*(2*(J120-$T$405)/(T120-$T$405)-1)^3</x:f>
        <x:v>149.55682065193204</x:v>
      </x:c>
      <x:c r="N120" s="8" t="n">
        <x:f>K120-M120</x:f>
        <x:v>-232.55682065193204</x:v>
      </x:c>
      <x:c r="O120" s="8" t="n">
        <x:f>ABS(N120)</x:f>
        <x:v>232.55682065193204</x:v>
      </x:c>
      <x:c r="P120" s="8" t="n">
        <x:f>N120^2</x:f>
        <x:v>54082.67483173488</x:v>
      </x:c>
      <x:c r="Q120" s="8" t="n">
        <x:f>K120-L120</x:f>
        <x:v>-3</x:v>
      </x:c>
      <x:c r="R120" s="9" t="n">
        <x:f>IF(AND(INDEX('Сводка'!$T$3:$T$397,U120)=0,INDEX('Сводка'!$T$3:$T$397,V120)=0),1,0)</x:f>
        <x:v>1</x:v>
      </x:c>
      <x:c r="S120" s="9" t="n">
        <x:f>IF(AND(R120=1,O120&lt;=$G$13),1,0)</x:f>
        <x:v>0</x:v>
      </x:c>
      <x:c r="T120" s="10" t="n">
        <x:f>EOMONTH(J120-'Сводка'!$B$11,-1)</x:f>
        <x:v>45961</x:v>
      </x:c>
      <x:c r="U120" s="4" t="n">
        <x:f>MATCH(J120,'Сводка'!$R$3:$R$397,0)</x:f>
        <x:v>131</x:v>
      </x:c>
      <x:c r="V120" s="4" t="n">
        <x:f>MATCH(J120-'Сводка'!$B$11,'Сводка'!$R$3:$R$397,0)</x:f>
        <x:v>130</x:v>
      </x:c>
      <x:c r="W120" s="4" t="n">
        <x:f>MATCH(T120,$J$388:$J$400,0)</x:f>
        <x:v>5</x:v>
      </x:c>
      <x:c r="X120" s="3"/>
      <x:c r="Y120" s="3"/>
      <x:c r="Z120" s="3"/>
    </x:row>
    <x:row r="121" ht="15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10" t="n">
        <x:v>45972</x:v>
      </x:c>
      <x:c r="K121" s="8" t="n">
        <x:f>INDEX('Сводка'!$S$3:$S$397,U121)</x:f>
        <x:v>-89</x:v>
      </x:c>
      <x:c r="L121" s="8" t="n">
        <x:f>INDEX('Сводка'!$S$3:$S$397,V121)</x:f>
        <x:v>-83</x:v>
      </x:c>
      <x:c r="M121" s="8" t="n">
        <x:f>INDEX($K$388:$N$400,W121,1)+INDEX($K$388:$N$400,W121,2)*(2*(J121-$T$405)/(T121-$T$405)-1)^1+INDEX($K$388:$N$400,W121,3)*(2*(J121-$T$405)/(T121-$T$405)-1)^2+INDEX($K$388:$N$400,W121,4)*(2*(J121-$T$405)/(T121-$T$405)-1)^3</x:f>
        <x:v>149.56432588649287</x:v>
      </x:c>
      <x:c r="N121" s="8" t="n">
        <x:f>K121-M121</x:f>
        <x:v>-238.56432588649287</x:v>
      </x:c>
      <x:c r="O121" s="8" t="n">
        <x:f>ABS(N121)</x:f>
        <x:v>238.56432588649287</x:v>
      </x:c>
      <x:c r="P121" s="8" t="n">
        <x:f>N121^2</x:f>
        <x:v>56912.93758567677</x:v>
      </x:c>
      <x:c r="Q121" s="8" t="n">
        <x:f>K121-L121</x:f>
        <x:v>-6</x:v>
      </x:c>
      <x:c r="R121" s="9" t="n">
        <x:f>IF(AND(INDEX('Сводка'!$T$3:$T$397,U121)=0,INDEX('Сводка'!$T$3:$T$397,V121)=0),1,0)</x:f>
        <x:v>1</x:v>
      </x:c>
      <x:c r="S121" s="9" t="n">
        <x:f>IF(AND(R121=1,O121&lt;=$G$13),1,0)</x:f>
        <x:v>0</x:v>
      </x:c>
      <x:c r="T121" s="10" t="n">
        <x:f>EOMONTH(J121-'Сводка'!$B$11,-1)</x:f>
        <x:v>45961</x:v>
      </x:c>
      <x:c r="U121" s="4" t="n">
        <x:f>MATCH(J121,'Сводка'!$R$3:$R$397,0)</x:f>
        <x:v>132</x:v>
      </x:c>
      <x:c r="V121" s="4" t="n">
        <x:f>MATCH(J121-'Сводка'!$B$11,'Сводка'!$R$3:$R$397,0)</x:f>
        <x:v>131</x:v>
      </x:c>
      <x:c r="W121" s="4" t="n">
        <x:f>MATCH(T121,$J$388:$J$400,0)</x:f>
        <x:v>5</x:v>
      </x:c>
      <x:c r="X121" s="3"/>
      <x:c r="Y121" s="3"/>
      <x:c r="Z121" s="3"/>
    </x:row>
    <x:row r="122" ht="15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10" t="n">
        <x:v>45973</x:v>
      </x:c>
      <x:c r="K122" s="8" t="n">
        <x:f>INDEX('Сводка'!$S$3:$S$397,U122)</x:f>
        <x:v>-88</x:v>
      </x:c>
      <x:c r="L122" s="8" t="n">
        <x:f>INDEX('Сводка'!$S$3:$S$397,V122)</x:f>
        <x:v>-89</x:v>
      </x:c>
      <x:c r="M122" s="8" t="n">
        <x:f>INDEX($K$388:$N$400,W122,1)+INDEX($K$388:$N$400,W122,2)*(2*(J122-$T$405)/(T122-$T$405)-1)^1+INDEX($K$388:$N$400,W122,3)*(2*(J122-$T$405)/(T122-$T$405)-1)^2+INDEX($K$388:$N$400,W122,4)*(2*(J122-$T$405)/(T122-$T$405)-1)^3</x:f>
        <x:v>149.57182823125163</x:v>
      </x:c>
      <x:c r="N122" s="8" t="n">
        <x:f>K122-M122</x:f>
        <x:v>-237.57182823125163</x:v>
      </x:c>
      <x:c r="O122" s="8" t="n">
        <x:f>ABS(N122)</x:f>
        <x:v>237.57182823125163</x:v>
      </x:c>
      <x:c r="P122" s="8" t="n">
        <x:f>N122^2</x:f>
        <x:v>56440.37356913933</x:v>
      </x:c>
      <x:c r="Q122" s="8" t="n">
        <x:f>K122-L122</x:f>
        <x:v>1</x:v>
      </x:c>
      <x:c r="R122" s="9" t="n">
        <x:f>IF(AND(INDEX('Сводка'!$T$3:$T$397,U122)=0,INDEX('Сводка'!$T$3:$T$397,V122)=0),1,0)</x:f>
        <x:v>1</x:v>
      </x:c>
      <x:c r="S122" s="9" t="n">
        <x:f>IF(AND(R122=1,O122&lt;=$G$13),1,0)</x:f>
        <x:v>0</x:v>
      </x:c>
      <x:c r="T122" s="10" t="n">
        <x:f>EOMONTH(J122-'Сводка'!$B$11,-1)</x:f>
        <x:v>45961</x:v>
      </x:c>
      <x:c r="U122" s="4" t="n">
        <x:f>MATCH(J122,'Сводка'!$R$3:$R$397,0)</x:f>
        <x:v>133</x:v>
      </x:c>
      <x:c r="V122" s="4" t="n">
        <x:f>MATCH(J122-'Сводка'!$B$11,'Сводка'!$R$3:$R$397,0)</x:f>
        <x:v>132</x:v>
      </x:c>
      <x:c r="W122" s="4" t="n">
        <x:f>MATCH(T122,$J$388:$J$400,0)</x:f>
        <x:v>5</x:v>
      </x:c>
      <x:c r="X122" s="3"/>
      <x:c r="Y122" s="3"/>
      <x:c r="Z122" s="3"/>
    </x:row>
    <x:row r="123" ht="15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10" t="n">
        <x:v>45974</x:v>
      </x:c>
      <x:c r="K123" s="8" t="n">
        <x:f>INDEX('Сводка'!$S$3:$S$397,U123)</x:f>
        <x:v>-89</x:v>
      </x:c>
      <x:c r="L123" s="8" t="n">
        <x:f>INDEX('Сводка'!$S$3:$S$397,V123)</x:f>
        <x:v>-88</x:v>
      </x:c>
      <x:c r="M123" s="8" t="n">
        <x:f>INDEX($K$388:$N$400,W123,1)+INDEX($K$388:$N$400,W123,2)*(2*(J123-$T$405)/(T123-$T$405)-1)^1+INDEX($K$388:$N$400,W123,3)*(2*(J123-$T$405)/(T123-$T$405)-1)^2+INDEX($K$388:$N$400,W123,4)*(2*(J123-$T$405)/(T123-$T$405)-1)^3</x:f>
        <x:v>149.57932768656528</x:v>
      </x:c>
      <x:c r="N123" s="8" t="n">
        <x:f>K123-M123</x:f>
        <x:v>-238.57932768656528</x:v>
      </x:c>
      <x:c r="O123" s="8" t="n">
        <x:f>ABS(N123)</x:f>
        <x:v>238.57932768656528</x:v>
      </x:c>
      <x:c r="P123" s="8" t="n">
        <x:f>N123^2</x:f>
        <x:v>56920.0955993735</x:v>
      </x:c>
      <x:c r="Q123" s="8" t="n">
        <x:f>K123-L123</x:f>
        <x:v>-1</x:v>
      </x:c>
      <x:c r="R123" s="9" t="n">
        <x:f>IF(AND(INDEX('Сводка'!$T$3:$T$397,U123)=0,INDEX('Сводка'!$T$3:$T$397,V123)=0),1,0)</x:f>
        <x:v>1</x:v>
      </x:c>
      <x:c r="S123" s="9" t="n">
        <x:f>IF(AND(R123=1,O123&lt;=$G$13),1,0)</x:f>
        <x:v>0</x:v>
      </x:c>
      <x:c r="T123" s="10" t="n">
        <x:f>EOMONTH(J123-'Сводка'!$B$11,-1)</x:f>
        <x:v>45961</x:v>
      </x:c>
      <x:c r="U123" s="4" t="n">
        <x:f>MATCH(J123,'Сводка'!$R$3:$R$397,0)</x:f>
        <x:v>134</x:v>
      </x:c>
      <x:c r="V123" s="4" t="n">
        <x:f>MATCH(J123-'Сводка'!$B$11,'Сводка'!$R$3:$R$397,0)</x:f>
        <x:v>133</x:v>
      </x:c>
      <x:c r="W123" s="4" t="n">
        <x:f>MATCH(T123,$J$388:$J$400,0)</x:f>
        <x:v>5</x:v>
      </x:c>
      <x:c r="X123" s="3"/>
      <x:c r="Y123" s="3"/>
      <x:c r="Z123" s="3"/>
    </x:row>
    <x:row r="124" ht="15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10" t="n">
        <x:v>45975</x:v>
      </x:c>
      <x:c r="K124" s="8" t="n">
        <x:f>INDEX('Сводка'!$S$3:$S$397,U124)</x:f>
        <x:v>-95</x:v>
      </x:c>
      <x:c r="L124" s="8" t="n">
        <x:f>INDEX('Сводка'!$S$3:$S$397,V124)</x:f>
        <x:v>-89</x:v>
      </x:c>
      <x:c r="M124" s="8" t="n">
        <x:f>INDEX($K$388:$N$400,W124,1)+INDEX($K$388:$N$400,W124,2)*(2*(J124-$T$405)/(T124-$T$405)-1)^1+INDEX($K$388:$N$400,W124,3)*(2*(J124-$T$405)/(T124-$T$405)-1)^2+INDEX($K$388:$N$400,W124,4)*(2*(J124-$T$405)/(T124-$T$405)-1)^3</x:f>
        <x:v>149.58682425279093</x:v>
      </x:c>
      <x:c r="N124" s="8" t="n">
        <x:f>K124-M124</x:f>
        <x:v>-244.58682425279093</x:v>
      </x:c>
      <x:c r="O124" s="8" t="n">
        <x:f>ABS(N124)</x:f>
        <x:v>244.58682425279093</x:v>
      </x:c>
      <x:c r="P124" s="8" t="n">
        <x:f>N124^2</x:f>
        <x:v>59822.71459806564</x:v>
      </x:c>
      <x:c r="Q124" s="8" t="n">
        <x:f>K124-L124</x:f>
        <x:v>-6</x:v>
      </x:c>
      <x:c r="R124" s="9" t="n">
        <x:f>IF(AND(INDEX('Сводка'!$T$3:$T$397,U124)=0,INDEX('Сводка'!$T$3:$T$397,V124)=0),1,0)</x:f>
        <x:v>1</x:v>
      </x:c>
      <x:c r="S124" s="9" t="n">
        <x:f>IF(AND(R124=1,O124&lt;=$G$13),1,0)</x:f>
        <x:v>0</x:v>
      </x:c>
      <x:c r="T124" s="10" t="n">
        <x:f>EOMONTH(J124-'Сводка'!$B$11,-1)</x:f>
        <x:v>45961</x:v>
      </x:c>
      <x:c r="U124" s="4" t="n">
        <x:f>MATCH(J124,'Сводка'!$R$3:$R$397,0)</x:f>
        <x:v>135</x:v>
      </x:c>
      <x:c r="V124" s="4" t="n">
        <x:f>MATCH(J124-'Сводка'!$B$11,'Сводка'!$R$3:$R$397,0)</x:f>
        <x:v>134</x:v>
      </x:c>
      <x:c r="W124" s="4" t="n">
        <x:f>MATCH(T124,$J$388:$J$400,0)</x:f>
        <x:v>5</x:v>
      </x:c>
      <x:c r="X124" s="3"/>
      <x:c r="Y124" s="3"/>
      <x:c r="Z124" s="3"/>
    </x:row>
    <x:row r="125" ht="15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10" t="n">
        <x:v>45976</x:v>
      </x:c>
      <x:c r="K125" s="8" t="n">
        <x:f>INDEX('Сводка'!$S$3:$S$397,U125)</x:f>
        <x:v>-90</x:v>
      </x:c>
      <x:c r="L125" s="8" t="n">
        <x:f>INDEX('Сводка'!$S$3:$S$397,V125)</x:f>
        <x:v>-95</x:v>
      </x:c>
      <x:c r="M125" s="8" t="n">
        <x:f>INDEX($K$388:$N$400,W125,1)+INDEX($K$388:$N$400,W125,2)*(2*(J125-$T$405)/(T125-$T$405)-1)^1+INDEX($K$388:$N$400,W125,3)*(2*(J125-$T$405)/(T125-$T$405)-1)^2+INDEX($K$388:$N$400,W125,4)*(2*(J125-$T$405)/(T125-$T$405)-1)^3</x:f>
        <x:v>149.59431793028557</x:v>
      </x:c>
      <x:c r="N125" s="8" t="n">
        <x:f>K125-M125</x:f>
        <x:v>-239.59431793028557</x:v>
      </x:c>
      <x:c r="O125" s="8" t="n">
        <x:f>ABS(N125)</x:f>
        <x:v>239.59431793028557</x:v>
      </x:c>
      <x:c r="P125" s="8" t="n">
        <x:f>N125^2</x:f>
        <x:v>57405.43718447876</x:v>
      </x:c>
      <x:c r="Q125" s="8" t="n">
        <x:f>K125-L125</x:f>
        <x:v>5</x:v>
      </x:c>
      <x:c r="R125" s="9" t="n">
        <x:f>IF(AND(INDEX('Сводка'!$T$3:$T$397,U125)=0,INDEX('Сводка'!$T$3:$T$397,V125)=0),1,0)</x:f>
        <x:v>1</x:v>
      </x:c>
      <x:c r="S125" s="9" t="n">
        <x:f>IF(AND(R125=1,O125&lt;=$G$13),1,0)</x:f>
        <x:v>0</x:v>
      </x:c>
      <x:c r="T125" s="10" t="n">
        <x:f>EOMONTH(J125-'Сводка'!$B$11,-1)</x:f>
        <x:v>45961</x:v>
      </x:c>
      <x:c r="U125" s="4" t="n">
        <x:f>MATCH(J125,'Сводка'!$R$3:$R$397,0)</x:f>
        <x:v>136</x:v>
      </x:c>
      <x:c r="V125" s="4" t="n">
        <x:f>MATCH(J125-'Сводка'!$B$11,'Сводка'!$R$3:$R$397,0)</x:f>
        <x:v>135</x:v>
      </x:c>
      <x:c r="W125" s="4" t="n">
        <x:f>MATCH(T125,$J$388:$J$400,0)</x:f>
        <x:v>5</x:v>
      </x:c>
      <x:c r="X125" s="3"/>
      <x:c r="Y125" s="3"/>
      <x:c r="Z125" s="3"/>
    </x:row>
    <x:row r="126" ht="15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10" t="n">
        <x:v>45977</x:v>
      </x:c>
      <x:c r="K126" s="8" t="n">
        <x:f>INDEX('Сводка'!$S$3:$S$397,U126)</x:f>
        <x:v>-81</x:v>
      </x:c>
      <x:c r="L126" s="8" t="n">
        <x:f>INDEX('Сводка'!$S$3:$S$397,V126)</x:f>
        <x:v>-90</x:v>
      </x:c>
      <x:c r="M126" s="8" t="n">
        <x:f>INDEX($K$388:$N$400,W126,1)+INDEX($K$388:$N$400,W126,2)*(2*(J126-$T$405)/(T126-$T$405)-1)^1+INDEX($K$388:$N$400,W126,3)*(2*(J126-$T$405)/(T126-$T$405)-1)^2+INDEX($K$388:$N$400,W126,4)*(2*(J126-$T$405)/(T126-$T$405)-1)^3</x:f>
        <x:v>149.60180871940622</x:v>
      </x:c>
      <x:c r="N126" s="8" t="n">
        <x:f>K126-M126</x:f>
        <x:v>-230.60180871940622</x:v>
      </x:c>
      <x:c r="O126" s="8" t="n">
        <x:f>ABS(N126)</x:f>
        <x:v>230.60180871940622</x:v>
      </x:c>
      <x:c r="P126" s="8" t="n">
        <x:f>N126^2</x:f>
        <x:v>53177.19418466162</x:v>
      </x:c>
      <x:c r="Q126" s="8" t="n">
        <x:f>K126-L126</x:f>
        <x:v>9</x:v>
      </x:c>
      <x:c r="R126" s="9" t="n">
        <x:f>IF(AND(INDEX('Сводка'!$T$3:$T$397,U126)=0,INDEX('Сводка'!$T$3:$T$397,V126)=0),1,0)</x:f>
        <x:v>1</x:v>
      </x:c>
      <x:c r="S126" s="9" t="n">
        <x:f>IF(AND(R126=1,O126&lt;=$G$13),1,0)</x:f>
        <x:v>0</x:v>
      </x:c>
      <x:c r="T126" s="10" t="n">
        <x:f>EOMONTH(J126-'Сводка'!$B$11,-1)</x:f>
        <x:v>45961</x:v>
      </x:c>
      <x:c r="U126" s="4" t="n">
        <x:f>MATCH(J126,'Сводка'!$R$3:$R$397,0)</x:f>
        <x:v>137</x:v>
      </x:c>
      <x:c r="V126" s="4" t="n">
        <x:f>MATCH(J126-'Сводка'!$B$11,'Сводка'!$R$3:$R$397,0)</x:f>
        <x:v>136</x:v>
      </x:c>
      <x:c r="W126" s="4" t="n">
        <x:f>MATCH(T126,$J$388:$J$400,0)</x:f>
        <x:v>5</x:v>
      </x:c>
      <x:c r="X126" s="3"/>
      <x:c r="Y126" s="3"/>
      <x:c r="Z126" s="3"/>
    </x:row>
    <x:row r="127" ht="15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10" t="n">
        <x:v>45978</x:v>
      </x:c>
      <x:c r="K127" s="8" t="n">
        <x:f>INDEX('Сводка'!$S$3:$S$397,U127)</x:f>
        <x:v>-83</x:v>
      </x:c>
      <x:c r="L127" s="8" t="n">
        <x:f>INDEX('Сводка'!$S$3:$S$397,V127)</x:f>
        <x:v>-81</x:v>
      </x:c>
      <x:c r="M127" s="8" t="n">
        <x:f>INDEX($K$388:$N$400,W127,1)+INDEX($K$388:$N$400,W127,2)*(2*(J127-$T$405)/(T127-$T$405)-1)^1+INDEX($K$388:$N$400,W127,3)*(2*(J127-$T$405)/(T127-$T$405)-1)^2+INDEX($K$388:$N$400,W127,4)*(2*(J127-$T$405)/(T127-$T$405)-1)^3</x:f>
        <x:v>149.60929662050995</x:v>
      </x:c>
      <x:c r="N127" s="8" t="n">
        <x:f>K127-M127</x:f>
        <x:v>-232.60929662050995</x:v>
      </x:c>
      <x:c r="O127" s="8" t="n">
        <x:f>ABS(N127)</x:f>
        <x:v>232.60929662050995</x:v>
      </x:c>
      <x:c r="P127" s="8" t="n">
        <x:f>N127^2</x:f>
        <x:v>54107.08487428838</x:v>
      </x:c>
      <x:c r="Q127" s="8" t="n">
        <x:f>K127-L127</x:f>
        <x:v>-2</x:v>
      </x:c>
      <x:c r="R127" s="9" t="n">
        <x:f>IF(AND(INDEX('Сводка'!$T$3:$T$397,U127)=0,INDEX('Сводка'!$T$3:$T$397,V127)=0),1,0)</x:f>
        <x:v>1</x:v>
      </x:c>
      <x:c r="S127" s="9" t="n">
        <x:f>IF(AND(R127=1,O127&lt;=$G$13),1,0)</x:f>
        <x:v>0</x:v>
      </x:c>
      <x:c r="T127" s="10" t="n">
        <x:f>EOMONTH(J127-'Сводка'!$B$11,-1)</x:f>
        <x:v>45961</x:v>
      </x:c>
      <x:c r="U127" s="4" t="n">
        <x:f>MATCH(J127,'Сводка'!$R$3:$R$397,0)</x:f>
        <x:v>138</x:v>
      </x:c>
      <x:c r="V127" s="4" t="n">
        <x:f>MATCH(J127-'Сводка'!$B$11,'Сводка'!$R$3:$R$397,0)</x:f>
        <x:v>137</x:v>
      </x:c>
      <x:c r="W127" s="4" t="n">
        <x:f>MATCH(T127,$J$388:$J$400,0)</x:f>
        <x:v>5</x:v>
      </x:c>
      <x:c r="X127" s="3"/>
      <x:c r="Y127" s="3"/>
      <x:c r="Z127" s="3"/>
    </x:row>
    <x:row r="128" ht="15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10" t="n">
        <x:v>45979</x:v>
      </x:c>
      <x:c r="K128" s="8" t="n">
        <x:f>INDEX('Сводка'!$S$3:$S$397,U128)</x:f>
        <x:v>-72</x:v>
      </x:c>
      <x:c r="L128" s="8" t="n">
        <x:f>INDEX('Сводка'!$S$3:$S$397,V128)</x:f>
        <x:v>-83</x:v>
      </x:c>
      <x:c r="M128" s="8" t="n">
        <x:f>INDEX($K$388:$N$400,W128,1)+INDEX($K$388:$N$400,W128,2)*(2*(J128-$T$405)/(T128-$T$405)-1)^1+INDEX($K$388:$N$400,W128,3)*(2*(J128-$T$405)/(T128-$T$405)-1)^2+INDEX($K$388:$N$400,W128,4)*(2*(J128-$T$405)/(T128-$T$405)-1)^3</x:f>
        <x:v>149.61678163395382</x:v>
      </x:c>
      <x:c r="N128" s="8" t="n">
        <x:f>K128-M128</x:f>
        <x:v>-221.61678163395382</x:v>
      </x:c>
      <x:c r="O128" s="8" t="n">
        <x:f>ABS(N128)</x:f>
        <x:v>221.61678163395382</x:v>
      </x:c>
      <x:c r="P128" s="8" t="n">
        <x:f>N128^2</x:f>
        <x:v>49113.99790179157</x:v>
      </x:c>
      <x:c r="Q128" s="8" t="n">
        <x:f>K128-L128</x:f>
        <x:v>11</x:v>
      </x:c>
      <x:c r="R128" s="9" t="n">
        <x:f>IF(AND(INDEX('Сводка'!$T$3:$T$397,U128)=0,INDEX('Сводка'!$T$3:$T$397,V128)=0),1,0)</x:f>
        <x:v>1</x:v>
      </x:c>
      <x:c r="S128" s="9" t="n">
        <x:f>IF(AND(R128=1,O128&lt;=$G$13),1,0)</x:f>
        <x:v>0</x:v>
      </x:c>
      <x:c r="T128" s="10" t="n">
        <x:f>EOMONTH(J128-'Сводка'!$B$11,-1)</x:f>
        <x:v>45961</x:v>
      </x:c>
      <x:c r="U128" s="4" t="n">
        <x:f>MATCH(J128,'Сводка'!$R$3:$R$397,0)</x:f>
        <x:v>139</x:v>
      </x:c>
      <x:c r="V128" s="4" t="n">
        <x:f>MATCH(J128-'Сводка'!$B$11,'Сводка'!$R$3:$R$397,0)</x:f>
        <x:v>138</x:v>
      </x:c>
      <x:c r="W128" s="4" t="n">
        <x:f>MATCH(T128,$J$388:$J$400,0)</x:f>
        <x:v>5</x:v>
      </x:c>
      <x:c r="X128" s="3"/>
      <x:c r="Y128" s="3"/>
      <x:c r="Z128" s="3"/>
    </x:row>
    <x:row r="129" ht="15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10" t="n">
        <x:v>45980</x:v>
      </x:c>
      <x:c r="K129" s="8" t="n">
        <x:f>INDEX('Сводка'!$S$3:$S$397,U129)</x:f>
        <x:v>-74</x:v>
      </x:c>
      <x:c r="L129" s="8" t="n">
        <x:f>INDEX('Сводка'!$S$3:$S$397,V129)</x:f>
        <x:v>-72</x:v>
      </x:c>
      <x:c r="M129" s="8" t="n">
        <x:f>INDEX($K$388:$N$400,W129,1)+INDEX($K$388:$N$400,W129,2)*(2*(J129-$T$405)/(T129-$T$405)-1)^1+INDEX($K$388:$N$400,W129,3)*(2*(J129-$T$405)/(T129-$T$405)-1)^2+INDEX($K$388:$N$400,W129,4)*(2*(J129-$T$405)/(T129-$T$405)-1)^3</x:f>
        <x:v>149.62426376009475</x:v>
      </x:c>
      <x:c r="N129" s="8" t="n">
        <x:f>K129-M129</x:f>
        <x:v>-223.62426376009475</x:v>
      </x:c>
      <x:c r="O129" s="8" t="n">
        <x:f>ABS(N129)</x:f>
        <x:v>223.62426376009475</x:v>
      </x:c>
      <x:c r="P129" s="8" t="n">
        <x:f>N129^2</x:f>
        <x:v>50007.81134224442</x:v>
      </x:c>
      <x:c r="Q129" s="8" t="n">
        <x:f>K129-L129</x:f>
        <x:v>-2</x:v>
      </x:c>
      <x:c r="R129" s="9" t="n">
        <x:f>IF(AND(INDEX('Сводка'!$T$3:$T$397,U129)=0,INDEX('Сводка'!$T$3:$T$397,V129)=0),1,0)</x:f>
        <x:v>1</x:v>
      </x:c>
      <x:c r="S129" s="9" t="n">
        <x:f>IF(AND(R129=1,O129&lt;=$G$13),1,0)</x:f>
        <x:v>0</x:v>
      </x:c>
      <x:c r="T129" s="10" t="n">
        <x:f>EOMONTH(J129-'Сводка'!$B$11,-1)</x:f>
        <x:v>45961</x:v>
      </x:c>
      <x:c r="U129" s="4" t="n">
        <x:f>MATCH(J129,'Сводка'!$R$3:$R$397,0)</x:f>
        <x:v>140</x:v>
      </x:c>
      <x:c r="V129" s="4" t="n">
        <x:f>MATCH(J129-'Сводка'!$B$11,'Сводка'!$R$3:$R$397,0)</x:f>
        <x:v>139</x:v>
      </x:c>
      <x:c r="W129" s="4" t="n">
        <x:f>MATCH(T129,$J$388:$J$400,0)</x:f>
        <x:v>5</x:v>
      </x:c>
      <x:c r="X129" s="3"/>
      <x:c r="Y129" s="3"/>
      <x:c r="Z129" s="3"/>
    </x:row>
    <x:row r="130" ht="15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10" t="n">
        <x:v>45981</x:v>
      </x:c>
      <x:c r="K130" s="8" t="n">
        <x:f>INDEX('Сводка'!$S$3:$S$397,U130)</x:f>
        <x:v>-71</x:v>
      </x:c>
      <x:c r="L130" s="8" t="n">
        <x:f>INDEX('Сводка'!$S$3:$S$397,V130)</x:f>
        <x:v>-74</x:v>
      </x:c>
      <x:c r="M130" s="8" t="n">
        <x:f>INDEX($K$388:$N$400,W130,1)+INDEX($K$388:$N$400,W130,2)*(2*(J130-$T$405)/(T130-$T$405)-1)^1+INDEX($K$388:$N$400,W130,3)*(2*(J130-$T$405)/(T130-$T$405)-1)^2+INDEX($K$388:$N$400,W130,4)*(2*(J130-$T$405)/(T130-$T$405)-1)^3</x:f>
        <x:v>149.63174299928988</x:v>
      </x:c>
      <x:c r="N130" s="8" t="n">
        <x:f>K130-M130</x:f>
        <x:v>-220.63174299928988</x:v>
      </x:c>
      <x:c r="O130" s="8" t="n">
        <x:f>ABS(N130)</x:f>
        <x:v>220.63174299928988</x:v>
      </x:c>
      <x:c r="P130" s="8" t="n">
        <x:f>N130^2</x:f>
        <x:v>48678.3660189047</x:v>
      </x:c>
      <x:c r="Q130" s="8" t="n">
        <x:f>K130-L130</x:f>
        <x:v>3</x:v>
      </x:c>
      <x:c r="R130" s="9" t="n">
        <x:f>IF(AND(INDEX('Сводка'!$T$3:$T$397,U130)=0,INDEX('Сводка'!$T$3:$T$397,V130)=0),1,0)</x:f>
        <x:v>1</x:v>
      </x:c>
      <x:c r="S130" s="9" t="n">
        <x:f>IF(AND(R130=1,O130&lt;=$G$13),1,0)</x:f>
        <x:v>0</x:v>
      </x:c>
      <x:c r="T130" s="10" t="n">
        <x:f>EOMONTH(J130-'Сводка'!$B$11,-1)</x:f>
        <x:v>45961</x:v>
      </x:c>
      <x:c r="U130" s="4" t="n">
        <x:f>MATCH(J130,'Сводка'!$R$3:$R$397,0)</x:f>
        <x:v>141</x:v>
      </x:c>
      <x:c r="V130" s="4" t="n">
        <x:f>MATCH(J130-'Сводка'!$B$11,'Сводка'!$R$3:$R$397,0)</x:f>
        <x:v>140</x:v>
      </x:c>
      <x:c r="W130" s="4" t="n">
        <x:f>MATCH(T130,$J$388:$J$400,0)</x:f>
        <x:v>5</x:v>
      </x:c>
      <x:c r="X130" s="3"/>
      <x:c r="Y130" s="3"/>
      <x:c r="Z130" s="3"/>
    </x:row>
    <x:row r="131" ht="15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10" t="n">
        <x:v>45982</x:v>
      </x:c>
      <x:c r="K131" s="8" t="n">
        <x:f>INDEX('Сводка'!$S$3:$S$397,U131)</x:f>
        <x:v>-85</x:v>
      </x:c>
      <x:c r="L131" s="8" t="n">
        <x:f>INDEX('Сводка'!$S$3:$S$397,V131)</x:f>
        <x:v>-71</x:v>
      </x:c>
      <x:c r="M131" s="8" t="n">
        <x:f>INDEX($K$388:$N$400,W131,1)+INDEX($K$388:$N$400,W131,2)*(2*(J131-$T$405)/(T131-$T$405)-1)^1+INDEX($K$388:$N$400,W131,3)*(2*(J131-$T$405)/(T131-$T$405)-1)^2+INDEX($K$388:$N$400,W131,4)*(2*(J131-$T$405)/(T131-$T$405)-1)^3</x:f>
        <x:v>149.6392193518962</x:v>
      </x:c>
      <x:c r="N131" s="8" t="n">
        <x:f>K131-M131</x:f>
        <x:v>-234.6392193518962</x:v>
      </x:c>
      <x:c r="O131" s="8" t="n">
        <x:f>ABS(N131)</x:f>
        <x:v>234.6392193518962</x:v>
      </x:c>
      <x:c r="P131" s="8" t="n">
        <x:f>N131^2</x:f>
        <x:v>55055.56325806726</x:v>
      </x:c>
      <x:c r="Q131" s="8" t="n">
        <x:f>K131-L131</x:f>
        <x:v>-14</x:v>
      </x:c>
      <x:c r="R131" s="9" t="n">
        <x:f>IF(AND(INDEX('Сводка'!$T$3:$T$397,U131)=0,INDEX('Сводка'!$T$3:$T$397,V131)=0),1,0)</x:f>
        <x:v>1</x:v>
      </x:c>
      <x:c r="S131" s="9" t="n">
        <x:f>IF(AND(R131=1,O131&lt;=$G$13),1,0)</x:f>
        <x:v>0</x:v>
      </x:c>
      <x:c r="T131" s="10" t="n">
        <x:f>EOMONTH(J131-'Сводка'!$B$11,-1)</x:f>
        <x:v>45961</x:v>
      </x:c>
      <x:c r="U131" s="4" t="n">
        <x:f>MATCH(J131,'Сводка'!$R$3:$R$397,0)</x:f>
        <x:v>142</x:v>
      </x:c>
      <x:c r="V131" s="4" t="n">
        <x:f>MATCH(J131-'Сводка'!$B$11,'Сводка'!$R$3:$R$397,0)</x:f>
        <x:v>141</x:v>
      </x:c>
      <x:c r="W131" s="4" t="n">
        <x:f>MATCH(T131,$J$388:$J$400,0)</x:f>
        <x:v>5</x:v>
      </x:c>
      <x:c r="X131" s="3"/>
      <x:c r="Y131" s="3"/>
      <x:c r="Z131" s="3"/>
    </x:row>
    <x:row r="132" ht="15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10" t="n">
        <x:v>45983</x:v>
      </x:c>
      <x:c r="K132" s="8" t="n">
        <x:f>INDEX('Сводка'!$S$3:$S$397,U132)</x:f>
        <x:v>-98</x:v>
      </x:c>
      <x:c r="L132" s="8" t="n">
        <x:f>INDEX('Сводка'!$S$3:$S$397,V132)</x:f>
        <x:v>-85</x:v>
      </x:c>
      <x:c r="M132" s="8" t="n">
        <x:f>INDEX($K$388:$N$400,W132,1)+INDEX($K$388:$N$400,W132,2)*(2*(J132-$T$405)/(T132-$T$405)-1)^1+INDEX($K$388:$N$400,W132,3)*(2*(J132-$T$405)/(T132-$T$405)-1)^2+INDEX($K$388:$N$400,W132,4)*(2*(J132-$T$405)/(T132-$T$405)-1)^3</x:f>
        <x:v>149.64669281827074</x:v>
      </x:c>
      <x:c r="N132" s="8" t="n">
        <x:f>K132-M132</x:f>
        <x:v>-247.64669281827074</x:v>
      </x:c>
      <x:c r="O132" s="8" t="n">
        <x:f>ABS(N132)</x:f>
        <x:v>247.64669281827074</x:v>
      </x:c>
      <x:c r="P132" s="8" t="n">
        <x:f>N132^2</x:f>
        <x:v>61328.884463826944</x:v>
      </x:c>
      <x:c r="Q132" s="8" t="n">
        <x:f>K132-L132</x:f>
        <x:v>-13</x:v>
      </x:c>
      <x:c r="R132" s="9" t="n">
        <x:f>IF(AND(INDEX('Сводка'!$T$3:$T$397,U132)=0,INDEX('Сводка'!$T$3:$T$397,V132)=0),1,0)</x:f>
        <x:v>1</x:v>
      </x:c>
      <x:c r="S132" s="9" t="n">
        <x:f>IF(AND(R132=1,O132&lt;=$G$13),1,0)</x:f>
        <x:v>0</x:v>
      </x:c>
      <x:c r="T132" s="10" t="n">
        <x:f>EOMONTH(J132-'Сводка'!$B$11,-1)</x:f>
        <x:v>45961</x:v>
      </x:c>
      <x:c r="U132" s="4" t="n">
        <x:f>MATCH(J132,'Сводка'!$R$3:$R$397,0)</x:f>
        <x:v>143</x:v>
      </x:c>
      <x:c r="V132" s="4" t="n">
        <x:f>MATCH(J132-'Сводка'!$B$11,'Сводка'!$R$3:$R$397,0)</x:f>
        <x:v>142</x:v>
      </x:c>
      <x:c r="W132" s="4" t="n">
        <x:f>MATCH(T132,$J$388:$J$400,0)</x:f>
        <x:v>5</x:v>
      </x:c>
      <x:c r="X132" s="3"/>
      <x:c r="Y132" s="3"/>
      <x:c r="Z132" s="3"/>
    </x:row>
    <x:row r="133" ht="15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10" t="n">
        <x:v>45984</x:v>
      </x:c>
      <x:c r="K133" s="8" t="n">
        <x:f>INDEX('Сводка'!$S$3:$S$397,U133)</x:f>
        <x:v>-118</x:v>
      </x:c>
      <x:c r="L133" s="8" t="n">
        <x:f>INDEX('Сводка'!$S$3:$S$397,V133)</x:f>
        <x:v>-98</x:v>
      </x:c>
      <x:c r="M133" s="8" t="n">
        <x:f>INDEX($K$388:$N$400,W133,1)+INDEX($K$388:$N$400,W133,2)*(2*(J133-$T$405)/(T133-$T$405)-1)^1+INDEX($K$388:$N$400,W133,3)*(2*(J133-$T$405)/(T133-$T$405)-1)^2+INDEX($K$388:$N$400,W133,4)*(2*(J133-$T$405)/(T133-$T$405)-1)^3</x:f>
        <x:v>149.65416339877058</x:v>
      </x:c>
      <x:c r="N133" s="8" t="n">
        <x:f>K133-M133</x:f>
        <x:v>-267.6541633987706</x:v>
      </x:c>
      <x:c r="O133" s="8" t="n">
        <x:f>ABS(N133)</x:f>
        <x:v>267.6541633987706</x:v>
      </x:c>
      <x:c r="P133" s="8" t="n">
        <x:f>N133^2</x:f>
        <x:v>71638.7511846958</x:v>
      </x:c>
      <x:c r="Q133" s="8" t="n">
        <x:f>K133-L133</x:f>
        <x:v>-20</x:v>
      </x:c>
      <x:c r="R133" s="9" t="n">
        <x:f>IF(AND(INDEX('Сводка'!$T$3:$T$397,U133)=0,INDEX('Сводка'!$T$3:$T$397,V133)=0),1,0)</x:f>
        <x:v>1</x:v>
      </x:c>
      <x:c r="S133" s="9" t="n">
        <x:f>IF(AND(R133=1,O133&lt;=$G$13),1,0)</x:f>
        <x:v>0</x:v>
      </x:c>
      <x:c r="T133" s="10" t="n">
        <x:f>EOMONTH(J133-'Сводка'!$B$11,-1)</x:f>
        <x:v>45961</x:v>
      </x:c>
      <x:c r="U133" s="4" t="n">
        <x:f>MATCH(J133,'Сводка'!$R$3:$R$397,0)</x:f>
        <x:v>144</x:v>
      </x:c>
      <x:c r="V133" s="4" t="n">
        <x:f>MATCH(J133-'Сводка'!$B$11,'Сводка'!$R$3:$R$397,0)</x:f>
        <x:v>143</x:v>
      </x:c>
      <x:c r="W133" s="4" t="n">
        <x:f>MATCH(T133,$J$388:$J$400,0)</x:f>
        <x:v>5</x:v>
      </x:c>
      <x:c r="X133" s="3"/>
      <x:c r="Y133" s="3"/>
      <x:c r="Z133" s="3"/>
    </x:row>
    <x:row r="134" ht="15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10" t="n">
        <x:v>45985</x:v>
      </x:c>
      <x:c r="K134" s="8" t="n">
        <x:f>INDEX('Сводка'!$S$3:$S$397,U134)</x:f>
        <x:v>-123</x:v>
      </x:c>
      <x:c r="L134" s="8" t="n">
        <x:f>INDEX('Сводка'!$S$3:$S$397,V134)</x:f>
        <x:v>-118</x:v>
      </x:c>
      <x:c r="M134" s="8" t="n">
        <x:f>INDEX($K$388:$N$400,W134,1)+INDEX($K$388:$N$400,W134,2)*(2*(J134-$T$405)/(T134-$T$405)-1)^1+INDEX($K$388:$N$400,W134,3)*(2*(J134-$T$405)/(T134-$T$405)-1)^2+INDEX($K$388:$N$400,W134,4)*(2*(J134-$T$405)/(T134-$T$405)-1)^3</x:f>
        <x:v>149.66163109375265</x:v>
      </x:c>
      <x:c r="N134" s="8" t="n">
        <x:f>K134-M134</x:f>
        <x:v>-272.66163109375265</x:v>
      </x:c>
      <x:c r="O134" s="8" t="n">
        <x:f>ABS(N134)</x:f>
        <x:v>272.66163109375265</x:v>
      </x:c>
      <x:c r="P134" s="8" t="n">
        <x:f>N134^2</x:f>
        <x:v>74344.36507070567</x:v>
      </x:c>
      <x:c r="Q134" s="8" t="n">
        <x:f>K134-L134</x:f>
        <x:v>-5</x:v>
      </x:c>
      <x:c r="R134" s="9" t="n">
        <x:f>IF(AND(INDEX('Сводка'!$T$3:$T$397,U134)=0,INDEX('Сводка'!$T$3:$T$397,V134)=0),1,0)</x:f>
        <x:v>1</x:v>
      </x:c>
      <x:c r="S134" s="9" t="n">
        <x:f>IF(AND(R134=1,O134&lt;=$G$13),1,0)</x:f>
        <x:v>0</x:v>
      </x:c>
      <x:c r="T134" s="10" t="n">
        <x:f>EOMONTH(J134-'Сводка'!$B$11,-1)</x:f>
        <x:v>45961</x:v>
      </x:c>
      <x:c r="U134" s="4" t="n">
        <x:f>MATCH(J134,'Сводка'!$R$3:$R$397,0)</x:f>
        <x:v>145</x:v>
      </x:c>
      <x:c r="V134" s="4" t="n">
        <x:f>MATCH(J134-'Сводка'!$B$11,'Сводка'!$R$3:$R$397,0)</x:f>
        <x:v>144</x:v>
      </x:c>
      <x:c r="W134" s="4" t="n">
        <x:f>MATCH(T134,$J$388:$J$400,0)</x:f>
        <x:v>5</x:v>
      </x:c>
      <x:c r="X134" s="3"/>
      <x:c r="Y134" s="3"/>
      <x:c r="Z134" s="3"/>
    </x:row>
    <x:row r="135" ht="15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10" t="n">
        <x:v>45986</x:v>
      </x:c>
      <x:c r="K135" s="8" t="n">
        <x:f>INDEX('Сводка'!$S$3:$S$397,U135)</x:f>
        <x:v>-116</x:v>
      </x:c>
      <x:c r="L135" s="8" t="n">
        <x:f>INDEX('Сводка'!$S$3:$S$397,V135)</x:f>
        <x:v>-123</x:v>
      </x:c>
      <x:c r="M135" s="8" t="n">
        <x:f>INDEX($K$388:$N$400,W135,1)+INDEX($K$388:$N$400,W135,2)*(2*(J135-$T$405)/(T135-$T$405)-1)^1+INDEX($K$388:$N$400,W135,3)*(2*(J135-$T$405)/(T135-$T$405)-1)^2+INDEX($K$388:$N$400,W135,4)*(2*(J135-$T$405)/(T135-$T$405)-1)^3</x:f>
        <x:v>149.66909590357412</x:v>
      </x:c>
      <x:c r="N135" s="8" t="n">
        <x:f>K135-M135</x:f>
        <x:v>-265.6690959035741</x:v>
      </x:c>
      <x:c r="O135" s="8" t="n">
        <x:f>ABS(N135)</x:f>
        <x:v>265.6690959035741</x:v>
      </x:c>
      <x:c r="P135" s="8" t="n">
        <x:f>N135^2</x:f>
        <x:v>70580.06851822244</x:v>
      </x:c>
      <x:c r="Q135" s="8" t="n">
        <x:f>K135-L135</x:f>
        <x:v>7</x:v>
      </x:c>
      <x:c r="R135" s="9" t="n">
        <x:f>IF(AND(INDEX('Сводка'!$T$3:$T$397,U135)=0,INDEX('Сводка'!$T$3:$T$397,V135)=0),1,0)</x:f>
        <x:v>1</x:v>
      </x:c>
      <x:c r="S135" s="9" t="n">
        <x:f>IF(AND(R135=1,O135&lt;=$G$13),1,0)</x:f>
        <x:v>0</x:v>
      </x:c>
      <x:c r="T135" s="10" t="n">
        <x:f>EOMONTH(J135-'Сводка'!$B$11,-1)</x:f>
        <x:v>45961</x:v>
      </x:c>
      <x:c r="U135" s="4" t="n">
        <x:f>MATCH(J135,'Сводка'!$R$3:$R$397,0)</x:f>
        <x:v>146</x:v>
      </x:c>
      <x:c r="V135" s="4" t="n">
        <x:f>MATCH(J135-'Сводка'!$B$11,'Сводка'!$R$3:$R$397,0)</x:f>
        <x:v>145</x:v>
      </x:c>
      <x:c r="W135" s="4" t="n">
        <x:f>MATCH(T135,$J$388:$J$400,0)</x:f>
        <x:v>5</x:v>
      </x:c>
      <x:c r="X135" s="3"/>
      <x:c r="Y135" s="3"/>
      <x:c r="Z135" s="3"/>
    </x:row>
    <x:row r="136" ht="15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10" t="n">
        <x:v>45987</x:v>
      </x:c>
      <x:c r="K136" s="8" t="n">
        <x:f>INDEX('Сводка'!$S$3:$S$397,U136)</x:f>
        <x:v>-119</x:v>
      </x:c>
      <x:c r="L136" s="8" t="n">
        <x:f>INDEX('Сводка'!$S$3:$S$397,V136)</x:f>
        <x:v>-116</x:v>
      </x:c>
      <x:c r="M136" s="8" t="n">
        <x:f>INDEX($K$388:$N$400,W136,1)+INDEX($K$388:$N$400,W136,2)*(2*(J136-$T$405)/(T136-$T$405)-1)^1+INDEX($K$388:$N$400,W136,3)*(2*(J136-$T$405)/(T136-$T$405)-1)^2+INDEX($K$388:$N$400,W136,4)*(2*(J136-$T$405)/(T136-$T$405)-1)^3</x:f>
        <x:v>149.67655782859183</x:v>
      </x:c>
      <x:c r="N136" s="8" t="n">
        <x:f>K136-M136</x:f>
        <x:v>-268.67655782859185</x:v>
      </x:c>
      <x:c r="O136" s="8" t="n">
        <x:f>ABS(N136)</x:f>
        <x:v>268.67655782859185</x:v>
      </x:c>
      <x:c r="P136" s="8" t="n">
        <x:f>N136^2</x:f>
        <x:v>72187.09272662066</x:v>
      </x:c>
      <x:c r="Q136" s="8" t="n">
        <x:f>K136-L136</x:f>
        <x:v>-3</x:v>
      </x:c>
      <x:c r="R136" s="9" t="n">
        <x:f>IF(AND(INDEX('Сводка'!$T$3:$T$397,U136)=0,INDEX('Сводка'!$T$3:$T$397,V136)=0),1,0)</x:f>
        <x:v>1</x:v>
      </x:c>
      <x:c r="S136" s="9" t="n">
        <x:f>IF(AND(R136=1,O136&lt;=$G$13),1,0)</x:f>
        <x:v>0</x:v>
      </x:c>
      <x:c r="T136" s="10" t="n">
        <x:f>EOMONTH(J136-'Сводка'!$B$11,-1)</x:f>
        <x:v>45961</x:v>
      </x:c>
      <x:c r="U136" s="4" t="n">
        <x:f>MATCH(J136,'Сводка'!$R$3:$R$397,0)</x:f>
        <x:v>147</x:v>
      </x:c>
      <x:c r="V136" s="4" t="n">
        <x:f>MATCH(J136-'Сводка'!$B$11,'Сводка'!$R$3:$R$397,0)</x:f>
        <x:v>146</x:v>
      </x:c>
      <x:c r="W136" s="4" t="n">
        <x:f>MATCH(T136,$J$388:$J$400,0)</x:f>
        <x:v>5</x:v>
      </x:c>
      <x:c r="X136" s="3"/>
      <x:c r="Y136" s="3"/>
      <x:c r="Z136" s="3"/>
    </x:row>
    <x:row r="137" ht="15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10" t="n">
        <x:v>45988</x:v>
      </x:c>
      <x:c r="K137" s="8" t="n">
        <x:f>INDEX('Сводка'!$S$3:$S$397,U137)</x:f>
        <x:v>-114</x:v>
      </x:c>
      <x:c r="L137" s="8" t="n">
        <x:f>INDEX('Сводка'!$S$3:$S$397,V137)</x:f>
        <x:v>-119</x:v>
      </x:c>
      <x:c r="M137" s="8" t="n">
        <x:f>INDEX($K$388:$N$400,W137,1)+INDEX($K$388:$N$400,W137,2)*(2*(J137-$T$405)/(T137-$T$405)-1)^1+INDEX($K$388:$N$400,W137,3)*(2*(J137-$T$405)/(T137-$T$405)-1)^2+INDEX($K$388:$N$400,W137,4)*(2*(J137-$T$405)/(T137-$T$405)-1)^3</x:f>
        <x:v>149.68401686916306</x:v>
      </x:c>
      <x:c r="N137" s="8" t="n">
        <x:f>K137-M137</x:f>
        <x:v>-263.6840168691631</x:v>
      </x:c>
      <x:c r="O137" s="8" t="n">
        <x:f>ABS(N137)</x:f>
        <x:v>263.6840168691631</x:v>
      </x:c>
      <x:c r="P137" s="8" t="n">
        <x:f>N137^2</x:f>
        <x:v>69529.26075225709</x:v>
      </x:c>
      <x:c r="Q137" s="8" t="n">
        <x:f>K137-L137</x:f>
        <x:v>5</x:v>
      </x:c>
      <x:c r="R137" s="9" t="n">
        <x:f>IF(AND(INDEX('Сводка'!$T$3:$T$397,U137)=0,INDEX('Сводка'!$T$3:$T$397,V137)=0),1,0)</x:f>
        <x:v>1</x:v>
      </x:c>
      <x:c r="S137" s="9" t="n">
        <x:f>IF(AND(R137=1,O137&lt;=$G$13),1,0)</x:f>
        <x:v>0</x:v>
      </x:c>
      <x:c r="T137" s="10" t="n">
        <x:f>EOMONTH(J137-'Сводка'!$B$11,-1)</x:f>
        <x:v>45961</x:v>
      </x:c>
      <x:c r="U137" s="4" t="n">
        <x:f>MATCH(J137,'Сводка'!$R$3:$R$397,0)</x:f>
        <x:v>148</x:v>
      </x:c>
      <x:c r="V137" s="4" t="n">
        <x:f>MATCH(J137-'Сводка'!$B$11,'Сводка'!$R$3:$R$397,0)</x:f>
        <x:v>147</x:v>
      </x:c>
      <x:c r="W137" s="4" t="n">
        <x:f>MATCH(T137,$J$388:$J$400,0)</x:f>
        <x:v>5</x:v>
      </x:c>
      <x:c r="X137" s="3"/>
      <x:c r="Y137" s="3"/>
      <x:c r="Z137" s="3"/>
    </x:row>
    <x:row r="138" ht="15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10" t="n">
        <x:v>45989</x:v>
      </x:c>
      <x:c r="K138" s="8" t="n">
        <x:f>INDEX('Сводка'!$S$3:$S$397,U138)</x:f>
        <x:v>-86</x:v>
      </x:c>
      <x:c r="L138" s="8" t="n">
        <x:f>INDEX('Сводка'!$S$3:$S$397,V138)</x:f>
        <x:v>-114</x:v>
      </x:c>
      <x:c r="M138" s="8" t="n">
        <x:f>INDEX($K$388:$N$400,W138,1)+INDEX($K$388:$N$400,W138,2)*(2*(J138-$T$405)/(T138-$T$405)-1)^1+INDEX($K$388:$N$400,W138,3)*(2*(J138-$T$405)/(T138-$T$405)-1)^2+INDEX($K$388:$N$400,W138,4)*(2*(J138-$T$405)/(T138-$T$405)-1)^3</x:f>
        <x:v>149.6914730256446</x:v>
      </x:c>
      <x:c r="N138" s="8" t="n">
        <x:f>K138-M138</x:f>
        <x:v>-235.6914730256446</x:v>
      </x:c>
      <x:c r="O138" s="8" t="n">
        <x:f>ABS(N138)</x:f>
        <x:v>235.6914730256446</x:v>
      </x:c>
      <x:c r="P138" s="8" t="n">
        <x:f>N138^2</x:f>
        <x:v>55550.470456998155</x:v>
      </x:c>
      <x:c r="Q138" s="8" t="n">
        <x:f>K138-L138</x:f>
        <x:v>28</x:v>
      </x:c>
      <x:c r="R138" s="9" t="n">
        <x:f>IF(AND(INDEX('Сводка'!$T$3:$T$397,U138)=0,INDEX('Сводка'!$T$3:$T$397,V138)=0),1,0)</x:f>
        <x:v>0</x:v>
      </x:c>
      <x:c r="S138" s="9" t="n">
        <x:f>IF(AND(R138=1,O138&lt;=$G$13),1,0)</x:f>
        <x:v>0</x:v>
      </x:c>
      <x:c r="T138" s="10" t="n">
        <x:f>EOMONTH(J138-'Сводка'!$B$11,-1)</x:f>
        <x:v>45961</x:v>
      </x:c>
      <x:c r="U138" s="4" t="n">
        <x:f>MATCH(J138,'Сводка'!$R$3:$R$397,0)</x:f>
        <x:v>149</x:v>
      </x:c>
      <x:c r="V138" s="4" t="n">
        <x:f>MATCH(J138-'Сводка'!$B$11,'Сводка'!$R$3:$R$397,0)</x:f>
        <x:v>148</x:v>
      </x:c>
      <x:c r="W138" s="4" t="n">
        <x:f>MATCH(T138,$J$388:$J$400,0)</x:f>
        <x:v>5</x:v>
      </x:c>
      <x:c r="X138" s="3"/>
      <x:c r="Y138" s="3"/>
      <x:c r="Z138" s="3"/>
    </x:row>
    <x:row r="139" ht="15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10" t="n">
        <x:v>45990</x:v>
      </x:c>
      <x:c r="K139" s="8" t="n">
        <x:f>INDEX('Сводка'!$S$3:$S$397,U139)</x:f>
        <x:v>-58</x:v>
      </x:c>
      <x:c r="L139" s="8" t="n">
        <x:f>INDEX('Сводка'!$S$3:$S$397,V139)</x:f>
        <x:v>-86</x:v>
      </x:c>
      <x:c r="M139" s="8" t="n">
        <x:f>INDEX($K$388:$N$400,W139,1)+INDEX($K$388:$N$400,W139,2)*(2*(J139-$T$405)/(T139-$T$405)-1)^1+INDEX($K$388:$N$400,W139,3)*(2*(J139-$T$405)/(T139-$T$405)-1)^2+INDEX($K$388:$N$400,W139,4)*(2*(J139-$T$405)/(T139-$T$405)-1)^3</x:f>
        <x:v>149.69892629839367</x:v>
      </x:c>
      <x:c r="N139" s="8" t="n">
        <x:f>K139-M139</x:f>
        <x:v>-207.69892629839367</x:v>
      </x:c>
      <x:c r="O139" s="8" t="n">
        <x:f>ABS(N139)</x:f>
        <x:v>207.69892629839367</x:v>
      </x:c>
      <x:c r="P139" s="8" t="n">
        <x:f>N139^2</x:f>
        <x:v>43138.84398550557</x:v>
      </x:c>
      <x:c r="Q139" s="8" t="n">
        <x:f>K139-L139</x:f>
        <x:v>28</x:v>
      </x:c>
      <x:c r="R139" s="9" t="n">
        <x:f>IF(AND(INDEX('Сводка'!$T$3:$T$397,U139)=0,INDEX('Сводка'!$T$3:$T$397,V139)=0),1,0)</x:f>
        <x:v>0</x:v>
      </x:c>
      <x:c r="S139" s="9" t="n">
        <x:f>IF(AND(R139=1,O139&lt;=$G$13),1,0)</x:f>
        <x:v>0</x:v>
      </x:c>
      <x:c r="T139" s="10" t="n">
        <x:f>EOMONTH(J139-'Сводка'!$B$11,-1)</x:f>
        <x:v>45961</x:v>
      </x:c>
      <x:c r="U139" s="4" t="n">
        <x:f>MATCH(J139,'Сводка'!$R$3:$R$397,0)</x:f>
        <x:v>150</x:v>
      </x:c>
      <x:c r="V139" s="4" t="n">
        <x:f>MATCH(J139-'Сводка'!$B$11,'Сводка'!$R$3:$R$397,0)</x:f>
        <x:v>149</x:v>
      </x:c>
      <x:c r="W139" s="4" t="n">
        <x:f>MATCH(T139,$J$388:$J$400,0)</x:f>
        <x:v>5</x:v>
      </x:c>
      <x:c r="X139" s="3"/>
      <x:c r="Y139" s="3"/>
      <x:c r="Z139" s="3"/>
    </x:row>
    <x:row r="140" ht="15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10" t="n">
        <x:v>45991</x:v>
      </x:c>
      <x:c r="K140" s="8" t="n">
        <x:f>INDEX('Сводка'!$S$3:$S$397,U140)</x:f>
        <x:v>-53</x:v>
      </x:c>
      <x:c r="L140" s="8" t="n">
        <x:f>INDEX('Сводка'!$S$3:$S$397,V140)</x:f>
        <x:v>-58</x:v>
      </x:c>
      <x:c r="M140" s="8" t="n">
        <x:f>INDEX($K$388:$N$400,W140,1)+INDEX($K$388:$N$400,W140,2)*(2*(J140-$T$405)/(T140-$T$405)-1)^1+INDEX($K$388:$N$400,W140,3)*(2*(J140-$T$405)/(T140-$T$405)-1)^2+INDEX($K$388:$N$400,W140,4)*(2*(J140-$T$405)/(T140-$T$405)-1)^3</x:f>
        <x:v>149.70637668776718</x:v>
      </x:c>
      <x:c r="N140" s="8" t="n">
        <x:f>K140-M140</x:f>
        <x:v>-202.70637668776718</x:v>
      </x:c>
      <x:c r="O140" s="8" t="n">
        <x:f>ABS(N140)</x:f>
        <x:v>202.70637668776718</x:v>
      </x:c>
      <x:c r="P140" s="8" t="n">
        <x:f>N140^2</x:f>
        <x:v>41089.87514988296</x:v>
      </x:c>
      <x:c r="Q140" s="8" t="n">
        <x:f>K140-L140</x:f>
        <x:v>5</x:v>
      </x:c>
      <x:c r="R140" s="9" t="n">
        <x:f>IF(AND(INDEX('Сводка'!$T$3:$T$397,U140)=0,INDEX('Сводка'!$T$3:$T$397,V140)=0),1,0)</x:f>
        <x:v>1</x:v>
      </x:c>
      <x:c r="S140" s="9" t="n">
        <x:f>IF(AND(R140=1,O140&lt;=$G$13),1,0)</x:f>
        <x:v>0</x:v>
      </x:c>
      <x:c r="T140" s="10" t="n">
        <x:f>EOMONTH(J140-'Сводка'!$B$11,-1)</x:f>
        <x:v>45961</x:v>
      </x:c>
      <x:c r="U140" s="4" t="n">
        <x:f>MATCH(J140,'Сводка'!$R$3:$R$397,0)</x:f>
        <x:v>151</x:v>
      </x:c>
      <x:c r="V140" s="4" t="n">
        <x:f>MATCH(J140-'Сводка'!$B$11,'Сводка'!$R$3:$R$397,0)</x:f>
        <x:v>150</x:v>
      </x:c>
      <x:c r="W140" s="4" t="n">
        <x:f>MATCH(T140,$J$388:$J$400,0)</x:f>
        <x:v>5</x:v>
      </x:c>
      <x:c r="X140" s="3"/>
      <x:c r="Y140" s="3"/>
      <x:c r="Z140" s="3"/>
    </x:row>
    <x:row r="141" ht="15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10" t="n">
        <x:v>45992</x:v>
      </x:c>
      <x:c r="K141" s="8" t="n">
        <x:f>INDEX('Сводка'!$S$3:$S$397,U141)</x:f>
        <x:v>-56</x:v>
      </x:c>
      <x:c r="L141" s="8" t="n">
        <x:f>INDEX('Сводка'!$S$3:$S$397,V141)</x:f>
        <x:v>-53</x:v>
      </x:c>
      <x:c r="M141" s="8" t="n">
        <x:f>INDEX($K$388:$N$400,W141,1)+INDEX($K$388:$N$400,W141,2)*(2*(J141-$T$405)/(T141-$T$405)-1)^1+INDEX($K$388:$N$400,W141,3)*(2*(J141-$T$405)/(T141-$T$405)-1)^2+INDEX($K$388:$N$400,W141,4)*(2*(J141-$T$405)/(T141-$T$405)-1)^3</x:f>
        <x:v>149.71382419412222</x:v>
      </x:c>
      <x:c r="N141" s="8" t="n">
        <x:f>K141-M141</x:f>
        <x:v>-205.71382419412222</x:v>
      </x:c>
      <x:c r="O141" s="8" t="n">
        <x:f>ABS(N141)</x:f>
        <x:v>205.71382419412222</x:v>
      </x:c>
      <x:c r="P141" s="8" t="n">
        <x:f>N141^2</x:f>
        <x:v>42318.177464570224</x:v>
      </x:c>
      <x:c r="Q141" s="8" t="n">
        <x:f>K141-L141</x:f>
        <x:v>-3</x:v>
      </x:c>
      <x:c r="R141" s="9" t="n">
        <x:f>IF(AND(INDEX('Сводка'!$T$3:$T$397,U141)=0,INDEX('Сводка'!$T$3:$T$397,V141)=0),1,0)</x:f>
        <x:v>1</x:v>
      </x:c>
      <x:c r="S141" s="9" t="n">
        <x:f>IF(AND(R141=1,O141&lt;=$G$13),1,0)</x:f>
        <x:v>0</x:v>
      </x:c>
      <x:c r="T141" s="10" t="n">
        <x:f>EOMONTH(J141-'Сводка'!$B$11,-1)</x:f>
        <x:v>45961</x:v>
      </x:c>
      <x:c r="U141" s="4" t="n">
        <x:f>MATCH(J141,'Сводка'!$R$3:$R$397,0)</x:f>
        <x:v>152</x:v>
      </x:c>
      <x:c r="V141" s="4" t="n">
        <x:f>MATCH(J141-'Сводка'!$B$11,'Сводка'!$R$3:$R$397,0)</x:f>
        <x:v>151</x:v>
      </x:c>
      <x:c r="W141" s="4" t="n">
        <x:f>MATCH(T141,$J$388:$J$400,0)</x:f>
        <x:v>5</x:v>
      </x:c>
      <x:c r="X141" s="3"/>
      <x:c r="Y141" s="3"/>
      <x:c r="Z141" s="3"/>
    </x:row>
    <x:row r="142" ht="15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10" t="n">
        <x:v>45993</x:v>
      </x:c>
      <x:c r="K142" s="8" t="n">
        <x:f>INDEX('Сводка'!$S$3:$S$397,U142)</x:f>
        <x:v>-46</x:v>
      </x:c>
      <x:c r="L142" s="8" t="n">
        <x:f>INDEX('Сводка'!$S$3:$S$397,V142)</x:f>
        <x:v>-56</x:v>
      </x:c>
      <x:c r="M142" s="8" t="n">
        <x:f>INDEX($K$388:$N$400,W142,1)+INDEX($K$388:$N$400,W142,2)*(2*(J142-$T$405)/(T142-$T$405)-1)^1+INDEX($K$388:$N$400,W142,3)*(2*(J142-$T$405)/(T142-$T$405)-1)^2+INDEX($K$388:$N$400,W142,4)*(2*(J142-$T$405)/(T142-$T$405)-1)^3</x:f>
        <x:v>136.73092618580367</x:v>
      </x:c>
      <x:c r="N142" s="8" t="n">
        <x:f>K142-M142</x:f>
        <x:v>-182.73092618580367</x:v>
      </x:c>
      <x:c r="O142" s="8" t="n">
        <x:f>ABS(N142)</x:f>
        <x:v>182.73092618580367</x:v>
      </x:c>
      <x:c r="P142" s="8" t="n">
        <x:f>N142^2</x:f>
        <x:v>33390.59138472163</x:v>
      </x:c>
      <x:c r="Q142" s="8" t="n">
        <x:f>K142-L142</x:f>
        <x:v>10</x:v>
      </x:c>
      <x:c r="R142" s="9" t="n">
        <x:f>IF(AND(INDEX('Сводка'!$T$3:$T$397,U142)=0,INDEX('Сводка'!$T$3:$T$397,V142)=0),1,0)</x:f>
        <x:v>1</x:v>
      </x:c>
      <x:c r="S142" s="9" t="n">
        <x:f>IF(AND(R142=1,O142&lt;=$G$13),1,0)</x:f>
        <x:v>0</x:v>
      </x:c>
      <x:c r="T142" s="10" t="n">
        <x:f>EOMONTH(J142-'Сводка'!$B$11,-1)</x:f>
        <x:v>45991</x:v>
      </x:c>
      <x:c r="U142" s="4" t="n">
        <x:f>MATCH(J142,'Сводка'!$R$3:$R$397,0)</x:f>
        <x:v>153</x:v>
      </x:c>
      <x:c r="V142" s="4" t="n">
        <x:f>MATCH(J142-'Сводка'!$B$11,'Сводка'!$R$3:$R$397,0)</x:f>
        <x:v>152</x:v>
      </x:c>
      <x:c r="W142" s="4" t="n">
        <x:f>MATCH(T142,$J$388:$J$400,0)</x:f>
        <x:v>6</x:v>
      </x:c>
      <x:c r="X142" s="3"/>
      <x:c r="Y142" s="3"/>
      <x:c r="Z142" s="3"/>
    </x:row>
    <x:row r="143" ht="15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10" t="n">
        <x:v>45994</x:v>
      </x:c>
      <x:c r="K143" s="8" t="n">
        <x:f>INDEX('Сводка'!$S$3:$S$397,U143)</x:f>
        <x:v>-30</x:v>
      </x:c>
      <x:c r="L143" s="8" t="n">
        <x:f>INDEX('Сводка'!$S$3:$S$397,V143)</x:f>
        <x:v>-46</x:v>
      </x:c>
      <x:c r="M143" s="8" t="n">
        <x:f>INDEX($K$388:$N$400,W143,1)+INDEX($K$388:$N$400,W143,2)*(2*(J143-$T$405)/(T143-$T$405)-1)^1+INDEX($K$388:$N$400,W143,3)*(2*(J143-$T$405)/(T143-$T$405)-1)^2+INDEX($K$388:$N$400,W143,4)*(2*(J143-$T$405)/(T143-$T$405)-1)^3</x:f>
        <x:v>136.72750788447576</x:v>
      </x:c>
      <x:c r="N143" s="8" t="n">
        <x:f>K143-M143</x:f>
        <x:v>-166.72750788447576</x:v>
      </x:c>
      <x:c r="O143" s="8" t="n">
        <x:f>ABS(N143)</x:f>
        <x:v>166.72750788447576</x:v>
      </x:c>
      <x:c r="P143" s="8" t="n">
        <x:f>N143^2</x:f>
        <x:v>27798.061885367926</x:v>
      </x:c>
      <x:c r="Q143" s="8" t="n">
        <x:f>K143-L143</x:f>
        <x:v>16</x:v>
      </x:c>
      <x:c r="R143" s="9" t="n">
        <x:f>IF(AND(INDEX('Сводка'!$T$3:$T$397,U143)=0,INDEX('Сводка'!$T$3:$T$397,V143)=0),1,0)</x:f>
        <x:v>1</x:v>
      </x:c>
      <x:c r="S143" s="9" t="n">
        <x:f>IF(AND(R143=1,O143&lt;=$G$13),1,0)</x:f>
        <x:v>0</x:v>
      </x:c>
      <x:c r="T143" s="10" t="n">
        <x:f>EOMONTH(J143-'Сводка'!$B$11,-1)</x:f>
        <x:v>45991</x:v>
      </x:c>
      <x:c r="U143" s="4" t="n">
        <x:f>MATCH(J143,'Сводка'!$R$3:$R$397,0)</x:f>
        <x:v>154</x:v>
      </x:c>
      <x:c r="V143" s="4" t="n">
        <x:f>MATCH(J143-'Сводка'!$B$11,'Сводка'!$R$3:$R$397,0)</x:f>
        <x:v>153</x:v>
      </x:c>
      <x:c r="W143" s="4" t="n">
        <x:f>MATCH(T143,$J$388:$J$400,0)</x:f>
        <x:v>6</x:v>
      </x:c>
      <x:c r="X143" s="3"/>
      <x:c r="Y143" s="3"/>
      <x:c r="Z143" s="3"/>
    </x:row>
    <x:row r="144" ht="15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10" t="n">
        <x:v>45995</x:v>
      </x:c>
      <x:c r="K144" s="8" t="n">
        <x:f>INDEX('Сводка'!$S$3:$S$397,U144)</x:f>
        <x:v>-20</x:v>
      </x:c>
      <x:c r="L144" s="8" t="n">
        <x:f>INDEX('Сводка'!$S$3:$S$397,V144)</x:f>
        <x:v>-30</x:v>
      </x:c>
      <x:c r="M144" s="8" t="n">
        <x:f>INDEX($K$388:$N$400,W144,1)+INDEX($K$388:$N$400,W144,2)*(2*(J144-$T$405)/(T144-$T$405)-1)^1+INDEX($K$388:$N$400,W144,3)*(2*(J144-$T$405)/(T144-$T$405)-1)^2+INDEX($K$388:$N$400,W144,4)*(2*(J144-$T$405)/(T144-$T$405)-1)^3</x:f>
        <x:v>136.72408178960274</x:v>
      </x:c>
      <x:c r="N144" s="8" t="n">
        <x:f>K144-M144</x:f>
        <x:v>-156.72408178960274</x:v>
      </x:c>
      <x:c r="O144" s="8" t="n">
        <x:f>ABS(N144)</x:f>
        <x:v>156.72408178960274</x:v>
      </x:c>
      <x:c r="P144" s="8" t="n">
        <x:f>N144^2</x:f>
        <x:v>24562.437812794087</x:v>
      </x:c>
      <x:c r="Q144" s="8" t="n">
        <x:f>K144-L144</x:f>
        <x:v>10</x:v>
      </x:c>
      <x:c r="R144" s="9" t="n">
        <x:f>IF(AND(INDEX('Сводка'!$T$3:$T$397,U144)=0,INDEX('Сводка'!$T$3:$T$397,V144)=0),1,0)</x:f>
        <x:v>1</x:v>
      </x:c>
      <x:c r="S144" s="9" t="n">
        <x:f>IF(AND(R144=1,O144&lt;=$G$13),1,0)</x:f>
        <x:v>0</x:v>
      </x:c>
      <x:c r="T144" s="10" t="n">
        <x:f>EOMONTH(J144-'Сводка'!$B$11,-1)</x:f>
        <x:v>45991</x:v>
      </x:c>
      <x:c r="U144" s="4" t="n">
        <x:f>MATCH(J144,'Сводка'!$R$3:$R$397,0)</x:f>
        <x:v>155</x:v>
      </x:c>
      <x:c r="V144" s="4" t="n">
        <x:f>MATCH(J144-'Сводка'!$B$11,'Сводка'!$R$3:$R$397,0)</x:f>
        <x:v>154</x:v>
      </x:c>
      <x:c r="W144" s="4" t="n">
        <x:f>MATCH(T144,$J$388:$J$400,0)</x:f>
        <x:v>6</x:v>
      </x:c>
      <x:c r="X144" s="3"/>
      <x:c r="Y144" s="3"/>
      <x:c r="Z144" s="3"/>
    </x:row>
    <x:row r="145" ht="15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10" t="n">
        <x:v>45996</x:v>
      </x:c>
      <x:c r="K145" s="8" t="n">
        <x:f>INDEX('Сводка'!$S$3:$S$397,U145)</x:f>
        <x:v>-16</x:v>
      </x:c>
      <x:c r="L145" s="8" t="n">
        <x:f>INDEX('Сводка'!$S$3:$S$397,V145)</x:f>
        <x:v>-20</x:v>
      </x:c>
      <x:c r="M145" s="8" t="n">
        <x:f>INDEX($K$388:$N$400,W145,1)+INDEX($K$388:$N$400,W145,2)*(2*(J145-$T$405)/(T145-$T$405)-1)^1+INDEX($K$388:$N$400,W145,3)*(2*(J145-$T$405)/(T145-$T$405)-1)^2+INDEX($K$388:$N$400,W145,4)*(2*(J145-$T$405)/(T145-$T$405)-1)^3</x:f>
        <x:v>136.72064790056476</x:v>
      </x:c>
      <x:c r="N145" s="8" t="n">
        <x:f>K145-M145</x:f>
        <x:v>-152.72064790056476</x:v>
      </x:c>
      <x:c r="O145" s="8" t="n">
        <x:f>ABS(N145)</x:f>
        <x:v>152.72064790056476</x:v>
      </x:c>
      <x:c r="P145" s="8" t="n">
        <x:f>N145^2</x:f>
        <x:v>23323.596295168274</x:v>
      </x:c>
      <x:c r="Q145" s="8" t="n">
        <x:f>K145-L145</x:f>
        <x:v>4</x:v>
      </x:c>
      <x:c r="R145" s="9" t="n">
        <x:f>IF(AND(INDEX('Сводка'!$T$3:$T$397,U145)=0,INDEX('Сводка'!$T$3:$T$397,V145)=0),1,0)</x:f>
        <x:v>0</x:v>
      </x:c>
      <x:c r="S145" s="9" t="n">
        <x:f>IF(AND(R145=1,O145&lt;=$G$13),1,0)</x:f>
        <x:v>0</x:v>
      </x:c>
      <x:c r="T145" s="10" t="n">
        <x:f>EOMONTH(J145-'Сводка'!$B$11,-1)</x:f>
        <x:v>45991</x:v>
      </x:c>
      <x:c r="U145" s="4" t="n">
        <x:f>MATCH(J145,'Сводка'!$R$3:$R$397,0)</x:f>
        <x:v>156</x:v>
      </x:c>
      <x:c r="V145" s="4" t="n">
        <x:f>MATCH(J145-'Сводка'!$B$11,'Сводка'!$R$3:$R$397,0)</x:f>
        <x:v>155</x:v>
      </x:c>
      <x:c r="W145" s="4" t="n">
        <x:f>MATCH(T145,$J$388:$J$400,0)</x:f>
        <x:v>6</x:v>
      </x:c>
      <x:c r="X145" s="3"/>
      <x:c r="Y145" s="3"/>
      <x:c r="Z145" s="3"/>
    </x:row>
    <x:row r="146" ht="15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10" t="n">
        <x:v>45997</x:v>
      </x:c>
      <x:c r="K146" s="8" t="n">
        <x:f>INDEX('Сводка'!$S$3:$S$397,U146)</x:f>
        <x:v>-12</x:v>
      </x:c>
      <x:c r="L146" s="8" t="n">
        <x:f>INDEX('Сводка'!$S$3:$S$397,V146)</x:f>
        <x:v>-16</x:v>
      </x:c>
      <x:c r="M146" s="8" t="n">
        <x:f>INDEX($K$388:$N$400,W146,1)+INDEX($K$388:$N$400,W146,2)*(2*(J146-$T$405)/(T146-$T$405)-1)^1+INDEX($K$388:$N$400,W146,3)*(2*(J146-$T$405)/(T146-$T$405)-1)^2+INDEX($K$388:$N$400,W146,4)*(2*(J146-$T$405)/(T146-$T$405)-1)^3</x:f>
        <x:v>136.71720621674203</x:v>
      </x:c>
      <x:c r="N146" s="8" t="n">
        <x:f>K146-M146</x:f>
        <x:v>-148.71720621674203</x:v>
      </x:c>
      <x:c r="O146" s="8" t="n">
        <x:f>ABS(N146)</x:f>
        <x:v>148.71720621674203</x:v>
      </x:c>
      <x:c r="P146" s="8" t="n">
        <x:f>N146^2</x:f>
        <x:v>22116.807424912975</x:v>
      </x:c>
      <x:c r="Q146" s="8" t="n">
        <x:f>K146-L146</x:f>
        <x:v>4</x:v>
      </x:c>
      <x:c r="R146" s="9" t="n">
        <x:f>IF(AND(INDEX('Сводка'!$T$3:$T$397,U146)=0,INDEX('Сводка'!$T$3:$T$397,V146)=0),1,0)</x:f>
        <x:v>0</x:v>
      </x:c>
      <x:c r="S146" s="9" t="n">
        <x:f>IF(AND(R146=1,O146&lt;=$G$13),1,0)</x:f>
        <x:v>0</x:v>
      </x:c>
      <x:c r="T146" s="10" t="n">
        <x:f>EOMONTH(J146-'Сводка'!$B$11,-1)</x:f>
        <x:v>45991</x:v>
      </x:c>
      <x:c r="U146" s="4" t="n">
        <x:f>MATCH(J146,'Сводка'!$R$3:$R$397,0)</x:f>
        <x:v>157</x:v>
      </x:c>
      <x:c r="V146" s="4" t="n">
        <x:f>MATCH(J146-'Сводка'!$B$11,'Сводка'!$R$3:$R$397,0)</x:f>
        <x:v>156</x:v>
      </x:c>
      <x:c r="W146" s="4" t="n">
        <x:f>MATCH(T146,$J$388:$J$400,0)</x:f>
        <x:v>6</x:v>
      </x:c>
      <x:c r="X146" s="3"/>
      <x:c r="Y146" s="3"/>
      <x:c r="Z146" s="3"/>
    </x:row>
    <x:row r="147" ht="15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10" t="n">
        <x:v>45998</x:v>
      </x:c>
      <x:c r="K147" s="8" t="n">
        <x:f>INDEX('Сводка'!$S$3:$S$397,U147)</x:f>
        <x:v>-8</x:v>
      </x:c>
      <x:c r="L147" s="8" t="n">
        <x:f>INDEX('Сводка'!$S$3:$S$397,V147)</x:f>
        <x:v>-12</x:v>
      </x:c>
      <x:c r="M147" s="8" t="n">
        <x:f>INDEX($K$388:$N$400,W147,1)+INDEX($K$388:$N$400,W147,2)*(2*(J147-$T$405)/(T147-$T$405)-1)^1+INDEX($K$388:$N$400,W147,3)*(2*(J147-$T$405)/(T147-$T$405)-1)^2+INDEX($K$388:$N$400,W147,4)*(2*(J147-$T$405)/(T147-$T$405)-1)^3</x:f>
        <x:v>136.71375673751464</x:v>
      </x:c>
      <x:c r="N147" s="8" t="n">
        <x:f>K147-M147</x:f>
        <x:v>-144.71375673751464</x:v>
      </x:c>
      <x:c r="O147" s="8" t="n">
        <x:f>ABS(N147)</x:f>
        <x:v>144.71375673751464</x:v>
      </x:c>
      <x:c r="P147" s="8" t="n">
        <x:f>N147^2</x:f>
        <x:v>20942.071389084565</x:v>
      </x:c>
      <x:c r="Q147" s="8" t="n">
        <x:f>K147-L147</x:f>
        <x:v>4</x:v>
      </x:c>
      <x:c r="R147" s="9" t="n">
        <x:f>IF(AND(INDEX('Сводка'!$T$3:$T$397,U147)=0,INDEX('Сводка'!$T$3:$T$397,V147)=0),1,0)</x:f>
        <x:v>0</x:v>
      </x:c>
      <x:c r="S147" s="9" t="n">
        <x:f>IF(AND(R147=1,O147&lt;=$G$13),1,0)</x:f>
        <x:v>0</x:v>
      </x:c>
      <x:c r="T147" s="10" t="n">
        <x:f>EOMONTH(J147-'Сводка'!$B$11,-1)</x:f>
        <x:v>45991</x:v>
      </x:c>
      <x:c r="U147" s="4" t="n">
        <x:f>MATCH(J147,'Сводка'!$R$3:$R$397,0)</x:f>
        <x:v>158</x:v>
      </x:c>
      <x:c r="V147" s="4" t="n">
        <x:f>MATCH(J147-'Сводка'!$B$11,'Сводка'!$R$3:$R$397,0)</x:f>
        <x:v>157</x:v>
      </x:c>
      <x:c r="W147" s="4" t="n">
        <x:f>MATCH(T147,$J$388:$J$400,0)</x:f>
        <x:v>6</x:v>
      </x:c>
      <x:c r="X147" s="3"/>
      <x:c r="Y147" s="3"/>
      <x:c r="Z147" s="3"/>
    </x:row>
    <x:row r="148" ht="15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10" t="n">
        <x:v>45999</x:v>
      </x:c>
      <x:c r="K148" s="8" t="n">
        <x:f>INDEX('Сводка'!$S$3:$S$397,U148)</x:f>
        <x:v>-13</x:v>
      </x:c>
      <x:c r="L148" s="8" t="n">
        <x:f>INDEX('Сводка'!$S$3:$S$397,V148)</x:f>
        <x:v>-8</x:v>
      </x:c>
      <x:c r="M148" s="8" t="n">
        <x:f>INDEX($K$388:$N$400,W148,1)+INDEX($K$388:$N$400,W148,2)*(2*(J148-$T$405)/(T148-$T$405)-1)^1+INDEX($K$388:$N$400,W148,3)*(2*(J148-$T$405)/(T148-$T$405)-1)^2+INDEX($K$388:$N$400,W148,4)*(2*(J148-$T$405)/(T148-$T$405)-1)^3</x:f>
        <x:v>136.71029946226273</x:v>
      </x:c>
      <x:c r="N148" s="8" t="n">
        <x:f>K148-M148</x:f>
        <x:v>-149.71029946226273</x:v>
      </x:c>
      <x:c r="O148" s="8" t="n">
        <x:f>ABS(N148)</x:f>
        <x:v>149.71029946226273</x:v>
      </x:c>
      <x:c r="P148" s="8" t="n">
        <x:f>N148^2</x:f>
        <x:v>22413.173765080384</x:v>
      </x:c>
      <x:c r="Q148" s="8" t="n">
        <x:f>K148-L148</x:f>
        <x:v>-5</x:v>
      </x:c>
      <x:c r="R148" s="9" t="n">
        <x:f>IF(AND(INDEX('Сводка'!$T$3:$T$397,U148)=0,INDEX('Сводка'!$T$3:$T$397,V148)=0),1,0)</x:f>
        <x:v>1</x:v>
      </x:c>
      <x:c r="S148" s="9" t="n">
        <x:f>IF(AND(R148=1,O148&lt;=$G$13),1,0)</x:f>
        <x:v>0</x:v>
      </x:c>
      <x:c r="T148" s="10" t="n">
        <x:f>EOMONTH(J148-'Сводка'!$B$11,-1)</x:f>
        <x:v>45991</x:v>
      </x:c>
      <x:c r="U148" s="4" t="n">
        <x:f>MATCH(J148,'Сводка'!$R$3:$R$397,0)</x:f>
        <x:v>159</x:v>
      </x:c>
      <x:c r="V148" s="4" t="n">
        <x:f>MATCH(J148-'Сводка'!$B$11,'Сводка'!$R$3:$R$397,0)</x:f>
        <x:v>158</x:v>
      </x:c>
      <x:c r="W148" s="4" t="n">
        <x:f>MATCH(T148,$J$388:$J$400,0)</x:f>
        <x:v>6</x:v>
      </x:c>
      <x:c r="X148" s="3"/>
      <x:c r="Y148" s="3"/>
      <x:c r="Z148" s="3"/>
    </x:row>
    <x:row r="149" ht="15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10" t="n">
        <x:v>46000</x:v>
      </x:c>
      <x:c r="K149" s="8" t="n">
        <x:f>INDEX('Сводка'!$S$3:$S$397,U149)</x:f>
        <x:v>-20</x:v>
      </x:c>
      <x:c r="L149" s="8" t="n">
        <x:f>INDEX('Сводка'!$S$3:$S$397,V149)</x:f>
        <x:v>-13</x:v>
      </x:c>
      <x:c r="M149" s="8" t="n">
        <x:f>INDEX($K$388:$N$400,W149,1)+INDEX($K$388:$N$400,W149,2)*(2*(J149-$T$405)/(T149-$T$405)-1)^1+INDEX($K$388:$N$400,W149,3)*(2*(J149-$T$405)/(T149-$T$405)-1)^2+INDEX($K$388:$N$400,W149,4)*(2*(J149-$T$405)/(T149-$T$405)-1)^3</x:f>
        <x:v>136.70683439036642</x:v>
      </x:c>
      <x:c r="N149" s="8" t="n">
        <x:f>K149-M149</x:f>
        <x:v>-156.70683439036642</x:v>
      </x:c>
      <x:c r="O149" s="8" t="n">
        <x:f>ABS(N149)</x:f>
        <x:v>156.70683439036642</x:v>
      </x:c>
      <x:c r="P149" s="8" t="n">
        <x:f>N149^2</x:f>
        <x:v>24557.03194464973</x:v>
      </x:c>
      <x:c r="Q149" s="8" t="n">
        <x:f>K149-L149</x:f>
        <x:v>-7</x:v>
      </x:c>
      <x:c r="R149" s="9" t="n">
        <x:f>IF(AND(INDEX('Сводка'!$T$3:$T$397,U149)=0,INDEX('Сводка'!$T$3:$T$397,V149)=0),1,0)</x:f>
        <x:v>1</x:v>
      </x:c>
      <x:c r="S149" s="9" t="n">
        <x:f>IF(AND(R149=1,O149&lt;=$G$13),1,0)</x:f>
        <x:v>0</x:v>
      </x:c>
      <x:c r="T149" s="10" t="n">
        <x:f>EOMONTH(J149-'Сводка'!$B$11,-1)</x:f>
        <x:v>45991</x:v>
      </x:c>
      <x:c r="U149" s="4" t="n">
        <x:f>MATCH(J149,'Сводка'!$R$3:$R$397,0)</x:f>
        <x:v>160</x:v>
      </x:c>
      <x:c r="V149" s="4" t="n">
        <x:f>MATCH(J149-'Сводка'!$B$11,'Сводка'!$R$3:$R$397,0)</x:f>
        <x:v>159</x:v>
      </x:c>
      <x:c r="W149" s="4" t="n">
        <x:f>MATCH(T149,$J$388:$J$400,0)</x:f>
        <x:v>6</x:v>
      </x:c>
      <x:c r="X149" s="3"/>
      <x:c r="Y149" s="3"/>
      <x:c r="Z149" s="3"/>
    </x:row>
    <x:row r="150" ht="15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10" t="n">
        <x:v>46001</x:v>
      </x:c>
      <x:c r="K150" s="8" t="n">
        <x:f>INDEX('Сводка'!$S$3:$S$397,U150)</x:f>
        <x:v>-28</x:v>
      </x:c>
      <x:c r="L150" s="8" t="n">
        <x:f>INDEX('Сводка'!$S$3:$S$397,V150)</x:f>
        <x:v>-20</x:v>
      </x:c>
      <x:c r="M150" s="8" t="n">
        <x:f>INDEX($K$388:$N$400,W150,1)+INDEX($K$388:$N$400,W150,2)*(2*(J150-$T$405)/(T150-$T$405)-1)^1+INDEX($K$388:$N$400,W150,3)*(2*(J150-$T$405)/(T150-$T$405)-1)^2+INDEX($K$388:$N$400,W150,4)*(2*(J150-$T$405)/(T150-$T$405)-1)^3</x:f>
        <x:v>136.70336152120595</x:v>
      </x:c>
      <x:c r="N150" s="8" t="n">
        <x:f>K150-M150</x:f>
        <x:v>-164.70336152120595</x:v>
      </x:c>
      <x:c r="O150" s="8" t="n">
        <x:f>ABS(N150)</x:f>
        <x:v>164.70336152120595</x:v>
      </x:c>
      <x:c r="P150" s="8" t="n">
        <x:f>N150^2</x:f>
        <x:v>27127.197296385064</x:v>
      </x:c>
      <x:c r="Q150" s="8" t="n">
        <x:f>K150-L150</x:f>
        <x:v>-8</x:v>
      </x:c>
      <x:c r="R150" s="9" t="n">
        <x:f>IF(AND(INDEX('Сводка'!$T$3:$T$397,U150)=0,INDEX('Сводка'!$T$3:$T$397,V150)=0),1,0)</x:f>
        <x:v>1</x:v>
      </x:c>
      <x:c r="S150" s="9" t="n">
        <x:f>IF(AND(R150=1,O150&lt;=$G$13),1,0)</x:f>
        <x:v>0</x:v>
      </x:c>
      <x:c r="T150" s="10" t="n">
        <x:f>EOMONTH(J150-'Сводка'!$B$11,-1)</x:f>
        <x:v>45991</x:v>
      </x:c>
      <x:c r="U150" s="4" t="n">
        <x:f>MATCH(J150,'Сводка'!$R$3:$R$397,0)</x:f>
        <x:v>161</x:v>
      </x:c>
      <x:c r="V150" s="4" t="n">
        <x:f>MATCH(J150-'Сводка'!$B$11,'Сводка'!$R$3:$R$397,0)</x:f>
        <x:v>160</x:v>
      </x:c>
      <x:c r="W150" s="4" t="n">
        <x:f>MATCH(T150,$J$388:$J$400,0)</x:f>
        <x:v>6</x:v>
      </x:c>
      <x:c r="X150" s="3"/>
      <x:c r="Y150" s="3"/>
      <x:c r="Z150" s="3"/>
    </x:row>
    <x:row r="151" ht="15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10" t="n">
        <x:v>46002</x:v>
      </x:c>
      <x:c r="K151" s="8" t="n">
        <x:f>INDEX('Сводка'!$S$3:$S$397,U151)</x:f>
        <x:v>-38</x:v>
      </x:c>
      <x:c r="L151" s="8" t="n">
        <x:f>INDEX('Сводка'!$S$3:$S$397,V151)</x:f>
        <x:v>-28</x:v>
      </x:c>
      <x:c r="M151" s="8" t="n">
        <x:f>INDEX($K$388:$N$400,W151,1)+INDEX($K$388:$N$400,W151,2)*(2*(J151-$T$405)/(T151-$T$405)-1)^1+INDEX($K$388:$N$400,W151,3)*(2*(J151-$T$405)/(T151-$T$405)-1)^2+INDEX($K$388:$N$400,W151,4)*(2*(J151-$T$405)/(T151-$T$405)-1)^3</x:f>
        <x:v>136.6998808541614</x:v>
      </x:c>
      <x:c r="N151" s="8" t="n">
        <x:f>K151-M151</x:f>
        <x:v>-174.6998808541614</x:v>
      </x:c>
      <x:c r="O151" s="8" t="n">
        <x:f>ABS(N151)</x:f>
        <x:v>174.6998808541614</x:v>
      </x:c>
      <x:c r="P151" s="8" t="n">
        <x:f>N151^2</x:f>
        <x:v>30520.048370458186</x:v>
      </x:c>
      <x:c r="Q151" s="8" t="n">
        <x:f>K151-L151</x:f>
        <x:v>-10</x:v>
      </x:c>
      <x:c r="R151" s="9" t="n">
        <x:f>IF(AND(INDEX('Сводка'!$T$3:$T$397,U151)=0,INDEX('Сводка'!$T$3:$T$397,V151)=0),1,0)</x:f>
        <x:v>1</x:v>
      </x:c>
      <x:c r="S151" s="9" t="n">
        <x:f>IF(AND(R151=1,O151&lt;=$G$13),1,0)</x:f>
        <x:v>0</x:v>
      </x:c>
      <x:c r="T151" s="10" t="n">
        <x:f>EOMONTH(J151-'Сводка'!$B$11,-1)</x:f>
        <x:v>45991</x:v>
      </x:c>
      <x:c r="U151" s="4" t="n">
        <x:f>MATCH(J151,'Сводка'!$R$3:$R$397,0)</x:f>
        <x:v>162</x:v>
      </x:c>
      <x:c r="V151" s="4" t="n">
        <x:f>MATCH(J151-'Сводка'!$B$11,'Сводка'!$R$3:$R$397,0)</x:f>
        <x:v>161</x:v>
      </x:c>
      <x:c r="W151" s="4" t="n">
        <x:f>MATCH(T151,$J$388:$J$400,0)</x:f>
        <x:v>6</x:v>
      </x:c>
      <x:c r="X151" s="3"/>
      <x:c r="Y151" s="3"/>
      <x:c r="Z151" s="3"/>
    </x:row>
    <x:row r="152" ht="15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10" t="n">
        <x:v>46003</x:v>
      </x:c>
      <x:c r="K152" s="8" t="n">
        <x:f>INDEX('Сводка'!$S$3:$S$397,U152)</x:f>
        <x:v>-37.7</x:v>
      </x:c>
      <x:c r="L152" s="8" t="n">
        <x:f>INDEX('Сводка'!$S$3:$S$397,V152)</x:f>
        <x:v>-38</x:v>
      </x:c>
      <x:c r="M152" s="8" t="n">
        <x:f>INDEX($K$388:$N$400,W152,1)+INDEX($K$388:$N$400,W152,2)*(2*(J152-$T$405)/(T152-$T$405)-1)^1+INDEX($K$388:$N$400,W152,3)*(2*(J152-$T$405)/(T152-$T$405)-1)^2+INDEX($K$388:$N$400,W152,4)*(2*(J152-$T$405)/(T152-$T$405)-1)^3</x:f>
        <x:v>136.69639238861288</x:v>
      </x:c>
      <x:c r="N152" s="8" t="n">
        <x:f>K152-M152</x:f>
        <x:v>-174.39639238861287</x:v>
      </x:c>
      <x:c r="O152" s="8" t="n">
        <x:f>ABS(N152)</x:f>
        <x:v>174.39639238861287</x:v>
      </x:c>
      <x:c r="P152" s="8" t="n">
        <x:f>N152^2</x:f>
        <x:v>30414.101678163028</x:v>
      </x:c>
      <x:c r="Q152" s="8" t="n">
        <x:f>K152-L152</x:f>
        <x:v>0.29999999999999716</x:v>
      </x:c>
      <x:c r="R152" s="9" t="n">
        <x:f>IF(AND(INDEX('Сводка'!$T$3:$T$397,U152)=0,INDEX('Сводка'!$T$3:$T$397,V152)=0),1,0)</x:f>
        <x:v>0</x:v>
      </x:c>
      <x:c r="S152" s="9" t="n">
        <x:f>IF(AND(R152=1,O152&lt;=$G$13),1,0)</x:f>
        <x:v>0</x:v>
      </x:c>
      <x:c r="T152" s="10" t="n">
        <x:f>EOMONTH(J152-'Сводка'!$B$11,-1)</x:f>
        <x:v>45991</x:v>
      </x:c>
      <x:c r="U152" s="4" t="n">
        <x:f>MATCH(J152,'Сводка'!$R$3:$R$397,0)</x:f>
        <x:v>163</x:v>
      </x:c>
      <x:c r="V152" s="4" t="n">
        <x:f>MATCH(J152-'Сводка'!$B$11,'Сводка'!$R$3:$R$397,0)</x:f>
        <x:v>162</x:v>
      </x:c>
      <x:c r="W152" s="4" t="n">
        <x:f>MATCH(T152,$J$388:$J$400,0)</x:f>
        <x:v>6</x:v>
      </x:c>
      <x:c r="X152" s="3"/>
      <x:c r="Y152" s="3"/>
      <x:c r="Z152" s="3"/>
    </x:row>
    <x:row r="153" ht="15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10" t="n">
        <x:v>46004</x:v>
      </x:c>
      <x:c r="K153" s="8" t="n">
        <x:f>INDEX('Сводка'!$S$3:$S$397,U153)</x:f>
        <x:v>-37.3</x:v>
      </x:c>
      <x:c r="L153" s="8" t="n">
        <x:f>INDEX('Сводка'!$S$3:$S$397,V153)</x:f>
        <x:v>-37.7</x:v>
      </x:c>
      <x:c r="M153" s="8" t="n">
        <x:f>INDEX($K$388:$N$400,W153,1)+INDEX($K$388:$N$400,W153,2)*(2*(J153-$T$405)/(T153-$T$405)-1)^1+INDEX($K$388:$N$400,W153,3)*(2*(J153-$T$405)/(T153-$T$405)-1)^2+INDEX($K$388:$N$400,W153,4)*(2*(J153-$T$405)/(T153-$T$405)-1)^3</x:f>
        <x:v>136.69289612394056</x:v>
      </x:c>
      <x:c r="N153" s="8" t="n">
        <x:f>K153-M153</x:f>
        <x:v>-173.99289612394057</x:v>
      </x:c>
      <x:c r="O153" s="8" t="n">
        <x:f>ABS(N153)</x:f>
        <x:v>173.99289612394057</x:v>
      </x:c>
      <x:c r="P153" s="8" t="n">
        <x:f>N153^2</x:f>
        <x:v>30273.52790159637</x:v>
      </x:c>
      <x:c r="Q153" s="8" t="n">
        <x:f>K153-L153</x:f>
        <x:v>0.4000000000000057</x:v>
      </x:c>
      <x:c r="R153" s="9" t="n">
        <x:f>IF(AND(INDEX('Сводка'!$T$3:$T$397,U153)=0,INDEX('Сводка'!$T$3:$T$397,V153)=0),1,0)</x:f>
        <x:v>0</x:v>
      </x:c>
      <x:c r="S153" s="9" t="n">
        <x:f>IF(AND(R153=1,O153&lt;=$G$13),1,0)</x:f>
        <x:v>0</x:v>
      </x:c>
      <x:c r="T153" s="10" t="n">
        <x:f>EOMONTH(J153-'Сводка'!$B$11,-1)</x:f>
        <x:v>45991</x:v>
      </x:c>
      <x:c r="U153" s="4" t="n">
        <x:f>MATCH(J153,'Сводка'!$R$3:$R$397,0)</x:f>
        <x:v>164</x:v>
      </x:c>
      <x:c r="V153" s="4" t="n">
        <x:f>MATCH(J153-'Сводка'!$B$11,'Сводка'!$R$3:$R$397,0)</x:f>
        <x:v>163</x:v>
      </x:c>
      <x:c r="W153" s="4" t="n">
        <x:f>MATCH(T153,$J$388:$J$400,0)</x:f>
        <x:v>6</x:v>
      </x:c>
      <x:c r="X153" s="3"/>
      <x:c r="Y153" s="3"/>
      <x:c r="Z153" s="3"/>
    </x:row>
    <x:row r="154" ht="15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10" t="n">
        <x:v>46005</x:v>
      </x:c>
      <x:c r="K154" s="8" t="n">
        <x:f>INDEX('Сводка'!$S$3:$S$397,U154)</x:f>
        <x:v>-37</x:v>
      </x:c>
      <x:c r="L154" s="8" t="n">
        <x:f>INDEX('Сводка'!$S$3:$S$397,V154)</x:f>
        <x:v>-37.3</x:v>
      </x:c>
      <x:c r="M154" s="8" t="n">
        <x:f>INDEX($K$388:$N$400,W154,1)+INDEX($K$388:$N$400,W154,2)*(2*(J154-$T$405)/(T154-$T$405)-1)^1+INDEX($K$388:$N$400,W154,3)*(2*(J154-$T$405)/(T154-$T$405)-1)^2+INDEX($K$388:$N$400,W154,4)*(2*(J154-$T$405)/(T154-$T$405)-1)^3</x:f>
        <x:v>136.68939205952466</x:v>
      </x:c>
      <x:c r="N154" s="8" t="n">
        <x:f>K154-M154</x:f>
        <x:v>-173.68939205952466</x:v>
      </x:c>
      <x:c r="O154" s="8" t="n">
        <x:f>ABS(N154)</x:f>
        <x:v>173.68939205952466</x:v>
      </x:c>
      <x:c r="P154" s="8" t="n">
        <x:f>N154^2</x:f>
        <x:v>30168.00491400727</x:v>
      </x:c>
      <x:c r="Q154" s="8" t="n">
        <x:f>K154-L154</x:f>
        <x:v>0.29999999999999716</x:v>
      </x:c>
      <x:c r="R154" s="9" t="n">
        <x:f>IF(AND(INDEX('Сводка'!$T$3:$T$397,U154)=0,INDEX('Сводка'!$T$3:$T$397,V154)=0),1,0)</x:f>
        <x:v>0</x:v>
      </x:c>
      <x:c r="S154" s="9" t="n">
        <x:f>IF(AND(R154=1,O154&lt;=$G$13),1,0)</x:f>
        <x:v>0</x:v>
      </x:c>
      <x:c r="T154" s="10" t="n">
        <x:f>EOMONTH(J154-'Сводка'!$B$11,-1)</x:f>
        <x:v>45991</x:v>
      </x:c>
      <x:c r="U154" s="4" t="n">
        <x:f>MATCH(J154,'Сводка'!$R$3:$R$397,0)</x:f>
        <x:v>165</x:v>
      </x:c>
      <x:c r="V154" s="4" t="n">
        <x:f>MATCH(J154-'Сводка'!$B$11,'Сводка'!$R$3:$R$397,0)</x:f>
        <x:v>164</x:v>
      </x:c>
      <x:c r="W154" s="4" t="n">
        <x:f>MATCH(T154,$J$388:$J$400,0)</x:f>
        <x:v>6</x:v>
      </x:c>
      <x:c r="X154" s="3"/>
      <x:c r="Y154" s="3"/>
      <x:c r="Z154" s="3"/>
    </x:row>
    <x:row r="155" ht="15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10" t="n">
        <x:v>46006</x:v>
      </x:c>
      <x:c r="K155" s="8" t="n">
        <x:f>INDEX('Сводка'!$S$3:$S$397,U155)</x:f>
        <x:v>-37</x:v>
      </x:c>
      <x:c r="L155" s="8" t="n">
        <x:f>INDEX('Сводка'!$S$3:$S$397,V155)</x:f>
        <x:v>-37</x:v>
      </x:c>
      <x:c r="M155" s="8" t="n">
        <x:f>INDEX($K$388:$N$400,W155,1)+INDEX($K$388:$N$400,W155,2)*(2*(J155-$T$405)/(T155-$T$405)-1)^1+INDEX($K$388:$N$400,W155,3)*(2*(J155-$T$405)/(T155-$T$405)-1)^2+INDEX($K$388:$N$400,W155,4)*(2*(J155-$T$405)/(T155-$T$405)-1)^3</x:f>
        <x:v>136.68588019474527</x:v>
      </x:c>
      <x:c r="N155" s="8" t="n">
        <x:f>K155-M155</x:f>
        <x:v>-173.68588019474527</x:v>
      </x:c>
      <x:c r="O155" s="8" t="n">
        <x:f>ABS(N155)</x:f>
        <x:v>173.68588019474527</x:v>
      </x:c>
      <x:c r="P155" s="8" t="n">
        <x:f>N155^2</x:f>
        <x:v>30166.784979023407</x:v>
      </x:c>
      <x:c r="Q155" s="8" t="n">
        <x:f>K155-L155</x:f>
        <x:v>0</x:v>
      </x:c>
      <x:c r="R155" s="9" t="n">
        <x:f>IF(AND(INDEX('Сводка'!$T$3:$T$397,U155)=0,INDEX('Сводка'!$T$3:$T$397,V155)=0),1,0)</x:f>
        <x:v>1</x:v>
      </x:c>
      <x:c r="S155" s="9" t="n">
        <x:f>IF(AND(R155=1,O155&lt;=$G$13),1,0)</x:f>
        <x:v>0</x:v>
      </x:c>
      <x:c r="T155" s="10" t="n">
        <x:f>EOMONTH(J155-'Сводка'!$B$11,-1)</x:f>
        <x:v>45991</x:v>
      </x:c>
      <x:c r="U155" s="4" t="n">
        <x:f>MATCH(J155,'Сводка'!$R$3:$R$397,0)</x:f>
        <x:v>166</x:v>
      </x:c>
      <x:c r="V155" s="4" t="n">
        <x:f>MATCH(J155-'Сводка'!$B$11,'Сводка'!$R$3:$R$397,0)</x:f>
        <x:v>165</x:v>
      </x:c>
      <x:c r="W155" s="4" t="n">
        <x:f>MATCH(T155,$J$388:$J$400,0)</x:f>
        <x:v>6</x:v>
      </x:c>
      <x:c r="X155" s="3"/>
      <x:c r="Y155" s="3"/>
      <x:c r="Z155" s="3"/>
    </x:row>
    <x:row r="156" ht="15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10" t="n">
        <x:v>46007</x:v>
      </x:c>
      <x:c r="K156" s="8" t="n">
        <x:f>INDEX('Сводка'!$S$3:$S$397,U156)</x:f>
        <x:v>-41</x:v>
      </x:c>
      <x:c r="L156" s="8" t="n">
        <x:f>INDEX('Сводка'!$S$3:$S$397,V156)</x:f>
        <x:v>-37</x:v>
      </x:c>
      <x:c r="M156" s="8" t="n">
        <x:f>INDEX($K$388:$N$400,W156,1)+INDEX($K$388:$N$400,W156,2)*(2*(J156-$T$405)/(T156-$T$405)-1)^1+INDEX($K$388:$N$400,W156,3)*(2*(J156-$T$405)/(T156-$T$405)-1)^2+INDEX($K$388:$N$400,W156,4)*(2*(J156-$T$405)/(T156-$T$405)-1)^3</x:f>
        <x:v>136.68236052898249</x:v>
      </x:c>
      <x:c r="N156" s="8" t="n">
        <x:f>K156-M156</x:f>
        <x:v>-177.68236052898249</x:v>
      </x:c>
      <x:c r="O156" s="8" t="n">
        <x:f>ABS(N156)</x:f>
        <x:v>177.68236052898249</x:v>
      </x:c>
      <x:c r="P156" s="8" t="n">
        <x:f>N156^2</x:f>
        <x:v>31571.021243151314</x:v>
      </x:c>
      <x:c r="Q156" s="8" t="n">
        <x:f>K156-L156</x:f>
        <x:v>-4</x:v>
      </x:c>
      <x:c r="R156" s="9" t="n">
        <x:f>IF(AND(INDEX('Сводка'!$T$3:$T$397,U156)=0,INDEX('Сводка'!$T$3:$T$397,V156)=0),1,0)</x:f>
        <x:v>1</x:v>
      </x:c>
      <x:c r="S156" s="9" t="n">
        <x:f>IF(AND(R156=1,O156&lt;=$G$13),1,0)</x:f>
        <x:v>0</x:v>
      </x:c>
      <x:c r="T156" s="10" t="n">
        <x:f>EOMONTH(J156-'Сводка'!$B$11,-1)</x:f>
        <x:v>45991</x:v>
      </x:c>
      <x:c r="U156" s="4" t="n">
        <x:f>MATCH(J156,'Сводка'!$R$3:$R$397,0)</x:f>
        <x:v>167</x:v>
      </x:c>
      <x:c r="V156" s="4" t="n">
        <x:f>MATCH(J156-'Сводка'!$B$11,'Сводка'!$R$3:$R$397,0)</x:f>
        <x:v>166</x:v>
      </x:c>
      <x:c r="W156" s="4" t="n">
        <x:f>MATCH(T156,$J$388:$J$400,0)</x:f>
        <x:v>6</x:v>
      </x:c>
      <x:c r="X156" s="3"/>
      <x:c r="Y156" s="3"/>
      <x:c r="Z156" s="3"/>
    </x:row>
    <x:row r="157" ht="15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10" t="n">
        <x:v>46008</x:v>
      </x:c>
      <x:c r="K157" s="8" t="n">
        <x:f>INDEX('Сводка'!$S$3:$S$397,U157)</x:f>
        <x:v>-35</x:v>
      </x:c>
      <x:c r="L157" s="8" t="n">
        <x:f>INDEX('Сводка'!$S$3:$S$397,V157)</x:f>
        <x:v>-41</x:v>
      </x:c>
      <x:c r="M157" s="8" t="n">
        <x:f>INDEX($K$388:$N$400,W157,1)+INDEX($K$388:$N$400,W157,2)*(2*(J157-$T$405)/(T157-$T$405)-1)^1+INDEX($K$388:$N$400,W157,3)*(2*(J157-$T$405)/(T157-$T$405)-1)^2+INDEX($K$388:$N$400,W157,4)*(2*(J157-$T$405)/(T157-$T$405)-1)^3</x:f>
        <x:v>136.67883306161647</x:v>
      </x:c>
      <x:c r="N157" s="8" t="n">
        <x:f>K157-M157</x:f>
        <x:v>-171.67883306161647</x:v>
      </x:c>
      <x:c r="O157" s="8" t="n">
        <x:f>ABS(N157)</x:f>
        <x:v>171.67883306161647</x:v>
      </x:c>
      <x:c r="P157" s="8" t="n">
        <x:f>N157^2</x:f>
        <x:v>29473.621721398376</x:v>
      </x:c>
      <x:c r="Q157" s="8" t="n">
        <x:f>K157-L157</x:f>
        <x:v>6</x:v>
      </x:c>
      <x:c r="R157" s="9" t="n">
        <x:f>IF(AND(INDEX('Сводка'!$T$3:$T$397,U157)=0,INDEX('Сводка'!$T$3:$T$397,V157)=0),1,0)</x:f>
        <x:v>1</x:v>
      </x:c>
      <x:c r="S157" s="9" t="n">
        <x:f>IF(AND(R157=1,O157&lt;=$G$13),1,0)</x:f>
        <x:v>0</x:v>
      </x:c>
      <x:c r="T157" s="10" t="n">
        <x:f>EOMONTH(J157-'Сводка'!$B$11,-1)</x:f>
        <x:v>45991</x:v>
      </x:c>
      <x:c r="U157" s="4" t="n">
        <x:f>MATCH(J157,'Сводка'!$R$3:$R$397,0)</x:f>
        <x:v>168</x:v>
      </x:c>
      <x:c r="V157" s="4" t="n">
        <x:f>MATCH(J157-'Сводка'!$B$11,'Сводка'!$R$3:$R$397,0)</x:f>
        <x:v>167</x:v>
      </x:c>
      <x:c r="W157" s="4" t="n">
        <x:f>MATCH(T157,$J$388:$J$400,0)</x:f>
        <x:v>6</x:v>
      </x:c>
      <x:c r="X157" s="3"/>
      <x:c r="Y157" s="3"/>
      <x:c r="Z157" s="3"/>
    </x:row>
    <x:row r="158" ht="15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10" t="n">
        <x:v>46009</x:v>
      </x:c>
      <x:c r="K158" s="8" t="n">
        <x:f>INDEX('Сводка'!$S$3:$S$397,U158)</x:f>
        <x:v>-33</x:v>
      </x:c>
      <x:c r="L158" s="8" t="n">
        <x:f>INDEX('Сводка'!$S$3:$S$397,V158)</x:f>
        <x:v>-35</x:v>
      </x:c>
      <x:c r="M158" s="8" t="n">
        <x:f>INDEX($K$388:$N$400,W158,1)+INDEX($K$388:$N$400,W158,2)*(2*(J158-$T$405)/(T158-$T$405)-1)^1+INDEX($K$388:$N$400,W158,3)*(2*(J158-$T$405)/(T158-$T$405)-1)^2+INDEX($K$388:$N$400,W158,4)*(2*(J158-$T$405)/(T158-$T$405)-1)^3</x:f>
        <x:v>136.67529779202746</x:v>
      </x:c>
      <x:c r="N158" s="8" t="n">
        <x:f>K158-M158</x:f>
        <x:v>-169.67529779202746</x:v>
      </x:c>
      <x:c r="O158" s="8" t="n">
        <x:f>ABS(N158)</x:f>
        <x:v>169.67529779202746</x:v>
      </x:c>
      <x:c r="P158" s="8" t="n">
        <x:f>N158^2</x:f>
        <x:v>28789.7066808132</x:v>
      </x:c>
      <x:c r="Q158" s="8" t="n">
        <x:f>K158-L158</x:f>
        <x:v>2</x:v>
      </x:c>
      <x:c r="R158" s="9" t="n">
        <x:f>IF(AND(INDEX('Сводка'!$T$3:$T$397,U158)=0,INDEX('Сводка'!$T$3:$T$397,V158)=0),1,0)</x:f>
        <x:v>1</x:v>
      </x:c>
      <x:c r="S158" s="9" t="n">
        <x:f>IF(AND(R158=1,O158&lt;=$G$13),1,0)</x:f>
        <x:v>0</x:v>
      </x:c>
      <x:c r="T158" s="10" t="n">
        <x:f>EOMONTH(J158-'Сводка'!$B$11,-1)</x:f>
        <x:v>45991</x:v>
      </x:c>
      <x:c r="U158" s="4" t="n">
        <x:f>MATCH(J158,'Сводка'!$R$3:$R$397,0)</x:f>
        <x:v>169</x:v>
      </x:c>
      <x:c r="V158" s="4" t="n">
        <x:f>MATCH(J158-'Сводка'!$B$11,'Сводка'!$R$3:$R$397,0)</x:f>
        <x:v>168</x:v>
      </x:c>
      <x:c r="W158" s="4" t="n">
        <x:f>MATCH(T158,$J$388:$J$400,0)</x:f>
        <x:v>6</x:v>
      </x:c>
      <x:c r="X158" s="3"/>
      <x:c r="Y158" s="3"/>
      <x:c r="Z158" s="3"/>
    </x:row>
    <x:row r="159" ht="15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10" t="n">
        <x:v>46010</x:v>
      </x:c>
      <x:c r="K159" s="8" t="n">
        <x:f>INDEX('Сводка'!$S$3:$S$397,U159)</x:f>
        <x:v>-31</x:v>
      </x:c>
      <x:c r="L159" s="8" t="n">
        <x:f>INDEX('Сводка'!$S$3:$S$397,V159)</x:f>
        <x:v>-33</x:v>
      </x:c>
      <x:c r="M159" s="8" t="n">
        <x:f>INDEX($K$388:$N$400,W159,1)+INDEX($K$388:$N$400,W159,2)*(2*(J159-$T$405)/(T159-$T$405)-1)^1+INDEX($K$388:$N$400,W159,3)*(2*(J159-$T$405)/(T159-$T$405)-1)^2+INDEX($K$388:$N$400,W159,4)*(2*(J159-$T$405)/(T159-$T$405)-1)^3</x:f>
        <x:v>136.67175471959553</x:v>
      </x:c>
      <x:c r="N159" s="8" t="n">
        <x:f>K159-M159</x:f>
        <x:v>-167.67175471959553</x:v>
      </x:c>
      <x:c r="O159" s="8" t="n">
        <x:f>ABS(N159)</x:f>
        <x:v>167.67175471959553</x:v>
      </x:c>
      <x:c r="P159" s="8" t="n">
        <x:f>N159^2</x:f>
        <x:v>28113.817330748203</x:v>
      </x:c>
      <x:c r="Q159" s="8" t="n">
        <x:f>K159-L159</x:f>
        <x:v>2</x:v>
      </x:c>
      <x:c r="R159" s="9" t="n">
        <x:f>IF(AND(INDEX('Сводка'!$T$3:$T$397,U159)=0,INDEX('Сводка'!$T$3:$T$397,V159)=0),1,0)</x:f>
        <x:v>1</x:v>
      </x:c>
      <x:c r="S159" s="9" t="n">
        <x:f>IF(AND(R159=1,O159&lt;=$G$13),1,0)</x:f>
        <x:v>0</x:v>
      </x:c>
      <x:c r="T159" s="10" t="n">
        <x:f>EOMONTH(J159-'Сводка'!$B$11,-1)</x:f>
        <x:v>45991</x:v>
      </x:c>
      <x:c r="U159" s="4" t="n">
        <x:f>MATCH(J159,'Сводка'!$R$3:$R$397,0)</x:f>
        <x:v>170</x:v>
      </x:c>
      <x:c r="V159" s="4" t="n">
        <x:f>MATCH(J159-'Сводка'!$B$11,'Сводка'!$R$3:$R$397,0)</x:f>
        <x:v>169</x:v>
      </x:c>
      <x:c r="W159" s="4" t="n">
        <x:f>MATCH(T159,$J$388:$J$400,0)</x:f>
        <x:v>6</x:v>
      </x:c>
      <x:c r="X159" s="3"/>
      <x:c r="Y159" s="3"/>
      <x:c r="Z159" s="3"/>
    </x:row>
    <x:row r="160" ht="15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10" t="n">
        <x:v>46011</x:v>
      </x:c>
      <x:c r="K160" s="8" t="n">
        <x:f>INDEX('Сводка'!$S$3:$S$397,U160)</x:f>
        <x:v>-31</x:v>
      </x:c>
      <x:c r="L160" s="8" t="n">
        <x:f>INDEX('Сводка'!$S$3:$S$397,V160)</x:f>
        <x:v>-31</x:v>
      </x:c>
      <x:c r="M160" s="8" t="n">
        <x:f>INDEX($K$388:$N$400,W160,1)+INDEX($K$388:$N$400,W160,2)*(2*(J160-$T$405)/(T160-$T$405)-1)^1+INDEX($K$388:$N$400,W160,3)*(2*(J160-$T$405)/(T160-$T$405)-1)^2+INDEX($K$388:$N$400,W160,4)*(2*(J160-$T$405)/(T160-$T$405)-1)^3</x:f>
        <x:v>136.66820384370078</x:v>
      </x:c>
      <x:c r="N160" s="8" t="n">
        <x:f>K160-M160</x:f>
        <x:v>-167.66820384370078</x:v>
      </x:c>
      <x:c r="O160" s="8" t="n">
        <x:f>ABS(N160)</x:f>
        <x:v>167.66820384370078</x:v>
      </x:c>
      <x:c r="P160" s="8" t="n">
        <x:f>N160^2</x:f>
        <x:v>28112.626580172797</x:v>
      </x:c>
      <x:c r="Q160" s="8" t="n">
        <x:f>K160-L160</x:f>
        <x:v>0</x:v>
      </x:c>
      <x:c r="R160" s="9" t="n">
        <x:f>IF(AND(INDEX('Сводка'!$T$3:$T$397,U160)=0,INDEX('Сводка'!$T$3:$T$397,V160)=0),1,0)</x:f>
        <x:v>1</x:v>
      </x:c>
      <x:c r="S160" s="9" t="n">
        <x:f>IF(AND(R160=1,O160&lt;=$G$13),1,0)</x:f>
        <x:v>0</x:v>
      </x:c>
      <x:c r="T160" s="10" t="n">
        <x:f>EOMONTH(J160-'Сводка'!$B$11,-1)</x:f>
        <x:v>45991</x:v>
      </x:c>
      <x:c r="U160" s="4" t="n">
        <x:f>MATCH(J160,'Сводка'!$R$3:$R$397,0)</x:f>
        <x:v>171</x:v>
      </x:c>
      <x:c r="V160" s="4" t="n">
        <x:f>MATCH(J160-'Сводка'!$B$11,'Сводка'!$R$3:$R$397,0)</x:f>
        <x:v>170</x:v>
      </x:c>
      <x:c r="W160" s="4" t="n">
        <x:f>MATCH(T160,$J$388:$J$400,0)</x:f>
        <x:v>6</x:v>
      </x:c>
      <x:c r="X160" s="3"/>
      <x:c r="Y160" s="3"/>
      <x:c r="Z160" s="3"/>
    </x:row>
    <x:row r="161" ht="15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10" t="n">
        <x:v>46012</x:v>
      </x:c>
      <x:c r="K161" s="8" t="n">
        <x:f>INDEX('Сводка'!$S$3:$S$397,U161)</x:f>
        <x:v>-30</x:v>
      </x:c>
      <x:c r="L161" s="8" t="n">
        <x:f>INDEX('Сводка'!$S$3:$S$397,V161)</x:f>
        <x:v>-31</x:v>
      </x:c>
      <x:c r="M161" s="8" t="n">
        <x:f>INDEX($K$388:$N$400,W161,1)+INDEX($K$388:$N$400,W161,2)*(2*(J161-$T$405)/(T161-$T$405)-1)^1+INDEX($K$388:$N$400,W161,3)*(2*(J161-$T$405)/(T161-$T$405)-1)^2+INDEX($K$388:$N$400,W161,4)*(2*(J161-$T$405)/(T161-$T$405)-1)^3</x:f>
        <x:v>136.6646451637234</x:v>
      </x:c>
      <x:c r="N161" s="8" t="n">
        <x:f>K161-M161</x:f>
        <x:v>-166.6646451637234</x:v>
      </x:c>
      <x:c r="O161" s="8" t="n">
        <x:f>ABS(N161)</x:f>
        <x:v>166.6646451637234</x:v>
      </x:c>
      <x:c r="P161" s="8" t="n">
        <x:f>N161^2</x:f>
        <x:v>27777.103947549833</x:v>
      </x:c>
      <x:c r="Q161" s="8" t="n">
        <x:f>K161-L161</x:f>
        <x:v>1</x:v>
      </x:c>
      <x:c r="R161" s="9" t="n">
        <x:f>IF(AND(INDEX('Сводка'!$T$3:$T$397,U161)=0,INDEX('Сводка'!$T$3:$T$397,V161)=0),1,0)</x:f>
        <x:v>1</x:v>
      </x:c>
      <x:c r="S161" s="9" t="n">
        <x:f>IF(AND(R161=1,O161&lt;=$G$13),1,0)</x:f>
        <x:v>0</x:v>
      </x:c>
      <x:c r="T161" s="10" t="n">
        <x:f>EOMONTH(J161-'Сводка'!$B$11,-1)</x:f>
        <x:v>45991</x:v>
      </x:c>
      <x:c r="U161" s="4" t="n">
        <x:f>MATCH(J161,'Сводка'!$R$3:$R$397,0)</x:f>
        <x:v>172</x:v>
      </x:c>
      <x:c r="V161" s="4" t="n">
        <x:f>MATCH(J161-'Сводка'!$B$11,'Сводка'!$R$3:$R$397,0)</x:f>
        <x:v>171</x:v>
      </x:c>
      <x:c r="W161" s="4" t="n">
        <x:f>MATCH(T161,$J$388:$J$400,0)</x:f>
        <x:v>6</x:v>
      </x:c>
      <x:c r="X161" s="3"/>
      <x:c r="Y161" s="3"/>
      <x:c r="Z161" s="3"/>
    </x:row>
    <x:row r="162" ht="15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10" t="n">
        <x:v>46013</x:v>
      </x:c>
      <x:c r="K162" s="8" t="n">
        <x:f>INDEX('Сводка'!$S$3:$S$397,U162)</x:f>
        <x:v>-27</x:v>
      </x:c>
      <x:c r="L162" s="8" t="n">
        <x:f>INDEX('Сводка'!$S$3:$S$397,V162)</x:f>
        <x:v>-30</x:v>
      </x:c>
      <x:c r="M162" s="8" t="n">
        <x:f>INDEX($K$388:$N$400,W162,1)+INDEX($K$388:$N$400,W162,2)*(2*(J162-$T$405)/(T162-$T$405)-1)^1+INDEX($K$388:$N$400,W162,3)*(2*(J162-$T$405)/(T162-$T$405)-1)^2+INDEX($K$388:$N$400,W162,4)*(2*(J162-$T$405)/(T162-$T$405)-1)^3</x:f>
        <x:v>136.66107867904356</x:v>
      </x:c>
      <x:c r="N162" s="8" t="n">
        <x:f>K162-M162</x:f>
        <x:v>-163.66107867904356</x:v>
      </x:c>
      <x:c r="O162" s="8" t="n">
        <x:f>ABS(N162)</x:f>
        <x:v>163.66107867904356</x:v>
      </x:c>
      <x:c r="P162" s="8" t="n">
        <x:f>N162^2</x:f>
        <x:v>26784.948674388084</x:v>
      </x:c>
      <x:c r="Q162" s="8" t="n">
        <x:f>K162-L162</x:f>
        <x:v>3</x:v>
      </x:c>
      <x:c r="R162" s="9" t="n">
        <x:f>IF(AND(INDEX('Сводка'!$T$3:$T$397,U162)=0,INDEX('Сводка'!$T$3:$T$397,V162)=0),1,0)</x:f>
        <x:v>1</x:v>
      </x:c>
      <x:c r="S162" s="9" t="n">
        <x:f>IF(AND(R162=1,O162&lt;=$G$13),1,0)</x:f>
        <x:v>0</x:v>
      </x:c>
      <x:c r="T162" s="10" t="n">
        <x:f>EOMONTH(J162-'Сводка'!$B$11,-1)</x:f>
        <x:v>45991</x:v>
      </x:c>
      <x:c r="U162" s="4" t="n">
        <x:f>MATCH(J162,'Сводка'!$R$3:$R$397,0)</x:f>
        <x:v>173</x:v>
      </x:c>
      <x:c r="V162" s="4" t="n">
        <x:f>MATCH(J162-'Сводка'!$B$11,'Сводка'!$R$3:$R$397,0)</x:f>
        <x:v>172</x:v>
      </x:c>
      <x:c r="W162" s="4" t="n">
        <x:f>MATCH(T162,$J$388:$J$400,0)</x:f>
        <x:v>6</x:v>
      </x:c>
      <x:c r="X162" s="3"/>
      <x:c r="Y162" s="3"/>
      <x:c r="Z162" s="3"/>
    </x:row>
    <x:row r="163" ht="15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10" t="n">
        <x:v>46014</x:v>
      </x:c>
      <x:c r="K163" s="8" t="n">
        <x:f>INDEX('Сводка'!$S$3:$S$397,U163)</x:f>
        <x:v>-23</x:v>
      </x:c>
      <x:c r="L163" s="8" t="n">
        <x:f>INDEX('Сводка'!$S$3:$S$397,V163)</x:f>
        <x:v>-27</x:v>
      </x:c>
      <x:c r="M163" s="8" t="n">
        <x:f>INDEX($K$388:$N$400,W163,1)+INDEX($K$388:$N$400,W163,2)*(2*(J163-$T$405)/(T163-$T$405)-1)^1+INDEX($K$388:$N$400,W163,3)*(2*(J163-$T$405)/(T163-$T$405)-1)^2+INDEX($K$388:$N$400,W163,4)*(2*(J163-$T$405)/(T163-$T$405)-1)^3</x:f>
        <x:v>136.65750438904143</x:v>
      </x:c>
      <x:c r="N163" s="8" t="n">
        <x:f>K163-M163</x:f>
        <x:v>-159.65750438904143</x:v>
      </x:c>
      <x:c r="O163" s="8" t="n">
        <x:f>ABS(N163)</x:f>
        <x:v>159.65750438904143</x:v>
      </x:c>
      <x:c r="P163" s="8" t="n">
        <x:f>N163^2</x:f>
        <x:v>25490.518707736785</x:v>
      </x:c>
      <x:c r="Q163" s="8" t="n">
        <x:f>K163-L163</x:f>
        <x:v>4</x:v>
      </x:c>
      <x:c r="R163" s="9" t="n">
        <x:f>IF(AND(INDEX('Сводка'!$T$3:$T$397,U163)=0,INDEX('Сводка'!$T$3:$T$397,V163)=0),1,0)</x:f>
        <x:v>1</x:v>
      </x:c>
      <x:c r="S163" s="9" t="n">
        <x:f>IF(AND(R163=1,O163&lt;=$G$13),1,0)</x:f>
        <x:v>0</x:v>
      </x:c>
      <x:c r="T163" s="10" t="n">
        <x:f>EOMONTH(J163-'Сводка'!$B$11,-1)</x:f>
        <x:v>45991</x:v>
      </x:c>
      <x:c r="U163" s="4" t="n">
        <x:f>MATCH(J163,'Сводка'!$R$3:$R$397,0)</x:f>
        <x:v>174</x:v>
      </x:c>
      <x:c r="V163" s="4" t="n">
        <x:f>MATCH(J163-'Сводка'!$B$11,'Сводка'!$R$3:$R$397,0)</x:f>
        <x:v>173</x:v>
      </x:c>
      <x:c r="W163" s="4" t="n">
        <x:f>MATCH(T163,$J$388:$J$400,0)</x:f>
        <x:v>6</x:v>
      </x:c>
      <x:c r="X163" s="3"/>
      <x:c r="Y163" s="3"/>
      <x:c r="Z163" s="3"/>
    </x:row>
    <x:row r="164" ht="15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10" t="n">
        <x:v>46015</x:v>
      </x:c>
      <x:c r="K164" s="8" t="n">
        <x:f>INDEX('Сводка'!$S$3:$S$397,U164)</x:f>
        <x:v>-21</x:v>
      </x:c>
      <x:c r="L164" s="8" t="n">
        <x:f>INDEX('Сводка'!$S$3:$S$397,V164)</x:f>
        <x:v>-23</x:v>
      </x:c>
      <x:c r="M164" s="8" t="n">
        <x:f>INDEX($K$388:$N$400,W164,1)+INDEX($K$388:$N$400,W164,2)*(2*(J164-$T$405)/(T164-$T$405)-1)^1+INDEX($K$388:$N$400,W164,3)*(2*(J164-$T$405)/(T164-$T$405)-1)^2+INDEX($K$388:$N$400,W164,4)*(2*(J164-$T$405)/(T164-$T$405)-1)^3</x:f>
        <x:v>136.65392229309708</x:v>
      </x:c>
      <x:c r="N164" s="8" t="n">
        <x:f>K164-M164</x:f>
        <x:v>-157.65392229309708</x:v>
      </x:c>
      <x:c r="O164" s="8" t="n">
        <x:f>ABS(N164)</x:f>
        <x:v>157.65392229309708</x:v>
      </x:c>
      <x:c r="P164" s="8" t="n">
        <x:f>N164^2</x:f>
        <x:v>24854.759214397895</x:v>
      </x:c>
      <x:c r="Q164" s="8" t="n">
        <x:f>K164-L164</x:f>
        <x:v>2</x:v>
      </x:c>
      <x:c r="R164" s="9" t="n">
        <x:f>IF(AND(INDEX('Сводка'!$T$3:$T$397,U164)=0,INDEX('Сводка'!$T$3:$T$397,V164)=0),1,0)</x:f>
        <x:v>1</x:v>
      </x:c>
      <x:c r="S164" s="9" t="n">
        <x:f>IF(AND(R164=1,O164&lt;=$G$13),1,0)</x:f>
        <x:v>0</x:v>
      </x:c>
      <x:c r="T164" s="10" t="n">
        <x:f>EOMONTH(J164-'Сводка'!$B$11,-1)</x:f>
        <x:v>45991</x:v>
      </x:c>
      <x:c r="U164" s="4" t="n">
        <x:f>MATCH(J164,'Сводка'!$R$3:$R$397,0)</x:f>
        <x:v>175</x:v>
      </x:c>
      <x:c r="V164" s="4" t="n">
        <x:f>MATCH(J164-'Сводка'!$B$11,'Сводка'!$R$3:$R$397,0)</x:f>
        <x:v>174</x:v>
      </x:c>
      <x:c r="W164" s="4" t="n">
        <x:f>MATCH(T164,$J$388:$J$400,0)</x:f>
        <x:v>6</x:v>
      </x:c>
      <x:c r="X164" s="3"/>
      <x:c r="Y164" s="3"/>
      <x:c r="Z164" s="3"/>
    </x:row>
    <x:row r="165" ht="15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10" t="n">
        <x:v>46016</x:v>
      </x:c>
      <x:c r="K165" s="8" t="n">
        <x:f>INDEX('Сводка'!$S$3:$S$397,U165)</x:f>
        <x:v>-19</x:v>
      </x:c>
      <x:c r="L165" s="8" t="n">
        <x:f>INDEX('Сводка'!$S$3:$S$397,V165)</x:f>
        <x:v>-21</x:v>
      </x:c>
      <x:c r="M165" s="8" t="n">
        <x:f>INDEX($K$388:$N$400,W165,1)+INDEX($K$388:$N$400,W165,2)*(2*(J165-$T$405)/(T165-$T$405)-1)^1+INDEX($K$388:$N$400,W165,3)*(2*(J165-$T$405)/(T165-$T$405)-1)^2+INDEX($K$388:$N$400,W165,4)*(2*(J165-$T$405)/(T165-$T$405)-1)^3</x:f>
        <x:v>136.65033239059062</x:v>
      </x:c>
      <x:c r="N165" s="8" t="n">
        <x:f>K165-M165</x:f>
        <x:v>-155.65033239059062</x:v>
      </x:c>
      <x:c r="O165" s="8" t="n">
        <x:f>ABS(N165)</x:f>
        <x:v>155.65033239059062</x:v>
      </x:c>
      <x:c r="P165" s="8" t="n">
        <x:f>N165^2</x:f>
        <x:v>24227.025973301344</x:v>
      </x:c>
      <x:c r="Q165" s="8" t="n">
        <x:f>K165-L165</x:f>
        <x:v>2</x:v>
      </x:c>
      <x:c r="R165" s="9" t="n">
        <x:f>IF(AND(INDEX('Сводка'!$T$3:$T$397,U165)=0,INDEX('Сводка'!$T$3:$T$397,V165)=0),1,0)</x:f>
        <x:v>1</x:v>
      </x:c>
      <x:c r="S165" s="9" t="n">
        <x:f>IF(AND(R165=1,O165&lt;=$G$13),1,0)</x:f>
        <x:v>0</x:v>
      </x:c>
      <x:c r="T165" s="10" t="n">
        <x:f>EOMONTH(J165-'Сводка'!$B$11,-1)</x:f>
        <x:v>45991</x:v>
      </x:c>
      <x:c r="U165" s="4" t="n">
        <x:f>MATCH(J165,'Сводка'!$R$3:$R$397,0)</x:f>
        <x:v>176</x:v>
      </x:c>
      <x:c r="V165" s="4" t="n">
        <x:f>MATCH(J165-'Сводка'!$B$11,'Сводка'!$R$3:$R$397,0)</x:f>
        <x:v>175</x:v>
      </x:c>
      <x:c r="W165" s="4" t="n">
        <x:f>MATCH(T165,$J$388:$J$400,0)</x:f>
        <x:v>6</x:v>
      </x:c>
      <x:c r="X165" s="3"/>
      <x:c r="Y165" s="3"/>
      <x:c r="Z165" s="3"/>
    </x:row>
    <x:row r="166" ht="15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10" t="n">
        <x:v>46017</x:v>
      </x:c>
      <x:c r="K166" s="8" t="n">
        <x:f>INDEX('Сводка'!$S$3:$S$397,U166)</x:f>
        <x:v>-17</x:v>
      </x:c>
      <x:c r="L166" s="8" t="n">
        <x:f>INDEX('Сводка'!$S$3:$S$397,V166)</x:f>
        <x:v>-19</x:v>
      </x:c>
      <x:c r="M166" s="8" t="n">
        <x:f>INDEX($K$388:$N$400,W166,1)+INDEX($K$388:$N$400,W166,2)*(2*(J166-$T$405)/(T166-$T$405)-1)^1+INDEX($K$388:$N$400,W166,3)*(2*(J166-$T$405)/(T166-$T$405)-1)^2+INDEX($K$388:$N$400,W166,4)*(2*(J166-$T$405)/(T166-$T$405)-1)^3</x:f>
        <x:v>136.6467346809023</x:v>
      </x:c>
      <x:c r="N166" s="8" t="n">
        <x:f>K166-M166</x:f>
        <x:v>-153.6467346809023</x:v>
      </x:c>
      <x:c r="O166" s="8" t="n">
        <x:f>ABS(N166)</x:f>
        <x:v>153.6467346809023</x:v>
      </x:c>
      <x:c r="P166" s="8" t="n">
        <x:f>N166^2</x:f>
        <x:v>23607.31907810359</x:v>
      </x:c>
      <x:c r="Q166" s="8" t="n">
        <x:f>K166-L166</x:f>
        <x:v>2</x:v>
      </x:c>
      <x:c r="R166" s="9" t="n">
        <x:f>IF(AND(INDEX('Сводка'!$T$3:$T$397,U166)=0,INDEX('Сводка'!$T$3:$T$397,V166)=0),1,0)</x:f>
        <x:v>1</x:v>
      </x:c>
      <x:c r="S166" s="9" t="n">
        <x:f>IF(AND(R166=1,O166&lt;=$G$13),1,0)</x:f>
        <x:v>0</x:v>
      </x:c>
      <x:c r="T166" s="10" t="n">
        <x:f>EOMONTH(J166-'Сводка'!$B$11,-1)</x:f>
        <x:v>45991</x:v>
      </x:c>
      <x:c r="U166" s="4" t="n">
        <x:f>MATCH(J166,'Сводка'!$R$3:$R$397,0)</x:f>
        <x:v>177</x:v>
      </x:c>
      <x:c r="V166" s="4" t="n">
        <x:f>MATCH(J166-'Сводка'!$B$11,'Сводка'!$R$3:$R$397,0)</x:f>
        <x:v>176</x:v>
      </x:c>
      <x:c r="W166" s="4" t="n">
        <x:f>MATCH(T166,$J$388:$J$400,0)</x:f>
        <x:v>6</x:v>
      </x:c>
      <x:c r="X166" s="3"/>
      <x:c r="Y166" s="3"/>
      <x:c r="Z166" s="3"/>
    </x:row>
    <x:row r="167" ht="15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10" t="n">
        <x:v>46018</x:v>
      </x:c>
      <x:c r="K167" s="8" t="n">
        <x:f>INDEX('Сводка'!$S$3:$S$397,U167)</x:f>
        <x:v>-15</x:v>
      </x:c>
      <x:c r="L167" s="8" t="n">
        <x:f>INDEX('Сводка'!$S$3:$S$397,V167)</x:f>
        <x:v>-17</x:v>
      </x:c>
      <x:c r="M167" s="8" t="n">
        <x:f>INDEX($K$388:$N$400,W167,1)+INDEX($K$388:$N$400,W167,2)*(2*(J167-$T$405)/(T167-$T$405)-1)^1+INDEX($K$388:$N$400,W167,3)*(2*(J167-$T$405)/(T167-$T$405)-1)^2+INDEX($K$388:$N$400,W167,4)*(2*(J167-$T$405)/(T167-$T$405)-1)^3</x:f>
        <x:v>136.64312916341223</x:v>
      </x:c>
      <x:c r="N167" s="8" t="n">
        <x:f>K167-M167</x:f>
        <x:v>-151.64312916341223</x:v>
      </x:c>
      <x:c r="O167" s="8" t="n">
        <x:f>ABS(N167)</x:f>
        <x:v>151.64312916341223</x:v>
      </x:c>
      <x:c r="P167" s="8" t="n">
        <x:f>N167^2</x:f>
        <x:v>22995.638622471324</x:v>
      </x:c>
      <x:c r="Q167" s="8" t="n">
        <x:f>K167-L167</x:f>
        <x:v>2</x:v>
      </x:c>
      <x:c r="R167" s="9" t="n">
        <x:f>IF(AND(INDEX('Сводка'!$T$3:$T$397,U167)=0,INDEX('Сводка'!$T$3:$T$397,V167)=0),1,0)</x:f>
        <x:v>1</x:v>
      </x:c>
      <x:c r="S167" s="9" t="n">
        <x:f>IF(AND(R167=1,O167&lt;=$G$13),1,0)</x:f>
        <x:v>0</x:v>
      </x:c>
      <x:c r="T167" s="10" t="n">
        <x:f>EOMONTH(J167-'Сводка'!$B$11,-1)</x:f>
        <x:v>45991</x:v>
      </x:c>
      <x:c r="U167" s="4" t="n">
        <x:f>MATCH(J167,'Сводка'!$R$3:$R$397,0)</x:f>
        <x:v>178</x:v>
      </x:c>
      <x:c r="V167" s="4" t="n">
        <x:f>MATCH(J167-'Сводка'!$B$11,'Сводка'!$R$3:$R$397,0)</x:f>
        <x:v>177</x:v>
      </x:c>
      <x:c r="W167" s="4" t="n">
        <x:f>MATCH(T167,$J$388:$J$400,0)</x:f>
        <x:v>6</x:v>
      </x:c>
      <x:c r="X167" s="3"/>
      <x:c r="Y167" s="3"/>
      <x:c r="Z167" s="3"/>
    </x:row>
    <x:row r="168" ht="15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10" t="n">
        <x:v>46019</x:v>
      </x:c>
      <x:c r="K168" s="8" t="n">
        <x:f>INDEX('Сводка'!$S$3:$S$397,U168)</x:f>
        <x:v>-12</x:v>
      </x:c>
      <x:c r="L168" s="8" t="n">
        <x:f>INDEX('Сводка'!$S$3:$S$397,V168)</x:f>
        <x:v>-15</x:v>
      </x:c>
      <x:c r="M168" s="8" t="n">
        <x:f>INDEX($K$388:$N$400,W168,1)+INDEX($K$388:$N$400,W168,2)*(2*(J168-$T$405)/(T168-$T$405)-1)^1+INDEX($K$388:$N$400,W168,3)*(2*(J168-$T$405)/(T168-$T$405)-1)^2+INDEX($K$388:$N$400,W168,4)*(2*(J168-$T$405)/(T168-$T$405)-1)^3</x:f>
        <x:v>136.63951583750057</x:v>
      </x:c>
      <x:c r="N168" s="8" t="n">
        <x:f>K168-M168</x:f>
        <x:v>-148.63951583750057</x:v>
      </x:c>
      <x:c r="O168" s="8" t="n">
        <x:f>ABS(N168)</x:f>
        <x:v>148.63951583750057</x:v>
      </x:c>
      <x:c r="P168" s="8" t="n">
        <x:f>N168^2</x:f>
        <x:v>22093.705668406583</x:v>
      </x:c>
      <x:c r="Q168" s="8" t="n">
        <x:f>K168-L168</x:f>
        <x:v>3</x:v>
      </x:c>
      <x:c r="R168" s="9" t="n">
        <x:f>IF(AND(INDEX('Сводка'!$T$3:$T$397,U168)=0,INDEX('Сводка'!$T$3:$T$397,V168)=0),1,0)</x:f>
        <x:v>1</x:v>
      </x:c>
      <x:c r="S168" s="9" t="n">
        <x:f>IF(AND(R168=1,O168&lt;=$G$13),1,0)</x:f>
        <x:v>0</x:v>
      </x:c>
      <x:c r="T168" s="10" t="n">
        <x:f>EOMONTH(J168-'Сводка'!$B$11,-1)</x:f>
        <x:v>45991</x:v>
      </x:c>
      <x:c r="U168" s="4" t="n">
        <x:f>MATCH(J168,'Сводка'!$R$3:$R$397,0)</x:f>
        <x:v>179</x:v>
      </x:c>
      <x:c r="V168" s="4" t="n">
        <x:f>MATCH(J168-'Сводка'!$B$11,'Сводка'!$R$3:$R$397,0)</x:f>
        <x:v>178</x:v>
      </x:c>
      <x:c r="W168" s="4" t="n">
        <x:f>MATCH(T168,$J$388:$J$400,0)</x:f>
        <x:v>6</x:v>
      </x:c>
      <x:c r="X168" s="3"/>
      <x:c r="Y168" s="3"/>
      <x:c r="Z168" s="3"/>
    </x:row>
    <x:row r="169" ht="15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10" t="n">
        <x:v>46020</x:v>
      </x:c>
      <x:c r="K169" s="8" t="n">
        <x:f>INDEX('Сводка'!$S$3:$S$397,U169)</x:f>
        <x:v>-6</x:v>
      </x:c>
      <x:c r="L169" s="8" t="n">
        <x:f>INDEX('Сводка'!$S$3:$S$397,V169)</x:f>
        <x:v>-12</x:v>
      </x:c>
      <x:c r="M169" s="8" t="n">
        <x:f>INDEX($K$388:$N$400,W169,1)+INDEX($K$388:$N$400,W169,2)*(2*(J169-$T$405)/(T169-$T$405)-1)^1+INDEX($K$388:$N$400,W169,3)*(2*(J169-$T$405)/(T169-$T$405)-1)^2+INDEX($K$388:$N$400,W169,4)*(2*(J169-$T$405)/(T169-$T$405)-1)^3</x:f>
        <x:v>136.63589470254738</x:v>
      </x:c>
      <x:c r="N169" s="8" t="n">
        <x:f>K169-M169</x:f>
        <x:v>-142.63589470254738</x:v>
      </x:c>
      <x:c r="O169" s="8" t="n">
        <x:f>ABS(N169)</x:f>
        <x:v>142.63589470254738</x:v>
      </x:c>
      <x:c r="P169" s="8" t="n">
        <x:f>N169^2</x:f>
        <x:v>20344.998457596183</x:v>
      </x:c>
      <x:c r="Q169" s="8" t="n">
        <x:f>K169-L169</x:f>
        <x:v>6</x:v>
      </x:c>
      <x:c r="R169" s="9" t="n">
        <x:f>IF(AND(INDEX('Сводка'!$T$3:$T$397,U169)=0,INDEX('Сводка'!$T$3:$T$397,V169)=0),1,0)</x:f>
        <x:v>1</x:v>
      </x:c>
      <x:c r="S169" s="9" t="n">
        <x:f>IF(AND(R169=1,O169&lt;=$G$13),1,0)</x:f>
        <x:v>0</x:v>
      </x:c>
      <x:c r="T169" s="10" t="n">
        <x:f>EOMONTH(J169-'Сводка'!$B$11,-1)</x:f>
        <x:v>45991</x:v>
      </x:c>
      <x:c r="U169" s="4" t="n">
        <x:f>MATCH(J169,'Сводка'!$R$3:$R$397,0)</x:f>
        <x:v>180</x:v>
      </x:c>
      <x:c r="V169" s="4" t="n">
        <x:f>MATCH(J169-'Сводка'!$B$11,'Сводка'!$R$3:$R$397,0)</x:f>
        <x:v>179</x:v>
      </x:c>
      <x:c r="W169" s="4" t="n">
        <x:f>MATCH(T169,$J$388:$J$400,0)</x:f>
        <x:v>6</x:v>
      </x:c>
      <x:c r="X169" s="3"/>
      <x:c r="Y169" s="3"/>
      <x:c r="Z169" s="3"/>
    </x:row>
    <x:row r="170" ht="15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10" t="n">
        <x:v>46021</x:v>
      </x:c>
      <x:c r="K170" s="8" t="n">
        <x:f>INDEX('Сводка'!$S$3:$S$397,U170)</x:f>
        <x:v>-3</x:v>
      </x:c>
      <x:c r="L170" s="8" t="n">
        <x:f>INDEX('Сводка'!$S$3:$S$397,V170)</x:f>
        <x:v>-6</x:v>
      </x:c>
      <x:c r="M170" s="8" t="n">
        <x:f>INDEX($K$388:$N$400,W170,1)+INDEX($K$388:$N$400,W170,2)*(2*(J170-$T$405)/(T170-$T$405)-1)^1+INDEX($K$388:$N$400,W170,3)*(2*(J170-$T$405)/(T170-$T$405)-1)^2+INDEX($K$388:$N$400,W170,4)*(2*(J170-$T$405)/(T170-$T$405)-1)^3</x:f>
        <x:v>136.6322657579329</x:v>
      </x:c>
      <x:c r="N170" s="8" t="n">
        <x:f>K170-M170</x:f>
        <x:v>-139.6322657579329</x:v>
      </x:c>
      <x:c r="O170" s="8" t="n">
        <x:f>ABS(N170)</x:f>
        <x:v>139.6322657579329</x:v>
      </x:c>
      <x:c r="P170" s="8" t="n">
        <x:f>N170^2</x:f>
        <x:v>19497.169640694003</x:v>
      </x:c>
      <x:c r="Q170" s="8" t="n">
        <x:f>K170-L170</x:f>
        <x:v>3</x:v>
      </x:c>
      <x:c r="R170" s="9" t="n">
        <x:f>IF(AND(INDEX('Сводка'!$T$3:$T$397,U170)=0,INDEX('Сводка'!$T$3:$T$397,V170)=0),1,0)</x:f>
        <x:v>1</x:v>
      </x:c>
      <x:c r="S170" s="9" t="n">
        <x:f>IF(AND(R170=1,O170&lt;=$G$13),1,0)</x:f>
        <x:v>0</x:v>
      </x:c>
      <x:c r="T170" s="10" t="n">
        <x:f>EOMONTH(J170-'Сводка'!$B$11,-1)</x:f>
        <x:v>45991</x:v>
      </x:c>
      <x:c r="U170" s="4" t="n">
        <x:f>MATCH(J170,'Сводка'!$R$3:$R$397,0)</x:f>
        <x:v>181</x:v>
      </x:c>
      <x:c r="V170" s="4" t="n">
        <x:f>MATCH(J170-'Сводка'!$B$11,'Сводка'!$R$3:$R$397,0)</x:f>
        <x:v>180</x:v>
      </x:c>
      <x:c r="W170" s="4" t="n">
        <x:f>MATCH(T170,$J$388:$J$400,0)</x:f>
        <x:v>6</x:v>
      </x:c>
      <x:c r="X170" s="3"/>
      <x:c r="Y170" s="3"/>
      <x:c r="Z170" s="3"/>
    </x:row>
    <x:row r="171" ht="15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10" t="n">
        <x:v>46022</x:v>
      </x:c>
      <x:c r="K171" s="8" t="n">
        <x:f>INDEX('Сводка'!$S$3:$S$397,U171)</x:f>
        <x:v>0</x:v>
      </x:c>
      <x:c r="L171" s="8" t="n">
        <x:f>INDEX('Сводка'!$S$3:$S$397,V171)</x:f>
        <x:v>-3</x:v>
      </x:c>
      <x:c r="M171" s="8" t="n">
        <x:f>INDEX($K$388:$N$400,W171,1)+INDEX($K$388:$N$400,W171,2)*(2*(J171-$T$405)/(T171-$T$405)-1)^1+INDEX($K$388:$N$400,W171,3)*(2*(J171-$T$405)/(T171-$T$405)-1)^2+INDEX($K$388:$N$400,W171,4)*(2*(J171-$T$405)/(T171-$T$405)-1)^3</x:f>
        <x:v>136.62862900303722</x:v>
      </x:c>
      <x:c r="N171" s="8" t="n">
        <x:f>K171-M171</x:f>
        <x:v>-136.62862900303722</x:v>
      </x:c>
      <x:c r="O171" s="8" t="n">
        <x:f>ABS(N171)</x:f>
        <x:v>136.62862900303722</x:v>
      </x:c>
      <x:c r="P171" s="8" t="n">
        <x:f>N171^2</x:f>
        <x:v>18667.382263249583</x:v>
      </x:c>
      <x:c r="Q171" s="8" t="n">
        <x:f>K171-L171</x:f>
        <x:v>3</x:v>
      </x:c>
      <x:c r="R171" s="9" t="n">
        <x:f>IF(AND(INDEX('Сводка'!$T$3:$T$397,U171)=0,INDEX('Сводка'!$T$3:$T$397,V171)=0),1,0)</x:f>
        <x:v>0</x:v>
      </x:c>
      <x:c r="S171" s="9" t="n">
        <x:f>IF(AND(R171=1,O171&lt;=$G$13),1,0)</x:f>
        <x:v>0</x:v>
      </x:c>
      <x:c r="T171" s="10" t="n">
        <x:f>EOMONTH(J171-'Сводка'!$B$11,-1)</x:f>
        <x:v>45991</x:v>
      </x:c>
      <x:c r="U171" s="4" t="n">
        <x:f>MATCH(J171,'Сводка'!$R$3:$R$397,0)</x:f>
        <x:v>182</x:v>
      </x:c>
      <x:c r="V171" s="4" t="n">
        <x:f>MATCH(J171-'Сводка'!$B$11,'Сводка'!$R$3:$R$397,0)</x:f>
        <x:v>181</x:v>
      </x:c>
      <x:c r="W171" s="4" t="n">
        <x:f>MATCH(T171,$J$388:$J$400,0)</x:f>
        <x:v>6</x:v>
      </x:c>
      <x:c r="X171" s="3"/>
      <x:c r="Y171" s="3"/>
      <x:c r="Z171" s="3"/>
    </x:row>
    <x:row r="172" ht="15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10" t="n">
        <x:v>46023</x:v>
      </x:c>
      <x:c r="K172" s="8" t="n">
        <x:f>INDEX('Сводка'!$S$3:$S$397,U172)</x:f>
        <x:v>3</x:v>
      </x:c>
      <x:c r="L172" s="8" t="n">
        <x:f>INDEX('Сводка'!$S$3:$S$397,V172)</x:f>
        <x:v>0</x:v>
      </x:c>
      <x:c r="M172" s="8" t="n">
        <x:f>INDEX($K$388:$N$400,W172,1)+INDEX($K$388:$N$400,W172,2)*(2*(J172-$T$405)/(T172-$T$405)-1)^1+INDEX($K$388:$N$400,W172,3)*(2*(J172-$T$405)/(T172-$T$405)-1)^2+INDEX($K$388:$N$400,W172,4)*(2*(J172-$T$405)/(T172-$T$405)-1)^3</x:f>
        <x:v>136.62498443724053</x:v>
      </x:c>
      <x:c r="N172" s="8" t="n">
        <x:f>K172-M172</x:f>
        <x:v>-133.62498443724053</x:v>
      </x:c>
      <x:c r="O172" s="8" t="n">
        <x:f>ABS(N172)</x:f>
        <x:v>133.62498443724053</x:v>
      </x:c>
      <x:c r="P172" s="8" t="n">
        <x:f>N172^2</x:f>
        <x:v>17855.636465852775</x:v>
      </x:c>
      <x:c r="Q172" s="8" t="n">
        <x:f>K172-L172</x:f>
        <x:v>3</x:v>
      </x:c>
      <x:c r="R172" s="9" t="n">
        <x:f>IF(AND(INDEX('Сводка'!$T$3:$T$397,U172)=0,INDEX('Сводка'!$T$3:$T$397,V172)=0),1,0)</x:f>
        <x:v>0</x:v>
      </x:c>
      <x:c r="S172" s="9" t="n">
        <x:f>IF(AND(R172=1,O172&lt;=$G$13),1,0)</x:f>
        <x:v>0</x:v>
      </x:c>
      <x:c r="T172" s="10" t="n">
        <x:f>EOMONTH(J172-'Сводка'!$B$11,-1)</x:f>
        <x:v>45991</x:v>
      </x:c>
      <x:c r="U172" s="4" t="n">
        <x:f>MATCH(J172,'Сводка'!$R$3:$R$397,0)</x:f>
        <x:v>183</x:v>
      </x:c>
      <x:c r="V172" s="4" t="n">
        <x:f>MATCH(J172-'Сводка'!$B$11,'Сводка'!$R$3:$R$397,0)</x:f>
        <x:v>182</x:v>
      </x:c>
      <x:c r="W172" s="4" t="n">
        <x:f>MATCH(T172,$J$388:$J$400,0)</x:f>
        <x:v>6</x:v>
      </x:c>
      <x:c r="X172" s="3"/>
      <x:c r="Y172" s="3"/>
      <x:c r="Z172" s="3"/>
    </x:row>
    <x:row r="173" ht="15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10" t="n">
        <x:v>46024</x:v>
      </x:c>
      <x:c r="K173" s="8" t="n">
        <x:f>INDEX('Сводка'!$S$3:$S$397,U173)</x:f>
        <x:v>6</x:v>
      </x:c>
      <x:c r="L173" s="8" t="n">
        <x:f>INDEX('Сводка'!$S$3:$S$397,V173)</x:f>
        <x:v>3</x:v>
      </x:c>
      <x:c r="M173" s="8" t="n">
        <x:f>INDEX($K$388:$N$400,W173,1)+INDEX($K$388:$N$400,W173,2)*(2*(J173-$T$405)/(T173-$T$405)-1)^1+INDEX($K$388:$N$400,W173,3)*(2*(J173-$T$405)/(T173-$T$405)-1)^2+INDEX($K$388:$N$400,W173,4)*(2*(J173-$T$405)/(T173-$T$405)-1)^3</x:f>
        <x:v>128.35422847720815</x:v>
      </x:c>
      <x:c r="N173" s="8" t="n">
        <x:f>K173-M173</x:f>
        <x:v>-122.35422847720815</x:v>
      </x:c>
      <x:c r="O173" s="8" t="n">
        <x:f>ABS(N173)</x:f>
        <x:v>122.35422847720815</x:v>
      </x:c>
      <x:c r="P173" s="8" t="n">
        <x:f>N173^2</x:f>
        <x:v>14970.557226252855</x:v>
      </x:c>
      <x:c r="Q173" s="8" t="n">
        <x:f>K173-L173</x:f>
        <x:v>3</x:v>
      </x:c>
      <x:c r="R173" s="9" t="n">
        <x:f>IF(AND(INDEX('Сводка'!$T$3:$T$397,U173)=0,INDEX('Сводка'!$T$3:$T$397,V173)=0),1,0)</x:f>
        <x:v>1</x:v>
      </x:c>
      <x:c r="S173" s="9" t="n">
        <x:f>IF(AND(R173=1,O173&lt;=$G$13),1,0)</x:f>
        <x:v>0</x:v>
      </x:c>
      <x:c r="T173" s="10" t="n">
        <x:f>EOMONTH(J173-'Сводка'!$B$11,-1)</x:f>
        <x:v>46022</x:v>
      </x:c>
      <x:c r="U173" s="4" t="n">
        <x:f>MATCH(J173,'Сводка'!$R$3:$R$397,0)</x:f>
        <x:v>184</x:v>
      </x:c>
      <x:c r="V173" s="4" t="n">
        <x:f>MATCH(J173-'Сводка'!$B$11,'Сводка'!$R$3:$R$397,0)</x:f>
        <x:v>183</x:v>
      </x:c>
      <x:c r="W173" s="4" t="n">
        <x:f>MATCH(T173,$J$388:$J$400,0)</x:f>
        <x:v>7</x:v>
      </x:c>
      <x:c r="X173" s="3"/>
      <x:c r="Y173" s="3"/>
      <x:c r="Z173" s="3"/>
    </x:row>
    <x:row r="174" ht="15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10" t="n">
        <x:v>46025</x:v>
      </x:c>
      <x:c r="K174" s="8" t="n">
        <x:f>INDEX('Сводка'!$S$3:$S$397,U174)</x:f>
        <x:v>6</x:v>
      </x:c>
      <x:c r="L174" s="8" t="n">
        <x:f>INDEX('Сводка'!$S$3:$S$397,V174)</x:f>
        <x:v>6</x:v>
      </x:c>
      <x:c r="M174" s="8" t="n">
        <x:f>INDEX($K$388:$N$400,W174,1)+INDEX($K$388:$N$400,W174,2)*(2*(J174-$T$405)/(T174-$T$405)-1)^1+INDEX($K$388:$N$400,W174,3)*(2*(J174-$T$405)/(T174-$T$405)-1)^2+INDEX($K$388:$N$400,W174,4)*(2*(J174-$T$405)/(T174-$T$405)-1)^3</x:f>
        <x:v>128.34367788714763</x:v>
      </x:c>
      <x:c r="N174" s="8" t="n">
        <x:f>K174-M174</x:f>
        <x:v>-122.34367788714763</x:v>
      </x:c>
      <x:c r="O174" s="8" t="n">
        <x:f>ABS(N174)</x:f>
        <x:v>122.34367788714763</x:v>
      </x:c>
      <x:c r="P174" s="8" t="n">
        <x:f>N174^2</x:f>
        <x:v>14967.975518954137</x:v>
      </x:c>
      <x:c r="Q174" s="8" t="n">
        <x:f>K174-L174</x:f>
        <x:v>0</x:v>
      </x:c>
      <x:c r="R174" s="9" t="n">
        <x:f>IF(AND(INDEX('Сводка'!$T$3:$T$397,U174)=0,INDEX('Сводка'!$T$3:$T$397,V174)=0),1,0)</x:f>
        <x:v>1</x:v>
      </x:c>
      <x:c r="S174" s="9" t="n">
        <x:f>IF(AND(R174=1,O174&lt;=$G$13),1,0)</x:f>
        <x:v>0</x:v>
      </x:c>
      <x:c r="T174" s="10" t="n">
        <x:f>EOMONTH(J174-'Сводка'!$B$11,-1)</x:f>
        <x:v>46022</x:v>
      </x:c>
      <x:c r="U174" s="4" t="n">
        <x:f>MATCH(J174,'Сводка'!$R$3:$R$397,0)</x:f>
        <x:v>185</x:v>
      </x:c>
      <x:c r="V174" s="4" t="n">
        <x:f>MATCH(J174-'Сводка'!$B$11,'Сводка'!$R$3:$R$397,0)</x:f>
        <x:v>184</x:v>
      </x:c>
      <x:c r="W174" s="4" t="n">
        <x:f>MATCH(T174,$J$388:$J$400,0)</x:f>
        <x:v>7</x:v>
      </x:c>
      <x:c r="X174" s="3"/>
      <x:c r="Y174" s="3"/>
      <x:c r="Z174" s="3"/>
    </x:row>
    <x:row r="175" ht="15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10" t="n">
        <x:v>46026</x:v>
      </x:c>
      <x:c r="K175" s="8" t="n">
        <x:f>INDEX('Сводка'!$S$3:$S$397,U175)</x:f>
        <x:v>6</x:v>
      </x:c>
      <x:c r="L175" s="8" t="n">
        <x:f>INDEX('Сводка'!$S$3:$S$397,V175)</x:f>
        <x:v>6</x:v>
      </x:c>
      <x:c r="M175" s="8" t="n">
        <x:f>INDEX($K$388:$N$400,W175,1)+INDEX($K$388:$N$400,W175,2)*(2*(J175-$T$405)/(T175-$T$405)-1)^1+INDEX($K$388:$N$400,W175,3)*(2*(J175-$T$405)/(T175-$T$405)-1)^2+INDEX($K$388:$N$400,W175,4)*(2*(J175-$T$405)/(T175-$T$405)-1)^3</x:f>
        <x:v>128.3331163783355</x:v>
      </x:c>
      <x:c r="N175" s="8" t="n">
        <x:f>K175-M175</x:f>
        <x:v>-122.33311637833549</x:v>
      </x:c>
      <x:c r="O175" s="8" t="n">
        <x:f>ABS(N175)</x:f>
        <x:v>122.33311637833549</x:v>
      </x:c>
      <x:c r="P175" s="8" t="n">
        <x:f>N175^2</x:f>
        <x:v>14965.391362835375</x:v>
      </x:c>
      <x:c r="Q175" s="8" t="n">
        <x:f>K175-L175</x:f>
        <x:v>0</x:v>
      </x:c>
      <x:c r="R175" s="9" t="n">
        <x:f>IF(AND(INDEX('Сводка'!$T$3:$T$397,U175)=0,INDEX('Сводка'!$T$3:$T$397,V175)=0),1,0)</x:f>
        <x:v>1</x:v>
      </x:c>
      <x:c r="S175" s="9" t="n">
        <x:f>IF(AND(R175=1,O175&lt;=$G$13),1,0)</x:f>
        <x:v>0</x:v>
      </x:c>
      <x:c r="T175" s="10" t="n">
        <x:f>EOMONTH(J175-'Сводка'!$B$11,-1)</x:f>
        <x:v>46022</x:v>
      </x:c>
      <x:c r="U175" s="4" t="n">
        <x:f>MATCH(J175,'Сводка'!$R$3:$R$397,0)</x:f>
        <x:v>186</x:v>
      </x:c>
      <x:c r="V175" s="4" t="n">
        <x:f>MATCH(J175-'Сводка'!$B$11,'Сводка'!$R$3:$R$397,0)</x:f>
        <x:v>185</x:v>
      </x:c>
      <x:c r="W175" s="4" t="n">
        <x:f>MATCH(T175,$J$388:$J$400,0)</x:f>
        <x:v>7</x:v>
      </x:c>
      <x:c r="X175" s="3"/>
      <x:c r="Y175" s="3"/>
      <x:c r="Z175" s="3"/>
    </x:row>
    <x:row r="176" ht="15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10" t="n">
        <x:v>46027</x:v>
      </x:c>
      <x:c r="K176" s="8" t="n">
        <x:f>INDEX('Сводка'!$S$3:$S$397,U176)</x:f>
        <x:v>6</x:v>
      </x:c>
      <x:c r="L176" s="8" t="n">
        <x:f>INDEX('Сводка'!$S$3:$S$397,V176)</x:f>
        <x:v>6</x:v>
      </x:c>
      <x:c r="M176" s="8" t="n">
        <x:f>INDEX($K$388:$N$400,W176,1)+INDEX($K$388:$N$400,W176,2)*(2*(J176-$T$405)/(T176-$T$405)-1)^1+INDEX($K$388:$N$400,W176,3)*(2*(J176-$T$405)/(T176-$T$405)-1)^2+INDEX($K$388:$N$400,W176,4)*(2*(J176-$T$405)/(T176-$T$405)-1)^3</x:f>
        <x:v>128.32254394953628</x:v>
      </x:c>
      <x:c r="N176" s="8" t="n">
        <x:f>K176-M176</x:f>
        <x:v>-122.32254394953628</x:v>
      </x:c>
      <x:c r="O176" s="8" t="n">
        <x:f>ABS(N176)</x:f>
        <x:v>122.32254394953628</x:v>
      </x:c>
      <x:c r="P176" s="8" t="n">
        <x:f>N176^2</x:f>
        <x:v>14962.804758286235</x:v>
      </x:c>
      <x:c r="Q176" s="8" t="n">
        <x:f>K176-L176</x:f>
        <x:v>0</x:v>
      </x:c>
      <x:c r="R176" s="9" t="n">
        <x:f>IF(AND(INDEX('Сводка'!$T$3:$T$397,U176)=0,INDEX('Сводка'!$T$3:$T$397,V176)=0),1,0)</x:f>
        <x:v>1</x:v>
      </x:c>
      <x:c r="S176" s="9" t="n">
        <x:f>IF(AND(R176=1,O176&lt;=$G$13),1,0)</x:f>
        <x:v>0</x:v>
      </x:c>
      <x:c r="T176" s="10" t="n">
        <x:f>EOMONTH(J176-'Сводка'!$B$11,-1)</x:f>
        <x:v>46022</x:v>
      </x:c>
      <x:c r="U176" s="4" t="n">
        <x:f>MATCH(J176,'Сводка'!$R$3:$R$397,0)</x:f>
        <x:v>187</x:v>
      </x:c>
      <x:c r="V176" s="4" t="n">
        <x:f>MATCH(J176-'Сводка'!$B$11,'Сводка'!$R$3:$R$397,0)</x:f>
        <x:v>186</x:v>
      </x:c>
      <x:c r="W176" s="4" t="n">
        <x:f>MATCH(T176,$J$388:$J$400,0)</x:f>
        <x:v>7</x:v>
      </x:c>
      <x:c r="X176" s="3"/>
      <x:c r="Y176" s="3"/>
      <x:c r="Z176" s="3"/>
    </x:row>
    <x:row r="177" ht="15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10" t="n">
        <x:v>46028</x:v>
      </x:c>
      <x:c r="K177" s="8" t="n">
        <x:f>INDEX('Сводка'!$S$3:$S$397,U177)</x:f>
        <x:v>2</x:v>
      </x:c>
      <x:c r="L177" s="8" t="n">
        <x:f>INDEX('Сводка'!$S$3:$S$397,V177)</x:f>
        <x:v>6</x:v>
      </x:c>
      <x:c r="M177" s="8" t="n">
        <x:f>INDEX($K$388:$N$400,W177,1)+INDEX($K$388:$N$400,W177,2)*(2*(J177-$T$405)/(T177-$T$405)-1)^1+INDEX($K$388:$N$400,W177,3)*(2*(J177-$T$405)/(T177-$T$405)-1)^2+INDEX($K$388:$N$400,W177,4)*(2*(J177-$T$405)/(T177-$T$405)-1)^3</x:f>
        <x:v>128.31196059951438</x:v>
      </x:c>
      <x:c r="N177" s="8" t="n">
        <x:f>K177-M177</x:f>
        <x:v>-126.31196059951438</x:v>
      </x:c>
      <x:c r="O177" s="8" t="n">
        <x:f>ABS(N177)</x:f>
        <x:v>126.31196059951438</x:v>
      </x:c>
      <x:c r="P177" s="8" t="n">
        <x:f>N177^2</x:f>
        <x:v>15954.711390493272</x:v>
      </x:c>
      <x:c r="Q177" s="8" t="n">
        <x:f>K177-L177</x:f>
        <x:v>-4</x:v>
      </x:c>
      <x:c r="R177" s="9" t="n">
        <x:f>IF(AND(INDEX('Сводка'!$T$3:$T$397,U177)=0,INDEX('Сводка'!$T$3:$T$397,V177)=0),1,0)</x:f>
        <x:v>1</x:v>
      </x:c>
      <x:c r="S177" s="9" t="n">
        <x:f>IF(AND(R177=1,O177&lt;=$G$13),1,0)</x:f>
        <x:v>0</x:v>
      </x:c>
      <x:c r="T177" s="10" t="n">
        <x:f>EOMONTH(J177-'Сводка'!$B$11,-1)</x:f>
        <x:v>46022</x:v>
      </x:c>
      <x:c r="U177" s="4" t="n">
        <x:f>MATCH(J177,'Сводка'!$R$3:$R$397,0)</x:f>
        <x:v>188</x:v>
      </x:c>
      <x:c r="V177" s="4" t="n">
        <x:f>MATCH(J177-'Сводка'!$B$11,'Сводка'!$R$3:$R$397,0)</x:f>
        <x:v>187</x:v>
      </x:c>
      <x:c r="W177" s="4" t="n">
        <x:f>MATCH(T177,$J$388:$J$400,0)</x:f>
        <x:v>7</x:v>
      </x:c>
      <x:c r="X177" s="3"/>
      <x:c r="Y177" s="3"/>
      <x:c r="Z177" s="3"/>
    </x:row>
    <x:row r="178" ht="15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10" t="n">
        <x:v>46029</x:v>
      </x:c>
      <x:c r="K178" s="8" t="n">
        <x:f>INDEX('Сводка'!$S$3:$S$397,U178)</x:f>
        <x:v>-2</x:v>
      </x:c>
      <x:c r="L178" s="8" t="n">
        <x:f>INDEX('Сводка'!$S$3:$S$397,V178)</x:f>
        <x:v>2</x:v>
      </x:c>
      <x:c r="M178" s="8" t="n">
        <x:f>INDEX($K$388:$N$400,W178,1)+INDEX($K$388:$N$400,W178,2)*(2*(J178-$T$405)/(T178-$T$405)-1)^1+INDEX($K$388:$N$400,W178,3)*(2*(J178-$T$405)/(T178-$T$405)-1)^2+INDEX($K$388:$N$400,W178,4)*(2*(J178-$T$405)/(T178-$T$405)-1)^3</x:f>
        <x:v>128.30136632703432</x:v>
      </x:c>
      <x:c r="N178" s="8" t="n">
        <x:f>K178-M178</x:f>
        <x:v>-130.30136632703432</x:v>
      </x:c>
      <x:c r="O178" s="8" t="n">
        <x:f>ABS(N178)</x:f>
        <x:v>130.30136632703432</x:v>
      </x:c>
      <x:c r="P178" s="8" t="n">
        <x:f>N178^2</x:f>
        <x:v>16978.44606669199</x:v>
      </x:c>
      <x:c r="Q178" s="8" t="n">
        <x:f>K178-L178</x:f>
        <x:v>-4</x:v>
      </x:c>
      <x:c r="R178" s="9" t="n">
        <x:f>IF(AND(INDEX('Сводка'!$T$3:$T$397,U178)=0,INDEX('Сводка'!$T$3:$T$397,V178)=0),1,0)</x:f>
        <x:v>1</x:v>
      </x:c>
      <x:c r="S178" s="9" t="n">
        <x:f>IF(AND(R178=1,O178&lt;=$G$13),1,0)</x:f>
        <x:v>0</x:v>
      </x:c>
      <x:c r="T178" s="10" t="n">
        <x:f>EOMONTH(J178-'Сводка'!$B$11,-1)</x:f>
        <x:v>46022</x:v>
      </x:c>
      <x:c r="U178" s="4" t="n">
        <x:f>MATCH(J178,'Сводка'!$R$3:$R$397,0)</x:f>
        <x:v>189</x:v>
      </x:c>
      <x:c r="V178" s="4" t="n">
        <x:f>MATCH(J178-'Сводка'!$B$11,'Сводка'!$R$3:$R$397,0)</x:f>
        <x:v>188</x:v>
      </x:c>
      <x:c r="W178" s="4" t="n">
        <x:f>MATCH(T178,$J$388:$J$400,0)</x:f>
        <x:v>7</x:v>
      </x:c>
      <x:c r="X178" s="3"/>
      <x:c r="Y178" s="3"/>
      <x:c r="Z178" s="3"/>
    </x:row>
    <x:row r="179" ht="15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10" t="n">
        <x:v>46030</x:v>
      </x:c>
      <x:c r="K179" s="8" t="n">
        <x:f>INDEX('Сводка'!$S$3:$S$397,U179)</x:f>
        <x:v>-7</x:v>
      </x:c>
      <x:c r="L179" s="8" t="n">
        <x:f>INDEX('Сводка'!$S$3:$S$397,V179)</x:f>
        <x:v>-2</x:v>
      </x:c>
      <x:c r="M179" s="8" t="n">
        <x:f>INDEX($K$388:$N$400,W179,1)+INDEX($K$388:$N$400,W179,2)*(2*(J179-$T$405)/(T179-$T$405)-1)^1+INDEX($K$388:$N$400,W179,3)*(2*(J179-$T$405)/(T179-$T$405)-1)^2+INDEX($K$388:$N$400,W179,4)*(2*(J179-$T$405)/(T179-$T$405)-1)^3</x:f>
        <x:v>128.29076113086063</x:v>
      </x:c>
      <x:c r="N179" s="8" t="n">
        <x:f>K179-M179</x:f>
        <x:v>-135.29076113086063</x:v>
      </x:c>
      <x:c r="O179" s="8" t="n">
        <x:f>ABS(N179)</x:f>
        <x:v>135.29076113086063</x:v>
      </x:c>
      <x:c r="P179" s="8" t="n">
        <x:f>N179^2</x:f>
        <x:v>18303.59004736759</x:v>
      </x:c>
      <x:c r="Q179" s="8" t="n">
        <x:f>K179-L179</x:f>
        <x:v>-5</x:v>
      </x:c>
      <x:c r="R179" s="9" t="n">
        <x:f>IF(AND(INDEX('Сводка'!$T$3:$T$397,U179)=0,INDEX('Сводка'!$T$3:$T$397,V179)=0),1,0)</x:f>
        <x:v>1</x:v>
      </x:c>
      <x:c r="S179" s="9" t="n">
        <x:f>IF(AND(R179=1,O179&lt;=$G$13),1,0)</x:f>
        <x:v>0</x:v>
      </x:c>
      <x:c r="T179" s="10" t="n">
        <x:f>EOMONTH(J179-'Сводка'!$B$11,-1)</x:f>
        <x:v>46022</x:v>
      </x:c>
      <x:c r="U179" s="4" t="n">
        <x:f>MATCH(J179,'Сводка'!$R$3:$R$397,0)</x:f>
        <x:v>190</x:v>
      </x:c>
      <x:c r="V179" s="4" t="n">
        <x:f>MATCH(J179-'Сводка'!$B$11,'Сводка'!$R$3:$R$397,0)</x:f>
        <x:v>189</x:v>
      </x:c>
      <x:c r="W179" s="4" t="n">
        <x:f>MATCH(T179,$J$388:$J$400,0)</x:f>
        <x:v>7</x:v>
      </x:c>
      <x:c r="X179" s="3"/>
      <x:c r="Y179" s="3"/>
      <x:c r="Z179" s="3"/>
    </x:row>
    <x:row r="180" ht="15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10" t="n">
        <x:v>46031</x:v>
      </x:c>
      <x:c r="K180" s="8" t="n">
        <x:f>INDEX('Сводка'!$S$3:$S$397,U180)</x:f>
        <x:v>-10</x:v>
      </x:c>
      <x:c r="L180" s="8" t="n">
        <x:f>INDEX('Сводка'!$S$3:$S$397,V180)</x:f>
        <x:v>-7</x:v>
      </x:c>
      <x:c r="M180" s="8" t="n">
        <x:f>INDEX($K$388:$N$400,W180,1)+INDEX($K$388:$N$400,W180,2)*(2*(J180-$T$405)/(T180-$T$405)-1)^1+INDEX($K$388:$N$400,W180,3)*(2*(J180-$T$405)/(T180-$T$405)-1)^2+INDEX($K$388:$N$400,W180,4)*(2*(J180-$T$405)/(T180-$T$405)-1)^3</x:f>
        <x:v>128.28014500975766</x:v>
      </x:c>
      <x:c r="N180" s="8" t="n">
        <x:f>K180-M180</x:f>
        <x:v>-138.28014500975766</x:v>
      </x:c>
      <x:c r="O180" s="8" t="n">
        <x:f>ABS(N180)</x:f>
        <x:v>138.28014500975766</x:v>
      </x:c>
      <x:c r="P180" s="8" t="n">
        <x:f>N180^2</x:f>
        <x:v>19121.398503919605</x:v>
      </x:c>
      <x:c r="Q180" s="8" t="n">
        <x:f>K180-L180</x:f>
        <x:v>-3</x:v>
      </x:c>
      <x:c r="R180" s="9" t="n">
        <x:f>IF(AND(INDEX('Сводка'!$T$3:$T$397,U180)=0,INDEX('Сводка'!$T$3:$T$397,V180)=0),1,0)</x:f>
        <x:v>1</x:v>
      </x:c>
      <x:c r="S180" s="9" t="n">
        <x:f>IF(AND(R180=1,O180&lt;=$G$13),1,0)</x:f>
        <x:v>0</x:v>
      </x:c>
      <x:c r="T180" s="10" t="n">
        <x:f>EOMONTH(J180-'Сводка'!$B$11,-1)</x:f>
        <x:v>46022</x:v>
      </x:c>
      <x:c r="U180" s="4" t="n">
        <x:f>MATCH(J180,'Сводка'!$R$3:$R$397,0)</x:f>
        <x:v>191</x:v>
      </x:c>
      <x:c r="V180" s="4" t="n">
        <x:f>MATCH(J180-'Сводка'!$B$11,'Сводка'!$R$3:$R$397,0)</x:f>
        <x:v>190</x:v>
      </x:c>
      <x:c r="W180" s="4" t="n">
        <x:f>MATCH(T180,$J$388:$J$400,0)</x:f>
        <x:v>7</x:v>
      </x:c>
      <x:c r="X180" s="3"/>
      <x:c r="Y180" s="3"/>
      <x:c r="Z180" s="3"/>
    </x:row>
    <x:row r="181" ht="15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10" t="n">
        <x:v>46032</x:v>
      </x:c>
      <x:c r="K181" s="8" t="n">
        <x:f>INDEX('Сводка'!$S$3:$S$397,U181)</x:f>
        <x:v>-13</x:v>
      </x:c>
      <x:c r="L181" s="8" t="n">
        <x:f>INDEX('Сводка'!$S$3:$S$397,V181)</x:f>
        <x:v>-10</x:v>
      </x:c>
      <x:c r="M181" s="8" t="n">
        <x:f>INDEX($K$388:$N$400,W181,1)+INDEX($K$388:$N$400,W181,2)*(2*(J181-$T$405)/(T181-$T$405)-1)^1+INDEX($K$388:$N$400,W181,3)*(2*(J181-$T$405)/(T181-$T$405)-1)^2+INDEX($K$388:$N$400,W181,4)*(2*(J181-$T$405)/(T181-$T$405)-1)^3</x:f>
        <x:v>128.26951796249003</x:v>
      </x:c>
      <x:c r="N181" s="8" t="n">
        <x:f>K181-M181</x:f>
        <x:v>-141.26951796249003</x:v>
      </x:c>
      <x:c r="O181" s="8" t="n">
        <x:f>ABS(N181)</x:f>
        <x:v>141.26951796249003</x:v>
      </x:c>
      <x:c r="P181" s="8" t="n">
        <x:f>N181^2</x:f>
        <x:v>19957.07670535429</x:v>
      </x:c>
      <x:c r="Q181" s="8" t="n">
        <x:f>K181-L181</x:f>
        <x:v>-3</x:v>
      </x:c>
      <x:c r="R181" s="9" t="n">
        <x:f>IF(AND(INDEX('Сводка'!$T$3:$T$397,U181)=0,INDEX('Сводка'!$T$3:$T$397,V181)=0),1,0)</x:f>
        <x:v>1</x:v>
      </x:c>
      <x:c r="S181" s="9" t="n">
        <x:f>IF(AND(R181=1,O181&lt;=$G$13),1,0)</x:f>
        <x:v>0</x:v>
      </x:c>
      <x:c r="T181" s="10" t="n">
        <x:f>EOMONTH(J181-'Сводка'!$B$11,-1)</x:f>
        <x:v>46022</x:v>
      </x:c>
      <x:c r="U181" s="4" t="n">
        <x:f>MATCH(J181,'Сводка'!$R$3:$R$397,0)</x:f>
        <x:v>192</x:v>
      </x:c>
      <x:c r="V181" s="4" t="n">
        <x:f>MATCH(J181-'Сводка'!$B$11,'Сводка'!$R$3:$R$397,0)</x:f>
        <x:v>191</x:v>
      </x:c>
      <x:c r="W181" s="4" t="n">
        <x:f>MATCH(T181,$J$388:$J$400,0)</x:f>
        <x:v>7</x:v>
      </x:c>
      <x:c r="X181" s="3"/>
      <x:c r="Y181" s="3"/>
      <x:c r="Z181" s="3"/>
    </x:row>
    <x:row r="182" ht="15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10" t="n">
        <x:v>46033</x:v>
      </x:c>
      <x:c r="K182" s="8" t="n">
        <x:f>INDEX('Сводка'!$S$3:$S$397,U182)</x:f>
        <x:v>-17</x:v>
      </x:c>
      <x:c r="L182" s="8" t="n">
        <x:f>INDEX('Сводка'!$S$3:$S$397,V182)</x:f>
        <x:v>-13</x:v>
      </x:c>
      <x:c r="M182" s="8" t="n">
        <x:f>INDEX($K$388:$N$400,W182,1)+INDEX($K$388:$N$400,W182,2)*(2*(J182-$T$405)/(T182-$T$405)-1)^1+INDEX($K$388:$N$400,W182,3)*(2*(J182-$T$405)/(T182-$T$405)-1)^2+INDEX($K$388:$N$400,W182,4)*(2*(J182-$T$405)/(T182-$T$405)-1)^3</x:f>
        <x:v>128.25887998782216</x:v>
      </x:c>
      <x:c r="N182" s="8" t="n">
        <x:f>K182-M182</x:f>
        <x:v>-145.25887998782216</x:v>
      </x:c>
      <x:c r="O182" s="8" t="n">
        <x:f>ABS(N182)</x:f>
        <x:v>145.25887998782216</x:v>
      </x:c>
      <x:c r="P182" s="8" t="n">
        <x:f>N182^2</x:f>
        <x:v>21100.14221531652</x:v>
      </x:c>
      <x:c r="Q182" s="8" t="n">
        <x:f>K182-L182</x:f>
        <x:v>-4</x:v>
      </x:c>
      <x:c r="R182" s="9" t="n">
        <x:f>IF(AND(INDEX('Сводка'!$T$3:$T$397,U182)=0,INDEX('Сводка'!$T$3:$T$397,V182)=0),1,0)</x:f>
        <x:v>1</x:v>
      </x:c>
      <x:c r="S182" s="9" t="n">
        <x:f>IF(AND(R182=1,O182&lt;=$G$13),1,0)</x:f>
        <x:v>0</x:v>
      </x:c>
      <x:c r="T182" s="10" t="n">
        <x:f>EOMONTH(J182-'Сводка'!$B$11,-1)</x:f>
        <x:v>46022</x:v>
      </x:c>
      <x:c r="U182" s="4" t="n">
        <x:f>MATCH(J182,'Сводка'!$R$3:$R$397,0)</x:f>
        <x:v>193</x:v>
      </x:c>
      <x:c r="V182" s="4" t="n">
        <x:f>MATCH(J182-'Сводка'!$B$11,'Сводка'!$R$3:$R$397,0)</x:f>
        <x:v>192</x:v>
      </x:c>
      <x:c r="W182" s="4" t="n">
        <x:f>MATCH(T182,$J$388:$J$400,0)</x:f>
        <x:v>7</x:v>
      </x:c>
      <x:c r="X182" s="3"/>
      <x:c r="Y182" s="3"/>
      <x:c r="Z182" s="3"/>
    </x:row>
    <x:row r="183" ht="15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10" t="n">
        <x:v>46034</x:v>
      </x:c>
      <x:c r="K183" s="8" t="n">
        <x:f>INDEX('Сводка'!$S$3:$S$397,U183)</x:f>
        <x:v>-19</x:v>
      </x:c>
      <x:c r="L183" s="8" t="n">
        <x:f>INDEX('Сводка'!$S$3:$S$397,V183)</x:f>
        <x:v>-17</x:v>
      </x:c>
      <x:c r="M183" s="8" t="n">
        <x:f>INDEX($K$388:$N$400,W183,1)+INDEX($K$388:$N$400,W183,2)*(2*(J183-$T$405)/(T183-$T$405)-1)^1+INDEX($K$388:$N$400,W183,3)*(2*(J183-$T$405)/(T183-$T$405)-1)^2+INDEX($K$388:$N$400,W183,4)*(2*(J183-$T$405)/(T183-$T$405)-1)^3</x:f>
        <x:v>128.24823108451847</x:v>
      </x:c>
      <x:c r="N183" s="8" t="n">
        <x:f>K183-M183</x:f>
        <x:v>-147.24823108451847</x:v>
      </x:c>
      <x:c r="O183" s="8" t="n">
        <x:f>ABS(N183)</x:f>
        <x:v>147.24823108451847</x:v>
      </x:c>
      <x:c r="P183" s="8" t="n">
        <x:f>N183^2</x:f>
        <x:v>21682.04155751975</x:v>
      </x:c>
      <x:c r="Q183" s="8" t="n">
        <x:f>K183-L183</x:f>
        <x:v>-2</x:v>
      </x:c>
      <x:c r="R183" s="9" t="n">
        <x:f>IF(AND(INDEX('Сводка'!$T$3:$T$397,U183)=0,INDEX('Сводка'!$T$3:$T$397,V183)=0),1,0)</x:f>
        <x:v>1</x:v>
      </x:c>
      <x:c r="S183" s="9" t="n">
        <x:f>IF(AND(R183=1,O183&lt;=$G$13),1,0)</x:f>
        <x:v>0</x:v>
      </x:c>
      <x:c r="T183" s="10" t="n">
        <x:f>EOMONTH(J183-'Сводка'!$B$11,-1)</x:f>
        <x:v>46022</x:v>
      </x:c>
      <x:c r="U183" s="4" t="n">
        <x:f>MATCH(J183,'Сводка'!$R$3:$R$397,0)</x:f>
        <x:v>194</x:v>
      </x:c>
      <x:c r="V183" s="4" t="n">
        <x:f>MATCH(J183-'Сводка'!$B$11,'Сводка'!$R$3:$R$397,0)</x:f>
        <x:v>193</x:v>
      </x:c>
      <x:c r="W183" s="4" t="n">
        <x:f>MATCH(T183,$J$388:$J$400,0)</x:f>
        <x:v>7</x:v>
      </x:c>
      <x:c r="X183" s="3"/>
      <x:c r="Y183" s="3"/>
      <x:c r="Z183" s="3"/>
    </x:row>
    <x:row r="184" ht="15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10" t="n">
        <x:v>46035</x:v>
      </x:c>
      <x:c r="K184" s="8" t="n">
        <x:f>INDEX('Сводка'!$S$3:$S$397,U184)</x:f>
        <x:v>-22</x:v>
      </x:c>
      <x:c r="L184" s="8" t="n">
        <x:f>INDEX('Сводка'!$S$3:$S$397,V184)</x:f>
        <x:v>-19</x:v>
      </x:c>
      <x:c r="M184" s="8" t="n">
        <x:f>INDEX($K$388:$N$400,W184,1)+INDEX($K$388:$N$400,W184,2)*(2*(J184-$T$405)/(T184-$T$405)-1)^1+INDEX($K$388:$N$400,W184,3)*(2*(J184-$T$405)/(T184-$T$405)-1)^2+INDEX($K$388:$N$400,W184,4)*(2*(J184-$T$405)/(T184-$T$405)-1)^3</x:f>
        <x:v>128.23757125134358</x:v>
      </x:c>
      <x:c r="N184" s="8" t="n">
        <x:f>K184-M184</x:f>
        <x:v>-150.23757125134358</x:v>
      </x:c>
      <x:c r="O184" s="8" t="n">
        <x:f>ABS(N184)</x:f>
        <x:v>150.23757125134358</x:v>
      </x:c>
      <x:c r="P184" s="8" t="n">
        <x:f>N184^2</x:f>
        <x:v>22571.32781550254</x:v>
      </x:c>
      <x:c r="Q184" s="8" t="n">
        <x:f>K184-L184</x:f>
        <x:v>-3</x:v>
      </x:c>
      <x:c r="R184" s="9" t="n">
        <x:f>IF(AND(INDEX('Сводка'!$T$3:$T$397,U184)=0,INDEX('Сводка'!$T$3:$T$397,V184)=0),1,0)</x:f>
        <x:v>1</x:v>
      </x:c>
      <x:c r="S184" s="9" t="n">
        <x:f>IF(AND(R184=1,O184&lt;=$G$13),1,0)</x:f>
        <x:v>0</x:v>
      </x:c>
      <x:c r="T184" s="10" t="n">
        <x:f>EOMONTH(J184-'Сводка'!$B$11,-1)</x:f>
        <x:v>46022</x:v>
      </x:c>
      <x:c r="U184" s="4" t="n">
        <x:f>MATCH(J184,'Сводка'!$R$3:$R$397,0)</x:f>
        <x:v>195</x:v>
      </x:c>
      <x:c r="V184" s="4" t="n">
        <x:f>MATCH(J184-'Сводка'!$B$11,'Сводка'!$R$3:$R$397,0)</x:f>
        <x:v>194</x:v>
      </x:c>
      <x:c r="W184" s="4" t="n">
        <x:f>MATCH(T184,$J$388:$J$400,0)</x:f>
        <x:v>7</x:v>
      </x:c>
      <x:c r="X184" s="3"/>
      <x:c r="Y184" s="3"/>
      <x:c r="Z184" s="3"/>
    </x:row>
    <x:row r="185" ht="15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10" t="n">
        <x:v>46036</x:v>
      </x:c>
      <x:c r="K185" s="8" t="n">
        <x:f>INDEX('Сводка'!$S$3:$S$397,U185)</x:f>
        <x:v>-25</x:v>
      </x:c>
      <x:c r="L185" s="8" t="n">
        <x:f>INDEX('Сводка'!$S$3:$S$397,V185)</x:f>
        <x:v>-22</x:v>
      </x:c>
      <x:c r="M185" s="8" t="n">
        <x:f>INDEX($K$388:$N$400,W185,1)+INDEX($K$388:$N$400,W185,2)*(2*(J185-$T$405)/(T185-$T$405)-1)^1+INDEX($K$388:$N$400,W185,3)*(2*(J185-$T$405)/(T185-$T$405)-1)^2+INDEX($K$388:$N$400,W185,4)*(2*(J185-$T$405)/(T185-$T$405)-1)^3</x:f>
        <x:v>128.22690048706187</x:v>
      </x:c>
      <x:c r="N185" s="8" t="n">
        <x:f>K185-M185</x:f>
        <x:v>-153.22690048706187</x:v>
      </x:c>
      <x:c r="O185" s="8" t="n">
        <x:f>ABS(N185)</x:f>
        <x:v>153.22690048706187</x:v>
      </x:c>
      <x:c r="P185" s="8" t="n">
        <x:f>N185^2</x:f>
        <x:v>23478.48303287196</x:v>
      </x:c>
      <x:c r="Q185" s="8" t="n">
        <x:f>K185-L185</x:f>
        <x:v>-3</x:v>
      </x:c>
      <x:c r="R185" s="9" t="n">
        <x:f>IF(AND(INDEX('Сводка'!$T$3:$T$397,U185)=0,INDEX('Сводка'!$T$3:$T$397,V185)=0),1,0)</x:f>
        <x:v>1</x:v>
      </x:c>
      <x:c r="S185" s="9" t="n">
        <x:f>IF(AND(R185=1,O185&lt;=$G$13),1,0)</x:f>
        <x:v>0</x:v>
      </x:c>
      <x:c r="T185" s="10" t="n">
        <x:f>EOMONTH(J185-'Сводка'!$B$11,-1)</x:f>
        <x:v>46022</x:v>
      </x:c>
      <x:c r="U185" s="4" t="n">
        <x:f>MATCH(J185,'Сводка'!$R$3:$R$397,0)</x:f>
        <x:v>196</x:v>
      </x:c>
      <x:c r="V185" s="4" t="n">
        <x:f>MATCH(J185-'Сводка'!$B$11,'Сводка'!$R$3:$R$397,0)</x:f>
        <x:v>195</x:v>
      </x:c>
      <x:c r="W185" s="4" t="n">
        <x:f>MATCH(T185,$J$388:$J$400,0)</x:f>
        <x:v>7</x:v>
      </x:c>
      <x:c r="X185" s="3"/>
      <x:c r="Y185" s="3"/>
      <x:c r="Z185" s="3"/>
    </x:row>
    <x:row r="186" ht="15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10" t="n">
        <x:v>46037</x:v>
      </x:c>
      <x:c r="K186" s="8" t="n">
        <x:f>INDEX('Сводка'!$S$3:$S$397,U186)</x:f>
        <x:v>-26</x:v>
      </x:c>
      <x:c r="L186" s="8" t="n">
        <x:f>INDEX('Сводка'!$S$3:$S$397,V186)</x:f>
        <x:v>-25</x:v>
      </x:c>
      <x:c r="M186" s="8" t="n">
        <x:f>INDEX($K$388:$N$400,W186,1)+INDEX($K$388:$N$400,W186,2)*(2*(J186-$T$405)/(T186-$T$405)-1)^1+INDEX($K$388:$N$400,W186,3)*(2*(J186-$T$405)/(T186-$T$405)-1)^2+INDEX($K$388:$N$400,W186,4)*(2*(J186-$T$405)/(T186-$T$405)-1)^3</x:f>
        <x:v>128.21621879043784</x:v>
      </x:c>
      <x:c r="N186" s="8" t="n">
        <x:f>K186-M186</x:f>
        <x:v>-154.21621879043784</x:v>
      </x:c>
      <x:c r="O186" s="8" t="n">
        <x:f>ABS(N186)</x:f>
        <x:v>154.21621879043784</x:v>
      </x:c>
      <x:c r="P186" s="8" t="n">
        <x:f>N186^2</x:f>
        <x:v>23782.64213802019</x:v>
      </x:c>
      <x:c r="Q186" s="8" t="n">
        <x:f>K186-L186</x:f>
        <x:v>-1</x:v>
      </x:c>
      <x:c r="R186" s="9" t="n">
        <x:f>IF(AND(INDEX('Сводка'!$T$3:$T$397,U186)=0,INDEX('Сводка'!$T$3:$T$397,V186)=0),1,0)</x:f>
        <x:v>1</x:v>
      </x:c>
      <x:c r="S186" s="9" t="n">
        <x:f>IF(AND(R186=1,O186&lt;=$G$13),1,0)</x:f>
        <x:v>0</x:v>
      </x:c>
      <x:c r="T186" s="10" t="n">
        <x:f>EOMONTH(J186-'Сводка'!$B$11,-1)</x:f>
        <x:v>46022</x:v>
      </x:c>
      <x:c r="U186" s="4" t="n">
        <x:f>MATCH(J186,'Сводка'!$R$3:$R$397,0)</x:f>
        <x:v>197</x:v>
      </x:c>
      <x:c r="V186" s="4" t="n">
        <x:f>MATCH(J186-'Сводка'!$B$11,'Сводка'!$R$3:$R$397,0)</x:f>
        <x:v>196</x:v>
      </x:c>
      <x:c r="W186" s="4" t="n">
        <x:f>MATCH(T186,$J$388:$J$400,0)</x:f>
        <x:v>7</x:v>
      </x:c>
      <x:c r="X186" s="3"/>
      <x:c r="Y186" s="3"/>
      <x:c r="Z186" s="3"/>
    </x:row>
    <x:row r="187" ht="15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10" t="n">
        <x:v>46038</x:v>
      </x:c>
      <x:c r="K187" s="8" t="n">
        <x:f>INDEX('Сводка'!$S$3:$S$397,U187)</x:f>
        <x:v>-28</x:v>
      </x:c>
      <x:c r="L187" s="8" t="n">
        <x:f>INDEX('Сводка'!$S$3:$S$397,V187)</x:f>
        <x:v>-26</x:v>
      </x:c>
      <x:c r="M187" s="8" t="n">
        <x:f>INDEX($K$388:$N$400,W187,1)+INDEX($K$388:$N$400,W187,2)*(2*(J187-$T$405)/(T187-$T$405)-1)^1+INDEX($K$388:$N$400,W187,3)*(2*(J187-$T$405)/(T187-$T$405)-1)^2+INDEX($K$388:$N$400,W187,4)*(2*(J187-$T$405)/(T187-$T$405)-1)^3</x:f>
        <x:v>128.20552616023596</x:v>
      </x:c>
      <x:c r="N187" s="8" t="n">
        <x:f>K187-M187</x:f>
        <x:v>-156.20552616023596</x:v>
      </x:c>
      <x:c r="O187" s="8" t="n">
        <x:f>ABS(N187)</x:f>
        <x:v>156.20552616023596</x:v>
      </x:c>
      <x:c r="P187" s="8" t="n">
        <x:f>N187^2</x:f>
        <x:v>24400.16640299616</x:v>
      </x:c>
      <x:c r="Q187" s="8" t="n">
        <x:f>K187-L187</x:f>
        <x:v>-2</x:v>
      </x:c>
      <x:c r="R187" s="9" t="n">
        <x:f>IF(AND(INDEX('Сводка'!$T$3:$T$397,U187)=0,INDEX('Сводка'!$T$3:$T$397,V187)=0),1,0)</x:f>
        <x:v>1</x:v>
      </x:c>
      <x:c r="S187" s="9" t="n">
        <x:f>IF(AND(R187=1,O187&lt;=$G$13),1,0)</x:f>
        <x:v>0</x:v>
      </x:c>
      <x:c r="T187" s="10" t="n">
        <x:f>EOMONTH(J187-'Сводка'!$B$11,-1)</x:f>
        <x:v>46022</x:v>
      </x:c>
      <x:c r="U187" s="4" t="n">
        <x:f>MATCH(J187,'Сводка'!$R$3:$R$397,0)</x:f>
        <x:v>198</x:v>
      </x:c>
      <x:c r="V187" s="4" t="n">
        <x:f>MATCH(J187-'Сводка'!$B$11,'Сводка'!$R$3:$R$397,0)</x:f>
        <x:v>197</x:v>
      </x:c>
      <x:c r="W187" s="4" t="n">
        <x:f>MATCH(T187,$J$388:$J$400,0)</x:f>
        <x:v>7</x:v>
      </x:c>
      <x:c r="X187" s="3"/>
      <x:c r="Y187" s="3"/>
      <x:c r="Z187" s="3"/>
    </x:row>
    <x:row r="188" ht="15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10" t="n">
        <x:v>46039</x:v>
      </x:c>
      <x:c r="K188" s="8" t="n">
        <x:f>INDEX('Сводка'!$S$3:$S$397,U188)</x:f>
        <x:v>-29</x:v>
      </x:c>
      <x:c r="L188" s="8" t="n">
        <x:f>INDEX('Сводка'!$S$3:$S$397,V188)</x:f>
        <x:v>-28</x:v>
      </x:c>
      <x:c r="M188" s="8" t="n">
        <x:f>INDEX($K$388:$N$400,W188,1)+INDEX($K$388:$N$400,W188,2)*(2*(J188-$T$405)/(T188-$T$405)-1)^1+INDEX($K$388:$N$400,W188,3)*(2*(J188-$T$405)/(T188-$T$405)-1)^2+INDEX($K$388:$N$400,W188,4)*(2*(J188-$T$405)/(T188-$T$405)-1)^3</x:f>
        <x:v>128.19482259522078</x:v>
      </x:c>
      <x:c r="N188" s="8" t="n">
        <x:f>K188-M188</x:f>
        <x:v>-157.19482259522078</x:v>
      </x:c>
      <x:c r="O188" s="8" t="n">
        <x:f>ABS(N188)</x:f>
        <x:v>157.19482259522078</x:v>
      </x:c>
      <x:c r="P188" s="8" t="n">
        <x:f>N188^2</x:f>
        <x:v>24710.212250742934</x:v>
      </x:c>
      <x:c r="Q188" s="8" t="n">
        <x:f>K188-L188</x:f>
        <x:v>-1</x:v>
      </x:c>
      <x:c r="R188" s="9" t="n">
        <x:f>IF(AND(INDEX('Сводка'!$T$3:$T$397,U188)=0,INDEX('Сводка'!$T$3:$T$397,V188)=0),1,0)</x:f>
        <x:v>1</x:v>
      </x:c>
      <x:c r="S188" s="9" t="n">
        <x:f>IF(AND(R188=1,O188&lt;=$G$13),1,0)</x:f>
        <x:v>0</x:v>
      </x:c>
      <x:c r="T188" s="10" t="n">
        <x:f>EOMONTH(J188-'Сводка'!$B$11,-1)</x:f>
        <x:v>46022</x:v>
      </x:c>
      <x:c r="U188" s="4" t="n">
        <x:f>MATCH(J188,'Сводка'!$R$3:$R$397,0)</x:f>
        <x:v>199</x:v>
      </x:c>
      <x:c r="V188" s="4" t="n">
        <x:f>MATCH(J188-'Сводка'!$B$11,'Сводка'!$R$3:$R$397,0)</x:f>
        <x:v>198</x:v>
      </x:c>
      <x:c r="W188" s="4" t="n">
        <x:f>MATCH(T188,$J$388:$J$400,0)</x:f>
        <x:v>7</x:v>
      </x:c>
      <x:c r="X188" s="3"/>
      <x:c r="Y188" s="3"/>
      <x:c r="Z188" s="3"/>
    </x:row>
    <x:row r="189" ht="15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10" t="n">
        <x:v>46040</x:v>
      </x:c>
      <x:c r="K189" s="8" t="n">
        <x:f>INDEX('Сводка'!$S$3:$S$397,U189)</x:f>
        <x:v>-34</x:v>
      </x:c>
      <x:c r="L189" s="8" t="n">
        <x:f>INDEX('Сводка'!$S$3:$S$397,V189)</x:f>
        <x:v>-29</x:v>
      </x:c>
      <x:c r="M189" s="8" t="n">
        <x:f>INDEX($K$388:$N$400,W189,1)+INDEX($K$388:$N$400,W189,2)*(2*(J189-$T$405)/(T189-$T$405)-1)^1+INDEX($K$388:$N$400,W189,3)*(2*(J189-$T$405)/(T189-$T$405)-1)^2+INDEX($K$388:$N$400,W189,4)*(2*(J189-$T$405)/(T189-$T$405)-1)^3</x:f>
        <x:v>128.1841080941567</x:v>
      </x:c>
      <x:c r="N189" s="8" t="n">
        <x:f>K189-M189</x:f>
        <x:v>-162.1841080941567</x:v>
      </x:c>
      <x:c r="O189" s="8" t="n">
        <x:f>ABS(N189)</x:f>
        <x:v>162.1841080941567</x:v>
      </x:c>
      <x:c r="P189" s="8" t="n">
        <x:f>N189^2</x:f>
        <x:v>26303.684918297105</x:v>
      </x:c>
      <x:c r="Q189" s="8" t="n">
        <x:f>K189-L189</x:f>
        <x:v>-5</x:v>
      </x:c>
      <x:c r="R189" s="9" t="n">
        <x:f>IF(AND(INDEX('Сводка'!$T$3:$T$397,U189)=0,INDEX('Сводка'!$T$3:$T$397,V189)=0),1,0)</x:f>
        <x:v>1</x:v>
      </x:c>
      <x:c r="S189" s="9" t="n">
        <x:f>IF(AND(R189=1,O189&lt;=$G$13),1,0)</x:f>
        <x:v>0</x:v>
      </x:c>
      <x:c r="T189" s="10" t="n">
        <x:f>EOMONTH(J189-'Сводка'!$B$11,-1)</x:f>
        <x:v>46022</x:v>
      </x:c>
      <x:c r="U189" s="4" t="n">
        <x:f>MATCH(J189,'Сводка'!$R$3:$R$397,0)</x:f>
        <x:v>200</x:v>
      </x:c>
      <x:c r="V189" s="4" t="n">
        <x:f>MATCH(J189-'Сводка'!$B$11,'Сводка'!$R$3:$R$397,0)</x:f>
        <x:v>199</x:v>
      </x:c>
      <x:c r="W189" s="4" t="n">
        <x:f>MATCH(T189,$J$388:$J$400,0)</x:f>
        <x:v>7</x:v>
      </x:c>
      <x:c r="X189" s="3"/>
      <x:c r="Y189" s="3"/>
      <x:c r="Z189" s="3"/>
    </x:row>
    <x:row r="190" ht="15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10" t="n">
        <x:v>46041</x:v>
      </x:c>
      <x:c r="K190" s="8" t="n">
        <x:f>INDEX('Сводка'!$S$3:$S$397,U190)</x:f>
        <x:v>-34</x:v>
      </x:c>
      <x:c r="L190" s="8" t="n">
        <x:f>INDEX('Сводка'!$S$3:$S$397,V190)</x:f>
        <x:v>-34</x:v>
      </x:c>
      <x:c r="M190" s="8" t="n">
        <x:f>INDEX($K$388:$N$400,W190,1)+INDEX($K$388:$N$400,W190,2)*(2*(J190-$T$405)/(T190-$T$405)-1)^1+INDEX($K$388:$N$400,W190,3)*(2*(J190-$T$405)/(T190-$T$405)-1)^2+INDEX($K$388:$N$400,W190,4)*(2*(J190-$T$405)/(T190-$T$405)-1)^3</x:f>
        <x:v>128.1733826558082</x:v>
      </x:c>
      <x:c r="N190" s="8" t="n">
        <x:f>K190-M190</x:f>
        <x:v>-162.1733826558082</x:v>
      </x:c>
      <x:c r="O190" s="8" t="n">
        <x:f>ABS(N190)</x:f>
        <x:v>162.1733826558082</x:v>
      </x:c>
      <x:c r="P190" s="8" t="n">
        <x:f>N190^2</x:f>
        <x:v>26300.206042027196</x:v>
      </x:c>
      <x:c r="Q190" s="8" t="n">
        <x:f>K190-L190</x:f>
        <x:v>0</x:v>
      </x:c>
      <x:c r="R190" s="9" t="n">
        <x:f>IF(AND(INDEX('Сводка'!$T$3:$T$397,U190)=0,INDEX('Сводка'!$T$3:$T$397,V190)=0),1,0)</x:f>
        <x:v>1</x:v>
      </x:c>
      <x:c r="S190" s="9" t="n">
        <x:f>IF(AND(R190=1,O190&lt;=$G$13),1,0)</x:f>
        <x:v>0</x:v>
      </x:c>
      <x:c r="T190" s="10" t="n">
        <x:f>EOMONTH(J190-'Сводка'!$B$11,-1)</x:f>
        <x:v>46022</x:v>
      </x:c>
      <x:c r="U190" s="4" t="n">
        <x:f>MATCH(J190,'Сводка'!$R$3:$R$397,0)</x:f>
        <x:v>201</x:v>
      </x:c>
      <x:c r="V190" s="4" t="n">
        <x:f>MATCH(J190-'Сводка'!$B$11,'Сводка'!$R$3:$R$397,0)</x:f>
        <x:v>200</x:v>
      </x:c>
      <x:c r="W190" s="4" t="n">
        <x:f>MATCH(T190,$J$388:$J$400,0)</x:f>
        <x:v>7</x:v>
      </x:c>
      <x:c r="X190" s="3"/>
      <x:c r="Y190" s="3"/>
      <x:c r="Z190" s="3"/>
    </x:row>
    <x:row r="191" ht="15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10" t="n">
        <x:v>46042</x:v>
      </x:c>
      <x:c r="K191" s="8" t="n">
        <x:f>INDEX('Сводка'!$S$3:$S$397,U191)</x:f>
        <x:v>-39</x:v>
      </x:c>
      <x:c r="L191" s="8" t="n">
        <x:f>INDEX('Сводка'!$S$3:$S$397,V191)</x:f>
        <x:v>-34</x:v>
      </x:c>
      <x:c r="M191" s="8" t="n">
        <x:f>INDEX($K$388:$N$400,W191,1)+INDEX($K$388:$N$400,W191,2)*(2*(J191-$T$405)/(T191-$T$405)-1)^1+INDEX($K$388:$N$400,W191,3)*(2*(J191-$T$405)/(T191-$T$405)-1)^2+INDEX($K$388:$N$400,W191,4)*(2*(J191-$T$405)/(T191-$T$405)-1)^3</x:f>
        <x:v>128.16264627893986</x:v>
      </x:c>
      <x:c r="N191" s="8" t="n">
        <x:f>K191-M191</x:f>
        <x:v>-167.16264627893986</x:v>
      </x:c>
      <x:c r="O191" s="8" t="n">
        <x:f>ABS(N191)</x:f>
        <x:v>167.16264627893986</x:v>
      </x:c>
      <x:c r="P191" s="8" t="n">
        <x:f>N191^2</x:f>
        <x:v>27943.350310977967</x:v>
      </x:c>
      <x:c r="Q191" s="8" t="n">
        <x:f>K191-L191</x:f>
        <x:v>-5</x:v>
      </x:c>
      <x:c r="R191" s="9" t="n">
        <x:f>IF(AND(INDEX('Сводка'!$T$3:$T$397,U191)=0,INDEX('Сводка'!$T$3:$T$397,V191)=0),1,0)</x:f>
        <x:v>1</x:v>
      </x:c>
      <x:c r="S191" s="9" t="n">
        <x:f>IF(AND(R191=1,O191&lt;=$G$13),1,0)</x:f>
        <x:v>0</x:v>
      </x:c>
      <x:c r="T191" s="10" t="n">
        <x:f>EOMONTH(J191-'Сводка'!$B$11,-1)</x:f>
        <x:v>46022</x:v>
      </x:c>
      <x:c r="U191" s="4" t="n">
        <x:f>MATCH(J191,'Сводка'!$R$3:$R$397,0)</x:f>
        <x:v>202</x:v>
      </x:c>
      <x:c r="V191" s="4" t="n">
        <x:f>MATCH(J191-'Сводка'!$B$11,'Сводка'!$R$3:$R$397,0)</x:f>
        <x:v>201</x:v>
      </x:c>
      <x:c r="W191" s="4" t="n">
        <x:f>MATCH(T191,$J$388:$J$400,0)</x:f>
        <x:v>7</x:v>
      </x:c>
      <x:c r="X191" s="3"/>
      <x:c r="Y191" s="3"/>
      <x:c r="Z191" s="3"/>
    </x:row>
    <x:row r="192" ht="15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10" t="n">
        <x:v>46043</x:v>
      </x:c>
      <x:c r="K192" s="8" t="n">
        <x:f>INDEX('Сводка'!$S$3:$S$397,U192)</x:f>
        <x:v>-41</x:v>
      </x:c>
      <x:c r="L192" s="8" t="n">
        <x:f>INDEX('Сводка'!$S$3:$S$397,V192)</x:f>
        <x:v>-39</x:v>
      </x:c>
      <x:c r="M192" s="8" t="n">
        <x:f>INDEX($K$388:$N$400,W192,1)+INDEX($K$388:$N$400,W192,2)*(2*(J192-$T$405)/(T192-$T$405)-1)^1+INDEX($K$388:$N$400,W192,3)*(2*(J192-$T$405)/(T192-$T$405)-1)^2+INDEX($K$388:$N$400,W192,4)*(2*(J192-$T$405)/(T192-$T$405)-1)^3</x:f>
        <x:v>128.15189896231604</x:v>
      </x:c>
      <x:c r="N192" s="8" t="n">
        <x:f>K192-M192</x:f>
        <x:v>-169.15189896231604</x:v>
      </x:c>
      <x:c r="O192" s="8" t="n">
        <x:f>ABS(N192)</x:f>
        <x:v>169.15189896231604</x:v>
      </x:c>
      <x:c r="P192" s="8" t="n">
        <x:f>N192^2</x:f>
        <x:v>28612.364922557575</x:v>
      </x:c>
      <x:c r="Q192" s="8" t="n">
        <x:f>K192-L192</x:f>
        <x:v>-2</x:v>
      </x:c>
      <x:c r="R192" s="9" t="n">
        <x:f>IF(AND(INDEX('Сводка'!$T$3:$T$397,U192)=0,INDEX('Сводка'!$T$3:$T$397,V192)=0),1,0)</x:f>
        <x:v>1</x:v>
      </x:c>
      <x:c r="S192" s="9" t="n">
        <x:f>IF(AND(R192=1,O192&lt;=$G$13),1,0)</x:f>
        <x:v>0</x:v>
      </x:c>
      <x:c r="T192" s="10" t="n">
        <x:f>EOMONTH(J192-'Сводка'!$B$11,-1)</x:f>
        <x:v>46022</x:v>
      </x:c>
      <x:c r="U192" s="4" t="n">
        <x:f>MATCH(J192,'Сводка'!$R$3:$R$397,0)</x:f>
        <x:v>203</x:v>
      </x:c>
      <x:c r="V192" s="4" t="n">
        <x:f>MATCH(J192-'Сводка'!$B$11,'Сводка'!$R$3:$R$397,0)</x:f>
        <x:v>202</x:v>
      </x:c>
      <x:c r="W192" s="4" t="n">
        <x:f>MATCH(T192,$J$388:$J$400,0)</x:f>
        <x:v>7</x:v>
      </x:c>
      <x:c r="X192" s="3"/>
      <x:c r="Y192" s="3"/>
      <x:c r="Z192" s="3"/>
    </x:row>
    <x:row r="193" ht="15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10" t="n">
        <x:v>46044</x:v>
      </x:c>
      <x:c r="K193" s="8" t="n">
        <x:f>INDEX('Сводка'!$S$3:$S$397,U193)</x:f>
        <x:v>-41</x:v>
      </x:c>
      <x:c r="L193" s="8" t="n">
        <x:f>INDEX('Сводка'!$S$3:$S$397,V193)</x:f>
        <x:v>-41</x:v>
      </x:c>
      <x:c r="M193" s="8" t="n">
        <x:f>INDEX($K$388:$N$400,W193,1)+INDEX($K$388:$N$400,W193,2)*(2*(J193-$T$405)/(T193-$T$405)-1)^1+INDEX($K$388:$N$400,W193,3)*(2*(J193-$T$405)/(T193-$T$405)-1)^2+INDEX($K$388:$N$400,W193,4)*(2*(J193-$T$405)/(T193-$T$405)-1)^3</x:f>
        <x:v>128.1411407047013</x:v>
      </x:c>
      <x:c r="N193" s="8" t="n">
        <x:f>K193-M193</x:f>
        <x:v>-169.1411407047013</x:v>
      </x:c>
      <x:c r="O193" s="8" t="n">
        <x:f>ABS(N193)</x:f>
        <x:v>169.1411407047013</x:v>
      </x:c>
      <x:c r="P193" s="8" t="n">
        <x:f>N193^2</x:f>
        <x:v>28608.725478887558</x:v>
      </x:c>
      <x:c r="Q193" s="8" t="n">
        <x:f>K193-L193</x:f>
        <x:v>0</x:v>
      </x:c>
      <x:c r="R193" s="9" t="n">
        <x:f>IF(AND(INDEX('Сводка'!$T$3:$T$397,U193)=0,INDEX('Сводка'!$T$3:$T$397,V193)=0),1,0)</x:f>
        <x:v>1</x:v>
      </x:c>
      <x:c r="S193" s="9" t="n">
        <x:f>IF(AND(R193=1,O193&lt;=$G$13),1,0)</x:f>
        <x:v>0</x:v>
      </x:c>
      <x:c r="T193" s="10" t="n">
        <x:f>EOMONTH(J193-'Сводка'!$B$11,-1)</x:f>
        <x:v>46022</x:v>
      </x:c>
      <x:c r="U193" s="4" t="n">
        <x:f>MATCH(J193,'Сводка'!$R$3:$R$397,0)</x:f>
        <x:v>204</x:v>
      </x:c>
      <x:c r="V193" s="4" t="n">
        <x:f>MATCH(J193-'Сводка'!$B$11,'Сводка'!$R$3:$R$397,0)</x:f>
        <x:v>203</x:v>
      </x:c>
      <x:c r="W193" s="4" t="n">
        <x:f>MATCH(T193,$J$388:$J$400,0)</x:f>
        <x:v>7</x:v>
      </x:c>
      <x:c r="X193" s="3"/>
      <x:c r="Y193" s="3"/>
      <x:c r="Z193" s="3"/>
    </x:row>
    <x:row r="194" ht="15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10" t="n">
        <x:v>46045</x:v>
      </x:c>
      <x:c r="K194" s="8" t="n">
        <x:f>INDEX('Сводка'!$S$3:$S$397,U194)</x:f>
        <x:v>-37</x:v>
      </x:c>
      <x:c r="L194" s="8" t="n">
        <x:f>INDEX('Сводка'!$S$3:$S$397,V194)</x:f>
        <x:v>-41</x:v>
      </x:c>
      <x:c r="M194" s="8" t="n">
        <x:f>INDEX($K$388:$N$400,W194,1)+INDEX($K$388:$N$400,W194,2)*(2*(J194-$T$405)/(T194-$T$405)-1)^1+INDEX($K$388:$N$400,W194,3)*(2*(J194-$T$405)/(T194-$T$405)-1)^2+INDEX($K$388:$N$400,W194,4)*(2*(J194-$T$405)/(T194-$T$405)-1)^3</x:f>
        <x:v>128.13037150486008</x:v>
      </x:c>
      <x:c r="N194" s="8" t="n">
        <x:f>K194-M194</x:f>
        <x:v>-165.13037150486008</x:v>
      </x:c>
      <x:c r="O194" s="8" t="n">
        <x:f>ABS(N194)</x:f>
        <x:v>165.13037150486008</x:v>
      </x:c>
      <x:c r="P194" s="8" t="n">
        <x:f>N194^2</x:f>
        <x:v>27268.039593333106</x:v>
      </x:c>
      <x:c r="Q194" s="8" t="n">
        <x:f>K194-L194</x:f>
        <x:v>4</x:v>
      </x:c>
      <x:c r="R194" s="9" t="n">
        <x:f>IF(AND(INDEX('Сводка'!$T$3:$T$397,U194)=0,INDEX('Сводка'!$T$3:$T$397,V194)=0),1,0)</x:f>
        <x:v>1</x:v>
      </x:c>
      <x:c r="S194" s="9" t="n">
        <x:f>IF(AND(R194=1,O194&lt;=$G$13),1,0)</x:f>
        <x:v>0</x:v>
      </x:c>
      <x:c r="T194" s="10" t="n">
        <x:f>EOMONTH(J194-'Сводка'!$B$11,-1)</x:f>
        <x:v>46022</x:v>
      </x:c>
      <x:c r="U194" s="4" t="n">
        <x:f>MATCH(J194,'Сводка'!$R$3:$R$397,0)</x:f>
        <x:v>205</x:v>
      </x:c>
      <x:c r="V194" s="4" t="n">
        <x:f>MATCH(J194-'Сводка'!$B$11,'Сводка'!$R$3:$R$397,0)</x:f>
        <x:v>204</x:v>
      </x:c>
      <x:c r="W194" s="4" t="n">
        <x:f>MATCH(T194,$J$388:$J$400,0)</x:f>
        <x:v>7</x:v>
      </x:c>
      <x:c r="X194" s="3"/>
      <x:c r="Y194" s="3"/>
      <x:c r="Z194" s="3"/>
    </x:row>
    <x:row r="195" ht="15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10" t="n">
        <x:v>46046</x:v>
      </x:c>
      <x:c r="K195" s="8" t="n">
        <x:f>INDEX('Сводка'!$S$3:$S$397,U195)</x:f>
        <x:v>-39</x:v>
      </x:c>
      <x:c r="L195" s="8" t="n">
        <x:f>INDEX('Сводка'!$S$3:$S$397,V195)</x:f>
        <x:v>-37</x:v>
      </x:c>
      <x:c r="M195" s="8" t="n">
        <x:f>INDEX($K$388:$N$400,W195,1)+INDEX($K$388:$N$400,W195,2)*(2*(J195-$T$405)/(T195-$T$405)-1)^1+INDEX($K$388:$N$400,W195,3)*(2*(J195-$T$405)/(T195-$T$405)-1)^2+INDEX($K$388:$N$400,W195,4)*(2*(J195-$T$405)/(T195-$T$405)-1)^3</x:f>
        <x:v>128.1195913615569</x:v>
      </x:c>
      <x:c r="N195" s="8" t="n">
        <x:f>K195-M195</x:f>
        <x:v>-167.1195913615569</x:v>
      </x:c>
      <x:c r="O195" s="8" t="n">
        <x:f>ABS(N195)</x:f>
        <x:v>167.1195913615569</x:v>
      </x:c>
      <x:c r="P195" s="8" t="n">
        <x:f>N195^2</x:f>
        <x:v>27928.957816853763</x:v>
      </x:c>
      <x:c r="Q195" s="8" t="n">
        <x:f>K195-L195</x:f>
        <x:v>-2</x:v>
      </x:c>
      <x:c r="R195" s="9" t="n">
        <x:f>IF(AND(INDEX('Сводка'!$T$3:$T$397,U195)=0,INDEX('Сводка'!$T$3:$T$397,V195)=0),1,0)</x:f>
        <x:v>1</x:v>
      </x:c>
      <x:c r="S195" s="9" t="n">
        <x:f>IF(AND(R195=1,O195&lt;=$G$13),1,0)</x:f>
        <x:v>0</x:v>
      </x:c>
      <x:c r="T195" s="10" t="n">
        <x:f>EOMONTH(J195-'Сводка'!$B$11,-1)</x:f>
        <x:v>46022</x:v>
      </x:c>
      <x:c r="U195" s="4" t="n">
        <x:f>MATCH(J195,'Сводка'!$R$3:$R$397,0)</x:f>
        <x:v>206</x:v>
      </x:c>
      <x:c r="V195" s="4" t="n">
        <x:f>MATCH(J195-'Сводка'!$B$11,'Сводка'!$R$3:$R$397,0)</x:f>
        <x:v>205</x:v>
      </x:c>
      <x:c r="W195" s="4" t="n">
        <x:f>MATCH(T195,$J$388:$J$400,0)</x:f>
        <x:v>7</x:v>
      </x:c>
      <x:c r="X195" s="3"/>
      <x:c r="Y195" s="3"/>
      <x:c r="Z195" s="3"/>
    </x:row>
    <x:row r="196" ht="15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10" t="n">
        <x:v>46047</x:v>
      </x:c>
      <x:c r="K196" s="8" t="n">
        <x:f>INDEX('Сводка'!$S$3:$S$397,U196)</x:f>
        <x:v>-36</x:v>
      </x:c>
      <x:c r="L196" s="8" t="n">
        <x:f>INDEX('Сводка'!$S$3:$S$397,V196)</x:f>
        <x:v>-39</x:v>
      </x:c>
      <x:c r="M196" s="8" t="n">
        <x:f>INDEX($K$388:$N$400,W196,1)+INDEX($K$388:$N$400,W196,2)*(2*(J196-$T$405)/(T196-$T$405)-1)^1+INDEX($K$388:$N$400,W196,3)*(2*(J196-$T$405)/(T196-$T$405)-1)^2+INDEX($K$388:$N$400,W196,4)*(2*(J196-$T$405)/(T196-$T$405)-1)^3</x:f>
        <x:v>128.1088002735562</x:v>
      </x:c>
      <x:c r="N196" s="8" t="n">
        <x:f>K196-M196</x:f>
        <x:v>-164.1088002735562</x:v>
      </x:c>
      <x:c r="O196" s="8" t="n">
        <x:f>ABS(N196)</x:f>
        <x:v>164.1088002735562</x:v>
      </x:c>
      <x:c r="P196" s="8" t="n">
        <x:f>N196^2</x:f>
        <x:v>26931.69832722596</x:v>
      </x:c>
      <x:c r="Q196" s="8" t="n">
        <x:f>K196-L196</x:f>
        <x:v>3</x:v>
      </x:c>
      <x:c r="R196" s="9" t="n">
        <x:f>IF(AND(INDEX('Сводка'!$T$3:$T$397,U196)=0,INDEX('Сводка'!$T$3:$T$397,V196)=0),1,0)</x:f>
        <x:v>1</x:v>
      </x:c>
      <x:c r="S196" s="9" t="n">
        <x:f>IF(AND(R196=1,O196&lt;=$G$13),1,0)</x:f>
        <x:v>0</x:v>
      </x:c>
      <x:c r="T196" s="10" t="n">
        <x:f>EOMONTH(J196-'Сводка'!$B$11,-1)</x:f>
        <x:v>46022</x:v>
      </x:c>
      <x:c r="U196" s="4" t="n">
        <x:f>MATCH(J196,'Сводка'!$R$3:$R$397,0)</x:f>
        <x:v>207</x:v>
      </x:c>
      <x:c r="V196" s="4" t="n">
        <x:f>MATCH(J196-'Сводка'!$B$11,'Сводка'!$R$3:$R$397,0)</x:f>
        <x:v>206</x:v>
      </x:c>
      <x:c r="W196" s="4" t="n">
        <x:f>MATCH(T196,$J$388:$J$400,0)</x:f>
        <x:v>7</x:v>
      </x:c>
      <x:c r="X196" s="3"/>
      <x:c r="Y196" s="3"/>
      <x:c r="Z196" s="3"/>
    </x:row>
    <x:row r="197" ht="15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10" t="n">
        <x:v>46048</x:v>
      </x:c>
      <x:c r="K197" s="8" t="n">
        <x:f>INDEX('Сводка'!$S$3:$S$397,U197)</x:f>
        <x:v>-36</x:v>
      </x:c>
      <x:c r="L197" s="8" t="n">
        <x:f>INDEX('Сводка'!$S$3:$S$397,V197)</x:f>
        <x:v>-36</x:v>
      </x:c>
      <x:c r="M197" s="8" t="n">
        <x:f>INDEX($K$388:$N$400,W197,1)+INDEX($K$388:$N$400,W197,2)*(2*(J197-$T$405)/(T197-$T$405)-1)^1+INDEX($K$388:$N$400,W197,3)*(2*(J197-$T$405)/(T197-$T$405)-1)^2+INDEX($K$388:$N$400,W197,4)*(2*(J197-$T$405)/(T197-$T$405)-1)^3</x:f>
        <x:v>128.09799823962248</x:v>
      </x:c>
      <x:c r="N197" s="8" t="n">
        <x:f>K197-M197</x:f>
        <x:v>-164.09799823962248</x:v>
      </x:c>
      <x:c r="O197" s="8" t="n">
        <x:f>ABS(N197)</x:f>
        <x:v>164.09799823962248</x:v>
      </x:c>
      <x:c r="P197" s="8" t="n">
        <x:f>N197^2</x:f>
        <x:v>26928.153026251144</x:v>
      </x:c>
      <x:c r="Q197" s="8" t="n">
        <x:f>K197-L197</x:f>
        <x:v>0</x:v>
      </x:c>
      <x:c r="R197" s="9" t="n">
        <x:f>IF(AND(INDEX('Сводка'!$T$3:$T$397,U197)=0,INDEX('Сводка'!$T$3:$T$397,V197)=0),1,0)</x:f>
        <x:v>1</x:v>
      </x:c>
      <x:c r="S197" s="9" t="n">
        <x:f>IF(AND(R197=1,O197&lt;=$G$13),1,0)</x:f>
        <x:v>0</x:v>
      </x:c>
      <x:c r="T197" s="10" t="n">
        <x:f>EOMONTH(J197-'Сводка'!$B$11,-1)</x:f>
        <x:v>46022</x:v>
      </x:c>
      <x:c r="U197" s="4" t="n">
        <x:f>MATCH(J197,'Сводка'!$R$3:$R$397,0)</x:f>
        <x:v>208</x:v>
      </x:c>
      <x:c r="V197" s="4" t="n">
        <x:f>MATCH(J197-'Сводка'!$B$11,'Сводка'!$R$3:$R$397,0)</x:f>
        <x:v>207</x:v>
      </x:c>
      <x:c r="W197" s="4" t="n">
        <x:f>MATCH(T197,$J$388:$J$400,0)</x:f>
        <x:v>7</x:v>
      </x:c>
      <x:c r="X197" s="3"/>
      <x:c r="Y197" s="3"/>
      <x:c r="Z197" s="3"/>
    </x:row>
    <x:row r="198" ht="15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10" t="n">
        <x:v>46049</x:v>
      </x:c>
      <x:c r="K198" s="8" t="n">
        <x:f>INDEX('Сводка'!$S$3:$S$397,U198)</x:f>
        <x:v>-38</x:v>
      </x:c>
      <x:c r="L198" s="8" t="n">
        <x:f>INDEX('Сводка'!$S$3:$S$397,V198)</x:f>
        <x:v>-36</x:v>
      </x:c>
      <x:c r="M198" s="8" t="n">
        <x:f>INDEX($K$388:$N$400,W198,1)+INDEX($K$388:$N$400,W198,2)*(2*(J198-$T$405)/(T198-$T$405)-1)^1+INDEX($K$388:$N$400,W198,3)*(2*(J198-$T$405)/(T198-$T$405)-1)^2+INDEX($K$388:$N$400,W198,4)*(2*(J198-$T$405)/(T198-$T$405)-1)^3</x:f>
        <x:v>128.0871852585202</x:v>
      </x:c>
      <x:c r="N198" s="8" t="n">
        <x:f>K198-M198</x:f>
        <x:v>-166.0871852585202</x:v>
      </x:c>
      <x:c r="O198" s="8" t="n">
        <x:f>ABS(N198)</x:f>
        <x:v>166.0871852585202</x:v>
      </x:c>
      <x:c r="P198" s="8" t="n">
        <x:f>N198^2</x:f>
        <x:v>27584.953107098012</x:v>
      </x:c>
      <x:c r="Q198" s="8" t="n">
        <x:f>K198-L198</x:f>
        <x:v>-2</x:v>
      </x:c>
      <x:c r="R198" s="9" t="n">
        <x:f>IF(AND(INDEX('Сводка'!$T$3:$T$397,U198)=0,INDEX('Сводка'!$T$3:$T$397,V198)=0),1,0)</x:f>
        <x:v>1</x:v>
      </x:c>
      <x:c r="S198" s="9" t="n">
        <x:f>IF(AND(R198=1,O198&lt;=$G$13),1,0)</x:f>
        <x:v>0</x:v>
      </x:c>
      <x:c r="T198" s="10" t="n">
        <x:f>EOMONTH(J198-'Сводка'!$B$11,-1)</x:f>
        <x:v>46022</x:v>
      </x:c>
      <x:c r="U198" s="4" t="n">
        <x:f>MATCH(J198,'Сводка'!$R$3:$R$397,0)</x:f>
        <x:v>209</x:v>
      </x:c>
      <x:c r="V198" s="4" t="n">
        <x:f>MATCH(J198-'Сводка'!$B$11,'Сводка'!$R$3:$R$397,0)</x:f>
        <x:v>208</x:v>
      </x:c>
      <x:c r="W198" s="4" t="n">
        <x:f>MATCH(T198,$J$388:$J$400,0)</x:f>
        <x:v>7</x:v>
      </x:c>
      <x:c r="X198" s="3"/>
      <x:c r="Y198" s="3"/>
      <x:c r="Z198" s="3"/>
    </x:row>
    <x:row r="199" ht="15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10" t="n">
        <x:v>46050</x:v>
      </x:c>
      <x:c r="K199" s="8" t="n">
        <x:f>INDEX('Сводка'!$S$3:$S$397,U199)</x:f>
        <x:v>-33</x:v>
      </x:c>
      <x:c r="L199" s="8" t="n">
        <x:f>INDEX('Сводка'!$S$3:$S$397,V199)</x:f>
        <x:v>-38</x:v>
      </x:c>
      <x:c r="M199" s="8" t="n">
        <x:f>INDEX($K$388:$N$400,W199,1)+INDEX($K$388:$N$400,W199,2)*(2*(J199-$T$405)/(T199-$T$405)-1)^1+INDEX($K$388:$N$400,W199,3)*(2*(J199-$T$405)/(T199-$T$405)-1)^2+INDEX($K$388:$N$400,W199,4)*(2*(J199-$T$405)/(T199-$T$405)-1)^3</x:f>
        <x:v>128.0763613290139</x:v>
      </x:c>
      <x:c r="N199" s="8" t="n">
        <x:f>K199-M199</x:f>
        <x:v>-161.0763613290139</x:v>
      </x:c>
      <x:c r="O199" s="8" t="n">
        <x:f>ABS(N199)</x:f>
        <x:v>161.0763613290139</x:v>
      </x:c>
      <x:c r="P199" s="8" t="n">
        <x:f>N199^2</x:f>
        <x:v>25945.594178995045</x:v>
      </x:c>
      <x:c r="Q199" s="8" t="n">
        <x:f>K199-L199</x:f>
        <x:v>5</x:v>
      </x:c>
      <x:c r="R199" s="9" t="n">
        <x:f>IF(AND(INDEX('Сводка'!$T$3:$T$397,U199)=0,INDEX('Сводка'!$T$3:$T$397,V199)=0),1,0)</x:f>
        <x:v>1</x:v>
      </x:c>
      <x:c r="S199" s="9" t="n">
        <x:f>IF(AND(R199=1,O199&lt;=$G$13),1,0)</x:f>
        <x:v>0</x:v>
      </x:c>
      <x:c r="T199" s="10" t="n">
        <x:f>EOMONTH(J199-'Сводка'!$B$11,-1)</x:f>
        <x:v>46022</x:v>
      </x:c>
      <x:c r="U199" s="4" t="n">
        <x:f>MATCH(J199,'Сводка'!$R$3:$R$397,0)</x:f>
        <x:v>210</x:v>
      </x:c>
      <x:c r="V199" s="4" t="n">
        <x:f>MATCH(J199-'Сводка'!$B$11,'Сводка'!$R$3:$R$397,0)</x:f>
        <x:v>209</x:v>
      </x:c>
      <x:c r="W199" s="4" t="n">
        <x:f>MATCH(T199,$J$388:$J$400,0)</x:f>
        <x:v>7</x:v>
      </x:c>
      <x:c r="X199" s="3"/>
      <x:c r="Y199" s="3"/>
      <x:c r="Z199" s="3"/>
    </x:row>
    <x:row r="200" ht="15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10" t="n">
        <x:v>46051</x:v>
      </x:c>
      <x:c r="K200" s="8" t="n">
        <x:f>INDEX('Сводка'!$S$3:$S$397,U200)</x:f>
        <x:v>-33</x:v>
      </x:c>
      <x:c r="L200" s="8" t="n">
        <x:f>INDEX('Сводка'!$S$3:$S$397,V200)</x:f>
        <x:v>-33</x:v>
      </x:c>
      <x:c r="M200" s="8" t="n">
        <x:f>INDEX($K$388:$N$400,W200,1)+INDEX($K$388:$N$400,W200,2)*(2*(J200-$T$405)/(T200-$T$405)-1)^1+INDEX($K$388:$N$400,W200,3)*(2*(J200-$T$405)/(T200-$T$405)-1)^2+INDEX($K$388:$N$400,W200,4)*(2*(J200-$T$405)/(T200-$T$405)-1)^3</x:f>
        <x:v>128.06552644986803</x:v>
      </x:c>
      <x:c r="N200" s="8" t="n">
        <x:f>K200-M200</x:f>
        <x:v>-161.06552644986803</x:v>
      </x:c>
      <x:c r="O200" s="8" t="n">
        <x:f>ABS(N200)</x:f>
        <x:v>161.06552644986803</x:v>
      </x:c>
      <x:c r="P200" s="8" t="n">
        <x:f>N200^2</x:f>
        <x:v>25942.10381057314</x:v>
      </x:c>
      <x:c r="Q200" s="8" t="n">
        <x:f>K200-L200</x:f>
        <x:v>0</x:v>
      </x:c>
      <x:c r="R200" s="9" t="n">
        <x:f>IF(AND(INDEX('Сводка'!$T$3:$T$397,U200)=0,INDEX('Сводка'!$T$3:$T$397,V200)=0),1,0)</x:f>
        <x:v>1</x:v>
      </x:c>
      <x:c r="S200" s="9" t="n">
        <x:f>IF(AND(R200=1,O200&lt;=$G$13),1,0)</x:f>
        <x:v>0</x:v>
      </x:c>
      <x:c r="T200" s="10" t="n">
        <x:f>EOMONTH(J200-'Сводка'!$B$11,-1)</x:f>
        <x:v>46022</x:v>
      </x:c>
      <x:c r="U200" s="4" t="n">
        <x:f>MATCH(J200,'Сводка'!$R$3:$R$397,0)</x:f>
        <x:v>211</x:v>
      </x:c>
      <x:c r="V200" s="4" t="n">
        <x:f>MATCH(J200-'Сводка'!$B$11,'Сводка'!$R$3:$R$397,0)</x:f>
        <x:v>210</x:v>
      </x:c>
      <x:c r="W200" s="4" t="n">
        <x:f>MATCH(T200,$J$388:$J$400,0)</x:f>
        <x:v>7</x:v>
      </x:c>
      <x:c r="X200" s="3"/>
      <x:c r="Y200" s="3"/>
      <x:c r="Z200" s="3"/>
    </x:row>
    <x:row r="201" ht="15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10" t="n">
        <x:v>46052</x:v>
      </x:c>
      <x:c r="K201" s="8" t="n">
        <x:f>INDEX('Сводка'!$S$3:$S$397,U201)</x:f>
        <x:v>-36</x:v>
      </x:c>
      <x:c r="L201" s="8" t="n">
        <x:f>INDEX('Сводка'!$S$3:$S$397,V201)</x:f>
        <x:v>-33</x:v>
      </x:c>
      <x:c r="M201" s="8" t="n">
        <x:f>INDEX($K$388:$N$400,W201,1)+INDEX($K$388:$N$400,W201,2)*(2*(J201-$T$405)/(T201-$T$405)-1)^1+INDEX($K$388:$N$400,W201,3)*(2*(J201-$T$405)/(T201-$T$405)-1)^2+INDEX($K$388:$N$400,W201,4)*(2*(J201-$T$405)/(T201-$T$405)-1)^3</x:f>
        <x:v>128.05468061984706</x:v>
      </x:c>
      <x:c r="N201" s="8" t="n">
        <x:f>K201-M201</x:f>
        <x:v>-164.05468061984706</x:v>
      </x:c>
      <x:c r="O201" s="8" t="n">
        <x:f>ABS(N201)</x:f>
        <x:v>164.05468061984706</x:v>
      </x:c>
      <x:c r="P201" s="8" t="n">
        <x:f>N201^2</x:f>
        <x:v>26913.938233280023</x:v>
      </x:c>
      <x:c r="Q201" s="8" t="n">
        <x:f>K201-L201</x:f>
        <x:v>-3</x:v>
      </x:c>
      <x:c r="R201" s="9" t="n">
        <x:f>IF(AND(INDEX('Сводка'!$T$3:$T$397,U201)=0,INDEX('Сводка'!$T$3:$T$397,V201)=0),1,0)</x:f>
        <x:v>1</x:v>
      </x:c>
      <x:c r="S201" s="9" t="n">
        <x:f>IF(AND(R201=1,O201&lt;=$G$13),1,0)</x:f>
        <x:v>0</x:v>
      </x:c>
      <x:c r="T201" s="10" t="n">
        <x:f>EOMONTH(J201-'Сводка'!$B$11,-1)</x:f>
        <x:v>46022</x:v>
      </x:c>
      <x:c r="U201" s="4" t="n">
        <x:f>MATCH(J201,'Сводка'!$R$3:$R$397,0)</x:f>
        <x:v>212</x:v>
      </x:c>
      <x:c r="V201" s="4" t="n">
        <x:f>MATCH(J201-'Сводка'!$B$11,'Сводка'!$R$3:$R$397,0)</x:f>
        <x:v>211</x:v>
      </x:c>
      <x:c r="W201" s="4" t="n">
        <x:f>MATCH(T201,$J$388:$J$400,0)</x:f>
        <x:v>7</x:v>
      </x:c>
      <x:c r="X201" s="3"/>
      <x:c r="Y201" s="3"/>
      <x:c r="Z201" s="3"/>
    </x:row>
    <x:row r="202" ht="15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10" t="n">
        <x:v>46053</x:v>
      </x:c>
      <x:c r="K202" s="8" t="n">
        <x:f>INDEX('Сводка'!$S$3:$S$397,U202)</x:f>
        <x:v>-32</x:v>
      </x:c>
      <x:c r="L202" s="8" t="n">
        <x:f>INDEX('Сводка'!$S$3:$S$397,V202)</x:f>
        <x:v>-36</x:v>
      </x:c>
      <x:c r="M202" s="8" t="n">
        <x:f>INDEX($K$388:$N$400,W202,1)+INDEX($K$388:$N$400,W202,2)*(2*(J202-$T$405)/(T202-$T$405)-1)^1+INDEX($K$388:$N$400,W202,3)*(2*(J202-$T$405)/(T202-$T$405)-1)^2+INDEX($K$388:$N$400,W202,4)*(2*(J202-$T$405)/(T202-$T$405)-1)^3</x:f>
        <x:v>128.04382383771545</x:v>
      </x:c>
      <x:c r="N202" s="8" t="n">
        <x:f>K202-M202</x:f>
        <x:v>-160.04382383771545</x:v>
      </x:c>
      <x:c r="O202" s="8" t="n">
        <x:f>ABS(N202)</x:f>
        <x:v>160.04382383771545</x:v>
      </x:c>
      <x:c r="P202" s="8" t="n">
        <x:f>N202^2</x:f>
        <x:v>25614.025548597696</x:v>
      </x:c>
      <x:c r="Q202" s="8" t="n">
        <x:f>K202-L202</x:f>
        <x:v>4</x:v>
      </x:c>
      <x:c r="R202" s="9" t="n">
        <x:f>IF(AND(INDEX('Сводка'!$T$3:$T$397,U202)=0,INDEX('Сводка'!$T$3:$T$397,V202)=0),1,0)</x:f>
        <x:v>1</x:v>
      </x:c>
      <x:c r="S202" s="9" t="n">
        <x:f>IF(AND(R202=1,O202&lt;=$G$13),1,0)</x:f>
        <x:v>0</x:v>
      </x:c>
      <x:c r="T202" s="10" t="n">
        <x:f>EOMONTH(J202-'Сводка'!$B$11,-1)</x:f>
        <x:v>46022</x:v>
      </x:c>
      <x:c r="U202" s="4" t="n">
        <x:f>MATCH(J202,'Сводка'!$R$3:$R$397,0)</x:f>
        <x:v>213</x:v>
      </x:c>
      <x:c r="V202" s="4" t="n">
        <x:f>MATCH(J202-'Сводка'!$B$11,'Сводка'!$R$3:$R$397,0)</x:f>
        <x:v>212</x:v>
      </x:c>
      <x:c r="W202" s="4" t="n">
        <x:f>MATCH(T202,$J$388:$J$400,0)</x:f>
        <x:v>7</x:v>
      </x:c>
      <x:c r="X202" s="3"/>
      <x:c r="Y202" s="3"/>
      <x:c r="Z202" s="3"/>
    </x:row>
    <x:row r="203" ht="15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10" t="n">
        <x:v>46054</x:v>
      </x:c>
      <x:c r="K203" s="8" t="n">
        <x:f>INDEX('Сводка'!$S$3:$S$397,U203)</x:f>
        <x:v>-34</x:v>
      </x:c>
      <x:c r="L203" s="8" t="n">
        <x:f>INDEX('Сводка'!$S$3:$S$397,V203)</x:f>
        <x:v>-32</x:v>
      </x:c>
      <x:c r="M203" s="8" t="n">
        <x:f>INDEX($K$388:$N$400,W203,1)+INDEX($K$388:$N$400,W203,2)*(2*(J203-$T$405)/(T203-$T$405)-1)^1+INDEX($K$388:$N$400,W203,3)*(2*(J203-$T$405)/(T203-$T$405)-1)^2+INDEX($K$388:$N$400,W203,4)*(2*(J203-$T$405)/(T203-$T$405)-1)^3</x:f>
        <x:v>128.03295610223773</x:v>
      </x:c>
      <x:c r="N203" s="8" t="n">
        <x:f>K203-M203</x:f>
        <x:v>-162.03295610223773</x:v>
      </x:c>
      <x:c r="O203" s="8" t="n">
        <x:f>ABS(N203)</x:f>
        <x:v>162.03295610223773</x:v>
      </x:c>
      <x:c r="P203" s="8" t="n">
        <x:f>N203^2</x:f>
        <x:v>26254.6788632297</x:v>
      </x:c>
      <x:c r="Q203" s="8" t="n">
        <x:f>K203-L203</x:f>
        <x:v>-2</x:v>
      </x:c>
      <x:c r="R203" s="9" t="n">
        <x:f>IF(AND(INDEX('Сводка'!$T$3:$T$397,U203)=0,INDEX('Сводка'!$T$3:$T$397,V203)=0),1,0)</x:f>
        <x:v>1</x:v>
      </x:c>
      <x:c r="S203" s="9" t="n">
        <x:f>IF(AND(R203=1,O203&lt;=$G$13),1,0)</x:f>
        <x:v>0</x:v>
      </x:c>
      <x:c r="T203" s="10" t="n">
        <x:f>EOMONTH(J203-'Сводка'!$B$11,-1)</x:f>
        <x:v>46022</x:v>
      </x:c>
      <x:c r="U203" s="4" t="n">
        <x:f>MATCH(J203,'Сводка'!$R$3:$R$397,0)</x:f>
        <x:v>214</x:v>
      </x:c>
      <x:c r="V203" s="4" t="n">
        <x:f>MATCH(J203-'Сводка'!$B$11,'Сводка'!$R$3:$R$397,0)</x:f>
        <x:v>213</x:v>
      </x:c>
      <x:c r="W203" s="4" t="n">
        <x:f>MATCH(T203,$J$388:$J$400,0)</x:f>
        <x:v>7</x:v>
      </x:c>
      <x:c r="X203" s="3"/>
      <x:c r="Y203" s="3"/>
      <x:c r="Z203" s="3"/>
    </x:row>
    <x:row r="204" ht="15" customHeight="1">
      <x:c r="A204" s="3"/>
      <x:c r="B204" s="3"/>
      <x:c r="C204" s="3"/>
      <x:c r="D204" s="3"/>
      <x:c r="E204" s="3"/>
      <x:c r="F204" s="3"/>
      <x:c r="G204" s="3"/>
      <x:c r="H204" s="3"/>
      <x:c r="I204" s="3"/>
      <x:c r="J204" s="10" t="n">
        <x:v>46055</x:v>
      </x:c>
      <x:c r="K204" s="8" t="n">
        <x:f>INDEX('Сводка'!$S$3:$S$397,U204)</x:f>
        <x:v>-33</x:v>
      </x:c>
      <x:c r="L204" s="8" t="n">
        <x:f>INDEX('Сводка'!$S$3:$S$397,V204)</x:f>
        <x:v>-34</x:v>
      </x:c>
      <x:c r="M204" s="8" t="n">
        <x:f>INDEX($K$388:$N$400,W204,1)+INDEX($K$388:$N$400,W204,2)*(2*(J204-$T$405)/(T204-$T$405)-1)^1+INDEX($K$388:$N$400,W204,3)*(2*(J204-$T$405)/(T204-$T$405)-1)^2+INDEX($K$388:$N$400,W204,4)*(2*(J204-$T$405)/(T204-$T$405)-1)^3</x:f>
        <x:v>119.00792238406564</x:v>
      </x:c>
      <x:c r="N204" s="8" t="n">
        <x:f>K204-M204</x:f>
        <x:v>-152.00792238406564</x:v>
      </x:c>
      <x:c r="O204" s="8" t="n">
        <x:f>ABS(N204)</x:f>
        <x:v>152.00792238406564</x:v>
      </x:c>
      <x:c r="P204" s="8" t="n">
        <x:f>N204^2</x:f>
        <x:v>23106.408467520123</x:v>
      </x:c>
      <x:c r="Q204" s="8" t="n">
        <x:f>K204-L204</x:f>
        <x:v>1</x:v>
      </x:c>
      <x:c r="R204" s="9" t="n">
        <x:f>IF(AND(INDEX('Сводка'!$T$3:$T$397,U204)=0,INDEX('Сводка'!$T$3:$T$397,V204)=0),1,0)</x:f>
        <x:v>1</x:v>
      </x:c>
      <x:c r="S204" s="9" t="n">
        <x:f>IF(AND(R204=1,O204&lt;=$G$13),1,0)</x:f>
        <x:v>0</x:v>
      </x:c>
      <x:c r="T204" s="10" t="n">
        <x:f>EOMONTH(J204-'Сводка'!$B$11,-1)</x:f>
        <x:v>46053</x:v>
      </x:c>
      <x:c r="U204" s="4" t="n">
        <x:f>MATCH(J204,'Сводка'!$R$3:$R$397,0)</x:f>
        <x:v>215</x:v>
      </x:c>
      <x:c r="V204" s="4" t="n">
        <x:f>MATCH(J204-'Сводка'!$B$11,'Сводка'!$R$3:$R$397,0)</x:f>
        <x:v>214</x:v>
      </x:c>
      <x:c r="W204" s="4" t="n">
        <x:f>MATCH(T204,$J$388:$J$400,0)</x:f>
        <x:v>8</x:v>
      </x:c>
      <x:c r="X204" s="3"/>
      <x:c r="Y204" s="3"/>
      <x:c r="Z204" s="3"/>
    </x:row>
    <x:row r="205" ht="15" customHeight="1">
      <x:c r="A205" s="3"/>
      <x:c r="B205" s="3"/>
      <x:c r="C205" s="3"/>
      <x:c r="D205" s="3"/>
      <x:c r="E205" s="3"/>
      <x:c r="F205" s="3"/>
      <x:c r="G205" s="3"/>
      <x:c r="H205" s="3"/>
      <x:c r="I205" s="3"/>
      <x:c r="J205" s="10" t="n">
        <x:v>46056</x:v>
      </x:c>
      <x:c r="K205" s="8" t="n">
        <x:f>INDEX('Сводка'!$S$3:$S$397,U205)</x:f>
        <x:v>-36</x:v>
      </x:c>
      <x:c r="L205" s="8" t="n">
        <x:f>INDEX('Сводка'!$S$3:$S$397,V205)</x:f>
        <x:v>-33</x:v>
      </x:c>
      <x:c r="M205" s="8" t="n">
        <x:f>INDEX($K$388:$N$400,W205,1)+INDEX($K$388:$N$400,W205,2)*(2*(J205-$T$405)/(T205-$T$405)-1)^1+INDEX($K$388:$N$400,W205,3)*(2*(J205-$T$405)/(T205-$T$405)-1)^2+INDEX($K$388:$N$400,W205,4)*(2*(J205-$T$405)/(T205-$T$405)-1)^3</x:f>
        <x:v>118.98954001602245</x:v>
      </x:c>
      <x:c r="N205" s="8" t="n">
        <x:f>K205-M205</x:f>
        <x:v>-154.98954001602243</x:v>
      </x:c>
      <x:c r="O205" s="8" t="n">
        <x:f>ABS(N205)</x:f>
        <x:v>154.98954001602243</x:v>
      </x:c>
      <x:c r="P205" s="8" t="n">
        <x:f>N205^2</x:f>
        <x:v>24021.75751437822</x:v>
      </x:c>
      <x:c r="Q205" s="8" t="n">
        <x:f>K205-L205</x:f>
        <x:v>-3</x:v>
      </x:c>
      <x:c r="R205" s="9" t="n">
        <x:f>IF(AND(INDEX('Сводка'!$T$3:$T$397,U205)=0,INDEX('Сводка'!$T$3:$T$397,V205)=0),1,0)</x:f>
        <x:v>1</x:v>
      </x:c>
      <x:c r="S205" s="9" t="n">
        <x:f>IF(AND(R205=1,O205&lt;=$G$13),1,0)</x:f>
        <x:v>0</x:v>
      </x:c>
      <x:c r="T205" s="10" t="n">
        <x:f>EOMONTH(J205-'Сводка'!$B$11,-1)</x:f>
        <x:v>46053</x:v>
      </x:c>
      <x:c r="U205" s="4" t="n">
        <x:f>MATCH(J205,'Сводка'!$R$3:$R$397,0)</x:f>
        <x:v>216</x:v>
      </x:c>
      <x:c r="V205" s="4" t="n">
        <x:f>MATCH(J205-'Сводка'!$B$11,'Сводка'!$R$3:$R$397,0)</x:f>
        <x:v>215</x:v>
      </x:c>
      <x:c r="W205" s="4" t="n">
        <x:f>MATCH(T205,$J$388:$J$400,0)</x:f>
        <x:v>8</x:v>
      </x:c>
      <x:c r="X205" s="3"/>
      <x:c r="Y205" s="3"/>
      <x:c r="Z205" s="3"/>
    </x:row>
    <x:row r="206" ht="15" customHeight="1">
      <x:c r="A206" s="3"/>
      <x:c r="B206" s="3"/>
      <x:c r="C206" s="3"/>
      <x:c r="D206" s="3"/>
      <x:c r="E206" s="3"/>
      <x:c r="F206" s="3"/>
      <x:c r="G206" s="3"/>
      <x:c r="H206" s="3"/>
      <x:c r="I206" s="3"/>
      <x:c r="J206" s="10" t="n">
        <x:v>46057</x:v>
      </x:c>
      <x:c r="K206" s="8" t="n">
        <x:f>INDEX('Сводка'!$S$3:$S$397,U206)</x:f>
        <x:v>-34</x:v>
      </x:c>
      <x:c r="L206" s="8" t="n">
        <x:f>INDEX('Сводка'!$S$3:$S$397,V206)</x:f>
        <x:v>-36</x:v>
      </x:c>
      <x:c r="M206" s="8" t="n">
        <x:f>INDEX($K$388:$N$400,W206,1)+INDEX($K$388:$N$400,W206,2)*(2*(J206-$T$405)/(T206-$T$405)-1)^1+INDEX($K$388:$N$400,W206,3)*(2*(J206-$T$405)/(T206-$T$405)-1)^2+INDEX($K$388:$N$400,W206,4)*(2*(J206-$T$405)/(T206-$T$405)-1)^3</x:f>
        <x:v>118.97114332399015</x:v>
      </x:c>
      <x:c r="N206" s="8" t="n">
        <x:f>K206-M206</x:f>
        <x:v>-152.97114332399013</x:v>
      </x:c>
      <x:c r="O206" s="8" t="n">
        <x:f>ABS(N206)</x:f>
        <x:v>152.97114332399013</x:v>
      </x:c>
      <x:c r="P206" s="8" t="n">
        <x:f>N206^2</x:f>
        <x:v>23400.170689848732</x:v>
      </x:c>
      <x:c r="Q206" s="8" t="n">
        <x:f>K206-L206</x:f>
        <x:v>2</x:v>
      </x:c>
      <x:c r="R206" s="9" t="n">
        <x:f>IF(AND(INDEX('Сводка'!$T$3:$T$397,U206)=0,INDEX('Сводка'!$T$3:$T$397,V206)=0),1,0)</x:f>
        <x:v>1</x:v>
      </x:c>
      <x:c r="S206" s="9" t="n">
        <x:f>IF(AND(R206=1,O206&lt;=$G$13),1,0)</x:f>
        <x:v>0</x:v>
      </x:c>
      <x:c r="T206" s="10" t="n">
        <x:f>EOMONTH(J206-'Сводка'!$B$11,-1)</x:f>
        <x:v>46053</x:v>
      </x:c>
      <x:c r="U206" s="4" t="n">
        <x:f>MATCH(J206,'Сводка'!$R$3:$R$397,0)</x:f>
        <x:v>217</x:v>
      </x:c>
      <x:c r="V206" s="4" t="n">
        <x:f>MATCH(J206-'Сводка'!$B$11,'Сводка'!$R$3:$R$397,0)</x:f>
        <x:v>216</x:v>
      </x:c>
      <x:c r="W206" s="4" t="n">
        <x:f>MATCH(T206,$J$388:$J$400,0)</x:f>
        <x:v>8</x:v>
      </x:c>
      <x:c r="X206" s="3"/>
      <x:c r="Y206" s="3"/>
      <x:c r="Z206" s="3"/>
    </x:row>
    <x:row r="207" ht="15" customHeight="1">
      <x:c r="A207" s="3"/>
      <x:c r="B207" s="3"/>
      <x:c r="C207" s="3"/>
      <x:c r="D207" s="3"/>
      <x:c r="E207" s="3"/>
      <x:c r="F207" s="3"/>
      <x:c r="G207" s="3"/>
      <x:c r="H207" s="3"/>
      <x:c r="I207" s="3"/>
      <x:c r="J207" s="10" t="n">
        <x:v>46058</x:v>
      </x:c>
      <x:c r="K207" s="8" t="n">
        <x:f>INDEX('Сводка'!$S$3:$S$397,U207)</x:f>
        <x:v>-35</x:v>
      </x:c>
      <x:c r="L207" s="8" t="n">
        <x:f>INDEX('Сводка'!$S$3:$S$397,V207)</x:f>
        <x:v>-34</x:v>
      </x:c>
      <x:c r="M207" s="8" t="n">
        <x:f>INDEX($K$388:$N$400,W207,1)+INDEX($K$388:$N$400,W207,2)*(2*(J207-$T$405)/(T207-$T$405)-1)^1+INDEX($K$388:$N$400,W207,3)*(2*(J207-$T$405)/(T207-$T$405)-1)^2+INDEX($K$388:$N$400,W207,4)*(2*(J207-$T$405)/(T207-$T$405)-1)^3</x:f>
        <x:v>118.95273230606807</x:v>
      </x:c>
      <x:c r="N207" s="8" t="n">
        <x:f>K207-M207</x:f>
        <x:v>-153.95273230606807</x:v>
      </x:c>
      <x:c r="O207" s="8" t="n">
        <x:f>ABS(N207)</x:f>
        <x:v>153.95273230606807</x:v>
      </x:c>
      <x:c r="P207" s="8" t="n">
        <x:f>N207^2</x:f>
        <x:v>23701.443784503856</x:v>
      </x:c>
      <x:c r="Q207" s="8" t="n">
        <x:f>K207-L207</x:f>
        <x:v>-1</x:v>
      </x:c>
      <x:c r="R207" s="9" t="n">
        <x:f>IF(AND(INDEX('Сводка'!$T$3:$T$397,U207)=0,INDEX('Сводка'!$T$3:$T$397,V207)=0),1,0)</x:f>
        <x:v>1</x:v>
      </x:c>
      <x:c r="S207" s="9" t="n">
        <x:f>IF(AND(R207=1,O207&lt;=$G$13),1,0)</x:f>
        <x:v>0</x:v>
      </x:c>
      <x:c r="T207" s="10" t="n">
        <x:f>EOMONTH(J207-'Сводка'!$B$11,-1)</x:f>
        <x:v>46053</x:v>
      </x:c>
      <x:c r="U207" s="4" t="n">
        <x:f>MATCH(J207,'Сводка'!$R$3:$R$397,0)</x:f>
        <x:v>218</x:v>
      </x:c>
      <x:c r="V207" s="4" t="n">
        <x:f>MATCH(J207-'Сводка'!$B$11,'Сводка'!$R$3:$R$397,0)</x:f>
        <x:v>217</x:v>
      </x:c>
      <x:c r="W207" s="4" t="n">
        <x:f>MATCH(T207,$J$388:$J$400,0)</x:f>
        <x:v>8</x:v>
      </x:c>
      <x:c r="X207" s="3"/>
      <x:c r="Y207" s="3"/>
      <x:c r="Z207" s="3"/>
    </x:row>
    <x:row r="208" ht="15" customHeight="1">
      <x:c r="A208" s="3"/>
      <x:c r="B208" s="3"/>
      <x:c r="C208" s="3"/>
      <x:c r="D208" s="3"/>
      <x:c r="E208" s="3"/>
      <x:c r="F208" s="3"/>
      <x:c r="G208" s="3"/>
      <x:c r="H208" s="3"/>
      <x:c r="I208" s="3"/>
      <x:c r="J208" s="10" t="n">
        <x:v>46059</x:v>
      </x:c>
      <x:c r="K208" s="8" t="n">
        <x:f>INDEX('Сводка'!$S$3:$S$397,U208)</x:f>
        <x:v>-38</x:v>
      </x:c>
      <x:c r="L208" s="8" t="n">
        <x:f>INDEX('Сводка'!$S$3:$S$397,V208)</x:f>
        <x:v>-35</x:v>
      </x:c>
      <x:c r="M208" s="8" t="n">
        <x:f>INDEX($K$388:$N$400,W208,1)+INDEX($K$388:$N$400,W208,2)*(2*(J208-$T$405)/(T208-$T$405)-1)^1+INDEX($K$388:$N$400,W208,3)*(2*(J208-$T$405)/(T208-$T$405)-1)^2+INDEX($K$388:$N$400,W208,4)*(2*(J208-$T$405)/(T208-$T$405)-1)^3</x:f>
        <x:v>118.93430696035546</x:v>
      </x:c>
      <x:c r="N208" s="8" t="n">
        <x:f>K208-M208</x:f>
        <x:v>-156.93430696035546</x:v>
      </x:c>
      <x:c r="O208" s="8" t="n">
        <x:f>ABS(N208)</x:f>
        <x:v>156.93430696035546</x:v>
      </x:c>
      <x:c r="P208" s="8" t="n">
        <x:f>N208^2</x:f>
        <x:v>24628.376701127072</x:v>
      </x:c>
      <x:c r="Q208" s="8" t="n">
        <x:f>K208-L208</x:f>
        <x:v>-3</x:v>
      </x:c>
      <x:c r="R208" s="9" t="n">
        <x:f>IF(AND(INDEX('Сводка'!$T$3:$T$397,U208)=0,INDEX('Сводка'!$T$3:$T$397,V208)=0),1,0)</x:f>
        <x:v>1</x:v>
      </x:c>
      <x:c r="S208" s="9" t="n">
        <x:f>IF(AND(R208=1,O208&lt;=$G$13),1,0)</x:f>
        <x:v>0</x:v>
      </x:c>
      <x:c r="T208" s="10" t="n">
        <x:f>EOMONTH(J208-'Сводка'!$B$11,-1)</x:f>
        <x:v>46053</x:v>
      </x:c>
      <x:c r="U208" s="4" t="n">
        <x:f>MATCH(J208,'Сводка'!$R$3:$R$397,0)</x:f>
        <x:v>219</x:v>
      </x:c>
      <x:c r="V208" s="4" t="n">
        <x:f>MATCH(J208-'Сводка'!$B$11,'Сводка'!$R$3:$R$397,0)</x:f>
        <x:v>218</x:v>
      </x:c>
      <x:c r="W208" s="4" t="n">
        <x:f>MATCH(T208,$J$388:$J$400,0)</x:f>
        <x:v>8</x:v>
      </x:c>
      <x:c r="X208" s="3"/>
      <x:c r="Y208" s="3"/>
      <x:c r="Z208" s="3"/>
    </x:row>
    <x:row r="209" ht="15" customHeight="1">
      <x:c r="A209" s="3"/>
      <x:c r="B209" s="3"/>
      <x:c r="C209" s="3"/>
      <x:c r="D209" s="3"/>
      <x:c r="E209" s="3"/>
      <x:c r="F209" s="3"/>
      <x:c r="G209" s="3"/>
      <x:c r="H209" s="3"/>
      <x:c r="I209" s="3"/>
      <x:c r="J209" s="10" t="n">
        <x:v>46060</x:v>
      </x:c>
      <x:c r="K209" s="8" t="n">
        <x:f>INDEX('Сводка'!$S$3:$S$397,U209)</x:f>
        <x:v>-41</x:v>
      </x:c>
      <x:c r="L209" s="8" t="n">
        <x:f>INDEX('Сводка'!$S$3:$S$397,V209)</x:f>
        <x:v>-38</x:v>
      </x:c>
      <x:c r="M209" s="8" t="n">
        <x:f>INDEX($K$388:$N$400,W209,1)+INDEX($K$388:$N$400,W209,2)*(2*(J209-$T$405)/(T209-$T$405)-1)^1+INDEX($K$388:$N$400,W209,3)*(2*(J209-$T$405)/(T209-$T$405)-1)^2+INDEX($K$388:$N$400,W209,4)*(2*(J209-$T$405)/(T209-$T$405)-1)^3</x:f>
        <x:v>118.9158672849516</x:v>
      </x:c>
      <x:c r="N209" s="8" t="n">
        <x:f>K209-M209</x:f>
        <x:v>-159.91586728495162</x:v>
      </x:c>
      <x:c r="O209" s="8" t="n">
        <x:f>ABS(N209)</x:f>
        <x:v>159.91586728495162</x:v>
      </x:c>
      <x:c r="P209" s="8" t="n">
        <x:f>N209^2</x:f>
        <x:v>25573.08460949826</x:v>
      </x:c>
      <x:c r="Q209" s="8" t="n">
        <x:f>K209-L209</x:f>
        <x:v>-3</x:v>
      </x:c>
      <x:c r="R209" s="9" t="n">
        <x:f>IF(AND(INDEX('Сводка'!$T$3:$T$397,U209)=0,INDEX('Сводка'!$T$3:$T$397,V209)=0),1,0)</x:f>
        <x:v>1</x:v>
      </x:c>
      <x:c r="S209" s="9" t="n">
        <x:f>IF(AND(R209=1,O209&lt;=$G$13),1,0)</x:f>
        <x:v>0</x:v>
      </x:c>
      <x:c r="T209" s="10" t="n">
        <x:f>EOMONTH(J209-'Сводка'!$B$11,-1)</x:f>
        <x:v>46053</x:v>
      </x:c>
      <x:c r="U209" s="4" t="n">
        <x:f>MATCH(J209,'Сводка'!$R$3:$R$397,0)</x:f>
        <x:v>220</x:v>
      </x:c>
      <x:c r="V209" s="4" t="n">
        <x:f>MATCH(J209-'Сводка'!$B$11,'Сводка'!$R$3:$R$397,0)</x:f>
        <x:v>219</x:v>
      </x:c>
      <x:c r="W209" s="4" t="n">
        <x:f>MATCH(T209,$J$388:$J$400,0)</x:f>
        <x:v>8</x:v>
      </x:c>
      <x:c r="X209" s="3"/>
      <x:c r="Y209" s="3"/>
      <x:c r="Z209" s="3"/>
    </x:row>
    <x:row r="210" ht="15" customHeight="1">
      <x:c r="A210" s="3"/>
      <x:c r="B210" s="3"/>
      <x:c r="C210" s="3"/>
      <x:c r="D210" s="3"/>
      <x:c r="E210" s="3"/>
      <x:c r="F210" s="3"/>
      <x:c r="G210" s="3"/>
      <x:c r="H210" s="3"/>
      <x:c r="I210" s="3"/>
      <x:c r="J210" s="10" t="n">
        <x:v>46061</x:v>
      </x:c>
      <x:c r="K210" s="8" t="n">
        <x:f>INDEX('Сводка'!$S$3:$S$397,U210)</x:f>
        <x:v>-43</x:v>
      </x:c>
      <x:c r="L210" s="8" t="n">
        <x:f>INDEX('Сводка'!$S$3:$S$397,V210)</x:f>
        <x:v>-41</x:v>
      </x:c>
      <x:c r="M210" s="8" t="n">
        <x:f>INDEX($K$388:$N$400,W210,1)+INDEX($K$388:$N$400,W210,2)*(2*(J210-$T$405)/(T210-$T$405)-1)^1+INDEX($K$388:$N$400,W210,3)*(2*(J210-$T$405)/(T210-$T$405)-1)^2+INDEX($K$388:$N$400,W210,4)*(2*(J210-$T$405)/(T210-$T$405)-1)^3</x:f>
        <x:v>118.89741327795588</x:v>
      </x:c>
      <x:c r="N210" s="8" t="n">
        <x:f>K210-M210</x:f>
        <x:v>-161.89741327795588</x:v>
      </x:c>
      <x:c r="O210" s="8" t="n">
        <x:f>ABS(N210)</x:f>
        <x:v>161.89741327795588</x:v>
      </x:c>
      <x:c r="P210" s="8" t="n">
        <x:f>N210^2</x:f>
        <x:v>26210.772426093245</x:v>
      </x:c>
      <x:c r="Q210" s="8" t="n">
        <x:f>K210-L210</x:f>
        <x:v>-2</x:v>
      </x:c>
      <x:c r="R210" s="9" t="n">
        <x:f>IF(AND(INDEX('Сводка'!$T$3:$T$397,U210)=0,INDEX('Сводка'!$T$3:$T$397,V210)=0),1,0)</x:f>
        <x:v>1</x:v>
      </x:c>
      <x:c r="S210" s="9" t="n">
        <x:f>IF(AND(R210=1,O210&lt;=$G$13),1,0)</x:f>
        <x:v>0</x:v>
      </x:c>
      <x:c r="T210" s="10" t="n">
        <x:f>EOMONTH(J210-'Сводка'!$B$11,-1)</x:f>
        <x:v>46053</x:v>
      </x:c>
      <x:c r="U210" s="4" t="n">
        <x:f>MATCH(J210,'Сводка'!$R$3:$R$397,0)</x:f>
        <x:v>221</x:v>
      </x:c>
      <x:c r="V210" s="4" t="n">
        <x:f>MATCH(J210-'Сводка'!$B$11,'Сводка'!$R$3:$R$397,0)</x:f>
        <x:v>220</x:v>
      </x:c>
      <x:c r="W210" s="4" t="n">
        <x:f>MATCH(T210,$J$388:$J$400,0)</x:f>
        <x:v>8</x:v>
      </x:c>
      <x:c r="X210" s="3"/>
      <x:c r="Y210" s="3"/>
      <x:c r="Z210" s="3"/>
    </x:row>
    <x:row r="211" ht="15" customHeight="1">
      <x:c r="A211" s="3"/>
      <x:c r="B211" s="3"/>
      <x:c r="C211" s="3"/>
      <x:c r="D211" s="3"/>
      <x:c r="E211" s="3"/>
      <x:c r="F211" s="3"/>
      <x:c r="G211" s="3"/>
      <x:c r="H211" s="3"/>
      <x:c r="I211" s="3"/>
      <x:c r="J211" s="10" t="n">
        <x:v>46062</x:v>
      </x:c>
      <x:c r="K211" s="8" t="n">
        <x:f>INDEX('Сводка'!$S$3:$S$397,U211)</x:f>
        <x:v>-43</x:v>
      </x:c>
      <x:c r="L211" s="8" t="n">
        <x:f>INDEX('Сводка'!$S$3:$S$397,V211)</x:f>
        <x:v>-43</x:v>
      </x:c>
      <x:c r="M211" s="8" t="n">
        <x:f>INDEX($K$388:$N$400,W211,1)+INDEX($K$388:$N$400,W211,2)*(2*(J211-$T$405)/(T211-$T$405)-1)^1+INDEX($K$388:$N$400,W211,3)*(2*(J211-$T$405)/(T211-$T$405)-1)^2+INDEX($K$388:$N$400,W211,4)*(2*(J211-$T$405)/(T211-$T$405)-1)^3</x:f>
        <x:v>118.87894493746745</x:v>
      </x:c>
      <x:c r="N211" s="8" t="n">
        <x:f>K211-M211</x:f>
        <x:v>-161.87894493746745</x:v>
      </x:c>
      <x:c r="O211" s="8" t="n">
        <x:f>ABS(N211)</x:f>
        <x:v>161.87894493746745</x:v>
      </x:c>
      <x:c r="P211" s="8" t="n">
        <x:f>N211^2</x:f>
        <x:v>26204.79281406762</x:v>
      </x:c>
      <x:c r="Q211" s="8" t="n">
        <x:f>K211-L211</x:f>
        <x:v>0</x:v>
      </x:c>
      <x:c r="R211" s="9" t="n">
        <x:f>IF(AND(INDEX('Сводка'!$T$3:$T$397,U211)=0,INDEX('Сводка'!$T$3:$T$397,V211)=0),1,0)</x:f>
        <x:v>1</x:v>
      </x:c>
      <x:c r="S211" s="9" t="n">
        <x:f>IF(AND(R211=1,O211&lt;=$G$13),1,0)</x:f>
        <x:v>0</x:v>
      </x:c>
      <x:c r="T211" s="10" t="n">
        <x:f>EOMONTH(J211-'Сводка'!$B$11,-1)</x:f>
        <x:v>46053</x:v>
      </x:c>
      <x:c r="U211" s="4" t="n">
        <x:f>MATCH(J211,'Сводка'!$R$3:$R$397,0)</x:f>
        <x:v>222</x:v>
      </x:c>
      <x:c r="V211" s="4" t="n">
        <x:f>MATCH(J211-'Сводка'!$B$11,'Сводка'!$R$3:$R$397,0)</x:f>
        <x:v>221</x:v>
      </x:c>
      <x:c r="W211" s="4" t="n">
        <x:f>MATCH(T211,$J$388:$J$400,0)</x:f>
        <x:v>8</x:v>
      </x:c>
      <x:c r="X211" s="3"/>
      <x:c r="Y211" s="3"/>
      <x:c r="Z211" s="3"/>
    </x:row>
    <x:row r="212" ht="15" customHeight="1">
      <x:c r="A212" s="3"/>
      <x:c r="B212" s="3"/>
      <x:c r="C212" s="3"/>
      <x:c r="D212" s="3"/>
      <x:c r="E212" s="3"/>
      <x:c r="F212" s="3"/>
      <x:c r="G212" s="3"/>
      <x:c r="H212" s="3"/>
      <x:c r="I212" s="3"/>
      <x:c r="J212" s="10" t="n">
        <x:v>46063</x:v>
      </x:c>
      <x:c r="K212" s="8" t="n">
        <x:f>INDEX('Сводка'!$S$3:$S$397,U212)</x:f>
        <x:v>-44</x:v>
      </x:c>
      <x:c r="L212" s="8" t="n">
        <x:f>INDEX('Сводка'!$S$3:$S$397,V212)</x:f>
        <x:v>-43</x:v>
      </x:c>
      <x:c r="M212" s="8" t="n">
        <x:f>INDEX($K$388:$N$400,W212,1)+INDEX($K$388:$N$400,W212,2)*(2*(J212-$T$405)/(T212-$T$405)-1)^1+INDEX($K$388:$N$400,W212,3)*(2*(J212-$T$405)/(T212-$T$405)-1)^2+INDEX($K$388:$N$400,W212,4)*(2*(J212-$T$405)/(T212-$T$405)-1)^3</x:f>
        <x:v>118.86046226158568</x:v>
      </x:c>
      <x:c r="N212" s="8" t="n">
        <x:f>K212-M212</x:f>
        <x:v>-162.86046226158567</x:v>
      </x:c>
      <x:c r="O212" s="8" t="n">
        <x:f>ABS(N212)</x:f>
        <x:v>162.86046226158567</x:v>
      </x:c>
      <x:c r="P212" s="8" t="n">
        <x:f>N212^2</x:f>
        <x:v>26523.53016805737</x:v>
      </x:c>
      <x:c r="Q212" s="8" t="n">
        <x:f>K212-L212</x:f>
        <x:v>-1</x:v>
      </x:c>
      <x:c r="R212" s="9" t="n">
        <x:f>IF(AND(INDEX('Сводка'!$T$3:$T$397,U212)=0,INDEX('Сводка'!$T$3:$T$397,V212)=0),1,0)</x:f>
        <x:v>1</x:v>
      </x:c>
      <x:c r="S212" s="9" t="n">
        <x:f>IF(AND(R212=1,O212&lt;=$G$13),1,0)</x:f>
        <x:v>0</x:v>
      </x:c>
      <x:c r="T212" s="10" t="n">
        <x:f>EOMONTH(J212-'Сводка'!$B$11,-1)</x:f>
        <x:v>46053</x:v>
      </x:c>
      <x:c r="U212" s="4" t="n">
        <x:f>MATCH(J212,'Сводка'!$R$3:$R$397,0)</x:f>
        <x:v>223</x:v>
      </x:c>
      <x:c r="V212" s="4" t="n">
        <x:f>MATCH(J212-'Сводка'!$B$11,'Сводка'!$R$3:$R$397,0)</x:f>
        <x:v>222</x:v>
      </x:c>
      <x:c r="W212" s="4" t="n">
        <x:f>MATCH(T212,$J$388:$J$400,0)</x:f>
        <x:v>8</x:v>
      </x:c>
      <x:c r="X212" s="3"/>
      <x:c r="Y212" s="3"/>
      <x:c r="Z212" s="3"/>
    </x:row>
    <x:row r="213" ht="15" customHeight="1">
      <x:c r="A213" s="3"/>
      <x:c r="B213" s="3"/>
      <x:c r="C213" s="3"/>
      <x:c r="D213" s="3"/>
      <x:c r="E213" s="3"/>
      <x:c r="F213" s="3"/>
      <x:c r="G213" s="3"/>
      <x:c r="H213" s="3"/>
      <x:c r="I213" s="3"/>
      <x:c r="J213" s="10" t="n">
        <x:v>46064</x:v>
      </x:c>
      <x:c r="K213" s="8" t="n">
        <x:f>INDEX('Сводка'!$S$3:$S$397,U213)</x:f>
        <x:v>-44</x:v>
      </x:c>
      <x:c r="L213" s="8" t="n">
        <x:f>INDEX('Сводка'!$S$3:$S$397,V213)</x:f>
        <x:v>-44</x:v>
      </x:c>
      <x:c r="M213" s="8" t="n">
        <x:f>INDEX($K$388:$N$400,W213,1)+INDEX($K$388:$N$400,W213,2)*(2*(J213-$T$405)/(T213-$T$405)-1)^1+INDEX($K$388:$N$400,W213,3)*(2*(J213-$T$405)/(T213-$T$405)-1)^2+INDEX($K$388:$N$400,W213,4)*(2*(J213-$T$405)/(T213-$T$405)-1)^3</x:f>
        <x:v>118.84196524840986</x:v>
      </x:c>
      <x:c r="N213" s="8" t="n">
        <x:f>K213-M213</x:f>
        <x:v>-162.84196524840985</x:v>
      </x:c>
      <x:c r="O213" s="8" t="n">
        <x:f>ABS(N213)</x:f>
        <x:v>162.84196524840985</x:v>
      </x:c>
      <x:c r="P213" s="8" t="n">
        <x:f>N213^2</x:f>
        <x:v>26517.50564596432</x:v>
      </x:c>
      <x:c r="Q213" s="8" t="n">
        <x:f>K213-L213</x:f>
        <x:v>0</x:v>
      </x:c>
      <x:c r="R213" s="9" t="n">
        <x:f>IF(AND(INDEX('Сводка'!$T$3:$T$397,U213)=0,INDEX('Сводка'!$T$3:$T$397,V213)=0),1,0)</x:f>
        <x:v>1</x:v>
      </x:c>
      <x:c r="S213" s="9" t="n">
        <x:f>IF(AND(R213=1,O213&lt;=$G$13),1,0)</x:f>
        <x:v>0</x:v>
      </x:c>
      <x:c r="T213" s="10" t="n">
        <x:f>EOMONTH(J213-'Сводка'!$B$11,-1)</x:f>
        <x:v>46053</x:v>
      </x:c>
      <x:c r="U213" s="4" t="n">
        <x:f>MATCH(J213,'Сводка'!$R$3:$R$397,0)</x:f>
        <x:v>224</x:v>
      </x:c>
      <x:c r="V213" s="4" t="n">
        <x:f>MATCH(J213-'Сводка'!$B$11,'Сводка'!$R$3:$R$397,0)</x:f>
        <x:v>223</x:v>
      </x:c>
      <x:c r="W213" s="4" t="n">
        <x:f>MATCH(T213,$J$388:$J$400,0)</x:f>
        <x:v>8</x:v>
      </x:c>
      <x:c r="X213" s="3"/>
      <x:c r="Y213" s="3"/>
      <x:c r="Z213" s="3"/>
    </x:row>
    <x:row r="214" ht="15" customHeight="1">
      <x:c r="A214" s="3"/>
      <x:c r="B214" s="3"/>
      <x:c r="C214" s="3"/>
      <x:c r="D214" s="3"/>
      <x:c r="E214" s="3"/>
      <x:c r="F214" s="3"/>
      <x:c r="G214" s="3"/>
      <x:c r="H214" s="3"/>
      <x:c r="I214" s="3"/>
      <x:c r="J214" s="10" t="n">
        <x:v>46065</x:v>
      </x:c>
      <x:c r="K214" s="8" t="n">
        <x:f>INDEX('Сводка'!$S$3:$S$397,U214)</x:f>
        <x:v>-44</x:v>
      </x:c>
      <x:c r="L214" s="8" t="n">
        <x:f>INDEX('Сводка'!$S$3:$S$397,V214)</x:f>
        <x:v>-44</x:v>
      </x:c>
      <x:c r="M214" s="8" t="n">
        <x:f>INDEX($K$388:$N$400,W214,1)+INDEX($K$388:$N$400,W214,2)*(2*(J214-$T$405)/(T214-$T$405)-1)^1+INDEX($K$388:$N$400,W214,3)*(2*(J214-$T$405)/(T214-$T$405)-1)^2+INDEX($K$388:$N$400,W214,4)*(2*(J214-$T$405)/(T214-$T$405)-1)^3</x:f>
        <x:v>118.82345389603924</x:v>
      </x:c>
      <x:c r="N214" s="8" t="n">
        <x:f>K214-M214</x:f>
        <x:v>-162.82345389603924</x:v>
      </x:c>
      <x:c r="O214" s="8" t="n">
        <x:f>ABS(N214)</x:f>
        <x:v>162.82345389603924</x:v>
      </x:c>
      <x:c r="P214" s="8" t="n">
        <x:f>N214^2</x:f>
        <x:v>26511.477138635615</x:v>
      </x:c>
      <x:c r="Q214" s="8" t="n">
        <x:f>K214-L214</x:f>
        <x:v>0</x:v>
      </x:c>
      <x:c r="R214" s="9" t="n">
        <x:f>IF(AND(INDEX('Сводка'!$T$3:$T$397,U214)=0,INDEX('Сводка'!$T$3:$T$397,V214)=0),1,0)</x:f>
        <x:v>1</x:v>
      </x:c>
      <x:c r="S214" s="9" t="n">
        <x:f>IF(AND(R214=1,O214&lt;=$G$13),1,0)</x:f>
        <x:v>0</x:v>
      </x:c>
      <x:c r="T214" s="10" t="n">
        <x:f>EOMONTH(J214-'Сводка'!$B$11,-1)</x:f>
        <x:v>46053</x:v>
      </x:c>
      <x:c r="U214" s="4" t="n">
        <x:f>MATCH(J214,'Сводка'!$R$3:$R$397,0)</x:f>
        <x:v>225</x:v>
      </x:c>
      <x:c r="V214" s="4" t="n">
        <x:f>MATCH(J214-'Сводка'!$B$11,'Сводка'!$R$3:$R$397,0)</x:f>
        <x:v>224</x:v>
      </x:c>
      <x:c r="W214" s="4" t="n">
        <x:f>MATCH(T214,$J$388:$J$400,0)</x:f>
        <x:v>8</x:v>
      </x:c>
      <x:c r="X214" s="3"/>
      <x:c r="Y214" s="3"/>
      <x:c r="Z214" s="3"/>
    </x:row>
    <x:row r="215" ht="15" customHeight="1">
      <x:c r="A215" s="3"/>
      <x:c r="B215" s="3"/>
      <x:c r="C215" s="3"/>
      <x:c r="D215" s="3"/>
      <x:c r="E215" s="3"/>
      <x:c r="F215" s="3"/>
      <x:c r="G215" s="3"/>
      <x:c r="H215" s="3"/>
      <x:c r="I215" s="3"/>
      <x:c r="J215" s="10" t="n">
        <x:v>46066</x:v>
      </x:c>
      <x:c r="K215" s="8" t="n">
        <x:f>INDEX('Сводка'!$S$3:$S$397,U215)</x:f>
        <x:v>-41</x:v>
      </x:c>
      <x:c r="L215" s="8" t="n">
        <x:f>INDEX('Сводка'!$S$3:$S$397,V215)</x:f>
        <x:v>-44</x:v>
      </x:c>
      <x:c r="M215" s="8" t="n">
        <x:f>INDEX($K$388:$N$400,W215,1)+INDEX($K$388:$N$400,W215,2)*(2*(J215-$T$405)/(T215-$T$405)-1)^1+INDEX($K$388:$N$400,W215,3)*(2*(J215-$T$405)/(T215-$T$405)-1)^2+INDEX($K$388:$N$400,W215,4)*(2*(J215-$T$405)/(T215-$T$405)-1)^3</x:f>
        <x:v>118.80492820257318</x:v>
      </x:c>
      <x:c r="N215" s="8" t="n">
        <x:f>K215-M215</x:f>
        <x:v>-159.8049282025732</x:v>
      </x:c>
      <x:c r="O215" s="8" t="n">
        <x:f>ABS(N215)</x:f>
        <x:v>159.8049282025732</x:v>
      </x:c>
      <x:c r="P215" s="8" t="n">
        <x:f>N215^2</x:f>
        <x:v>25537.615077829574</x:v>
      </x:c>
      <x:c r="Q215" s="8" t="n">
        <x:f>K215-L215</x:f>
        <x:v>3</x:v>
      </x:c>
      <x:c r="R215" s="9" t="n">
        <x:f>IF(AND(INDEX('Сводка'!$T$3:$T$397,U215)=0,INDEX('Сводка'!$T$3:$T$397,V215)=0),1,0)</x:f>
        <x:v>1</x:v>
      </x:c>
      <x:c r="S215" s="9" t="n">
        <x:f>IF(AND(R215=1,O215&lt;=$G$13),1,0)</x:f>
        <x:v>0</x:v>
      </x:c>
      <x:c r="T215" s="10" t="n">
        <x:f>EOMONTH(J215-'Сводка'!$B$11,-1)</x:f>
        <x:v>46053</x:v>
      </x:c>
      <x:c r="U215" s="4" t="n">
        <x:f>MATCH(J215,'Сводка'!$R$3:$R$397,0)</x:f>
        <x:v>226</x:v>
      </x:c>
      <x:c r="V215" s="4" t="n">
        <x:f>MATCH(J215-'Сводка'!$B$11,'Сводка'!$R$3:$R$397,0)</x:f>
        <x:v>225</x:v>
      </x:c>
      <x:c r="W215" s="4" t="n">
        <x:f>MATCH(T215,$J$388:$J$400,0)</x:f>
        <x:v>8</x:v>
      </x:c>
      <x:c r="X215" s="3"/>
      <x:c r="Y215" s="3"/>
      <x:c r="Z215" s="3"/>
    </x:row>
    <x:row r="216" ht="15" customHeight="1">
      <x:c r="A216" s="3"/>
      <x:c r="B216" s="3"/>
      <x:c r="C216" s="3"/>
      <x:c r="D216" s="3"/>
      <x:c r="E216" s="3"/>
      <x:c r="F216" s="3"/>
      <x:c r="G216" s="3"/>
      <x:c r="H216" s="3"/>
      <x:c r="I216" s="3"/>
      <x:c r="J216" s="10" t="n">
        <x:v>46067</x:v>
      </x:c>
      <x:c r="K216" s="8" t="n">
        <x:f>INDEX('Сводка'!$S$3:$S$397,U216)</x:f>
        <x:v>-39</x:v>
      </x:c>
      <x:c r="L216" s="8" t="n">
        <x:f>INDEX('Сводка'!$S$3:$S$397,V216)</x:f>
        <x:v>-41</x:v>
      </x:c>
      <x:c r="M216" s="8" t="n">
        <x:f>INDEX($K$388:$N$400,W216,1)+INDEX($K$388:$N$400,W216,2)*(2*(J216-$T$405)/(T216-$T$405)-1)^1+INDEX($K$388:$N$400,W216,3)*(2*(J216-$T$405)/(T216-$T$405)-1)^2+INDEX($K$388:$N$400,W216,4)*(2*(J216-$T$405)/(T216-$T$405)-1)^3</x:f>
        <x:v>118.78638816611085</x:v>
      </x:c>
      <x:c r="N216" s="8" t="n">
        <x:f>K216-M216</x:f>
        <x:v>-157.78638816611084</x:v>
      </x:c>
      <x:c r="O216" s="8" t="n">
        <x:f>ABS(N216)</x:f>
        <x:v>157.78638816611084</x:v>
      </x:c>
      <x:c r="P216" s="8" t="n">
        <x:f>N216^2</x:f>
        <x:v>24896.5442905066</x:v>
      </x:c>
      <x:c r="Q216" s="8" t="n">
        <x:f>K216-L216</x:f>
        <x:v>2</x:v>
      </x:c>
      <x:c r="R216" s="9" t="n">
        <x:f>IF(AND(INDEX('Сводка'!$T$3:$T$397,U216)=0,INDEX('Сводка'!$T$3:$T$397,V216)=0),1,0)</x:f>
        <x:v>1</x:v>
      </x:c>
      <x:c r="S216" s="9" t="n">
        <x:f>IF(AND(R216=1,O216&lt;=$G$13),1,0)</x:f>
        <x:v>0</x:v>
      </x:c>
      <x:c r="T216" s="10" t="n">
        <x:f>EOMONTH(J216-'Сводка'!$B$11,-1)</x:f>
        <x:v>46053</x:v>
      </x:c>
      <x:c r="U216" s="4" t="n">
        <x:f>MATCH(J216,'Сводка'!$R$3:$R$397,0)</x:f>
        <x:v>227</x:v>
      </x:c>
      <x:c r="V216" s="4" t="n">
        <x:f>MATCH(J216-'Сводка'!$B$11,'Сводка'!$R$3:$R$397,0)</x:f>
        <x:v>226</x:v>
      </x:c>
      <x:c r="W216" s="4" t="n">
        <x:f>MATCH(T216,$J$388:$J$400,0)</x:f>
        <x:v>8</x:v>
      </x:c>
      <x:c r="X216" s="3"/>
      <x:c r="Y216" s="3"/>
      <x:c r="Z216" s="3"/>
    </x:row>
    <x:row r="217" ht="15" customHeight="1">
      <x:c r="A217" s="3"/>
      <x:c r="B217" s="3"/>
      <x:c r="C217" s="3"/>
      <x:c r="D217" s="3"/>
      <x:c r="E217" s="3"/>
      <x:c r="F217" s="3"/>
      <x:c r="G217" s="3"/>
      <x:c r="H217" s="3"/>
      <x:c r="I217" s="3"/>
      <x:c r="J217" s="10" t="n">
        <x:v>46068</x:v>
      </x:c>
      <x:c r="K217" s="8" t="n">
        <x:f>INDEX('Сводка'!$S$3:$S$397,U217)</x:f>
        <x:v>-38</x:v>
      </x:c>
      <x:c r="L217" s="8" t="n">
        <x:f>INDEX('Сводка'!$S$3:$S$397,V217)</x:f>
        <x:v>-39</x:v>
      </x:c>
      <x:c r="M217" s="8" t="n">
        <x:f>INDEX($K$388:$N$400,W217,1)+INDEX($K$388:$N$400,W217,2)*(2*(J217-$T$405)/(T217-$T$405)-1)^1+INDEX($K$388:$N$400,W217,3)*(2*(J217-$T$405)/(T217-$T$405)-1)^2+INDEX($K$388:$N$400,W217,4)*(2*(J217-$T$405)/(T217-$T$405)-1)^3</x:f>
        <x:v>118.76783378475166</x:v>
      </x:c>
      <x:c r="N217" s="8" t="n">
        <x:f>K217-M217</x:f>
        <x:v>-156.76783378475164</x:v>
      </x:c>
      <x:c r="O217" s="8" t="n">
        <x:f>ABS(N217)</x:f>
        <x:v>156.76783378475164</x:v>
      </x:c>
      <x:c r="P217" s="8" t="n">
        <x:f>N217^2</x:f>
        <x:v>24576.153709563518</x:v>
      </x:c>
      <x:c r="Q217" s="8" t="n">
        <x:f>K217-L217</x:f>
        <x:v>1</x:v>
      </x:c>
      <x:c r="R217" s="9" t="n">
        <x:f>IF(AND(INDEX('Сводка'!$T$3:$T$397,U217)=0,INDEX('Сводка'!$T$3:$T$397,V217)=0),1,0)</x:f>
        <x:v>1</x:v>
      </x:c>
      <x:c r="S217" s="9" t="n">
        <x:f>IF(AND(R217=1,O217&lt;=$G$13),1,0)</x:f>
        <x:v>0</x:v>
      </x:c>
      <x:c r="T217" s="10" t="n">
        <x:f>EOMONTH(J217-'Сводка'!$B$11,-1)</x:f>
        <x:v>46053</x:v>
      </x:c>
      <x:c r="U217" s="4" t="n">
        <x:f>MATCH(J217,'Сводка'!$R$3:$R$397,0)</x:f>
        <x:v>228</x:v>
      </x:c>
      <x:c r="V217" s="4" t="n">
        <x:f>MATCH(J217-'Сводка'!$B$11,'Сводка'!$R$3:$R$397,0)</x:f>
        <x:v>227</x:v>
      </x:c>
      <x:c r="W217" s="4" t="n">
        <x:f>MATCH(T217,$J$388:$J$400,0)</x:f>
        <x:v>8</x:v>
      </x:c>
      <x:c r="X217" s="3"/>
      <x:c r="Y217" s="3"/>
      <x:c r="Z217" s="3"/>
    </x:row>
    <x:row r="218" ht="15" customHeight="1">
      <x:c r="A218" s="3"/>
      <x:c r="B218" s="3"/>
      <x:c r="C218" s="3"/>
      <x:c r="D218" s="3"/>
      <x:c r="E218" s="3"/>
      <x:c r="F218" s="3"/>
      <x:c r="G218" s="3"/>
      <x:c r="H218" s="3"/>
      <x:c r="I218" s="3"/>
      <x:c r="J218" s="10" t="n">
        <x:v>46069</x:v>
      </x:c>
      <x:c r="K218" s="8" t="n">
        <x:f>INDEX('Сводка'!$S$3:$S$397,U218)</x:f>
        <x:v>-38</x:v>
      </x:c>
      <x:c r="L218" s="8" t="n">
        <x:f>INDEX('Сводка'!$S$3:$S$397,V218)</x:f>
        <x:v>-38</x:v>
      </x:c>
      <x:c r="M218" s="8" t="n">
        <x:f>INDEX($K$388:$N$400,W218,1)+INDEX($K$388:$N$400,W218,2)*(2*(J218-$T$405)/(T218-$T$405)-1)^1+INDEX($K$388:$N$400,W218,3)*(2*(J218-$T$405)/(T218-$T$405)-1)^2+INDEX($K$388:$N$400,W218,4)*(2*(J218-$T$405)/(T218-$T$405)-1)^3</x:f>
        <x:v>118.74926505659488</x:v>
      </x:c>
      <x:c r="N218" s="8" t="n">
        <x:f>K218-M218</x:f>
        <x:v>-156.74926505659488</x:v>
      </x:c>
      <x:c r="O218" s="8" t="n">
        <x:f>ABS(N218)</x:f>
        <x:v>156.74926505659488</x:v>
      </x:c>
      <x:c r="P218" s="8" t="n">
        <x:f>N218^2</x:f>
        <x:v>24570.332095782636</x:v>
      </x:c>
      <x:c r="Q218" s="8" t="n">
        <x:f>K218-L218</x:f>
        <x:v>0</x:v>
      </x:c>
      <x:c r="R218" s="9" t="n">
        <x:f>IF(AND(INDEX('Сводка'!$T$3:$T$397,U218)=0,INDEX('Сводка'!$T$3:$T$397,V218)=0),1,0)</x:f>
        <x:v>1</x:v>
      </x:c>
      <x:c r="S218" s="9" t="n">
        <x:f>IF(AND(R218=1,O218&lt;=$G$13),1,0)</x:f>
        <x:v>0</x:v>
      </x:c>
      <x:c r="T218" s="10" t="n">
        <x:f>EOMONTH(J218-'Сводка'!$B$11,-1)</x:f>
        <x:v>46053</x:v>
      </x:c>
      <x:c r="U218" s="4" t="n">
        <x:f>MATCH(J218,'Сводка'!$R$3:$R$397,0)</x:f>
        <x:v>229</x:v>
      </x:c>
      <x:c r="V218" s="4" t="n">
        <x:f>MATCH(J218-'Сводка'!$B$11,'Сводка'!$R$3:$R$397,0)</x:f>
        <x:v>228</x:v>
      </x:c>
      <x:c r="W218" s="4" t="n">
        <x:f>MATCH(T218,$J$388:$J$400,0)</x:f>
        <x:v>8</x:v>
      </x:c>
      <x:c r="X218" s="3"/>
      <x:c r="Y218" s="3"/>
      <x:c r="Z218" s="3"/>
    </x:row>
    <x:row r="219" ht="15" customHeight="1">
      <x:c r="A219" s="3"/>
      <x:c r="B219" s="3"/>
      <x:c r="C219" s="3"/>
      <x:c r="D219" s="3"/>
      <x:c r="E219" s="3"/>
      <x:c r="F219" s="3"/>
      <x:c r="G219" s="3"/>
      <x:c r="H219" s="3"/>
      <x:c r="I219" s="3"/>
      <x:c r="J219" s="10" t="n">
        <x:v>46070</x:v>
      </x:c>
      <x:c r="K219" s="8" t="n">
        <x:f>INDEX('Сводка'!$S$3:$S$397,U219)</x:f>
        <x:v>-40</x:v>
      </x:c>
      <x:c r="L219" s="8" t="n">
        <x:f>INDEX('Сводка'!$S$3:$S$397,V219)</x:f>
        <x:v>-38</x:v>
      </x:c>
      <x:c r="M219" s="8" t="n">
        <x:f>INDEX($K$388:$N$400,W219,1)+INDEX($K$388:$N$400,W219,2)*(2*(J219-$T$405)/(T219-$T$405)-1)^1+INDEX($K$388:$N$400,W219,3)*(2*(J219-$T$405)/(T219-$T$405)-1)^2+INDEX($K$388:$N$400,W219,4)*(2*(J219-$T$405)/(T219-$T$405)-1)^3</x:f>
        <x:v>118.7306819797397</x:v>
      </x:c>
      <x:c r="N219" s="8" t="n">
        <x:f>K219-M219</x:f>
        <x:v>-158.7306819797397</x:v>
      </x:c>
      <x:c r="O219" s="8" t="n">
        <x:f>ABS(N219)</x:f>
        <x:v>158.7306819797397</x:v>
      </x:c>
      <x:c r="P219" s="8" t="n">
        <x:f>N219^2</x:f>
        <x:v>25195.429401753263</x:v>
      </x:c>
      <x:c r="Q219" s="8" t="n">
        <x:f>K219-L219</x:f>
        <x:v>-2</x:v>
      </x:c>
      <x:c r="R219" s="9" t="n">
        <x:f>IF(AND(INDEX('Сводка'!$T$3:$T$397,U219)=0,INDEX('Сводка'!$T$3:$T$397,V219)=0),1,0)</x:f>
        <x:v>1</x:v>
      </x:c>
      <x:c r="S219" s="9" t="n">
        <x:f>IF(AND(R219=1,O219&lt;=$G$13),1,0)</x:f>
        <x:v>0</x:v>
      </x:c>
      <x:c r="T219" s="10" t="n">
        <x:f>EOMONTH(J219-'Сводка'!$B$11,-1)</x:f>
        <x:v>46053</x:v>
      </x:c>
      <x:c r="U219" s="4" t="n">
        <x:f>MATCH(J219,'Сводка'!$R$3:$R$397,0)</x:f>
        <x:v>230</x:v>
      </x:c>
      <x:c r="V219" s="4" t="n">
        <x:f>MATCH(J219-'Сводка'!$B$11,'Сводка'!$R$3:$R$397,0)</x:f>
        <x:v>229</x:v>
      </x:c>
      <x:c r="W219" s="4" t="n">
        <x:f>MATCH(T219,$J$388:$J$400,0)</x:f>
        <x:v>8</x:v>
      </x:c>
      <x:c r="X219" s="3"/>
      <x:c r="Y219" s="3"/>
      <x:c r="Z219" s="3"/>
    </x:row>
    <x:row r="220" ht="15" customHeight="1">
      <x:c r="A220" s="3"/>
      <x:c r="B220" s="3"/>
      <x:c r="C220" s="3"/>
      <x:c r="D220" s="3"/>
      <x:c r="E220" s="3"/>
      <x:c r="F220" s="3"/>
      <x:c r="G220" s="3"/>
      <x:c r="H220" s="3"/>
      <x:c r="I220" s="3"/>
      <x:c r="J220" s="10" t="n">
        <x:v>46071</x:v>
      </x:c>
      <x:c r="K220" s="8" t="n">
        <x:f>INDEX('Сводка'!$S$3:$S$397,U220)</x:f>
        <x:v>-40</x:v>
      </x:c>
      <x:c r="L220" s="8" t="n">
        <x:f>INDEX('Сводка'!$S$3:$S$397,V220)</x:f>
        <x:v>-40</x:v>
      </x:c>
      <x:c r="M220" s="8" t="n">
        <x:f>INDEX($K$388:$N$400,W220,1)+INDEX($K$388:$N$400,W220,2)*(2*(J220-$T$405)/(T220-$T$405)-1)^1+INDEX($K$388:$N$400,W220,3)*(2*(J220-$T$405)/(T220-$T$405)-1)^2+INDEX($K$388:$N$400,W220,4)*(2*(J220-$T$405)/(T220-$T$405)-1)^3</x:f>
        <x:v>118.71208455228557</x:v>
      </x:c>
      <x:c r="N220" s="8" t="n">
        <x:f>K220-M220</x:f>
        <x:v>-158.71208455228557</x:v>
      </x:c>
      <x:c r="O220" s="8" t="n">
        <x:f>ABS(N220)</x:f>
        <x:v>158.71208455228557</x:v>
      </x:c>
      <x:c r="P220" s="8" t="n">
        <x:f>N220^2</x:f>
        <x:v>25189.525782931847</x:v>
      </x:c>
      <x:c r="Q220" s="8" t="n">
        <x:f>K220-L220</x:f>
        <x:v>0</x:v>
      </x:c>
      <x:c r="R220" s="9" t="n">
        <x:f>IF(AND(INDEX('Сводка'!$T$3:$T$397,U220)=0,INDEX('Сводка'!$T$3:$T$397,V220)=0),1,0)</x:f>
        <x:v>1</x:v>
      </x:c>
      <x:c r="S220" s="9" t="n">
        <x:f>IF(AND(R220=1,O220&lt;=$G$13),1,0)</x:f>
        <x:v>0</x:v>
      </x:c>
      <x:c r="T220" s="10" t="n">
        <x:f>EOMONTH(J220-'Сводка'!$B$11,-1)</x:f>
        <x:v>46053</x:v>
      </x:c>
      <x:c r="U220" s="4" t="n">
        <x:f>MATCH(J220,'Сводка'!$R$3:$R$397,0)</x:f>
        <x:v>231</x:v>
      </x:c>
      <x:c r="V220" s="4" t="n">
        <x:f>MATCH(J220-'Сводка'!$B$11,'Сводка'!$R$3:$R$397,0)</x:f>
        <x:v>230</x:v>
      </x:c>
      <x:c r="W220" s="4" t="n">
        <x:f>MATCH(T220,$J$388:$J$400,0)</x:f>
        <x:v>8</x:v>
      </x:c>
      <x:c r="X220" s="3"/>
      <x:c r="Y220" s="3"/>
      <x:c r="Z220" s="3"/>
    </x:row>
    <x:row r="221" ht="15" customHeight="1">
      <x:c r="A221" s="3"/>
      <x:c r="B221" s="3"/>
      <x:c r="C221" s="3"/>
      <x:c r="D221" s="3"/>
      <x:c r="E221" s="3"/>
      <x:c r="F221" s="3"/>
      <x:c r="G221" s="3"/>
      <x:c r="H221" s="3"/>
      <x:c r="I221" s="3"/>
      <x:c r="J221" s="10" t="n">
        <x:v>46072</x:v>
      </x:c>
      <x:c r="K221" s="8" t="n">
        <x:f>INDEX('Сводка'!$S$3:$S$397,U221)</x:f>
        <x:v>-42</x:v>
      </x:c>
      <x:c r="L221" s="8" t="n">
        <x:f>INDEX('Сводка'!$S$3:$S$397,V221)</x:f>
        <x:v>-40</x:v>
      </x:c>
      <x:c r="M221" s="8" t="n">
        <x:f>INDEX($K$388:$N$400,W221,1)+INDEX($K$388:$N$400,W221,2)*(2*(J221-$T$405)/(T221-$T$405)-1)^1+INDEX($K$388:$N$400,W221,3)*(2*(J221-$T$405)/(T221-$T$405)-1)^2+INDEX($K$388:$N$400,W221,4)*(2*(J221-$T$405)/(T221-$T$405)-1)^3</x:f>
        <x:v>118.69347277233162</x:v>
      </x:c>
      <x:c r="N221" s="8" t="n">
        <x:f>K221-M221</x:f>
        <x:v>-160.69347277233163</x:v>
      </x:c>
      <x:c r="O221" s="8" t="n">
        <x:f>ABS(N221)</x:f>
        <x:v>160.69347277233163</x:v>
      </x:c>
      <x:c r="P221" s="8" t="n">
        <x:f>N221^2</x:f>
        <x:v>25822.392191632087</x:v>
      </x:c>
      <x:c r="Q221" s="8" t="n">
        <x:f>K221-L221</x:f>
        <x:v>-2</x:v>
      </x:c>
      <x:c r="R221" s="9" t="n">
        <x:f>IF(AND(INDEX('Сводка'!$T$3:$T$397,U221)=0,INDEX('Сводка'!$T$3:$T$397,V221)=0),1,0)</x:f>
        <x:v>1</x:v>
      </x:c>
      <x:c r="S221" s="9" t="n">
        <x:f>IF(AND(R221=1,O221&lt;=$G$13),1,0)</x:f>
        <x:v>0</x:v>
      </x:c>
      <x:c r="T221" s="10" t="n">
        <x:f>EOMONTH(J221-'Сводка'!$B$11,-1)</x:f>
        <x:v>46053</x:v>
      </x:c>
      <x:c r="U221" s="4" t="n">
        <x:f>MATCH(J221,'Сводка'!$R$3:$R$397,0)</x:f>
        <x:v>232</x:v>
      </x:c>
      <x:c r="V221" s="4" t="n">
        <x:f>MATCH(J221-'Сводка'!$B$11,'Сводка'!$R$3:$R$397,0)</x:f>
        <x:v>231</x:v>
      </x:c>
      <x:c r="W221" s="4" t="n">
        <x:f>MATCH(T221,$J$388:$J$400,0)</x:f>
        <x:v>8</x:v>
      </x:c>
      <x:c r="X221" s="3"/>
      <x:c r="Y221" s="3"/>
      <x:c r="Z221" s="3"/>
    </x:row>
    <x:row r="222" ht="15" customHeight="1">
      <x:c r="A222" s="3"/>
      <x:c r="B222" s="3"/>
      <x:c r="C222" s="3"/>
      <x:c r="D222" s="3"/>
      <x:c r="E222" s="3"/>
      <x:c r="F222" s="3"/>
      <x:c r="G222" s="3"/>
      <x:c r="H222" s="3"/>
      <x:c r="I222" s="3"/>
      <x:c r="J222" s="10" t="n">
        <x:v>46073</x:v>
      </x:c>
      <x:c r="K222" s="8" t="n">
        <x:f>INDEX('Сводка'!$S$3:$S$397,U222)</x:f>
        <x:v>-43</x:v>
      </x:c>
      <x:c r="L222" s="8" t="n">
        <x:f>INDEX('Сводка'!$S$3:$S$397,V222)</x:f>
        <x:v>-42</x:v>
      </x:c>
      <x:c r="M222" s="8" t="n">
        <x:f>INDEX($K$388:$N$400,W222,1)+INDEX($K$388:$N$400,W222,2)*(2*(J222-$T$405)/(T222-$T$405)-1)^1+INDEX($K$388:$N$400,W222,3)*(2*(J222-$T$405)/(T222-$T$405)-1)^2+INDEX($K$388:$N$400,W222,4)*(2*(J222-$T$405)/(T222-$T$405)-1)^3</x:f>
        <x:v>118.67484663797725</x:v>
      </x:c>
      <x:c r="N222" s="8" t="n">
        <x:f>K222-M222</x:f>
        <x:v>-161.67484663797725</x:v>
      </x:c>
      <x:c r="O222" s="8" t="n">
        <x:f>ABS(N222)</x:f>
        <x:v>161.67484663797725</x:v>
      </x:c>
      <x:c r="P222" s="8" t="n">
        <x:f>N222^2</x:f>
        <x:v>26138.756035413466</x:v>
      </x:c>
      <x:c r="Q222" s="8" t="n">
        <x:f>K222-L222</x:f>
        <x:v>-1</x:v>
      </x:c>
      <x:c r="R222" s="9" t="n">
        <x:f>IF(AND(INDEX('Сводка'!$T$3:$T$397,U222)=0,INDEX('Сводка'!$T$3:$T$397,V222)=0),1,0)</x:f>
        <x:v>1</x:v>
      </x:c>
      <x:c r="S222" s="9" t="n">
        <x:f>IF(AND(R222=1,O222&lt;=$G$13),1,0)</x:f>
        <x:v>0</x:v>
      </x:c>
      <x:c r="T222" s="10" t="n">
        <x:f>EOMONTH(J222-'Сводка'!$B$11,-1)</x:f>
        <x:v>46053</x:v>
      </x:c>
      <x:c r="U222" s="4" t="n">
        <x:f>MATCH(J222,'Сводка'!$R$3:$R$397,0)</x:f>
        <x:v>233</x:v>
      </x:c>
      <x:c r="V222" s="4" t="n">
        <x:f>MATCH(J222-'Сводка'!$B$11,'Сводка'!$R$3:$R$397,0)</x:f>
        <x:v>232</x:v>
      </x:c>
      <x:c r="W222" s="4" t="n">
        <x:f>MATCH(T222,$J$388:$J$400,0)</x:f>
        <x:v>8</x:v>
      </x:c>
      <x:c r="X222" s="3"/>
      <x:c r="Y222" s="3"/>
      <x:c r="Z222" s="3"/>
    </x:row>
    <x:row r="223" ht="15" customHeight="1">
      <x:c r="A223" s="3"/>
      <x:c r="B223" s="3"/>
      <x:c r="C223" s="3"/>
      <x:c r="D223" s="3"/>
      <x:c r="E223" s="3"/>
      <x:c r="F223" s="3"/>
      <x:c r="G223" s="3"/>
      <x:c r="H223" s="3"/>
      <x:c r="I223" s="3"/>
      <x:c r="J223" s="10" t="n">
        <x:v>46074</x:v>
      </x:c>
      <x:c r="K223" s="8" t="n">
        <x:f>INDEX('Сводка'!$S$3:$S$397,U223)</x:f>
        <x:v>-43</x:v>
      </x:c>
      <x:c r="L223" s="8" t="n">
        <x:f>INDEX('Сводка'!$S$3:$S$397,V223)</x:f>
        <x:v>-43</x:v>
      </x:c>
      <x:c r="M223" s="8" t="n">
        <x:f>INDEX($K$388:$N$400,W223,1)+INDEX($K$388:$N$400,W223,2)*(2*(J223-$T$405)/(T223-$T$405)-1)^1+INDEX($K$388:$N$400,W223,3)*(2*(J223-$T$405)/(T223-$T$405)-1)^2+INDEX($K$388:$N$400,W223,4)*(2*(J223-$T$405)/(T223-$T$405)-1)^3</x:f>
        <x:v>118.65620614732174</x:v>
      </x:c>
      <x:c r="N223" s="8" t="n">
        <x:f>K223-M223</x:f>
        <x:v>-161.65620614732174</x:v>
      </x:c>
      <x:c r="O223" s="8" t="n">
        <x:f>ABS(N223)</x:f>
        <x:v>161.65620614732174</x:v>
      </x:c>
      <x:c r="P223" s="8" t="n">
        <x:f>N223^2</x:f>
        <x:v>26132.72898594538</x:v>
      </x:c>
      <x:c r="Q223" s="8" t="n">
        <x:f>K223-L223</x:f>
        <x:v>0</x:v>
      </x:c>
      <x:c r="R223" s="9" t="n">
        <x:f>IF(AND(INDEX('Сводка'!$T$3:$T$397,U223)=0,INDEX('Сводка'!$T$3:$T$397,V223)=0),1,0)</x:f>
        <x:v>1</x:v>
      </x:c>
      <x:c r="S223" s="9" t="n">
        <x:f>IF(AND(R223=1,O223&lt;=$G$13),1,0)</x:f>
        <x:v>0</x:v>
      </x:c>
      <x:c r="T223" s="10" t="n">
        <x:f>EOMONTH(J223-'Сводка'!$B$11,-1)</x:f>
        <x:v>46053</x:v>
      </x:c>
      <x:c r="U223" s="4" t="n">
        <x:f>MATCH(J223,'Сводка'!$R$3:$R$397,0)</x:f>
        <x:v>234</x:v>
      </x:c>
      <x:c r="V223" s="4" t="n">
        <x:f>MATCH(J223-'Сводка'!$B$11,'Сводка'!$R$3:$R$397,0)</x:f>
        <x:v>233</x:v>
      </x:c>
      <x:c r="W223" s="4" t="n">
        <x:f>MATCH(T223,$J$388:$J$400,0)</x:f>
        <x:v>8</x:v>
      </x:c>
      <x:c r="X223" s="3"/>
      <x:c r="Y223" s="3"/>
      <x:c r="Z223" s="3"/>
    </x:row>
    <x:row r="224" ht="15" customHeight="1">
      <x:c r="A224" s="3"/>
      <x:c r="B224" s="3"/>
      <x:c r="C224" s="3"/>
      <x:c r="D224" s="3"/>
      <x:c r="E224" s="3"/>
      <x:c r="F224" s="3"/>
      <x:c r="G224" s="3"/>
      <x:c r="H224" s="3"/>
      <x:c r="I224" s="3"/>
      <x:c r="J224" s="10" t="n">
        <x:v>46075</x:v>
      </x:c>
      <x:c r="K224" s="8" t="n">
        <x:f>INDEX('Сводка'!$S$3:$S$397,U224)</x:f>
        <x:v>-43</x:v>
      </x:c>
      <x:c r="L224" s="8" t="n">
        <x:f>INDEX('Сводка'!$S$3:$S$397,V224)</x:f>
        <x:v>-43</x:v>
      </x:c>
      <x:c r="M224" s="8" t="n">
        <x:f>INDEX($K$388:$N$400,W224,1)+INDEX($K$388:$N$400,W224,2)*(2*(J224-$T$405)/(T224-$T$405)-1)^1+INDEX($K$388:$N$400,W224,3)*(2*(J224-$T$405)/(T224-$T$405)-1)^2+INDEX($K$388:$N$400,W224,4)*(2*(J224-$T$405)/(T224-$T$405)-1)^3</x:f>
        <x:v>118.63755129846425</x:v>
      </x:c>
      <x:c r="N224" s="8" t="n">
        <x:f>K224-M224</x:f>
        <x:v>-161.63755129846425</x:v>
      </x:c>
      <x:c r="O224" s="8" t="n">
        <x:f>ABS(N224)</x:f>
        <x:v>161.63755129846425</x:v>
      </x:c>
      <x:c r="P224" s="8" t="n">
        <x:f>N224^2</x:f>
        <x:v>26126.69798976366</x:v>
      </x:c>
      <x:c r="Q224" s="8" t="n">
        <x:f>K224-L224</x:f>
        <x:v>0</x:v>
      </x:c>
      <x:c r="R224" s="9" t="n">
        <x:f>IF(AND(INDEX('Сводка'!$T$3:$T$397,U224)=0,INDEX('Сводка'!$T$3:$T$397,V224)=0),1,0)</x:f>
        <x:v>1</x:v>
      </x:c>
      <x:c r="S224" s="9" t="n">
        <x:f>IF(AND(R224=1,O224&lt;=$G$13),1,0)</x:f>
        <x:v>0</x:v>
      </x:c>
      <x:c r="T224" s="10" t="n">
        <x:f>EOMONTH(J224-'Сводка'!$B$11,-1)</x:f>
        <x:v>46053</x:v>
      </x:c>
      <x:c r="U224" s="4" t="n">
        <x:f>MATCH(J224,'Сводка'!$R$3:$R$397,0)</x:f>
        <x:v>235</x:v>
      </x:c>
      <x:c r="V224" s="4" t="n">
        <x:f>MATCH(J224-'Сводка'!$B$11,'Сводка'!$R$3:$R$397,0)</x:f>
        <x:v>234</x:v>
      </x:c>
      <x:c r="W224" s="4" t="n">
        <x:f>MATCH(T224,$J$388:$J$400,0)</x:f>
        <x:v>8</x:v>
      </x:c>
      <x:c r="X224" s="3"/>
      <x:c r="Y224" s="3"/>
      <x:c r="Z224" s="3"/>
    </x:row>
    <x:row r="225" ht="15" customHeight="1">
      <x:c r="A225" s="3"/>
      <x:c r="B225" s="3"/>
      <x:c r="C225" s="3"/>
      <x:c r="D225" s="3"/>
      <x:c r="E225" s="3"/>
      <x:c r="F225" s="3"/>
      <x:c r="G225" s="3"/>
      <x:c r="H225" s="3"/>
      <x:c r="I225" s="3"/>
      <x:c r="J225" s="10" t="n">
        <x:v>46076</x:v>
      </x:c>
      <x:c r="K225" s="8" t="n">
        <x:f>INDEX('Сводка'!$S$3:$S$397,U225)</x:f>
        <x:v>-44</x:v>
      </x:c>
      <x:c r="L225" s="8" t="n">
        <x:f>INDEX('Сводка'!$S$3:$S$397,V225)</x:f>
        <x:v>-43</x:v>
      </x:c>
      <x:c r="M225" s="8" t="n">
        <x:f>INDEX($K$388:$N$400,W225,1)+INDEX($K$388:$N$400,W225,2)*(2*(J225-$T$405)/(T225-$T$405)-1)^1+INDEX($K$388:$N$400,W225,3)*(2*(J225-$T$405)/(T225-$T$405)-1)^2+INDEX($K$388:$N$400,W225,4)*(2*(J225-$T$405)/(T225-$T$405)-1)^3</x:f>
        <x:v>118.61888208950424</x:v>
      </x:c>
      <x:c r="N225" s="8" t="n">
        <x:f>K225-M225</x:f>
        <x:v>-162.61888208950424</x:v>
      </x:c>
      <x:c r="O225" s="8" t="n">
        <x:f>ABS(N225)</x:f>
        <x:v>162.61888208950424</x:v>
      </x:c>
      <x:c r="P225" s="8" t="n">
        <x:f>N225^2</x:f>
        <x:v>26444.900812040083</x:v>
      </x:c>
      <x:c r="Q225" s="8" t="n">
        <x:f>K225-L225</x:f>
        <x:v>-1</x:v>
      </x:c>
      <x:c r="R225" s="9" t="n">
        <x:f>IF(AND(INDEX('Сводка'!$T$3:$T$397,U225)=0,INDEX('Сводка'!$T$3:$T$397,V225)=0),1,0)</x:f>
        <x:v>1</x:v>
      </x:c>
      <x:c r="S225" s="9" t="n">
        <x:f>IF(AND(R225=1,O225&lt;=$G$13),1,0)</x:f>
        <x:v>0</x:v>
      </x:c>
      <x:c r="T225" s="10" t="n">
        <x:f>EOMONTH(J225-'Сводка'!$B$11,-1)</x:f>
        <x:v>46053</x:v>
      </x:c>
      <x:c r="U225" s="4" t="n">
        <x:f>MATCH(J225,'Сводка'!$R$3:$R$397,0)</x:f>
        <x:v>236</x:v>
      </x:c>
      <x:c r="V225" s="4" t="n">
        <x:f>MATCH(J225-'Сводка'!$B$11,'Сводка'!$R$3:$R$397,0)</x:f>
        <x:v>235</x:v>
      </x:c>
      <x:c r="W225" s="4" t="n">
        <x:f>MATCH(T225,$J$388:$J$400,0)</x:f>
        <x:v>8</x:v>
      </x:c>
      <x:c r="X225" s="3"/>
      <x:c r="Y225" s="3"/>
      <x:c r="Z225" s="3"/>
    </x:row>
    <x:row r="226" ht="15" customHeight="1">
      <x:c r="A226" s="3"/>
      <x:c r="B226" s="3"/>
      <x:c r="C226" s="3"/>
      <x:c r="D226" s="3"/>
      <x:c r="E226" s="3"/>
      <x:c r="F226" s="3"/>
      <x:c r="G226" s="3"/>
      <x:c r="H226" s="3"/>
      <x:c r="I226" s="3"/>
      <x:c r="J226" s="10" t="n">
        <x:v>46077</x:v>
      </x:c>
      <x:c r="K226" s="8" t="n">
        <x:f>INDEX('Сводка'!$S$3:$S$397,U226)</x:f>
        <x:v>-46</x:v>
      </x:c>
      <x:c r="L226" s="8" t="n">
        <x:f>INDEX('Сводка'!$S$3:$S$397,V226)</x:f>
        <x:v>-44</x:v>
      </x:c>
      <x:c r="M226" s="8" t="n">
        <x:f>INDEX($K$388:$N$400,W226,1)+INDEX($K$388:$N$400,W226,2)*(2*(J226-$T$405)/(T226-$T$405)-1)^1+INDEX($K$388:$N$400,W226,3)*(2*(J226-$T$405)/(T226-$T$405)-1)^2+INDEX($K$388:$N$400,W226,4)*(2*(J226-$T$405)/(T226-$T$405)-1)^3</x:f>
        <x:v>118.6001985185409</x:v>
      </x:c>
      <x:c r="N226" s="8" t="n">
        <x:f>K226-M226</x:f>
        <x:v>-164.6001985185409</x:v>
      </x:c>
      <x:c r="O226" s="8" t="n">
        <x:f>ABS(N226)</x:f>
        <x:v>164.6001985185409</x:v>
      </x:c>
      <x:c r="P226" s="8" t="n">
        <x:f>N226^2</x:f>
        <x:v>27093.225352343077</x:v>
      </x:c>
      <x:c r="Q226" s="8" t="n">
        <x:f>K226-L226</x:f>
        <x:v>-2</x:v>
      </x:c>
      <x:c r="R226" s="9" t="n">
        <x:f>IF(AND(INDEX('Сводка'!$T$3:$T$397,U226)=0,INDEX('Сводка'!$T$3:$T$397,V226)=0),1,0)</x:f>
        <x:v>1</x:v>
      </x:c>
      <x:c r="S226" s="9" t="n">
        <x:f>IF(AND(R226=1,O226&lt;=$G$13),1,0)</x:f>
        <x:v>0</x:v>
      </x:c>
      <x:c r="T226" s="10" t="n">
        <x:f>EOMONTH(J226-'Сводка'!$B$11,-1)</x:f>
        <x:v>46053</x:v>
      </x:c>
      <x:c r="U226" s="4" t="n">
        <x:f>MATCH(J226,'Сводка'!$R$3:$R$397,0)</x:f>
        <x:v>237</x:v>
      </x:c>
      <x:c r="V226" s="4" t="n">
        <x:f>MATCH(J226-'Сводка'!$B$11,'Сводка'!$R$3:$R$397,0)</x:f>
        <x:v>236</x:v>
      </x:c>
      <x:c r="W226" s="4" t="n">
        <x:f>MATCH(T226,$J$388:$J$400,0)</x:f>
        <x:v>8</x:v>
      </x:c>
      <x:c r="X226" s="3"/>
      <x:c r="Y226" s="3"/>
      <x:c r="Z226" s="3"/>
    </x:row>
    <x:row r="227" ht="15" customHeight="1">
      <x:c r="A227" s="3"/>
      <x:c r="B227" s="3"/>
      <x:c r="C227" s="3"/>
      <x:c r="D227" s="3"/>
      <x:c r="E227" s="3"/>
      <x:c r="F227" s="3"/>
      <x:c r="G227" s="3"/>
      <x:c r="H227" s="3"/>
      <x:c r="I227" s="3"/>
      <x:c r="J227" s="10" t="n">
        <x:v>46078</x:v>
      </x:c>
      <x:c r="K227" s="8" t="n">
        <x:f>INDEX('Сводка'!$S$3:$S$397,U227)</x:f>
        <x:v>-46</x:v>
      </x:c>
      <x:c r="L227" s="8" t="n">
        <x:f>INDEX('Сводка'!$S$3:$S$397,V227)</x:f>
        <x:v>-46</x:v>
      </x:c>
      <x:c r="M227" s="8" t="n">
        <x:f>INDEX($K$388:$N$400,W227,1)+INDEX($K$388:$N$400,W227,2)*(2*(J227-$T$405)/(T227-$T$405)-1)^1+INDEX($K$388:$N$400,W227,3)*(2*(J227-$T$405)/(T227-$T$405)-1)^2+INDEX($K$388:$N$400,W227,4)*(2*(J227-$T$405)/(T227-$T$405)-1)^3</x:f>
        <x:v>118.5815005836736</x:v>
      </x:c>
      <x:c r="N227" s="8" t="n">
        <x:f>K227-M227</x:f>
        <x:v>-164.5815005836736</x:v>
      </x:c>
      <x:c r="O227" s="8" t="n">
        <x:f>ABS(N227)</x:f>
        <x:v>164.5815005836736</x:v>
      </x:c>
      <x:c r="P227" s="8" t="n">
        <x:f>N227^2</x:f>
        <x:v>27087.070334373755</x:v>
      </x:c>
      <x:c r="Q227" s="8" t="n">
        <x:f>K227-L227</x:f>
        <x:v>0</x:v>
      </x:c>
      <x:c r="R227" s="9" t="n">
        <x:f>IF(AND(INDEX('Сводка'!$T$3:$T$397,U227)=0,INDEX('Сводка'!$T$3:$T$397,V227)=0),1,0)</x:f>
        <x:v>1</x:v>
      </x:c>
      <x:c r="S227" s="9" t="n">
        <x:f>IF(AND(R227=1,O227&lt;=$G$13),1,0)</x:f>
        <x:v>0</x:v>
      </x:c>
      <x:c r="T227" s="10" t="n">
        <x:f>EOMONTH(J227-'Сводка'!$B$11,-1)</x:f>
        <x:v>46053</x:v>
      </x:c>
      <x:c r="U227" s="4" t="n">
        <x:f>MATCH(J227,'Сводка'!$R$3:$R$397,0)</x:f>
        <x:v>238</x:v>
      </x:c>
      <x:c r="V227" s="4" t="n">
        <x:f>MATCH(J227-'Сводка'!$B$11,'Сводка'!$R$3:$R$397,0)</x:f>
        <x:v>237</x:v>
      </x:c>
      <x:c r="W227" s="4" t="n">
        <x:f>MATCH(T227,$J$388:$J$400,0)</x:f>
        <x:v>8</x:v>
      </x:c>
      <x:c r="X227" s="3"/>
      <x:c r="Y227" s="3"/>
      <x:c r="Z227" s="3"/>
    </x:row>
    <x:row r="228" ht="15" customHeight="1">
      <x:c r="A228" s="3"/>
      <x:c r="B228" s="3"/>
      <x:c r="C228" s="3"/>
      <x:c r="D228" s="3"/>
      <x:c r="E228" s="3"/>
      <x:c r="F228" s="3"/>
      <x:c r="G228" s="3"/>
      <x:c r="H228" s="3"/>
      <x:c r="I228" s="3"/>
      <x:c r="J228" s="10" t="n">
        <x:v>46079</x:v>
      </x:c>
      <x:c r="K228" s="8" t="n">
        <x:f>INDEX('Сводка'!$S$3:$S$397,U228)</x:f>
        <x:v>-48</x:v>
      </x:c>
      <x:c r="L228" s="8" t="n">
        <x:f>INDEX('Сводка'!$S$3:$S$397,V228)</x:f>
        <x:v>-46</x:v>
      </x:c>
      <x:c r="M228" s="8" t="n">
        <x:f>INDEX($K$388:$N$400,W228,1)+INDEX($K$388:$N$400,W228,2)*(2*(J228-$T$405)/(T228-$T$405)-1)^1+INDEX($K$388:$N$400,W228,3)*(2*(J228-$T$405)/(T228-$T$405)-1)^2+INDEX($K$388:$N$400,W228,4)*(2*(J228-$T$405)/(T228-$T$405)-1)^3</x:f>
        <x:v>118.56278828300155</x:v>
      </x:c>
      <x:c r="N228" s="8" t="n">
        <x:f>K228-M228</x:f>
        <x:v>-166.56278828300157</x:v>
      </x:c>
      <x:c r="O228" s="8" t="n">
        <x:f>ABS(N228)</x:f>
        <x:v>166.56278828300157</x:v>
      </x:c>
      <x:c r="P228" s="8" t="n">
        <x:f>N228^2</x:f>
        <x:v>27743.162440608005</x:v>
      </x:c>
      <x:c r="Q228" s="8" t="n">
        <x:f>K228-L228</x:f>
        <x:v>-2</x:v>
      </x:c>
      <x:c r="R228" s="9" t="n">
        <x:f>IF(AND(INDEX('Сводка'!$T$3:$T$397,U228)=0,INDEX('Сводка'!$T$3:$T$397,V228)=0),1,0)</x:f>
        <x:v>1</x:v>
      </x:c>
      <x:c r="S228" s="9" t="n">
        <x:f>IF(AND(R228=1,O228&lt;=$G$13),1,0)</x:f>
        <x:v>0</x:v>
      </x:c>
      <x:c r="T228" s="10" t="n">
        <x:f>EOMONTH(J228-'Сводка'!$B$11,-1)</x:f>
        <x:v>46053</x:v>
      </x:c>
      <x:c r="U228" s="4" t="n">
        <x:f>MATCH(J228,'Сводка'!$R$3:$R$397,0)</x:f>
        <x:v>239</x:v>
      </x:c>
      <x:c r="V228" s="4" t="n">
        <x:f>MATCH(J228-'Сводка'!$B$11,'Сводка'!$R$3:$R$397,0)</x:f>
        <x:v>238</x:v>
      </x:c>
      <x:c r="W228" s="4" t="n">
        <x:f>MATCH(T228,$J$388:$J$400,0)</x:f>
        <x:v>8</x:v>
      </x:c>
      <x:c r="X228" s="3"/>
      <x:c r="Y228" s="3"/>
      <x:c r="Z228" s="3"/>
    </x:row>
    <x:row r="229" ht="15" customHeight="1">
      <x:c r="A229" s="3"/>
      <x:c r="B229" s="3"/>
      <x:c r="C229" s="3"/>
      <x:c r="D229" s="3"/>
      <x:c r="E229" s="3"/>
      <x:c r="F229" s="3"/>
      <x:c r="G229" s="3"/>
      <x:c r="H229" s="3"/>
      <x:c r="I229" s="3"/>
      <x:c r="J229" s="10" t="n">
        <x:v>46080</x:v>
      </x:c>
      <x:c r="K229" s="8" t="n">
        <x:f>INDEX('Сводка'!$S$3:$S$397,U229)</x:f>
        <x:v>-51</x:v>
      </x:c>
      <x:c r="L229" s="8" t="n">
        <x:f>INDEX('Сводка'!$S$3:$S$397,V229)</x:f>
        <x:v>-48</x:v>
      </x:c>
      <x:c r="M229" s="8" t="n">
        <x:f>INDEX($K$388:$N$400,W229,1)+INDEX($K$388:$N$400,W229,2)*(2*(J229-$T$405)/(T229-$T$405)-1)^1+INDEX($K$388:$N$400,W229,3)*(2*(J229-$T$405)/(T229-$T$405)-1)^2+INDEX($K$388:$N$400,W229,4)*(2*(J229-$T$405)/(T229-$T$405)-1)^3</x:f>
        <x:v>118.54406161462406</x:v>
      </x:c>
      <x:c r="N229" s="8" t="n">
        <x:f>K229-M229</x:f>
        <x:v>-169.54406161462407</x:v>
      </x:c>
      <x:c r="O229" s="8" t="n">
        <x:f>ABS(N229)</x:f>
        <x:v>169.54406161462407</x:v>
      </x:c>
      <x:c r="P229" s="8" t="n">
        <x:f>N229^2</x:f>
        <x:v>28745.188828783444</x:v>
      </x:c>
      <x:c r="Q229" s="8" t="n">
        <x:f>K229-L229</x:f>
        <x:v>-3</x:v>
      </x:c>
      <x:c r="R229" s="9" t="n">
        <x:f>IF(AND(INDEX('Сводка'!$T$3:$T$397,U229)=0,INDEX('Сводка'!$T$3:$T$397,V229)=0),1,0)</x:f>
        <x:v>1</x:v>
      </x:c>
      <x:c r="S229" s="9" t="n">
        <x:f>IF(AND(R229=1,O229&lt;=$G$13),1,0)</x:f>
        <x:v>0</x:v>
      </x:c>
      <x:c r="T229" s="10" t="n">
        <x:f>EOMONTH(J229-'Сводка'!$B$11,-1)</x:f>
        <x:v>46053</x:v>
      </x:c>
      <x:c r="U229" s="4" t="n">
        <x:f>MATCH(J229,'Сводка'!$R$3:$R$397,0)</x:f>
        <x:v>240</x:v>
      </x:c>
      <x:c r="V229" s="4" t="n">
        <x:f>MATCH(J229-'Сводка'!$B$11,'Сводка'!$R$3:$R$397,0)</x:f>
        <x:v>239</x:v>
      </x:c>
      <x:c r="W229" s="4" t="n">
        <x:f>MATCH(T229,$J$388:$J$400,0)</x:f>
        <x:v>8</x:v>
      </x:c>
      <x:c r="X229" s="3"/>
      <x:c r="Y229" s="3"/>
      <x:c r="Z229" s="3"/>
    </x:row>
    <x:row r="230" ht="15" customHeight="1">
      <x:c r="A230" s="3"/>
      <x:c r="B230" s="3"/>
      <x:c r="C230" s="3"/>
      <x:c r="D230" s="3"/>
      <x:c r="E230" s="3"/>
      <x:c r="F230" s="3"/>
      <x:c r="G230" s="3"/>
      <x:c r="H230" s="3"/>
      <x:c r="I230" s="3"/>
      <x:c r="J230" s="10" t="n">
        <x:v>46081</x:v>
      </x:c>
      <x:c r="K230" s="8" t="n">
        <x:f>INDEX('Сводка'!$S$3:$S$397,U230)</x:f>
        <x:v>-54</x:v>
      </x:c>
      <x:c r="L230" s="8" t="n">
        <x:f>INDEX('Сводка'!$S$3:$S$397,V230)</x:f>
        <x:v>-51</x:v>
      </x:c>
      <x:c r="M230" s="8" t="n">
        <x:f>INDEX($K$388:$N$400,W230,1)+INDEX($K$388:$N$400,W230,2)*(2*(J230-$T$405)/(T230-$T$405)-1)^1+INDEX($K$388:$N$400,W230,3)*(2*(J230-$T$405)/(T230-$T$405)-1)^2+INDEX($K$388:$N$400,W230,4)*(2*(J230-$T$405)/(T230-$T$405)-1)^3</x:f>
        <x:v>118.52532057664047</x:v>
      </x:c>
      <x:c r="N230" s="8" t="n">
        <x:f>K230-M230</x:f>
        <x:v>-172.52532057664047</x:v>
      </x:c>
      <x:c r="O230" s="8" t="n">
        <x:f>ABS(N230)</x:f>
        <x:v>172.52532057664047</x:v>
      </x:c>
      <x:c r="P230" s="8" t="n">
        <x:f>N230^2</x:f>
        <x:v>29764.98624007256</x:v>
      </x:c>
      <x:c r="Q230" s="8" t="n">
        <x:f>K230-L230</x:f>
        <x:v>-3</x:v>
      </x:c>
      <x:c r="R230" s="9" t="n">
        <x:f>IF(AND(INDEX('Сводка'!$T$3:$T$397,U230)=0,INDEX('Сводка'!$T$3:$T$397,V230)=0),1,0)</x:f>
        <x:v>1</x:v>
      </x:c>
      <x:c r="S230" s="9" t="n">
        <x:f>IF(AND(R230=1,O230&lt;=$G$13),1,0)</x:f>
        <x:v>0</x:v>
      </x:c>
      <x:c r="T230" s="10" t="n">
        <x:f>EOMONTH(J230-'Сводка'!$B$11,-1)</x:f>
        <x:v>46053</x:v>
      </x:c>
      <x:c r="U230" s="4" t="n">
        <x:f>MATCH(J230,'Сводка'!$R$3:$R$397,0)</x:f>
        <x:v>241</x:v>
      </x:c>
      <x:c r="V230" s="4" t="n">
        <x:f>MATCH(J230-'Сводка'!$B$11,'Сводка'!$R$3:$R$397,0)</x:f>
        <x:v>240</x:v>
      </x:c>
      <x:c r="W230" s="4" t="n">
        <x:f>MATCH(T230,$J$388:$J$400,0)</x:f>
        <x:v>8</x:v>
      </x:c>
      <x:c r="X230" s="3"/>
      <x:c r="Y230" s="3"/>
      <x:c r="Z230" s="3"/>
    </x:row>
    <x:row r="231" ht="15" customHeight="1">
      <x:c r="A231" s="3"/>
      <x:c r="B231" s="3"/>
      <x:c r="C231" s="3"/>
      <x:c r="D231" s="3"/>
      <x:c r="E231" s="3"/>
      <x:c r="F231" s="3"/>
      <x:c r="G231" s="3"/>
      <x:c r="H231" s="3"/>
      <x:c r="I231" s="3"/>
      <x:c r="J231" s="10" t="n">
        <x:v>46082</x:v>
      </x:c>
      <x:c r="K231" s="8" t="n">
        <x:f>INDEX('Сводка'!$S$3:$S$397,U231)</x:f>
        <x:v>-55</x:v>
      </x:c>
      <x:c r="L231" s="8" t="n">
        <x:f>INDEX('Сводка'!$S$3:$S$397,V231)</x:f>
        <x:v>-54</x:v>
      </x:c>
      <x:c r="M231" s="8" t="n">
        <x:f>INDEX($K$388:$N$400,W231,1)+INDEX($K$388:$N$400,W231,2)*(2*(J231-$T$405)/(T231-$T$405)-1)^1+INDEX($K$388:$N$400,W231,3)*(2*(J231-$T$405)/(T231-$T$405)-1)^2+INDEX($K$388:$N$400,W231,4)*(2*(J231-$T$405)/(T231-$T$405)-1)^3</x:f>
        <x:v>118.50656516714992</x:v>
      </x:c>
      <x:c r="N231" s="8" t="n">
        <x:f>K231-M231</x:f>
        <x:v>-173.50656516714992</x:v>
      </x:c>
      <x:c r="O231" s="8" t="n">
        <x:f>ABS(N231)</x:f>
        <x:v>173.50656516714992</x:v>
      </x:c>
      <x:c r="P231" s="8" t="n">
        <x:f>N231^2</x:f>
        <x:v>30104.528156102442</x:v>
      </x:c>
      <x:c r="Q231" s="8" t="n">
        <x:f>K231-L231</x:f>
        <x:v>-1</x:v>
      </x:c>
      <x:c r="R231" s="9" t="n">
        <x:f>IF(AND(INDEX('Сводка'!$T$3:$T$397,U231)=0,INDEX('Сводка'!$T$3:$T$397,V231)=0),1,0)</x:f>
        <x:v>1</x:v>
      </x:c>
      <x:c r="S231" s="9" t="n">
        <x:f>IF(AND(R231=1,O231&lt;=$G$13),1,0)</x:f>
        <x:v>0</x:v>
      </x:c>
      <x:c r="T231" s="10" t="n">
        <x:f>EOMONTH(J231-'Сводка'!$B$11,-1)</x:f>
        <x:v>46053</x:v>
      </x:c>
      <x:c r="U231" s="4" t="n">
        <x:f>MATCH(J231,'Сводка'!$R$3:$R$397,0)</x:f>
        <x:v>242</x:v>
      </x:c>
      <x:c r="V231" s="4" t="n">
        <x:f>MATCH(J231-'Сводка'!$B$11,'Сводка'!$R$3:$R$397,0)</x:f>
        <x:v>241</x:v>
      </x:c>
      <x:c r="W231" s="4" t="n">
        <x:f>MATCH(T231,$J$388:$J$400,0)</x:f>
        <x:v>8</x:v>
      </x:c>
      <x:c r="X231" s="3"/>
      <x:c r="Y231" s="3"/>
      <x:c r="Z231" s="3"/>
    </x:row>
    <x:row r="232" ht="15" customHeight="1">
      <x:c r="A232" s="3"/>
      <x:c r="B232" s="3"/>
      <x:c r="C232" s="3"/>
      <x:c r="D232" s="3"/>
      <x:c r="E232" s="3"/>
      <x:c r="F232" s="3"/>
      <x:c r="G232" s="3"/>
      <x:c r="H232" s="3"/>
      <x:c r="I232" s="3"/>
      <x:c r="J232" s="10" t="n">
        <x:v>46083</x:v>
      </x:c>
      <x:c r="K232" s="8" t="n">
        <x:f>INDEX('Сводка'!$S$3:$S$397,U232)</x:f>
        <x:v>-57</x:v>
      </x:c>
      <x:c r="L232" s="8" t="n">
        <x:f>INDEX('Сводка'!$S$3:$S$397,V232)</x:f>
        <x:v>-55</x:v>
      </x:c>
      <x:c r="M232" s="8" t="n">
        <x:f>INDEX($K$388:$N$400,W232,1)+INDEX($K$388:$N$400,W232,2)*(2*(J232-$T$405)/(T232-$T$405)-1)^1+INDEX($K$388:$N$400,W232,3)*(2*(J232-$T$405)/(T232-$T$405)-1)^2+INDEX($K$388:$N$400,W232,4)*(2*(J232-$T$405)/(T232-$T$405)-1)^3</x:f>
        <x:v>109.84939692437914</x:v>
      </x:c>
      <x:c r="N232" s="8" t="n">
        <x:f>K232-M232</x:f>
        <x:v>-166.84939692437914</x:v>
      </x:c>
      <x:c r="O232" s="8" t="n">
        <x:f>ABS(N232)</x:f>
        <x:v>166.84939692437914</x:v>
      </x:c>
      <x:c r="P232" s="8" t="n">
        <x:f>N232^2</x:f>
        <x:v>27838.721254029017</x:v>
      </x:c>
      <x:c r="Q232" s="8" t="n">
        <x:f>K232-L232</x:f>
        <x:v>-2</x:v>
      </x:c>
      <x:c r="R232" s="9" t="n">
        <x:f>IF(AND(INDEX('Сводка'!$T$3:$T$397,U232)=0,INDEX('Сводка'!$T$3:$T$397,V232)=0),1,0)</x:f>
        <x:v>1</x:v>
      </x:c>
      <x:c r="S232" s="9" t="n">
        <x:f>IF(AND(R232=1,O232&lt;=$G$13),1,0)</x:f>
        <x:v>0</x:v>
      </x:c>
      <x:c r="T232" s="10" t="n">
        <x:f>EOMONTH(J232-'Сводка'!$B$11,-1)</x:f>
        <x:v>46081</x:v>
      </x:c>
      <x:c r="U232" s="4" t="n">
        <x:f>MATCH(J232,'Сводка'!$R$3:$R$397,0)</x:f>
        <x:v>243</x:v>
      </x:c>
      <x:c r="V232" s="4" t="n">
        <x:f>MATCH(J232-'Сводка'!$B$11,'Сводка'!$R$3:$R$397,0)</x:f>
        <x:v>242</x:v>
      </x:c>
      <x:c r="W232" s="4" t="n">
        <x:f>MATCH(T232,$J$388:$J$400,0)</x:f>
        <x:v>9</x:v>
      </x:c>
      <x:c r="X232" s="3"/>
      <x:c r="Y232" s="3"/>
      <x:c r="Z232" s="3"/>
    </x:row>
    <x:row r="233" ht="15" customHeight="1">
      <x:c r="A233" s="3"/>
      <x:c r="B233" s="3"/>
      <x:c r="C233" s="3"/>
      <x:c r="D233" s="3"/>
      <x:c r="E233" s="3"/>
      <x:c r="F233" s="3"/>
      <x:c r="G233" s="3"/>
      <x:c r="H233" s="3"/>
      <x:c r="I233" s="3"/>
      <x:c r="J233" s="10" t="n">
        <x:v>46084</x:v>
      </x:c>
      <x:c r="K233" s="8" t="n">
        <x:f>INDEX('Сводка'!$S$3:$S$397,U233)</x:f>
        <x:v>-58</x:v>
      </x:c>
      <x:c r="L233" s="8" t="n">
        <x:f>INDEX('Сводка'!$S$3:$S$397,V233)</x:f>
        <x:v>-57</x:v>
      </x:c>
      <x:c r="M233" s="8" t="n">
        <x:f>INDEX($K$388:$N$400,W233,1)+INDEX($K$388:$N$400,W233,2)*(2*(J233-$T$405)/(T233-$T$405)-1)^1+INDEX($K$388:$N$400,W233,3)*(2*(J233-$T$405)/(T233-$T$405)-1)^2+INDEX($K$388:$N$400,W233,4)*(2*(J233-$T$405)/(T233-$T$405)-1)^3</x:f>
        <x:v>109.82344930968597</x:v>
      </x:c>
      <x:c r="N233" s="8" t="n">
        <x:f>K233-M233</x:f>
        <x:v>-167.82344930968597</x:v>
      </x:c>
      <x:c r="O233" s="8" t="n">
        <x:f>ABS(N233)</x:f>
        <x:v>167.82344930968597</x:v>
      </x:c>
      <x:c r="P233" s="8" t="n">
        <x:f>N233^2</x:f>
        <x:v>28164.710138200735</x:v>
      </x:c>
      <x:c r="Q233" s="8" t="n">
        <x:f>K233-L233</x:f>
        <x:v>-1</x:v>
      </x:c>
      <x:c r="R233" s="9" t="n">
        <x:f>IF(AND(INDEX('Сводка'!$T$3:$T$397,U233)=0,INDEX('Сводка'!$T$3:$T$397,V233)=0),1,0)</x:f>
        <x:v>1</x:v>
      </x:c>
      <x:c r="S233" s="9" t="n">
        <x:f>IF(AND(R233=1,O233&lt;=$G$13),1,0)</x:f>
        <x:v>0</x:v>
      </x:c>
      <x:c r="T233" s="10" t="n">
        <x:f>EOMONTH(J233-'Сводка'!$B$11,-1)</x:f>
        <x:v>46081</x:v>
      </x:c>
      <x:c r="U233" s="4" t="n">
        <x:f>MATCH(J233,'Сводка'!$R$3:$R$397,0)</x:f>
        <x:v>244</x:v>
      </x:c>
      <x:c r="V233" s="4" t="n">
        <x:f>MATCH(J233-'Сводка'!$B$11,'Сводка'!$R$3:$R$397,0)</x:f>
        <x:v>243</x:v>
      </x:c>
      <x:c r="W233" s="4" t="n">
        <x:f>MATCH(T233,$J$388:$J$400,0)</x:f>
        <x:v>9</x:v>
      </x:c>
      <x:c r="X233" s="3"/>
      <x:c r="Y233" s="3"/>
      <x:c r="Z233" s="3"/>
    </x:row>
    <x:row r="234" ht="15" customHeight="1">
      <x:c r="A234" s="3"/>
      <x:c r="B234" s="3"/>
      <x:c r="C234" s="3"/>
      <x:c r="D234" s="3"/>
      <x:c r="E234" s="3"/>
      <x:c r="F234" s="3"/>
      <x:c r="G234" s="3"/>
      <x:c r="H234" s="3"/>
      <x:c r="I234" s="3"/>
      <x:c r="J234" s="10" t="n">
        <x:v>46085</x:v>
      </x:c>
      <x:c r="K234" s="8" t="n">
        <x:f>INDEX('Сводка'!$S$3:$S$397,U234)</x:f>
        <x:v>-58</x:v>
      </x:c>
      <x:c r="L234" s="8" t="n">
        <x:f>INDEX('Сводка'!$S$3:$S$397,V234)</x:f>
        <x:v>-58</x:v>
      </x:c>
      <x:c r="M234" s="8" t="n">
        <x:f>INDEX($K$388:$N$400,W234,1)+INDEX($K$388:$N$400,W234,2)*(2*(J234-$T$405)/(T234-$T$405)-1)^1+INDEX($K$388:$N$400,W234,3)*(2*(J234-$T$405)/(T234-$T$405)-1)^2+INDEX($K$388:$N$400,W234,4)*(2*(J234-$T$405)/(T234-$T$405)-1)^3</x:f>
        <x:v>109.79748410775056</x:v>
      </x:c>
      <x:c r="N234" s="8" t="n">
        <x:f>K234-M234</x:f>
        <x:v>-167.79748410775056</x:v>
      </x:c>
      <x:c r="O234" s="8" t="n">
        <x:f>ABS(N234)</x:f>
        <x:v>167.79748410775056</x:v>
      </x:c>
      <x:c r="P234" s="8" t="n">
        <x:f>N234^2</x:f>
        <x:v>28155.995672890804</x:v>
      </x:c>
      <x:c r="Q234" s="8" t="n">
        <x:f>K234-L234</x:f>
        <x:v>0</x:v>
      </x:c>
      <x:c r="R234" s="9" t="n">
        <x:f>IF(AND(INDEX('Сводка'!$T$3:$T$397,U234)=0,INDEX('Сводка'!$T$3:$T$397,V234)=0),1,0)</x:f>
        <x:v>1</x:v>
      </x:c>
      <x:c r="S234" s="9" t="n">
        <x:f>IF(AND(R234=1,O234&lt;=$G$13),1,0)</x:f>
        <x:v>0</x:v>
      </x:c>
      <x:c r="T234" s="10" t="n">
        <x:f>EOMONTH(J234-'Сводка'!$B$11,-1)</x:f>
        <x:v>46081</x:v>
      </x:c>
      <x:c r="U234" s="4" t="n">
        <x:f>MATCH(J234,'Сводка'!$R$3:$R$397,0)</x:f>
        <x:v>245</x:v>
      </x:c>
      <x:c r="V234" s="4" t="n">
        <x:f>MATCH(J234-'Сводка'!$B$11,'Сводка'!$R$3:$R$397,0)</x:f>
        <x:v>244</x:v>
      </x:c>
      <x:c r="W234" s="4" t="n">
        <x:f>MATCH(T234,$J$388:$J$400,0)</x:f>
        <x:v>9</x:v>
      </x:c>
      <x:c r="X234" s="3"/>
      <x:c r="Y234" s="3"/>
      <x:c r="Z234" s="3"/>
    </x:row>
    <x:row r="235" ht="15" customHeight="1">
      <x:c r="A235" s="3"/>
      <x:c r="B235" s="3"/>
      <x:c r="C235" s="3"/>
      <x:c r="D235" s="3"/>
      <x:c r="E235" s="3"/>
      <x:c r="F235" s="3"/>
      <x:c r="G235" s="3"/>
      <x:c r="H235" s="3"/>
      <x:c r="I235" s="3"/>
      <x:c r="J235" s="10" t="n">
        <x:v>46086</x:v>
      </x:c>
      <x:c r="K235" s="8" t="n">
        <x:f>INDEX('Сводка'!$S$3:$S$397,U235)</x:f>
        <x:v>-58</x:v>
      </x:c>
      <x:c r="L235" s="8" t="n">
        <x:f>INDEX('Сводка'!$S$3:$S$397,V235)</x:f>
        <x:v>-58</x:v>
      </x:c>
      <x:c r="M235" s="8" t="n">
        <x:f>INDEX($K$388:$N$400,W235,1)+INDEX($K$388:$N$400,W235,2)*(2*(J235-$T$405)/(T235-$T$405)-1)^1+INDEX($K$388:$N$400,W235,3)*(2*(J235-$T$405)/(T235-$T$405)-1)^2+INDEX($K$388:$N$400,W235,4)*(2*(J235-$T$405)/(T235-$T$405)-1)^3</x:f>
        <x:v>109.77150131603989</x:v>
      </x:c>
      <x:c r="N235" s="8" t="n">
        <x:f>K235-M235</x:f>
        <x:v>-167.7715013160399</x:v>
      </x:c>
      <x:c r="O235" s="8" t="n">
        <x:f>ABS(N235)</x:f>
        <x:v>167.7715013160399</x:v>
      </x:c>
      <x:c r="P235" s="8" t="n">
        <x:f>N235^2</x:f>
        <x:v>28147.276653837973</x:v>
      </x:c>
      <x:c r="Q235" s="8" t="n">
        <x:f>K235-L235</x:f>
        <x:v>0</x:v>
      </x:c>
      <x:c r="R235" s="9" t="n">
        <x:f>IF(AND(INDEX('Сводка'!$T$3:$T$397,U235)=0,INDEX('Сводка'!$T$3:$T$397,V235)=0),1,0)</x:f>
        <x:v>1</x:v>
      </x:c>
      <x:c r="S235" s="9" t="n">
        <x:f>IF(AND(R235=1,O235&lt;=$G$13),1,0)</x:f>
        <x:v>0</x:v>
      </x:c>
      <x:c r="T235" s="10" t="n">
        <x:f>EOMONTH(J235-'Сводка'!$B$11,-1)</x:f>
        <x:v>46081</x:v>
      </x:c>
      <x:c r="U235" s="4" t="n">
        <x:f>MATCH(J235,'Сводка'!$R$3:$R$397,0)</x:f>
        <x:v>246</x:v>
      </x:c>
      <x:c r="V235" s="4" t="n">
        <x:f>MATCH(J235-'Сводка'!$B$11,'Сводка'!$R$3:$R$397,0)</x:f>
        <x:v>245</x:v>
      </x:c>
      <x:c r="W235" s="4" t="n">
        <x:f>MATCH(T235,$J$388:$J$400,0)</x:f>
        <x:v>9</x:v>
      </x:c>
      <x:c r="X235" s="3"/>
      <x:c r="Y235" s="3"/>
      <x:c r="Z235" s="3"/>
    </x:row>
    <x:row r="236" ht="15" customHeight="1">
      <x:c r="A236" s="3"/>
      <x:c r="B236" s="3"/>
      <x:c r="C236" s="3"/>
      <x:c r="D236" s="3"/>
      <x:c r="E236" s="3"/>
      <x:c r="F236" s="3"/>
      <x:c r="G236" s="3"/>
      <x:c r="H236" s="3"/>
      <x:c r="I236" s="3"/>
      <x:c r="J236" s="10" t="n">
        <x:v>46087</x:v>
      </x:c>
      <x:c r="K236" s="8" t="n">
        <x:f>INDEX('Сводка'!$S$3:$S$397,U236)</x:f>
        <x:v>-57</x:v>
      </x:c>
      <x:c r="L236" s="8" t="n">
        <x:f>INDEX('Сводка'!$S$3:$S$397,V236)</x:f>
        <x:v>-58</x:v>
      </x:c>
      <x:c r="M236" s="8" t="n">
        <x:f>INDEX($K$388:$N$400,W236,1)+INDEX($K$388:$N$400,W236,2)*(2*(J236-$T$405)/(T236-$T$405)-1)^1+INDEX($K$388:$N$400,W236,3)*(2*(J236-$T$405)/(T236-$T$405)-1)^2+INDEX($K$388:$N$400,W236,4)*(2*(J236-$T$405)/(T236-$T$405)-1)^3</x:f>
        <x:v>109.7455009320208</x:v>
      </x:c>
      <x:c r="N236" s="8" t="n">
        <x:f>K236-M236</x:f>
        <x:v>-166.7455009320208</x:v>
      </x:c>
      <x:c r="O236" s="8" t="n">
        <x:f>ABS(N236)</x:f>
        <x:v>166.7455009320208</x:v>
      </x:c>
      <x:c r="P236" s="8" t="n">
        <x:f>N236^2</x:f>
        <x:v>27804.06208107055</x:v>
      </x:c>
      <x:c r="Q236" s="8" t="n">
        <x:f>K236-L236</x:f>
        <x:v>1</x:v>
      </x:c>
      <x:c r="R236" s="9" t="n">
        <x:f>IF(AND(INDEX('Сводка'!$T$3:$T$397,U236)=0,INDEX('Сводка'!$T$3:$T$397,V236)=0),1,0)</x:f>
        <x:v>1</x:v>
      </x:c>
      <x:c r="S236" s="9" t="n">
        <x:f>IF(AND(R236=1,O236&lt;=$G$13),1,0)</x:f>
        <x:v>0</x:v>
      </x:c>
      <x:c r="T236" s="10" t="n">
        <x:f>EOMONTH(J236-'Сводка'!$B$11,-1)</x:f>
        <x:v>46081</x:v>
      </x:c>
      <x:c r="U236" s="4" t="n">
        <x:f>MATCH(J236,'Сводка'!$R$3:$R$397,0)</x:f>
        <x:v>247</x:v>
      </x:c>
      <x:c r="V236" s="4" t="n">
        <x:f>MATCH(J236-'Сводка'!$B$11,'Сводка'!$R$3:$R$397,0)</x:f>
        <x:v>246</x:v>
      </x:c>
      <x:c r="W236" s="4" t="n">
        <x:f>MATCH(T236,$J$388:$J$400,0)</x:f>
        <x:v>9</x:v>
      </x:c>
      <x:c r="X236" s="3"/>
      <x:c r="Y236" s="3"/>
      <x:c r="Z236" s="3"/>
    </x:row>
    <x:row r="237" ht="15" customHeight="1">
      <x:c r="A237" s="3"/>
      <x:c r="B237" s="3"/>
      <x:c r="C237" s="3"/>
      <x:c r="D237" s="3"/>
      <x:c r="E237" s="3"/>
      <x:c r="F237" s="3"/>
      <x:c r="G237" s="3"/>
      <x:c r="H237" s="3"/>
      <x:c r="I237" s="3"/>
      <x:c r="J237" s="10" t="n">
        <x:v>46088</x:v>
      </x:c>
      <x:c r="K237" s="8" t="n">
        <x:f>INDEX('Сводка'!$S$3:$S$397,U237)</x:f>
        <x:v>-57</x:v>
      </x:c>
      <x:c r="L237" s="8" t="n">
        <x:f>INDEX('Сводка'!$S$3:$S$397,V237)</x:f>
        <x:v>-57</x:v>
      </x:c>
      <x:c r="M237" s="8" t="n">
        <x:f>INDEX($K$388:$N$400,W237,1)+INDEX($K$388:$N$400,W237,2)*(2*(J237-$T$405)/(T237-$T$405)-1)^1+INDEX($K$388:$N$400,W237,3)*(2*(J237-$T$405)/(T237-$T$405)-1)^2+INDEX($K$388:$N$400,W237,4)*(2*(J237-$T$405)/(T237-$T$405)-1)^3</x:f>
        <x:v>109.7194829531604</x:v>
      </x:c>
      <x:c r="N237" s="8" t="n">
        <x:f>K237-M237</x:f>
        <x:v>-166.7194829531604</x:v>
      </x:c>
      <x:c r="O237" s="8" t="n">
        <x:f>ABS(N237)</x:f>
        <x:v>166.7194829531604</x:v>
      </x:c>
      <x:c r="P237" s="8" t="n">
        <x:f>N237^2</x:f>
        <x:v>27795.385996169138</x:v>
      </x:c>
      <x:c r="Q237" s="8" t="n">
        <x:f>K237-L237</x:f>
        <x:v>0</x:v>
      </x:c>
      <x:c r="R237" s="9" t="n">
        <x:f>IF(AND(INDEX('Сводка'!$T$3:$T$397,U237)=0,INDEX('Сводка'!$T$3:$T$397,V237)=0),1,0)</x:f>
        <x:v>1</x:v>
      </x:c>
      <x:c r="S237" s="9" t="n">
        <x:f>IF(AND(R237=1,O237&lt;=$G$13),1,0)</x:f>
        <x:v>0</x:v>
      </x:c>
      <x:c r="T237" s="10" t="n">
        <x:f>EOMONTH(J237-'Сводка'!$B$11,-1)</x:f>
        <x:v>46081</x:v>
      </x:c>
      <x:c r="U237" s="4" t="n">
        <x:f>MATCH(J237,'Сводка'!$R$3:$R$397,0)</x:f>
        <x:v>248</x:v>
      </x:c>
      <x:c r="V237" s="4" t="n">
        <x:f>MATCH(J237-'Сводка'!$B$11,'Сводка'!$R$3:$R$397,0)</x:f>
        <x:v>247</x:v>
      </x:c>
      <x:c r="W237" s="4" t="n">
        <x:f>MATCH(T237,$J$388:$J$400,0)</x:f>
        <x:v>9</x:v>
      </x:c>
      <x:c r="X237" s="3"/>
      <x:c r="Y237" s="3"/>
      <x:c r="Z237" s="3"/>
    </x:row>
    <x:row r="238" ht="15" customHeight="1">
      <x:c r="A238" s="3"/>
      <x:c r="B238" s="3"/>
      <x:c r="C238" s="3"/>
      <x:c r="D238" s="3"/>
      <x:c r="E238" s="3"/>
      <x:c r="F238" s="3"/>
      <x:c r="G238" s="3"/>
      <x:c r="H238" s="3"/>
      <x:c r="I238" s="3"/>
      <x:c r="J238" s="10" t="n">
        <x:v>46089</x:v>
      </x:c>
      <x:c r="K238" s="8" t="n">
        <x:f>INDEX('Сводка'!$S$3:$S$397,U238)</x:f>
        <x:v>-59</x:v>
      </x:c>
      <x:c r="L238" s="8" t="n">
        <x:f>INDEX('Сводка'!$S$3:$S$397,V238)</x:f>
        <x:v>-57</x:v>
      </x:c>
      <x:c r="M238" s="8" t="n">
        <x:f>INDEX($K$388:$N$400,W238,1)+INDEX($K$388:$N$400,W238,2)*(2*(J238-$T$405)/(T238-$T$405)-1)^1+INDEX($K$388:$N$400,W238,3)*(2*(J238-$T$405)/(T238-$T$405)-1)^2+INDEX($K$388:$N$400,W238,4)*(2*(J238-$T$405)/(T238-$T$405)-1)^3</x:f>
        <x:v>109.69344737692558</x:v>
      </x:c>
      <x:c r="N238" s="8" t="n">
        <x:f>K238-M238</x:f>
        <x:v>-168.69344737692558</x:v>
      </x:c>
      <x:c r="O238" s="8" t="n">
        <x:f>ABS(N238)</x:f>
        <x:v>168.69344737692558</x:v>
      </x:c>
      <x:c r="P238" s="8" t="n">
        <x:f>N238^2</x:f>
        <x:v>28457.47918791156</x:v>
      </x:c>
      <x:c r="Q238" s="8" t="n">
        <x:f>K238-L238</x:f>
        <x:v>-2</x:v>
      </x:c>
      <x:c r="R238" s="9" t="n">
        <x:f>IF(AND(INDEX('Сводка'!$T$3:$T$397,U238)=0,INDEX('Сводка'!$T$3:$T$397,V238)=0),1,0)</x:f>
        <x:v>1</x:v>
      </x:c>
      <x:c r="S238" s="9" t="n">
        <x:f>IF(AND(R238=1,O238&lt;=$G$13),1,0)</x:f>
        <x:v>0</x:v>
      </x:c>
      <x:c r="T238" s="10" t="n">
        <x:f>EOMONTH(J238-'Сводка'!$B$11,-1)</x:f>
        <x:v>46081</x:v>
      </x:c>
      <x:c r="U238" s="4" t="n">
        <x:f>MATCH(J238,'Сводка'!$R$3:$R$397,0)</x:f>
        <x:v>249</x:v>
      </x:c>
      <x:c r="V238" s="4" t="n">
        <x:f>MATCH(J238-'Сводка'!$B$11,'Сводка'!$R$3:$R$397,0)</x:f>
        <x:v>248</x:v>
      </x:c>
      <x:c r="W238" s="4" t="n">
        <x:f>MATCH(T238,$J$388:$J$400,0)</x:f>
        <x:v>9</x:v>
      </x:c>
      <x:c r="X238" s="3"/>
      <x:c r="Y238" s="3"/>
      <x:c r="Z238" s="3"/>
    </x:row>
    <x:row r="239" ht="15" customHeight="1">
      <x:c r="A239" s="3"/>
      <x:c r="B239" s="3"/>
      <x:c r="C239" s="3"/>
      <x:c r="D239" s="3"/>
      <x:c r="E239" s="3"/>
      <x:c r="F239" s="3"/>
      <x:c r="G239" s="3"/>
      <x:c r="H239" s="3"/>
      <x:c r="I239" s="3"/>
      <x:c r="J239" s="10" t="n">
        <x:v>46090</x:v>
      </x:c>
      <x:c r="K239" s="8" t="n">
        <x:f>INDEX('Сводка'!$S$3:$S$397,U239)</x:f>
        <x:v>-61</x:v>
      </x:c>
      <x:c r="L239" s="8" t="n">
        <x:f>INDEX('Сводка'!$S$3:$S$397,V239)</x:f>
        <x:v>-59</x:v>
      </x:c>
      <x:c r="M239" s="8" t="n">
        <x:f>INDEX($K$388:$N$400,W239,1)+INDEX($K$388:$N$400,W239,2)*(2*(J239-$T$405)/(T239-$T$405)-1)^1+INDEX($K$388:$N$400,W239,3)*(2*(J239-$T$405)/(T239-$T$405)-1)^2+INDEX($K$388:$N$400,W239,4)*(2*(J239-$T$405)/(T239-$T$405)-1)^3</x:f>
        <x:v>109.66739420078329</x:v>
      </x:c>
      <x:c r="N239" s="8" t="n">
        <x:f>K239-M239</x:f>
        <x:v>-170.6673942007833</x:v>
      </x:c>
      <x:c r="O239" s="8" t="n">
        <x:f>ABS(N239)</x:f>
        <x:v>170.6673942007833</x:v>
      </x:c>
      <x:c r="P239" s="8" t="n">
        <x:f>N239^2</x:f>
        <x:v>29127.359443285557</x:v>
      </x:c>
      <x:c r="Q239" s="8" t="n">
        <x:f>K239-L239</x:f>
        <x:v>-2</x:v>
      </x:c>
      <x:c r="R239" s="9" t="n">
        <x:f>IF(AND(INDEX('Сводка'!$T$3:$T$397,U239)=0,INDEX('Сводка'!$T$3:$T$397,V239)=0),1,0)</x:f>
        <x:v>1</x:v>
      </x:c>
      <x:c r="S239" s="9" t="n">
        <x:f>IF(AND(R239=1,O239&lt;=$G$13),1,0)</x:f>
        <x:v>0</x:v>
      </x:c>
      <x:c r="T239" s="10" t="n">
        <x:f>EOMONTH(J239-'Сводка'!$B$11,-1)</x:f>
        <x:v>46081</x:v>
      </x:c>
      <x:c r="U239" s="4" t="n">
        <x:f>MATCH(J239,'Сводка'!$R$3:$R$397,0)</x:f>
        <x:v>250</x:v>
      </x:c>
      <x:c r="V239" s="4" t="n">
        <x:f>MATCH(J239-'Сводка'!$B$11,'Сводка'!$R$3:$R$397,0)</x:f>
        <x:v>249</x:v>
      </x:c>
      <x:c r="W239" s="4" t="n">
        <x:f>MATCH(T239,$J$388:$J$400,0)</x:f>
        <x:v>9</x:v>
      </x:c>
      <x:c r="X239" s="3"/>
      <x:c r="Y239" s="3"/>
      <x:c r="Z239" s="3"/>
    </x:row>
    <x:row r="240" ht="15" customHeight="1">
      <x:c r="A240" s="3"/>
      <x:c r="B240" s="3"/>
      <x:c r="C240" s="3"/>
      <x:c r="D240" s="3"/>
      <x:c r="E240" s="3"/>
      <x:c r="F240" s="3"/>
      <x:c r="G240" s="3"/>
      <x:c r="H240" s="3"/>
      <x:c r="I240" s="3"/>
      <x:c r="J240" s="10" t="n">
        <x:v>46091</x:v>
      </x:c>
      <x:c r="K240" s="8" t="n">
        <x:f>INDEX('Сводка'!$S$3:$S$397,U240)</x:f>
        <x:v>-64</x:v>
      </x:c>
      <x:c r="L240" s="8" t="n">
        <x:f>INDEX('Сводка'!$S$3:$S$397,V240)</x:f>
        <x:v>-61</x:v>
      </x:c>
      <x:c r="M240" s="8" t="n">
        <x:f>INDEX($K$388:$N$400,W240,1)+INDEX($K$388:$N$400,W240,2)*(2*(J240-$T$405)/(T240-$T$405)-1)^1+INDEX($K$388:$N$400,W240,3)*(2*(J240-$T$405)/(T240-$T$405)-1)^2+INDEX($K$388:$N$400,W240,4)*(2*(J240-$T$405)/(T240-$T$405)-1)^3</x:f>
        <x:v>109.64132342220051</x:v>
      </x:c>
      <x:c r="N240" s="8" t="n">
        <x:f>K240-M240</x:f>
        <x:v>-173.64132342220051</x:v>
      </x:c>
      <x:c r="O240" s="8" t="n">
        <x:f>ABS(N240)</x:f>
        <x:v>173.64132342220051</x:v>
      </x:c>
      <x:c r="P240" s="8" t="n">
        <x:f>N240^2</x:f>
        <x:v>30151.30919981324</x:v>
      </x:c>
      <x:c r="Q240" s="8" t="n">
        <x:f>K240-L240</x:f>
        <x:v>-3</x:v>
      </x:c>
      <x:c r="R240" s="9" t="n">
        <x:f>IF(AND(INDEX('Сводка'!$T$3:$T$397,U240)=0,INDEX('Сводка'!$T$3:$T$397,V240)=0),1,0)</x:f>
        <x:v>1</x:v>
      </x:c>
      <x:c r="S240" s="9" t="n">
        <x:f>IF(AND(R240=1,O240&lt;=$G$13),1,0)</x:f>
        <x:v>0</x:v>
      </x:c>
      <x:c r="T240" s="10" t="n">
        <x:f>EOMONTH(J240-'Сводка'!$B$11,-1)</x:f>
        <x:v>46081</x:v>
      </x:c>
      <x:c r="U240" s="4" t="n">
        <x:f>MATCH(J240,'Сводка'!$R$3:$R$397,0)</x:f>
        <x:v>251</x:v>
      </x:c>
      <x:c r="V240" s="4" t="n">
        <x:f>MATCH(J240-'Сводка'!$B$11,'Сводка'!$R$3:$R$397,0)</x:f>
        <x:v>250</x:v>
      </x:c>
      <x:c r="W240" s="4" t="n">
        <x:f>MATCH(T240,$J$388:$J$400,0)</x:f>
        <x:v>9</x:v>
      </x:c>
      <x:c r="X240" s="3"/>
      <x:c r="Y240" s="3"/>
      <x:c r="Z240" s="3"/>
    </x:row>
    <x:row r="241" ht="15" customHeight="1">
      <x:c r="A241" s="3"/>
      <x:c r="B241" s="3"/>
      <x:c r="C241" s="3"/>
      <x:c r="D241" s="3"/>
      <x:c r="E241" s="3"/>
      <x:c r="F241" s="3"/>
      <x:c r="G241" s="3"/>
      <x:c r="H241" s="3"/>
      <x:c r="I241" s="3"/>
      <x:c r="J241" s="10" t="n">
        <x:v>46092</x:v>
      </x:c>
      <x:c r="K241" s="8" t="n">
        <x:f>INDEX('Сводка'!$S$3:$S$397,U241)</x:f>
        <x:v>-69</x:v>
      </x:c>
      <x:c r="L241" s="8" t="n">
        <x:f>INDEX('Сводка'!$S$3:$S$397,V241)</x:f>
        <x:v>-64</x:v>
      </x:c>
      <x:c r="M241" s="8" t="n">
        <x:f>INDEX($K$388:$N$400,W241,1)+INDEX($K$388:$N$400,W241,2)*(2*(J241-$T$405)/(T241-$T$405)-1)^1+INDEX($K$388:$N$400,W241,3)*(2*(J241-$T$405)/(T241-$T$405)-1)^2+INDEX($K$388:$N$400,W241,4)*(2*(J241-$T$405)/(T241-$T$405)-1)^3</x:f>
        <x:v>109.61523503864424</x:v>
      </x:c>
      <x:c r="N241" s="8" t="n">
        <x:f>K241-M241</x:f>
        <x:v>-178.61523503864424</x:v>
      </x:c>
      <x:c r="O241" s="8" t="n">
        <x:f>ABS(N241)</x:f>
        <x:v>178.61523503864424</x:v>
      </x:c>
      <x:c r="P241" s="8" t="n">
        <x:f>N241^2</x:f>
        <x:v>31903.402187910127</x:v>
      </x:c>
      <x:c r="Q241" s="8" t="n">
        <x:f>K241-L241</x:f>
        <x:v>-5</x:v>
      </x:c>
      <x:c r="R241" s="9" t="n">
        <x:f>IF(AND(INDEX('Сводка'!$T$3:$T$397,U241)=0,INDEX('Сводка'!$T$3:$T$397,V241)=0),1,0)</x:f>
        <x:v>1</x:v>
      </x:c>
      <x:c r="S241" s="9" t="n">
        <x:f>IF(AND(R241=1,O241&lt;=$G$13),1,0)</x:f>
        <x:v>0</x:v>
      </x:c>
      <x:c r="T241" s="10" t="n">
        <x:f>EOMONTH(J241-'Сводка'!$B$11,-1)</x:f>
        <x:v>46081</x:v>
      </x:c>
      <x:c r="U241" s="4" t="n">
        <x:f>MATCH(J241,'Сводка'!$R$3:$R$397,0)</x:f>
        <x:v>252</x:v>
      </x:c>
      <x:c r="V241" s="4" t="n">
        <x:f>MATCH(J241-'Сводка'!$B$11,'Сводка'!$R$3:$R$397,0)</x:f>
        <x:v>251</x:v>
      </x:c>
      <x:c r="W241" s="4" t="n">
        <x:f>MATCH(T241,$J$388:$J$400,0)</x:f>
        <x:v>9</x:v>
      </x:c>
      <x:c r="X241" s="3"/>
      <x:c r="Y241" s="3"/>
      <x:c r="Z241" s="3"/>
    </x:row>
    <x:row r="242" ht="15" customHeight="1">
      <x:c r="A242" s="3"/>
      <x:c r="B242" s="3"/>
      <x:c r="C242" s="3"/>
      <x:c r="D242" s="3"/>
      <x:c r="E242" s="3"/>
      <x:c r="F242" s="3"/>
      <x:c r="G242" s="3"/>
      <x:c r="H242" s="3"/>
      <x:c r="I242" s="3"/>
      <x:c r="J242" s="10" t="n">
        <x:v>46093</x:v>
      </x:c>
      <x:c r="K242" s="8" t="n">
        <x:f>INDEX('Сводка'!$S$3:$S$397,U242)</x:f>
        <x:v>-73</x:v>
      </x:c>
      <x:c r="L242" s="8" t="n">
        <x:f>INDEX('Сводка'!$S$3:$S$397,V242)</x:f>
        <x:v>-69</x:v>
      </x:c>
      <x:c r="M242" s="8" t="n">
        <x:f>INDEX($K$388:$N$400,W242,1)+INDEX($K$388:$N$400,W242,2)*(2*(J242-$T$405)/(T242-$T$405)-1)^1+INDEX($K$388:$N$400,W242,3)*(2*(J242-$T$405)/(T242-$T$405)-1)^2+INDEX($K$388:$N$400,W242,4)*(2*(J242-$T$405)/(T242-$T$405)-1)^3</x:f>
        <x:v>109.58912904758137</x:v>
      </x:c>
      <x:c r="N242" s="8" t="n">
        <x:f>K242-M242</x:f>
        <x:v>-182.58912904758137</x:v>
      </x:c>
      <x:c r="O242" s="8" t="n">
        <x:f>ABS(N242)</x:f>
        <x:v>182.58912904758137</x:v>
      </x:c>
      <x:c r="P242" s="8" t="n">
        <x:f>N242^2</x:f>
        <x:v>33338.79004635432</x:v>
      </x:c>
      <x:c r="Q242" s="8" t="n">
        <x:f>K242-L242</x:f>
        <x:v>-4</x:v>
      </x:c>
      <x:c r="R242" s="9" t="n">
        <x:f>IF(AND(INDEX('Сводка'!$T$3:$T$397,U242)=0,INDEX('Сводка'!$T$3:$T$397,V242)=0),1,0)</x:f>
        <x:v>1</x:v>
      </x:c>
      <x:c r="S242" s="9" t="n">
        <x:f>IF(AND(R242=1,O242&lt;=$G$13),1,0)</x:f>
        <x:v>0</x:v>
      </x:c>
      <x:c r="T242" s="10" t="n">
        <x:f>EOMONTH(J242-'Сводка'!$B$11,-1)</x:f>
        <x:v>46081</x:v>
      </x:c>
      <x:c r="U242" s="4" t="n">
        <x:f>MATCH(J242,'Сводка'!$R$3:$R$397,0)</x:f>
        <x:v>253</x:v>
      </x:c>
      <x:c r="V242" s="4" t="n">
        <x:f>MATCH(J242-'Сводка'!$B$11,'Сводка'!$R$3:$R$397,0)</x:f>
        <x:v>252</x:v>
      </x:c>
      <x:c r="W242" s="4" t="n">
        <x:f>MATCH(T242,$J$388:$J$400,0)</x:f>
        <x:v>9</x:v>
      </x:c>
      <x:c r="X242" s="3"/>
      <x:c r="Y242" s="3"/>
      <x:c r="Z242" s="3"/>
    </x:row>
    <x:row r="243" ht="15" customHeight="1">
      <x:c r="A243" s="3"/>
      <x:c r="B243" s="3"/>
      <x:c r="C243" s="3"/>
      <x:c r="D243" s="3"/>
      <x:c r="E243" s="3"/>
      <x:c r="F243" s="3"/>
      <x:c r="G243" s="3"/>
      <x:c r="H243" s="3"/>
      <x:c r="I243" s="3"/>
      <x:c r="J243" s="10" t="n">
        <x:v>46094</x:v>
      </x:c>
      <x:c r="K243" s="8" t="n">
        <x:f>INDEX('Сводка'!$S$3:$S$397,U243)</x:f>
        <x:v>-73</x:v>
      </x:c>
      <x:c r="L243" s="8" t="n">
        <x:f>INDEX('Сводка'!$S$3:$S$397,V243)</x:f>
        <x:v>-73</x:v>
      </x:c>
      <x:c r="M243" s="8" t="n">
        <x:f>INDEX($K$388:$N$400,W243,1)+INDEX($K$388:$N$400,W243,2)*(2*(J243-$T$405)/(T243-$T$405)-1)^1+INDEX($K$388:$N$400,W243,3)*(2*(J243-$T$405)/(T243-$T$405)-1)^2+INDEX($K$388:$N$400,W243,4)*(2*(J243-$T$405)/(T243-$T$405)-1)^3</x:f>
        <x:v>109.56300544647885</x:v>
      </x:c>
      <x:c r="N243" s="8" t="n">
        <x:f>K243-M243</x:f>
        <x:v>-182.56300544647885</x:v>
      </x:c>
      <x:c r="O243" s="8" t="n">
        <x:f>ABS(N243)</x:f>
        <x:v>182.56300544647885</x:v>
      </x:c>
      <x:c r="P243" s="8" t="n">
        <x:f>N243^2</x:f>
        <x:v>33329.25095765107</x:v>
      </x:c>
      <x:c r="Q243" s="8" t="n">
        <x:f>K243-L243</x:f>
        <x:v>0</x:v>
      </x:c>
      <x:c r="R243" s="9" t="n">
        <x:f>IF(AND(INDEX('Сводка'!$T$3:$T$397,U243)=0,INDEX('Сводка'!$T$3:$T$397,V243)=0),1,0)</x:f>
        <x:v>1</x:v>
      </x:c>
      <x:c r="S243" s="9" t="n">
        <x:f>IF(AND(R243=1,O243&lt;=$G$13),1,0)</x:f>
        <x:v>0</x:v>
      </x:c>
      <x:c r="T243" s="10" t="n">
        <x:f>EOMONTH(J243-'Сводка'!$B$11,-1)</x:f>
        <x:v>46081</x:v>
      </x:c>
      <x:c r="U243" s="4" t="n">
        <x:f>MATCH(J243,'Сводка'!$R$3:$R$397,0)</x:f>
        <x:v>254</x:v>
      </x:c>
      <x:c r="V243" s="4" t="n">
        <x:f>MATCH(J243-'Сводка'!$B$11,'Сводка'!$R$3:$R$397,0)</x:f>
        <x:v>253</x:v>
      </x:c>
      <x:c r="W243" s="4" t="n">
        <x:f>MATCH(T243,$J$388:$J$400,0)</x:f>
        <x:v>9</x:v>
      </x:c>
      <x:c r="X243" s="3"/>
      <x:c r="Y243" s="3"/>
      <x:c r="Z243" s="3"/>
    </x:row>
    <x:row r="244" ht="15" customHeight="1">
      <x:c r="A244" s="3"/>
      <x:c r="B244" s="3"/>
      <x:c r="C244" s="3"/>
      <x:c r="D244" s="3"/>
      <x:c r="E244" s="3"/>
      <x:c r="F244" s="3"/>
      <x:c r="G244" s="3"/>
      <x:c r="H244" s="3"/>
      <x:c r="I244" s="3"/>
      <x:c r="J244" s="10" t="n">
        <x:v>46095</x:v>
      </x:c>
      <x:c r="K244" s="8" t="n">
        <x:f>INDEX('Сводка'!$S$3:$S$397,U244)</x:f>
        <x:v>-75</x:v>
      </x:c>
      <x:c r="L244" s="8" t="n">
        <x:f>INDEX('Сводка'!$S$3:$S$397,V244)</x:f>
        <x:v>-73</x:v>
      </x:c>
      <x:c r="M244" s="8" t="n">
        <x:f>INDEX($K$388:$N$400,W244,1)+INDEX($K$388:$N$400,W244,2)*(2*(J244-$T$405)/(T244-$T$405)-1)^1+INDEX($K$388:$N$400,W244,3)*(2*(J244-$T$405)/(T244-$T$405)-1)^2+INDEX($K$388:$N$400,W244,4)*(2*(J244-$T$405)/(T244-$T$405)-1)^3</x:f>
        <x:v>109.53686423280377</x:v>
      </x:c>
      <x:c r="N244" s="8" t="n">
        <x:f>K244-M244</x:f>
        <x:v>-184.53686423280377</x:v>
      </x:c>
      <x:c r="O244" s="8" t="n">
        <x:f>ABS(N244)</x:f>
        <x:v>184.53686423280377</x:v>
      </x:c>
      <x:c r="P244" s="8" t="n">
        <x:f>N244^2</x:f>
        <x:v>34053.85426087625</x:v>
      </x:c>
      <x:c r="Q244" s="8" t="n">
        <x:f>K244-L244</x:f>
        <x:v>-2</x:v>
      </x:c>
      <x:c r="R244" s="9" t="n">
        <x:f>IF(AND(INDEX('Сводка'!$T$3:$T$397,U244)=0,INDEX('Сводка'!$T$3:$T$397,V244)=0),1,0)</x:f>
        <x:v>1</x:v>
      </x:c>
      <x:c r="S244" s="9" t="n">
        <x:f>IF(AND(R244=1,O244&lt;=$G$13),1,0)</x:f>
        <x:v>0</x:v>
      </x:c>
      <x:c r="T244" s="10" t="n">
        <x:f>EOMONTH(J244-'Сводка'!$B$11,-1)</x:f>
        <x:v>46081</x:v>
      </x:c>
      <x:c r="U244" s="4" t="n">
        <x:f>MATCH(J244,'Сводка'!$R$3:$R$397,0)</x:f>
        <x:v>255</x:v>
      </x:c>
      <x:c r="V244" s="4" t="n">
        <x:f>MATCH(J244-'Сводка'!$B$11,'Сводка'!$R$3:$R$397,0)</x:f>
        <x:v>254</x:v>
      </x:c>
      <x:c r="W244" s="4" t="n">
        <x:f>MATCH(T244,$J$388:$J$400,0)</x:f>
        <x:v>9</x:v>
      </x:c>
      <x:c r="X244" s="3"/>
      <x:c r="Y244" s="3"/>
      <x:c r="Z244" s="3"/>
    </x:row>
    <x:row r="245" ht="15" customHeight="1">
      <x:c r="A245" s="3"/>
      <x:c r="B245" s="3"/>
      <x:c r="C245" s="3"/>
      <x:c r="D245" s="3"/>
      <x:c r="E245" s="3"/>
      <x:c r="F245" s="3"/>
      <x:c r="G245" s="3"/>
      <x:c r="H245" s="3"/>
      <x:c r="I245" s="3"/>
      <x:c r="J245" s="10" t="n">
        <x:v>46096</x:v>
      </x:c>
      <x:c r="K245" s="8" t="n">
        <x:f>INDEX('Сводка'!$S$3:$S$397,U245)</x:f>
        <x:v>-76</x:v>
      </x:c>
      <x:c r="L245" s="8" t="n">
        <x:f>INDEX('Сводка'!$S$3:$S$397,V245)</x:f>
        <x:v>-75</x:v>
      </x:c>
      <x:c r="M245" s="8" t="n">
        <x:f>INDEX($K$388:$N$400,W245,1)+INDEX($K$388:$N$400,W245,2)*(2*(J245-$T$405)/(T245-$T$405)-1)^1+INDEX($K$388:$N$400,W245,3)*(2*(J245-$T$405)/(T245-$T$405)-1)^2+INDEX($K$388:$N$400,W245,4)*(2*(J245-$T$405)/(T245-$T$405)-1)^3</x:f>
        <x:v>109.51070540402299</x:v>
      </x:c>
      <x:c r="N245" s="8" t="n">
        <x:f>K245-M245</x:f>
        <x:v>-185.51070540402299</x:v>
      </x:c>
      <x:c r="O245" s="8" t="n">
        <x:f>ABS(N245)</x:f>
        <x:v>185.51070540402299</x:v>
      </x:c>
      <x:c r="P245" s="8" t="n">
        <x:f>N245^2</x:f>
        <x:v>34414.221819498205</x:v>
      </x:c>
      <x:c r="Q245" s="8" t="n">
        <x:f>K245-L245</x:f>
        <x:v>-1</x:v>
      </x:c>
      <x:c r="R245" s="9" t="n">
        <x:f>IF(AND(INDEX('Сводка'!$T$3:$T$397,U245)=0,INDEX('Сводка'!$T$3:$T$397,V245)=0),1,0)</x:f>
        <x:v>1</x:v>
      </x:c>
      <x:c r="S245" s="9" t="n">
        <x:f>IF(AND(R245=1,O245&lt;=$G$13),1,0)</x:f>
        <x:v>0</x:v>
      </x:c>
      <x:c r="T245" s="10" t="n">
        <x:f>EOMONTH(J245-'Сводка'!$B$11,-1)</x:f>
        <x:v>46081</x:v>
      </x:c>
      <x:c r="U245" s="4" t="n">
        <x:f>MATCH(J245,'Сводка'!$R$3:$R$397,0)</x:f>
        <x:v>256</x:v>
      </x:c>
      <x:c r="V245" s="4" t="n">
        <x:f>MATCH(J245-'Сводка'!$B$11,'Сводка'!$R$3:$R$397,0)</x:f>
        <x:v>255</x:v>
      </x:c>
      <x:c r="W245" s="4" t="n">
        <x:f>MATCH(T245,$J$388:$J$400,0)</x:f>
        <x:v>9</x:v>
      </x:c>
      <x:c r="X245" s="3"/>
      <x:c r="Y245" s="3"/>
      <x:c r="Z245" s="3"/>
    </x:row>
    <x:row r="246" ht="15" customHeight="1">
      <x:c r="A246" s="3"/>
      <x:c r="B246" s="3"/>
      <x:c r="C246" s="3"/>
      <x:c r="D246" s="3"/>
      <x:c r="E246" s="3"/>
      <x:c r="F246" s="3"/>
      <x:c r="G246" s="3"/>
      <x:c r="H246" s="3"/>
      <x:c r="I246" s="3"/>
      <x:c r="J246" s="10" t="n">
        <x:v>46097</x:v>
      </x:c>
      <x:c r="K246" s="8" t="n">
        <x:f>INDEX('Сводка'!$S$3:$S$397,U246)</x:f>
        <x:v>-76</x:v>
      </x:c>
      <x:c r="L246" s="8" t="n">
        <x:f>INDEX('Сводка'!$S$3:$S$397,V246)</x:f>
        <x:v>-76</x:v>
      </x:c>
      <x:c r="M246" s="8" t="n">
        <x:f>INDEX($K$388:$N$400,W246,1)+INDEX($K$388:$N$400,W246,2)*(2*(J246-$T$405)/(T246-$T$405)-1)^1+INDEX($K$388:$N$400,W246,3)*(2*(J246-$T$405)/(T246-$T$405)-1)^2+INDEX($K$388:$N$400,W246,4)*(2*(J246-$T$405)/(T246-$T$405)-1)^3</x:f>
        <x:v>109.48452895760343</x:v>
      </x:c>
      <x:c r="N246" s="8" t="n">
        <x:f>K246-M246</x:f>
        <x:v>-185.48452895760343</x:v>
      </x:c>
      <x:c r="O246" s="8" t="n">
        <x:f>ABS(N246)</x:f>
        <x:v>185.48452895760343</x:v>
      </x:c>
      <x:c r="P246" s="8" t="n">
        <x:f>N246^2</x:f>
        <x:v>34404.51048262403</x:v>
      </x:c>
      <x:c r="Q246" s="8" t="n">
        <x:f>K246-L246</x:f>
        <x:v>0</x:v>
      </x:c>
      <x:c r="R246" s="9" t="n">
        <x:f>IF(AND(INDEX('Сводка'!$T$3:$T$397,U246)=0,INDEX('Сводка'!$T$3:$T$397,V246)=0),1,0)</x:f>
        <x:v>1</x:v>
      </x:c>
      <x:c r="S246" s="9" t="n">
        <x:f>IF(AND(R246=1,O246&lt;=$G$13),1,0)</x:f>
        <x:v>0</x:v>
      </x:c>
      <x:c r="T246" s="10" t="n">
        <x:f>EOMONTH(J246-'Сводка'!$B$11,-1)</x:f>
        <x:v>46081</x:v>
      </x:c>
      <x:c r="U246" s="4" t="n">
        <x:f>MATCH(J246,'Сводка'!$R$3:$R$397,0)</x:f>
        <x:v>257</x:v>
      </x:c>
      <x:c r="V246" s="4" t="n">
        <x:f>MATCH(J246-'Сводка'!$B$11,'Сводка'!$R$3:$R$397,0)</x:f>
        <x:v>256</x:v>
      </x:c>
      <x:c r="W246" s="4" t="n">
        <x:f>MATCH(T246,$J$388:$J$400,0)</x:f>
        <x:v>9</x:v>
      </x:c>
      <x:c r="X246" s="3"/>
      <x:c r="Y246" s="3"/>
      <x:c r="Z246" s="3"/>
    </x:row>
    <x:row r="247" ht="15" customHeight="1">
      <x:c r="A247" s="3"/>
      <x:c r="B247" s="3"/>
      <x:c r="C247" s="3"/>
      <x:c r="D247" s="3"/>
      <x:c r="E247" s="3"/>
      <x:c r="F247" s="3"/>
      <x:c r="G247" s="3"/>
      <x:c r="H247" s="3"/>
      <x:c r="I247" s="3"/>
      <x:c r="J247" s="10" t="n">
        <x:v>46098</x:v>
      </x:c>
      <x:c r="K247" s="8" t="n">
        <x:f>INDEX('Сводка'!$S$3:$S$397,U247)</x:f>
        <x:v>-76</x:v>
      </x:c>
      <x:c r="L247" s="8" t="n">
        <x:f>INDEX('Сводка'!$S$3:$S$397,V247)</x:f>
        <x:v>-76</x:v>
      </x:c>
      <x:c r="M247" s="8" t="n">
        <x:f>INDEX($K$388:$N$400,W247,1)+INDEX($K$388:$N$400,W247,2)*(2*(J247-$T$405)/(T247-$T$405)-1)^1+INDEX($K$388:$N$400,W247,3)*(2*(J247-$T$405)/(T247-$T$405)-1)^2+INDEX($K$388:$N$400,W247,4)*(2*(J247-$T$405)/(T247-$T$405)-1)^3</x:f>
        <x:v>109.45833489101219</x:v>
      </x:c>
      <x:c r="N247" s="8" t="n">
        <x:f>K247-M247</x:f>
        <x:v>-185.45833489101219</x:v>
      </x:c>
      <x:c r="O247" s="8" t="n">
        <x:f>ABS(N247)</x:f>
        <x:v>185.45833489101219</x:v>
      </x:c>
      <x:c r="P247" s="8" t="n">
        <x:f>N247^2</x:f>
        <x:v>34394.79398054683</x:v>
      </x:c>
      <x:c r="Q247" s="8" t="n">
        <x:f>K247-L247</x:f>
        <x:v>0</x:v>
      </x:c>
      <x:c r="R247" s="9" t="n">
        <x:f>IF(AND(INDEX('Сводка'!$T$3:$T$397,U247)=0,INDEX('Сводка'!$T$3:$T$397,V247)=0),1,0)</x:f>
        <x:v>1</x:v>
      </x:c>
      <x:c r="S247" s="9" t="n">
        <x:f>IF(AND(R247=1,O247&lt;=$G$13),1,0)</x:f>
        <x:v>0</x:v>
      </x:c>
      <x:c r="T247" s="10" t="n">
        <x:f>EOMONTH(J247-'Сводка'!$B$11,-1)</x:f>
        <x:v>46081</x:v>
      </x:c>
      <x:c r="U247" s="4" t="n">
        <x:f>MATCH(J247,'Сводка'!$R$3:$R$397,0)</x:f>
        <x:v>258</x:v>
      </x:c>
      <x:c r="V247" s="4" t="n">
        <x:f>MATCH(J247-'Сводка'!$B$11,'Сводка'!$R$3:$R$397,0)</x:f>
        <x:v>257</x:v>
      </x:c>
      <x:c r="W247" s="4" t="n">
        <x:f>MATCH(T247,$J$388:$J$400,0)</x:f>
        <x:v>9</x:v>
      </x:c>
      <x:c r="X247" s="3"/>
      <x:c r="Y247" s="3"/>
      <x:c r="Z247" s="3"/>
    </x:row>
    <x:row r="248" ht="15" customHeight="1">
      <x:c r="A248" s="3"/>
      <x:c r="B248" s="3"/>
      <x:c r="C248" s="3"/>
      <x:c r="D248" s="3"/>
      <x:c r="E248" s="3"/>
      <x:c r="F248" s="3"/>
      <x:c r="G248" s="3"/>
      <x:c r="H248" s="3"/>
      <x:c r="I248" s="3"/>
      <x:c r="J248" s="10" t="n">
        <x:v>46099</x:v>
      </x:c>
      <x:c r="K248" s="8" t="n">
        <x:f>INDEX('Сводка'!$S$3:$S$397,U248)</x:f>
        <x:v>-74</x:v>
      </x:c>
      <x:c r="L248" s="8" t="n">
        <x:f>INDEX('Сводка'!$S$3:$S$397,V248)</x:f>
        <x:v>-76</x:v>
      </x:c>
      <x:c r="M248" s="8" t="n">
        <x:f>INDEX($K$388:$N$400,W248,1)+INDEX($K$388:$N$400,W248,2)*(2*(J248-$T$405)/(T248-$T$405)-1)^1+INDEX($K$388:$N$400,W248,3)*(2*(J248-$T$405)/(T248-$T$405)-1)^2+INDEX($K$388:$N$400,W248,4)*(2*(J248-$T$405)/(T248-$T$405)-1)^3</x:f>
        <x:v>109.43212320171611</x:v>
      </x:c>
      <x:c r="N248" s="8" t="n">
        <x:f>K248-M248</x:f>
        <x:v>-183.4321232017161</x:v>
      </x:c>
      <x:c r="O248" s="8" t="n">
        <x:f>ABS(N248)</x:f>
        <x:v>183.4321232017161</x:v>
      </x:c>
      <x:c r="P248" s="8" t="n">
        <x:f>N248^2</x:f>
        <x:v>33647.34382228956</x:v>
      </x:c>
      <x:c r="Q248" s="8" t="n">
        <x:f>K248-L248</x:f>
        <x:v>2</x:v>
      </x:c>
      <x:c r="R248" s="9" t="n">
        <x:f>IF(AND(INDEX('Сводка'!$T$3:$T$397,U248)=0,INDEX('Сводка'!$T$3:$T$397,V248)=0),1,0)</x:f>
        <x:v>1</x:v>
      </x:c>
      <x:c r="S248" s="9" t="n">
        <x:f>IF(AND(R248=1,O248&lt;=$G$13),1,0)</x:f>
        <x:v>0</x:v>
      </x:c>
      <x:c r="T248" s="10" t="n">
        <x:f>EOMONTH(J248-'Сводка'!$B$11,-1)</x:f>
        <x:v>46081</x:v>
      </x:c>
      <x:c r="U248" s="4" t="n">
        <x:f>MATCH(J248,'Сводка'!$R$3:$R$397,0)</x:f>
        <x:v>259</x:v>
      </x:c>
      <x:c r="V248" s="4" t="n">
        <x:f>MATCH(J248-'Сводка'!$B$11,'Сводка'!$R$3:$R$397,0)</x:f>
        <x:v>258</x:v>
      </x:c>
      <x:c r="W248" s="4" t="n">
        <x:f>MATCH(T248,$J$388:$J$400,0)</x:f>
        <x:v>9</x:v>
      </x:c>
      <x:c r="X248" s="3"/>
      <x:c r="Y248" s="3"/>
      <x:c r="Z248" s="3"/>
    </x:row>
    <x:row r="249" ht="15" customHeight="1">
      <x:c r="A249" s="3"/>
      <x:c r="B249" s="3"/>
      <x:c r="C249" s="3"/>
      <x:c r="D249" s="3"/>
      <x:c r="E249" s="3"/>
      <x:c r="F249" s="3"/>
      <x:c r="G249" s="3"/>
      <x:c r="H249" s="3"/>
      <x:c r="I249" s="3"/>
      <x:c r="J249" s="10" t="n">
        <x:v>46100</x:v>
      </x:c>
      <x:c r="K249" s="8" t="n">
        <x:f>INDEX('Сводка'!$S$3:$S$397,U249)</x:f>
        <x:v>-73</x:v>
      </x:c>
      <x:c r="L249" s="8" t="n">
        <x:f>INDEX('Сводка'!$S$3:$S$397,V249)</x:f>
        <x:v>-74</x:v>
      </x:c>
      <x:c r="M249" s="8" t="n">
        <x:f>INDEX($K$388:$N$400,W249,1)+INDEX($K$388:$N$400,W249,2)*(2*(J249-$T$405)/(T249-$T$405)-1)^1+INDEX($K$388:$N$400,W249,3)*(2*(J249-$T$405)/(T249-$T$405)-1)^2+INDEX($K$388:$N$400,W249,4)*(2*(J249-$T$405)/(T249-$T$405)-1)^3</x:f>
        <x:v>109.40589388718216</x:v>
      </x:c>
      <x:c r="N249" s="8" t="n">
        <x:f>K249-M249</x:f>
        <x:v>-182.40589388718217</x:v>
      </x:c>
      <x:c r="O249" s="8" t="n">
        <x:f>ABS(N249)</x:f>
        <x:v>182.40589388718217</x:v>
      </x:c>
      <x:c r="P249" s="8" t="n">
        <x:f>N249^2</x:f>
        <x:v>33271.91012478196</x:v>
      </x:c>
      <x:c r="Q249" s="8" t="n">
        <x:f>K249-L249</x:f>
        <x:v>1</x:v>
      </x:c>
      <x:c r="R249" s="9" t="n">
        <x:f>IF(AND(INDEX('Сводка'!$T$3:$T$397,U249)=0,INDEX('Сводка'!$T$3:$T$397,V249)=0),1,0)</x:f>
        <x:v>1</x:v>
      </x:c>
      <x:c r="S249" s="9" t="n">
        <x:f>IF(AND(R249=1,O249&lt;=$G$13),1,0)</x:f>
        <x:v>0</x:v>
      </x:c>
      <x:c r="T249" s="10" t="n">
        <x:f>EOMONTH(J249-'Сводка'!$B$11,-1)</x:f>
        <x:v>46081</x:v>
      </x:c>
      <x:c r="U249" s="4" t="n">
        <x:f>MATCH(J249,'Сводка'!$R$3:$R$397,0)</x:f>
        <x:v>260</x:v>
      </x:c>
      <x:c r="V249" s="4" t="n">
        <x:f>MATCH(J249-'Сводка'!$B$11,'Сводка'!$R$3:$R$397,0)</x:f>
        <x:v>259</x:v>
      </x:c>
      <x:c r="W249" s="4" t="n">
        <x:f>MATCH(T249,$J$388:$J$400,0)</x:f>
        <x:v>9</x:v>
      </x:c>
      <x:c r="X249" s="3"/>
      <x:c r="Y249" s="3"/>
      <x:c r="Z249" s="3"/>
    </x:row>
    <x:row r="250" ht="15" customHeight="1">
      <x:c r="A250" s="3"/>
      <x:c r="B250" s="3"/>
      <x:c r="C250" s="3"/>
      <x:c r="D250" s="3"/>
      <x:c r="E250" s="3"/>
      <x:c r="F250" s="3"/>
      <x:c r="G250" s="3"/>
      <x:c r="H250" s="3"/>
      <x:c r="I250" s="3"/>
      <x:c r="J250" s="10" t="n">
        <x:v>46101</x:v>
      </x:c>
      <x:c r="K250" s="8" t="n">
        <x:f>INDEX('Сводка'!$S$3:$S$397,U250)</x:f>
        <x:v>-73</x:v>
      </x:c>
      <x:c r="L250" s="8" t="n">
        <x:f>INDEX('Сводка'!$S$3:$S$397,V250)</x:f>
        <x:v>-73</x:v>
      </x:c>
      <x:c r="M250" s="8" t="n">
        <x:f>INDEX($K$388:$N$400,W250,1)+INDEX($K$388:$N$400,W250,2)*(2*(J250-$T$405)/(T250-$T$405)-1)^1+INDEX($K$388:$N$400,W250,3)*(2*(J250-$T$405)/(T250-$T$405)-1)^2+INDEX($K$388:$N$400,W250,4)*(2*(J250-$T$405)/(T250-$T$405)-1)^3</x:f>
        <x:v>109.37964694487741</x:v>
      </x:c>
      <x:c r="N250" s="8" t="n">
        <x:f>K250-M250</x:f>
        <x:v>-182.3796469448774</x:v>
      </x:c>
      <x:c r="O250" s="8" t="n">
        <x:f>ABS(N250)</x:f>
        <x:v>182.3796469448774</x:v>
      </x:c>
      <x:c r="P250" s="8" t="n">
        <x:f>N250^2</x:f>
        <x:v>33262.33561973813</x:v>
      </x:c>
      <x:c r="Q250" s="8" t="n">
        <x:f>K250-L250</x:f>
        <x:v>0</x:v>
      </x:c>
      <x:c r="R250" s="9" t="n">
        <x:f>IF(AND(INDEX('Сводка'!$T$3:$T$397,U250)=0,INDEX('Сводка'!$T$3:$T$397,V250)=0),1,0)</x:f>
        <x:v>1</x:v>
      </x:c>
      <x:c r="S250" s="9" t="n">
        <x:f>IF(AND(R250=1,O250&lt;=$G$13),1,0)</x:f>
        <x:v>0</x:v>
      </x:c>
      <x:c r="T250" s="10" t="n">
        <x:f>EOMONTH(J250-'Сводка'!$B$11,-1)</x:f>
        <x:v>46081</x:v>
      </x:c>
      <x:c r="U250" s="4" t="n">
        <x:f>MATCH(J250,'Сводка'!$R$3:$R$397,0)</x:f>
        <x:v>261</x:v>
      </x:c>
      <x:c r="V250" s="4" t="n">
        <x:f>MATCH(J250-'Сводка'!$B$11,'Сводка'!$R$3:$R$397,0)</x:f>
        <x:v>260</x:v>
      </x:c>
      <x:c r="W250" s="4" t="n">
        <x:f>MATCH(T250,$J$388:$J$400,0)</x:f>
        <x:v>9</x:v>
      </x:c>
      <x:c r="X250" s="3"/>
      <x:c r="Y250" s="3"/>
      <x:c r="Z250" s="3"/>
    </x:row>
    <x:row r="251" ht="15" customHeight="1">
      <x:c r="A251" s="3"/>
      <x:c r="B251" s="3"/>
      <x:c r="C251" s="3"/>
      <x:c r="D251" s="3"/>
      <x:c r="E251" s="3"/>
      <x:c r="F251" s="3"/>
      <x:c r="G251" s="3"/>
      <x:c r="H251" s="3"/>
      <x:c r="I251" s="3"/>
      <x:c r="J251" s="10" t="n">
        <x:v>46102</x:v>
      </x:c>
      <x:c r="K251" s="8" t="n">
        <x:f>INDEX('Сводка'!$S$3:$S$397,U251)</x:f>
        <x:v>-71</x:v>
      </x:c>
      <x:c r="L251" s="8" t="n">
        <x:f>INDEX('Сводка'!$S$3:$S$397,V251)</x:f>
        <x:v>-73</x:v>
      </x:c>
      <x:c r="M251" s="8" t="n">
        <x:f>INDEX($K$388:$N$400,W251,1)+INDEX($K$388:$N$400,W251,2)*(2*(J251-$T$405)/(T251-$T$405)-1)^1+INDEX($K$388:$N$400,W251,3)*(2*(J251-$T$405)/(T251-$T$405)-1)^2+INDEX($K$388:$N$400,W251,4)*(2*(J251-$T$405)/(T251-$T$405)-1)^3</x:f>
        <x:v>109.35338237226874</x:v>
      </x:c>
      <x:c r="N251" s="8" t="n">
        <x:f>K251-M251</x:f>
        <x:v>-180.35338237226875</x:v>
      </x:c>
      <x:c r="O251" s="8" t="n">
        <x:f>ABS(N251)</x:f>
        <x:v>180.35338237226875</x:v>
      </x:c>
      <x:c r="P251" s="8" t="n">
        <x:f>N251^2</x:f>
        <x:v>32527.342533117782</x:v>
      </x:c>
      <x:c r="Q251" s="8" t="n">
        <x:f>K251-L251</x:f>
        <x:v>2</x:v>
      </x:c>
      <x:c r="R251" s="9" t="n">
        <x:f>IF(AND(INDEX('Сводка'!$T$3:$T$397,U251)=0,INDEX('Сводка'!$T$3:$T$397,V251)=0),1,0)</x:f>
        <x:v>1</x:v>
      </x:c>
      <x:c r="S251" s="9" t="n">
        <x:f>IF(AND(R251=1,O251&lt;=$G$13),1,0)</x:f>
        <x:v>0</x:v>
      </x:c>
      <x:c r="T251" s="10" t="n">
        <x:f>EOMONTH(J251-'Сводка'!$B$11,-1)</x:f>
        <x:v>46081</x:v>
      </x:c>
      <x:c r="U251" s="4" t="n">
        <x:f>MATCH(J251,'Сводка'!$R$3:$R$397,0)</x:f>
        <x:v>262</x:v>
      </x:c>
      <x:c r="V251" s="4" t="n">
        <x:f>MATCH(J251-'Сводка'!$B$11,'Сводка'!$R$3:$R$397,0)</x:f>
        <x:v>261</x:v>
      </x:c>
      <x:c r="W251" s="4" t="n">
        <x:f>MATCH(T251,$J$388:$J$400,0)</x:f>
        <x:v>9</x:v>
      </x:c>
      <x:c r="X251" s="3"/>
      <x:c r="Y251" s="3"/>
      <x:c r="Z251" s="3"/>
    </x:row>
    <x:row r="252" ht="15" customHeight="1">
      <x:c r="A252" s="3"/>
      <x:c r="B252" s="3"/>
      <x:c r="C252" s="3"/>
      <x:c r="D252" s="3"/>
      <x:c r="E252" s="3"/>
      <x:c r="F252" s="3"/>
      <x:c r="G252" s="3"/>
      <x:c r="H252" s="3"/>
      <x:c r="I252" s="3"/>
      <x:c r="J252" s="10" t="n">
        <x:v>46103</x:v>
      </x:c>
      <x:c r="K252" s="8" t="n">
        <x:f>INDEX('Сводка'!$S$3:$S$397,U252)</x:f>
        <x:v>-71</x:v>
      </x:c>
      <x:c r="L252" s="8" t="n">
        <x:f>INDEX('Сводка'!$S$3:$S$397,V252)</x:f>
        <x:v>-71</x:v>
      </x:c>
      <x:c r="M252" s="8" t="n">
        <x:f>INDEX($K$388:$N$400,W252,1)+INDEX($K$388:$N$400,W252,2)*(2*(J252-$T$405)/(T252-$T$405)-1)^1+INDEX($K$388:$N$400,W252,3)*(2*(J252-$T$405)/(T252-$T$405)-1)^2+INDEX($K$388:$N$400,W252,4)*(2*(J252-$T$405)/(T252-$T$405)-1)^3</x:f>
        <x:v>109.32710016682314</x:v>
      </x:c>
      <x:c r="N252" s="8" t="n">
        <x:f>K252-M252</x:f>
        <x:v>-180.32710016682313</x:v>
      </x:c>
      <x:c r="O252" s="8" t="n">
        <x:f>ABS(N252)</x:f>
        <x:v>180.32710016682313</x:v>
      </x:c>
      <x:c r="P252" s="8" t="n">
        <x:f>N252^2</x:f>
        <x:v>32517.863054575464</x:v>
      </x:c>
      <x:c r="Q252" s="8" t="n">
        <x:f>K252-L252</x:f>
        <x:v>0</x:v>
      </x:c>
      <x:c r="R252" s="9" t="n">
        <x:f>IF(AND(INDEX('Сводка'!$T$3:$T$397,U252)=0,INDEX('Сводка'!$T$3:$T$397,V252)=0),1,0)</x:f>
        <x:v>1</x:v>
      </x:c>
      <x:c r="S252" s="9" t="n">
        <x:f>IF(AND(R252=1,O252&lt;=$G$13),1,0)</x:f>
        <x:v>0</x:v>
      </x:c>
      <x:c r="T252" s="10" t="n">
        <x:f>EOMONTH(J252-'Сводка'!$B$11,-1)</x:f>
        <x:v>46081</x:v>
      </x:c>
      <x:c r="U252" s="4" t="n">
        <x:f>MATCH(J252,'Сводка'!$R$3:$R$397,0)</x:f>
        <x:v>263</x:v>
      </x:c>
      <x:c r="V252" s="4" t="n">
        <x:f>MATCH(J252-'Сводка'!$B$11,'Сводка'!$R$3:$R$397,0)</x:f>
        <x:v>262</x:v>
      </x:c>
      <x:c r="W252" s="4" t="n">
        <x:f>MATCH(T252,$J$388:$J$400,0)</x:f>
        <x:v>9</x:v>
      </x:c>
      <x:c r="X252" s="3"/>
      <x:c r="Y252" s="3"/>
      <x:c r="Z252" s="3"/>
    </x:row>
    <x:row r="253" ht="15" customHeight="1">
      <x:c r="A253" s="3"/>
      <x:c r="B253" s="3"/>
      <x:c r="C253" s="3"/>
      <x:c r="D253" s="3"/>
      <x:c r="E253" s="3"/>
      <x:c r="F253" s="3"/>
      <x:c r="G253" s="3"/>
      <x:c r="H253" s="3"/>
      <x:c r="I253" s="3"/>
      <x:c r="J253" s="10" t="n">
        <x:v>46104</x:v>
      </x:c>
      <x:c r="K253" s="8" t="n">
        <x:f>INDEX('Сводка'!$S$3:$S$397,U253)</x:f>
        <x:v>-71</x:v>
      </x:c>
      <x:c r="L253" s="8" t="n">
        <x:f>INDEX('Сводка'!$S$3:$S$397,V253)</x:f>
        <x:v>-71</x:v>
      </x:c>
      <x:c r="M253" s="8" t="n">
        <x:f>INDEX($K$388:$N$400,W253,1)+INDEX($K$388:$N$400,W253,2)*(2*(J253-$T$405)/(T253-$T$405)-1)^1+INDEX($K$388:$N$400,W253,3)*(2*(J253-$T$405)/(T253-$T$405)-1)^2+INDEX($K$388:$N$400,W253,4)*(2*(J253-$T$405)/(T253-$T$405)-1)^3</x:f>
        <x:v>109.30080032600748</x:v>
      </x:c>
      <x:c r="N253" s="8" t="n">
        <x:f>K253-M253</x:f>
        <x:v>-180.30080032600748</x:v>
      </x:c>
      <x:c r="O253" s="8" t="n">
        <x:f>ABS(N253)</x:f>
        <x:v>180.30080032600748</x:v>
      </x:c>
      <x:c r="P253" s="8" t="n">
        <x:f>N253^2</x:f>
        <x:v>32508.37859819882</x:v>
      </x:c>
      <x:c r="Q253" s="8" t="n">
        <x:f>K253-L253</x:f>
        <x:v>0</x:v>
      </x:c>
      <x:c r="R253" s="9" t="n">
        <x:f>IF(AND(INDEX('Сводка'!$T$3:$T$397,U253)=0,INDEX('Сводка'!$T$3:$T$397,V253)=0),1,0)</x:f>
        <x:v>1</x:v>
      </x:c>
      <x:c r="S253" s="9" t="n">
        <x:f>IF(AND(R253=1,O253&lt;=$G$13),1,0)</x:f>
        <x:v>0</x:v>
      </x:c>
      <x:c r="T253" s="10" t="n">
        <x:f>EOMONTH(J253-'Сводка'!$B$11,-1)</x:f>
        <x:v>46081</x:v>
      </x:c>
      <x:c r="U253" s="4" t="n">
        <x:f>MATCH(J253,'Сводка'!$R$3:$R$397,0)</x:f>
        <x:v>264</x:v>
      </x:c>
      <x:c r="V253" s="4" t="n">
        <x:f>MATCH(J253-'Сводка'!$B$11,'Сводка'!$R$3:$R$397,0)</x:f>
        <x:v>263</x:v>
      </x:c>
      <x:c r="W253" s="4" t="n">
        <x:f>MATCH(T253,$J$388:$J$400,0)</x:f>
        <x:v>9</x:v>
      </x:c>
      <x:c r="X253" s="3"/>
      <x:c r="Y253" s="3"/>
      <x:c r="Z253" s="3"/>
    </x:row>
    <x:row r="254" ht="15" customHeight="1">
      <x:c r="A254" s="3"/>
      <x:c r="B254" s="3"/>
      <x:c r="C254" s="3"/>
      <x:c r="D254" s="3"/>
      <x:c r="E254" s="3"/>
      <x:c r="F254" s="3"/>
      <x:c r="G254" s="3"/>
      <x:c r="H254" s="3"/>
      <x:c r="I254" s="3"/>
      <x:c r="J254" s="10" t="n">
        <x:v>46105</x:v>
      </x:c>
      <x:c r="K254" s="8" t="n">
        <x:f>INDEX('Сводка'!$S$3:$S$397,U254)</x:f>
        <x:v>-71</x:v>
      </x:c>
      <x:c r="L254" s="8" t="n">
        <x:f>INDEX('Сводка'!$S$3:$S$397,V254)</x:f>
        <x:v>-71</x:v>
      </x:c>
      <x:c r="M254" s="8" t="n">
        <x:f>INDEX($K$388:$N$400,W254,1)+INDEX($K$388:$N$400,W254,2)*(2*(J254-$T$405)/(T254-$T$405)-1)^1+INDEX($K$388:$N$400,W254,3)*(2*(J254-$T$405)/(T254-$T$405)-1)^2+INDEX($K$388:$N$400,W254,4)*(2*(J254-$T$405)/(T254-$T$405)-1)^3</x:f>
        <x:v>109.2744828472888</x:v>
      </x:c>
      <x:c r="N254" s="8" t="n">
        <x:f>K254-M254</x:f>
        <x:v>-180.2744828472888</x:v>
      </x:c>
      <x:c r="O254" s="8" t="n">
        <x:f>ABS(N254)</x:f>
        <x:v>180.2744828472888</x:v>
      </x:c>
      <x:c r="P254" s="8" t="n">
        <x:f>N254^2</x:f>
        <x:v>32498.88916585742</x:v>
      </x:c>
      <x:c r="Q254" s="8" t="n">
        <x:f>K254-L254</x:f>
        <x:v>0</x:v>
      </x:c>
      <x:c r="R254" s="9" t="n">
        <x:f>IF(AND(INDEX('Сводка'!$T$3:$T$397,U254)=0,INDEX('Сводка'!$T$3:$T$397,V254)=0),1,0)</x:f>
        <x:v>1</x:v>
      </x:c>
      <x:c r="S254" s="9" t="n">
        <x:f>IF(AND(R254=1,O254&lt;=$G$13),1,0)</x:f>
        <x:v>0</x:v>
      </x:c>
      <x:c r="T254" s="10" t="n">
        <x:f>EOMONTH(J254-'Сводка'!$B$11,-1)</x:f>
        <x:v>46081</x:v>
      </x:c>
      <x:c r="U254" s="4" t="n">
        <x:f>MATCH(J254,'Сводка'!$R$3:$R$397,0)</x:f>
        <x:v>265</x:v>
      </x:c>
      <x:c r="V254" s="4" t="n">
        <x:f>MATCH(J254-'Сводка'!$B$11,'Сводка'!$R$3:$R$397,0)</x:f>
        <x:v>264</x:v>
      </x:c>
      <x:c r="W254" s="4" t="n">
        <x:f>MATCH(T254,$J$388:$J$400,0)</x:f>
        <x:v>9</x:v>
      </x:c>
      <x:c r="X254" s="3"/>
      <x:c r="Y254" s="3"/>
      <x:c r="Z254" s="3"/>
    </x:row>
    <x:row r="255" ht="15" customHeight="1">
      <x:c r="A255" s="3"/>
      <x:c r="B255" s="3"/>
      <x:c r="C255" s="3"/>
      <x:c r="D255" s="3"/>
      <x:c r="E255" s="3"/>
      <x:c r="F255" s="3"/>
      <x:c r="G255" s="3"/>
      <x:c r="H255" s="3"/>
      <x:c r="I255" s="3"/>
      <x:c r="J255" s="10" t="n">
        <x:v>46106</x:v>
      </x:c>
      <x:c r="K255" s="8" t="n">
        <x:f>INDEX('Сводка'!$S$3:$S$397,U255)</x:f>
        <x:v>-72</x:v>
      </x:c>
      <x:c r="L255" s="8" t="n">
        <x:f>INDEX('Сводка'!$S$3:$S$397,V255)</x:f>
        <x:v>-71</x:v>
      </x:c>
      <x:c r="M255" s="8" t="n">
        <x:f>INDEX($K$388:$N$400,W255,1)+INDEX($K$388:$N$400,W255,2)*(2*(J255-$T$405)/(T255-$T$405)-1)^1+INDEX($K$388:$N$400,W255,3)*(2*(J255-$T$405)/(T255-$T$405)-1)^2+INDEX($K$388:$N$400,W255,4)*(2*(J255-$T$405)/(T255-$T$405)-1)^3</x:f>
        <x:v>109.24814772813414</x:v>
      </x:c>
      <x:c r="N255" s="8" t="n">
        <x:f>K255-M255</x:f>
        <x:v>-181.24814772813414</x:v>
      </x:c>
      <x:c r="O255" s="8" t="n">
        <x:f>ABS(N255)</x:f>
        <x:v>181.24814772813414</x:v>
      </x:c>
      <x:c r="P255" s="8" t="n">
        <x:f>N255^2</x:f>
        <x:v>32850.89105487954</x:v>
      </x:c>
      <x:c r="Q255" s="8" t="n">
        <x:f>K255-L255</x:f>
        <x:v>-1</x:v>
      </x:c>
      <x:c r="R255" s="9" t="n">
        <x:f>IF(AND(INDEX('Сводка'!$T$3:$T$397,U255)=0,INDEX('Сводка'!$T$3:$T$397,V255)=0),1,0)</x:f>
        <x:v>1</x:v>
      </x:c>
      <x:c r="S255" s="9" t="n">
        <x:f>IF(AND(R255=1,O255&lt;=$G$13),1,0)</x:f>
        <x:v>0</x:v>
      </x:c>
      <x:c r="T255" s="10" t="n">
        <x:f>EOMONTH(J255-'Сводка'!$B$11,-1)</x:f>
        <x:v>46081</x:v>
      </x:c>
      <x:c r="U255" s="4" t="n">
        <x:f>MATCH(J255,'Сводка'!$R$3:$R$397,0)</x:f>
        <x:v>266</x:v>
      </x:c>
      <x:c r="V255" s="4" t="n">
        <x:f>MATCH(J255-'Сводка'!$B$11,'Сводка'!$R$3:$R$397,0)</x:f>
        <x:v>265</x:v>
      </x:c>
      <x:c r="W255" s="4" t="n">
        <x:f>MATCH(T255,$J$388:$J$400,0)</x:f>
        <x:v>9</x:v>
      </x:c>
      <x:c r="X255" s="3"/>
      <x:c r="Y255" s="3"/>
      <x:c r="Z255" s="3"/>
    </x:row>
    <x:row r="256" ht="15" customHeight="1">
      <x:c r="A256" s="3"/>
      <x:c r="B256" s="3"/>
      <x:c r="C256" s="3"/>
      <x:c r="D256" s="3"/>
      <x:c r="E256" s="3"/>
      <x:c r="F256" s="3"/>
      <x:c r="G256" s="3"/>
      <x:c r="H256" s="3"/>
      <x:c r="I256" s="3"/>
      <x:c r="J256" s="10" t="n">
        <x:v>46107</x:v>
      </x:c>
      <x:c r="K256" s="8" t="n">
        <x:f>INDEX('Сводка'!$S$3:$S$397,U256)</x:f>
        <x:v>-72</x:v>
      </x:c>
      <x:c r="L256" s="8" t="n">
        <x:f>INDEX('Сводка'!$S$3:$S$397,V256)</x:f>
        <x:v>-72</x:v>
      </x:c>
      <x:c r="M256" s="8" t="n">
        <x:f>INDEX($K$388:$N$400,W256,1)+INDEX($K$388:$N$400,W256,2)*(2*(J256-$T$405)/(T256-$T$405)-1)^1+INDEX($K$388:$N$400,W256,3)*(2*(J256-$T$405)/(T256-$T$405)-1)^2+INDEX($K$388:$N$400,W256,4)*(2*(J256-$T$405)/(T256-$T$405)-1)^3</x:f>
        <x:v>109.22179496601032</x:v>
      </x:c>
      <x:c r="N256" s="8" t="n">
        <x:f>K256-M256</x:f>
        <x:v>-181.22179496601032</x:v>
      </x:c>
      <x:c r="O256" s="8" t="n">
        <x:f>ABS(N256)</x:f>
        <x:v>181.22179496601032</x:v>
      </x:c>
      <x:c r="P256" s="8" t="n">
        <x:f>N256^2</x:f>
        <x:v>32841.33897070269</x:v>
      </x:c>
      <x:c r="Q256" s="8" t="n">
        <x:f>K256-L256</x:f>
        <x:v>0</x:v>
      </x:c>
      <x:c r="R256" s="9" t="n">
        <x:f>IF(AND(INDEX('Сводка'!$T$3:$T$397,U256)=0,INDEX('Сводка'!$T$3:$T$397,V256)=0),1,0)</x:f>
        <x:v>1</x:v>
      </x:c>
      <x:c r="S256" s="9" t="n">
        <x:f>IF(AND(R256=1,O256&lt;=$G$13),1,0)</x:f>
        <x:v>0</x:v>
      </x:c>
      <x:c r="T256" s="10" t="n">
        <x:f>EOMONTH(J256-'Сводка'!$B$11,-1)</x:f>
        <x:v>46081</x:v>
      </x:c>
      <x:c r="U256" s="4" t="n">
        <x:f>MATCH(J256,'Сводка'!$R$3:$R$397,0)</x:f>
        <x:v>267</x:v>
      </x:c>
      <x:c r="V256" s="4" t="n">
        <x:f>MATCH(J256-'Сводка'!$B$11,'Сводка'!$R$3:$R$397,0)</x:f>
        <x:v>266</x:v>
      </x:c>
      <x:c r="W256" s="4" t="n">
        <x:f>MATCH(T256,$J$388:$J$400,0)</x:f>
        <x:v>9</x:v>
      </x:c>
      <x:c r="X256" s="3"/>
      <x:c r="Y256" s="3"/>
      <x:c r="Z256" s="3"/>
    </x:row>
    <x:row r="257" ht="15" customHeight="1">
      <x:c r="A257" s="3"/>
      <x:c r="B257" s="3"/>
      <x:c r="C257" s="3"/>
      <x:c r="D257" s="3"/>
      <x:c r="E257" s="3"/>
      <x:c r="F257" s="3"/>
      <x:c r="G257" s="3"/>
      <x:c r="H257" s="3"/>
      <x:c r="I257" s="3"/>
      <x:c r="J257" s="10" t="n">
        <x:v>46108</x:v>
      </x:c>
      <x:c r="K257" s="8" t="n">
        <x:f>INDEX('Сводка'!$S$3:$S$397,U257)</x:f>
        <x:v>-71</x:v>
      </x:c>
      <x:c r="L257" s="8" t="n">
        <x:f>INDEX('Сводка'!$S$3:$S$397,V257)</x:f>
        <x:v>-72</x:v>
      </x:c>
      <x:c r="M257" s="8" t="n">
        <x:f>INDEX($K$388:$N$400,W257,1)+INDEX($K$388:$N$400,W257,2)*(2*(J257-$T$405)/(T257-$T$405)-1)^1+INDEX($K$388:$N$400,W257,3)*(2*(J257-$T$405)/(T257-$T$405)-1)^2+INDEX($K$388:$N$400,W257,4)*(2*(J257-$T$405)/(T257-$T$405)-1)^3</x:f>
        <x:v>109.19542455838432</x:v>
      </x:c>
      <x:c r="N257" s="8" t="n">
        <x:f>K257-M257</x:f>
        <x:v>-180.19542455838433</x:v>
      </x:c>
      <x:c r="O257" s="8" t="n">
        <x:f>ABS(N257)</x:f>
        <x:v>180.19542455838433</x:v>
      </x:c>
      <x:c r="P257" s="8" t="n">
        <x:f>N257^2</x:f>
        <x:v>32470.39103177638</x:v>
      </x:c>
      <x:c r="Q257" s="8" t="n">
        <x:f>K257-L257</x:f>
        <x:v>1</x:v>
      </x:c>
      <x:c r="R257" s="9" t="n">
        <x:f>IF(AND(INDEX('Сводка'!$T$3:$T$397,U257)=0,INDEX('Сводка'!$T$3:$T$397,V257)=0),1,0)</x:f>
        <x:v>1</x:v>
      </x:c>
      <x:c r="S257" s="9" t="n">
        <x:f>IF(AND(R257=1,O257&lt;=$G$13),1,0)</x:f>
        <x:v>0</x:v>
      </x:c>
      <x:c r="T257" s="10" t="n">
        <x:f>EOMONTH(J257-'Сводка'!$B$11,-1)</x:f>
        <x:v>46081</x:v>
      </x:c>
      <x:c r="U257" s="4" t="n">
        <x:f>MATCH(J257,'Сводка'!$R$3:$R$397,0)</x:f>
        <x:v>268</x:v>
      </x:c>
      <x:c r="V257" s="4" t="n">
        <x:f>MATCH(J257-'Сводка'!$B$11,'Сводка'!$R$3:$R$397,0)</x:f>
        <x:v>267</x:v>
      </x:c>
      <x:c r="W257" s="4" t="n">
        <x:f>MATCH(T257,$J$388:$J$400,0)</x:f>
        <x:v>9</x:v>
      </x:c>
      <x:c r="X257" s="3"/>
      <x:c r="Y257" s="3"/>
      <x:c r="Z257" s="3"/>
    </x:row>
    <x:row r="258" ht="15" customHeight="1">
      <x:c r="A258" s="3"/>
      <x:c r="B258" s="3"/>
      <x:c r="C258" s="3"/>
      <x:c r="D258" s="3"/>
      <x:c r="E258" s="3"/>
      <x:c r="F258" s="3"/>
      <x:c r="G258" s="3"/>
      <x:c r="H258" s="3"/>
      <x:c r="I258" s="3"/>
      <x:c r="J258" s="10" t="n">
        <x:v>46109</x:v>
      </x:c>
      <x:c r="K258" s="8" t="n">
        <x:f>INDEX('Сводка'!$S$3:$S$397,U258)</x:f>
        <x:v>-71</x:v>
      </x:c>
      <x:c r="L258" s="8" t="n">
        <x:f>INDEX('Сводка'!$S$3:$S$397,V258)</x:f>
        <x:v>-71</x:v>
      </x:c>
      <x:c r="M258" s="8" t="n">
        <x:f>INDEX($K$388:$N$400,W258,1)+INDEX($K$388:$N$400,W258,2)*(2*(J258-$T$405)/(T258-$T$405)-1)^1+INDEX($K$388:$N$400,W258,3)*(2*(J258-$T$405)/(T258-$T$405)-1)^2+INDEX($K$388:$N$400,W258,4)*(2*(J258-$T$405)/(T258-$T$405)-1)^3</x:f>
        <x:v>109.1690365027232</x:v>
      </x:c>
      <x:c r="N258" s="8" t="n">
        <x:f>K258-M258</x:f>
        <x:v>-180.1690365027232</x:v>
      </x:c>
      <x:c r="O258" s="8" t="n">
        <x:f>ABS(N258)</x:f>
        <x:v>180.1690365027232</x:v>
      </x:c>
      <x:c r="P258" s="8" t="n">
        <x:f>N258^2</x:f>
        <x:v>32460.881714319607</x:v>
      </x:c>
      <x:c r="Q258" s="8" t="n">
        <x:f>K258-L258</x:f>
        <x:v>0</x:v>
      </x:c>
      <x:c r="R258" s="9" t="n">
        <x:f>IF(AND(INDEX('Сводка'!$T$3:$T$397,U258)=0,INDEX('Сводка'!$T$3:$T$397,V258)=0),1,0)</x:f>
        <x:v>1</x:v>
      </x:c>
      <x:c r="S258" s="9" t="n">
        <x:f>IF(AND(R258=1,O258&lt;=$G$13),1,0)</x:f>
        <x:v>0</x:v>
      </x:c>
      <x:c r="T258" s="10" t="n">
        <x:f>EOMONTH(J258-'Сводка'!$B$11,-1)</x:f>
        <x:v>46081</x:v>
      </x:c>
      <x:c r="U258" s="4" t="n">
        <x:f>MATCH(J258,'Сводка'!$R$3:$R$397,0)</x:f>
        <x:v>269</x:v>
      </x:c>
      <x:c r="V258" s="4" t="n">
        <x:f>MATCH(J258-'Сводка'!$B$11,'Сводка'!$R$3:$R$397,0)</x:f>
        <x:v>268</x:v>
      </x:c>
      <x:c r="W258" s="4" t="n">
        <x:f>MATCH(T258,$J$388:$J$400,0)</x:f>
        <x:v>9</x:v>
      </x:c>
      <x:c r="X258" s="3"/>
      <x:c r="Y258" s="3"/>
      <x:c r="Z258" s="3"/>
    </x:row>
    <x:row r="259" ht="15" customHeight="1">
      <x:c r="A259" s="3"/>
      <x:c r="B259" s="3"/>
      <x:c r="C259" s="3"/>
      <x:c r="D259" s="3"/>
      <x:c r="E259" s="3"/>
      <x:c r="F259" s="3"/>
      <x:c r="G259" s="3"/>
      <x:c r="H259" s="3"/>
      <x:c r="I259" s="3"/>
      <x:c r="J259" s="10" t="n">
        <x:v>46110</x:v>
      </x:c>
      <x:c r="K259" s="8" t="n">
        <x:f>INDEX('Сводка'!$S$3:$S$397,U259)</x:f>
        <x:v>-71</x:v>
      </x:c>
      <x:c r="L259" s="8" t="n">
        <x:f>INDEX('Сводка'!$S$3:$S$397,V259)</x:f>
        <x:v>-71</x:v>
      </x:c>
      <x:c r="M259" s="8" t="n">
        <x:f>INDEX($K$388:$N$400,W259,1)+INDEX($K$388:$N$400,W259,2)*(2*(J259-$T$405)/(T259-$T$405)-1)^1+INDEX($K$388:$N$400,W259,3)*(2*(J259-$T$405)/(T259-$T$405)-1)^2+INDEX($K$388:$N$400,W259,4)*(2*(J259-$T$405)/(T259-$T$405)-1)^3</x:f>
        <x:v>109.14263079649385</x:v>
      </x:c>
      <x:c r="N259" s="8" t="n">
        <x:f>K259-M259</x:f>
        <x:v>-180.14263079649385</x:v>
      </x:c>
      <x:c r="O259" s="8" t="n">
        <x:f>ABS(N259)</x:f>
        <x:v>180.14263079649385</x:v>
      </x:c>
      <x:c r="P259" s="8" t="n">
        <x:f>N259^2</x:f>
        <x:v>32451.367430281894</x:v>
      </x:c>
      <x:c r="Q259" s="8" t="n">
        <x:f>K259-L259</x:f>
        <x:v>0</x:v>
      </x:c>
      <x:c r="R259" s="9" t="n">
        <x:f>IF(AND(INDEX('Сводка'!$T$3:$T$397,U259)=0,INDEX('Сводка'!$T$3:$T$397,V259)=0),1,0)</x:f>
        <x:v>1</x:v>
      </x:c>
      <x:c r="S259" s="9" t="n">
        <x:f>IF(AND(R259=1,O259&lt;=$G$13),1,0)</x:f>
        <x:v>0</x:v>
      </x:c>
      <x:c r="T259" s="10" t="n">
        <x:f>EOMONTH(J259-'Сводка'!$B$11,-1)</x:f>
        <x:v>46081</x:v>
      </x:c>
      <x:c r="U259" s="4" t="n">
        <x:f>MATCH(J259,'Сводка'!$R$3:$R$397,0)</x:f>
        <x:v>270</x:v>
      </x:c>
      <x:c r="V259" s="4" t="n">
        <x:f>MATCH(J259-'Сводка'!$B$11,'Сводка'!$R$3:$R$397,0)</x:f>
        <x:v>269</x:v>
      </x:c>
      <x:c r="W259" s="4" t="n">
        <x:f>MATCH(T259,$J$388:$J$400,0)</x:f>
        <x:v>9</x:v>
      </x:c>
      <x:c r="X259" s="3"/>
      <x:c r="Y259" s="3"/>
      <x:c r="Z259" s="3"/>
    </x:row>
    <x:row r="260" ht="15" customHeight="1">
      <x:c r="A260" s="3"/>
      <x:c r="B260" s="3"/>
      <x:c r="C260" s="3"/>
      <x:c r="D260" s="3"/>
      <x:c r="E260" s="3"/>
      <x:c r="F260" s="3"/>
      <x:c r="G260" s="3"/>
      <x:c r="H260" s="3"/>
      <x:c r="I260" s="3"/>
      <x:c r="J260" s="10" t="n">
        <x:v>46111</x:v>
      </x:c>
      <x:c r="K260" s="8" t="n">
        <x:f>INDEX('Сводка'!$S$3:$S$397,U260)</x:f>
        <x:v>-69</x:v>
      </x:c>
      <x:c r="L260" s="8" t="n">
        <x:f>INDEX('Сводка'!$S$3:$S$397,V260)</x:f>
        <x:v>-71</x:v>
      </x:c>
      <x:c r="M260" s="8" t="n">
        <x:f>INDEX($K$388:$N$400,W260,1)+INDEX($K$388:$N$400,W260,2)*(2*(J260-$T$405)/(T260-$T$405)-1)^1+INDEX($K$388:$N$400,W260,3)*(2*(J260-$T$405)/(T260-$T$405)-1)^2+INDEX($K$388:$N$400,W260,4)*(2*(J260-$T$405)/(T260-$T$405)-1)^3</x:f>
        <x:v>109.11620743716325</x:v>
      </x:c>
      <x:c r="N260" s="8" t="n">
        <x:f>K260-M260</x:f>
        <x:v>-178.11620743716327</x:v>
      </x:c>
      <x:c r="O260" s="8" t="n">
        <x:f>ABS(N260)</x:f>
        <x:v>178.11620743716327</x:v>
      </x:c>
      <x:c r="P260" s="8" t="n">
        <x:f>N260^2</x:f>
        <x:v>31725.383351798577</x:v>
      </x:c>
      <x:c r="Q260" s="8" t="n">
        <x:f>K260-L260</x:f>
        <x:v>2</x:v>
      </x:c>
      <x:c r="R260" s="9" t="n">
        <x:f>IF(AND(INDEX('Сводка'!$T$3:$T$397,U260)=0,INDEX('Сводка'!$T$3:$T$397,V260)=0),1,0)</x:f>
        <x:v>1</x:v>
      </x:c>
      <x:c r="S260" s="9" t="n">
        <x:f>IF(AND(R260=1,O260&lt;=$G$13),1,0)</x:f>
        <x:v>0</x:v>
      </x:c>
      <x:c r="T260" s="10" t="n">
        <x:f>EOMONTH(J260-'Сводка'!$B$11,-1)</x:f>
        <x:v>46081</x:v>
      </x:c>
      <x:c r="U260" s="4" t="n">
        <x:f>MATCH(J260,'Сводка'!$R$3:$R$397,0)</x:f>
        <x:v>271</x:v>
      </x:c>
      <x:c r="V260" s="4" t="n">
        <x:f>MATCH(J260-'Сводка'!$B$11,'Сводка'!$R$3:$R$397,0)</x:f>
        <x:v>270</x:v>
      </x:c>
      <x:c r="W260" s="4" t="n">
        <x:f>MATCH(T260,$J$388:$J$400,0)</x:f>
        <x:v>9</x:v>
      </x:c>
      <x:c r="X260" s="3"/>
      <x:c r="Y260" s="3"/>
      <x:c r="Z260" s="3"/>
    </x:row>
    <x:row r="261" ht="15" customHeight="1">
      <x:c r="A261" s="3"/>
      <x:c r="B261" s="3"/>
      <x:c r="C261" s="3"/>
      <x:c r="D261" s="3"/>
      <x:c r="E261" s="3"/>
      <x:c r="F261" s="3"/>
      <x:c r="G261" s="3"/>
      <x:c r="H261" s="3"/>
      <x:c r="I261" s="3"/>
      <x:c r="J261" s="10" t="n">
        <x:v>46112</x:v>
      </x:c>
      <x:c r="K261" s="8" t="n">
        <x:f>INDEX('Сводка'!$S$3:$S$397,U261)</x:f>
        <x:v>-67</x:v>
      </x:c>
      <x:c r="L261" s="8" t="n">
        <x:f>INDEX('Сводка'!$S$3:$S$397,V261)</x:f>
        <x:v>-69</x:v>
      </x:c>
      <x:c r="M261" s="8" t="n">
        <x:f>INDEX($K$388:$N$400,W261,1)+INDEX($K$388:$N$400,W261,2)*(2*(J261-$T$405)/(T261-$T$405)-1)^1+INDEX($K$388:$N$400,W261,3)*(2*(J261-$T$405)/(T261-$T$405)-1)^2+INDEX($K$388:$N$400,W261,4)*(2*(J261-$T$405)/(T261-$T$405)-1)^3</x:f>
        <x:v>109.08976642219838</x:v>
      </x:c>
      <x:c r="N261" s="8" t="n">
        <x:f>K261-M261</x:f>
        <x:v>-176.08976642219838</x:v>
      </x:c>
      <x:c r="O261" s="8" t="n">
        <x:f>ABS(N261)</x:f>
        <x:v>176.08976642219838</x:v>
      </x:c>
      <x:c r="P261" s="8" t="n">
        <x:f>N261^2</x:f>
        <x:v>31007.605838624386</x:v>
      </x:c>
      <x:c r="Q261" s="8" t="n">
        <x:f>K261-L261</x:f>
        <x:v>2</x:v>
      </x:c>
      <x:c r="R261" s="9" t="n">
        <x:f>IF(AND(INDEX('Сводка'!$T$3:$T$397,U261)=0,INDEX('Сводка'!$T$3:$T$397,V261)=0),1,0)</x:f>
        <x:v>1</x:v>
      </x:c>
      <x:c r="S261" s="9" t="n">
        <x:f>IF(AND(R261=1,O261&lt;=$G$13),1,0)</x:f>
        <x:v>0</x:v>
      </x:c>
      <x:c r="T261" s="10" t="n">
        <x:f>EOMONTH(J261-'Сводка'!$B$11,-1)</x:f>
        <x:v>46081</x:v>
      </x:c>
      <x:c r="U261" s="4" t="n">
        <x:f>MATCH(J261,'Сводка'!$R$3:$R$397,0)</x:f>
        <x:v>272</x:v>
      </x:c>
      <x:c r="V261" s="4" t="n">
        <x:f>MATCH(J261-'Сводка'!$B$11,'Сводка'!$R$3:$R$397,0)</x:f>
        <x:v>271</x:v>
      </x:c>
      <x:c r="W261" s="4" t="n">
        <x:f>MATCH(T261,$J$388:$J$400,0)</x:f>
        <x:v>9</x:v>
      </x:c>
      <x:c r="X261" s="3"/>
      <x:c r="Y261" s="3"/>
      <x:c r="Z261" s="3"/>
    </x:row>
    <x:row r="262" ht="15" customHeight="1">
      <x:c r="A262" s="3"/>
      <x:c r="B262" s="3"/>
      <x:c r="C262" s="3"/>
      <x:c r="D262" s="3"/>
      <x:c r="E262" s="3"/>
      <x:c r="F262" s="3"/>
      <x:c r="G262" s="3"/>
      <x:c r="H262" s="3"/>
      <x:c r="I262" s="3"/>
      <x:c r="J262" s="10" t="n">
        <x:v>46113</x:v>
      </x:c>
      <x:c r="K262" s="8" t="n">
        <x:f>INDEX('Сводка'!$S$3:$S$397,U262)</x:f>
        <x:v>-65</x:v>
      </x:c>
      <x:c r="L262" s="8" t="n">
        <x:f>INDEX('Сводка'!$S$3:$S$397,V262)</x:f>
        <x:v>-67</x:v>
      </x:c>
      <x:c r="M262" s="8" t="n">
        <x:f>INDEX($K$388:$N$400,W262,1)+INDEX($K$388:$N$400,W262,2)*(2*(J262-$T$405)/(T262-$T$405)-1)^1+INDEX($K$388:$N$400,W262,3)*(2*(J262-$T$405)/(T262-$T$405)-1)^2+INDEX($K$388:$N$400,W262,4)*(2*(J262-$T$405)/(T262-$T$405)-1)^3</x:f>
        <x:v>109.0633077490661</x:v>
      </x:c>
      <x:c r="N262" s="8" t="n">
        <x:f>K262-M262</x:f>
        <x:v>-174.0633077490661</x:v>
      </x:c>
      <x:c r="O262" s="8" t="n">
        <x:f>ABS(N262)</x:f>
        <x:v>174.0633077490661</x:v>
      </x:c>
      <x:c r="P262" s="8" t="n">
        <x:f>N262^2</x:f>
        <x:v>30298.035104546096</x:v>
      </x:c>
      <x:c r="Q262" s="8" t="n">
        <x:f>K262-L262</x:f>
        <x:v>2</x:v>
      </x:c>
      <x:c r="R262" s="9" t="n">
        <x:f>IF(AND(INDEX('Сводка'!$T$3:$T$397,U262)=0,INDEX('Сводка'!$T$3:$T$397,V262)=0),1,0)</x:f>
        <x:v>1</x:v>
      </x:c>
      <x:c r="S262" s="9" t="n">
        <x:f>IF(AND(R262=1,O262&lt;=$G$13),1,0)</x:f>
        <x:v>0</x:v>
      </x:c>
      <x:c r="T262" s="10" t="n">
        <x:f>EOMONTH(J262-'Сводка'!$B$11,-1)</x:f>
        <x:v>46081</x:v>
      </x:c>
      <x:c r="U262" s="4" t="n">
        <x:f>MATCH(J262,'Сводка'!$R$3:$R$397,0)</x:f>
        <x:v>273</x:v>
      </x:c>
      <x:c r="V262" s="4" t="n">
        <x:f>MATCH(J262-'Сводка'!$B$11,'Сводка'!$R$3:$R$397,0)</x:f>
        <x:v>272</x:v>
      </x:c>
      <x:c r="W262" s="4" t="n">
        <x:f>MATCH(T262,$J$388:$J$400,0)</x:f>
        <x:v>9</x:v>
      </x:c>
      <x:c r="X262" s="3"/>
      <x:c r="Y262" s="3"/>
      <x:c r="Z262" s="3"/>
    </x:row>
    <x:row r="263" ht="15" customHeight="1">
      <x:c r="A263" s="3"/>
      <x:c r="B263" s="3"/>
      <x:c r="C263" s="3"/>
      <x:c r="D263" s="3"/>
      <x:c r="E263" s="3"/>
      <x:c r="F263" s="3"/>
      <x:c r="G263" s="3"/>
      <x:c r="H263" s="3"/>
      <x:c r="I263" s="3"/>
      <x:c r="J263" s="10" t="n">
        <x:v>46114</x:v>
      </x:c>
      <x:c r="K263" s="8" t="n">
        <x:f>INDEX('Сводка'!$S$3:$S$397,U263)</x:f>
        <x:v>-59</x:v>
      </x:c>
      <x:c r="L263" s="8" t="n">
        <x:f>INDEX('Сводка'!$S$3:$S$397,V263)</x:f>
        <x:v>-65</x:v>
      </x:c>
      <x:c r="M263" s="8" t="n">
        <x:f>INDEX($K$388:$N$400,W263,1)+INDEX($K$388:$N$400,W263,2)*(2*(J263-$T$405)/(T263-$T$405)-1)^1+INDEX($K$388:$N$400,W263,3)*(2*(J263-$T$405)/(T263-$T$405)-1)^2+INDEX($K$388:$N$400,W263,4)*(2*(J263-$T$405)/(T263-$T$405)-1)^3</x:f>
        <x:v>98.57161678098412</x:v>
      </x:c>
      <x:c r="N263" s="8" t="n">
        <x:f>K263-M263</x:f>
        <x:v>-157.57161678098413</x:v>
      </x:c>
      <x:c r="O263" s="8" t="n">
        <x:f>ABS(N263)</x:f>
        <x:v>157.57161678098413</x:v>
      </x:c>
      <x:c r="P263" s="8" t="n">
        <x:f>N263^2</x:f>
        <x:v>24828.81441497332</x:v>
      </x:c>
      <x:c r="Q263" s="8" t="n">
        <x:f>K263-L263</x:f>
        <x:v>6</x:v>
      </x:c>
      <x:c r="R263" s="9" t="n">
        <x:f>IF(AND(INDEX('Сводка'!$T$3:$T$397,U263)=0,INDEX('Сводка'!$T$3:$T$397,V263)=0),1,0)</x:f>
        <x:v>1</x:v>
      </x:c>
      <x:c r="S263" s="9" t="n">
        <x:f>IF(AND(R263=1,O263&lt;=$G$13),1,0)</x:f>
        <x:v>0</x:v>
      </x:c>
      <x:c r="T263" s="10" t="n">
        <x:f>EOMONTH(J263-'Сводка'!$B$11,-1)</x:f>
        <x:v>46112</x:v>
      </x:c>
      <x:c r="U263" s="4" t="n">
        <x:f>MATCH(J263,'Сводка'!$R$3:$R$397,0)</x:f>
        <x:v>274</x:v>
      </x:c>
      <x:c r="V263" s="4" t="n">
        <x:f>MATCH(J263-'Сводка'!$B$11,'Сводка'!$R$3:$R$397,0)</x:f>
        <x:v>273</x:v>
      </x:c>
      <x:c r="W263" s="4" t="n">
        <x:f>MATCH(T263,$J$388:$J$400,0)</x:f>
        <x:v>10</x:v>
      </x:c>
      <x:c r="X263" s="3"/>
      <x:c r="Y263" s="3"/>
      <x:c r="Z263" s="3"/>
    </x:row>
    <x:row r="264" ht="15" customHeight="1">
      <x:c r="A264" s="3"/>
      <x:c r="B264" s="3"/>
      <x:c r="C264" s="3"/>
      <x:c r="D264" s="3"/>
      <x:c r="E264" s="3"/>
      <x:c r="F264" s="3"/>
      <x:c r="G264" s="3"/>
      <x:c r="H264" s="3"/>
      <x:c r="I264" s="3"/>
      <x:c r="J264" s="10" t="n">
        <x:v>46115</x:v>
      </x:c>
      <x:c r="K264" s="8" t="n">
        <x:f>INDEX('Сводка'!$S$3:$S$397,U264)</x:f>
        <x:v>-52</x:v>
      </x:c>
      <x:c r="L264" s="8" t="n">
        <x:f>INDEX('Сводка'!$S$3:$S$397,V264)</x:f>
        <x:v>-59</x:v>
      </x:c>
      <x:c r="M264" s="8" t="n">
        <x:f>INDEX($K$388:$N$400,W264,1)+INDEX($K$388:$N$400,W264,2)*(2*(J264-$T$405)/(T264-$T$405)-1)^1+INDEX($K$388:$N$400,W264,3)*(2*(J264-$T$405)/(T264-$T$405)-1)^2+INDEX($K$388:$N$400,W264,4)*(2*(J264-$T$405)/(T264-$T$405)-1)^3</x:f>
        <x:v>98.53647273224816</x:v>
      </x:c>
      <x:c r="N264" s="8" t="n">
        <x:f>K264-M264</x:f>
        <x:v>-150.53647273224817</x:v>
      </x:c>
      <x:c r="O264" s="8" t="n">
        <x:f>ABS(N264)</x:f>
        <x:v>150.53647273224817</x:v>
      </x:c>
      <x:c r="P264" s="8" t="n">
        <x:f>N264^2</x:f>
        <x:v>22661.2296226669</x:v>
      </x:c>
      <x:c r="Q264" s="8" t="n">
        <x:f>K264-L264</x:f>
        <x:v>7</x:v>
      </x:c>
      <x:c r="R264" s="9" t="n">
        <x:f>IF(AND(INDEX('Сводка'!$T$3:$T$397,U264)=0,INDEX('Сводка'!$T$3:$T$397,V264)=0),1,0)</x:f>
        <x:v>1</x:v>
      </x:c>
      <x:c r="S264" s="9" t="n">
        <x:f>IF(AND(R264=1,O264&lt;=$G$13),1,0)</x:f>
        <x:v>0</x:v>
      </x:c>
      <x:c r="T264" s="10" t="n">
        <x:f>EOMONTH(J264-'Сводка'!$B$11,-1)</x:f>
        <x:v>46112</x:v>
      </x:c>
      <x:c r="U264" s="4" t="n">
        <x:f>MATCH(J264,'Сводка'!$R$3:$R$397,0)</x:f>
        <x:v>275</x:v>
      </x:c>
      <x:c r="V264" s="4" t="n">
        <x:f>MATCH(J264-'Сводка'!$B$11,'Сводка'!$R$3:$R$397,0)</x:f>
        <x:v>274</x:v>
      </x:c>
      <x:c r="W264" s="4" t="n">
        <x:f>MATCH(T264,$J$388:$J$400,0)</x:f>
        <x:v>10</x:v>
      </x:c>
      <x:c r="X264" s="3"/>
      <x:c r="Y264" s="3"/>
      <x:c r="Z264" s="3"/>
    </x:row>
    <x:row r="265" ht="15" customHeight="1">
      <x:c r="A265" s="3"/>
      <x:c r="B265" s="3"/>
      <x:c r="C265" s="3"/>
      <x:c r="D265" s="3"/>
      <x:c r="E265" s="3"/>
      <x:c r="F265" s="3"/>
      <x:c r="G265" s="3"/>
      <x:c r="H265" s="3"/>
      <x:c r="I265" s="3"/>
      <x:c r="J265" s="10" t="n">
        <x:v>46116</x:v>
      </x:c>
      <x:c r="K265" s="8" t="n">
        <x:f>INDEX('Сводка'!$S$3:$S$397,U265)</x:f>
        <x:v>-42</x:v>
      </x:c>
      <x:c r="L265" s="8" t="n">
        <x:f>INDEX('Сводка'!$S$3:$S$397,V265)</x:f>
        <x:v>-52</x:v>
      </x:c>
      <x:c r="M265" s="8" t="n">
        <x:f>INDEX($K$388:$N$400,W265,1)+INDEX($K$388:$N$400,W265,2)*(2*(J265-$T$405)/(T265-$T$405)-1)^1+INDEX($K$388:$N$400,W265,3)*(2*(J265-$T$405)/(T265-$T$405)-1)^2+INDEX($K$388:$N$400,W265,4)*(2*(J265-$T$405)/(T265-$T$405)-1)^3</x:f>
        <x:v>98.50130715474972</x:v>
      </x:c>
      <x:c r="N265" s="8" t="n">
        <x:f>K265-M265</x:f>
        <x:v>-140.50130715474972</x:v>
      </x:c>
      <x:c r="O265" s="8" t="n">
        <x:f>ABS(N265)</x:f>
        <x:v>140.50130715474972</x:v>
      </x:c>
      <x:c r="P265" s="8" t="n">
        <x:f>N265^2</x:f>
        <x:v>19740.617312193328</x:v>
      </x:c>
      <x:c r="Q265" s="8" t="n">
        <x:f>K265-L265</x:f>
        <x:v>10</x:v>
      </x:c>
      <x:c r="R265" s="9" t="n">
        <x:f>IF(AND(INDEX('Сводка'!$T$3:$T$397,U265)=0,INDEX('Сводка'!$T$3:$T$397,V265)=0),1,0)</x:f>
        <x:v>1</x:v>
      </x:c>
      <x:c r="S265" s="9" t="n">
        <x:f>IF(AND(R265=1,O265&lt;=$G$13),1,0)</x:f>
        <x:v>0</x:v>
      </x:c>
      <x:c r="T265" s="10" t="n">
        <x:f>EOMONTH(J265-'Сводка'!$B$11,-1)</x:f>
        <x:v>46112</x:v>
      </x:c>
      <x:c r="U265" s="4" t="n">
        <x:f>MATCH(J265,'Сводка'!$R$3:$R$397,0)</x:f>
        <x:v>276</x:v>
      </x:c>
      <x:c r="V265" s="4" t="n">
        <x:f>MATCH(J265-'Сводка'!$B$11,'Сводка'!$R$3:$R$397,0)</x:f>
        <x:v>275</x:v>
      </x:c>
      <x:c r="W265" s="4" t="n">
        <x:f>MATCH(T265,$J$388:$J$400,0)</x:f>
        <x:v>10</x:v>
      </x:c>
      <x:c r="X265" s="3"/>
      <x:c r="Y265" s="3"/>
      <x:c r="Z265" s="3"/>
    </x:row>
    <x:row r="266" ht="15" customHeight="1">
      <x:c r="A266" s="3"/>
      <x:c r="B266" s="3"/>
      <x:c r="C266" s="3"/>
      <x:c r="D266" s="3"/>
      <x:c r="E266" s="3"/>
      <x:c r="F266" s="3"/>
      <x:c r="G266" s="3"/>
      <x:c r="H266" s="3"/>
      <x:c r="I266" s="3"/>
      <x:c r="J266" s="10" t="n">
        <x:v>46117</x:v>
      </x:c>
      <x:c r="K266" s="8" t="n">
        <x:f>INDEX('Сводка'!$S$3:$S$397,U266)</x:f>
        <x:v>-35</x:v>
      </x:c>
      <x:c r="L266" s="8" t="n">
        <x:f>INDEX('Сводка'!$S$3:$S$397,V266)</x:f>
        <x:v>-42</x:v>
      </x:c>
      <x:c r="M266" s="8" t="n">
        <x:f>INDEX($K$388:$N$400,W266,1)+INDEX($K$388:$N$400,W266,2)*(2*(J266-$T$405)/(T266-$T$405)-1)^1+INDEX($K$388:$N$400,W266,3)*(2*(J266-$T$405)/(T266-$T$405)-1)^2+INDEX($K$388:$N$400,W266,4)*(2*(J266-$T$405)/(T266-$T$405)-1)^3</x:f>
        <x:v>98.4661200451976</x:v>
      </x:c>
      <x:c r="N266" s="8" t="n">
        <x:f>K266-M266</x:f>
        <x:v>-133.4661200451976</x:v>
      </x:c>
      <x:c r="O266" s="8" t="n">
        <x:f>ABS(N266)</x:f>
        <x:v>133.4661200451976</x:v>
      </x:c>
      <x:c r="P266" s="8" t="n">
        <x:f>N266^2</x:f>
        <x:v>17813.2051999191</x:v>
      </x:c>
      <x:c r="Q266" s="8" t="n">
        <x:f>K266-L266</x:f>
        <x:v>7</x:v>
      </x:c>
      <x:c r="R266" s="9" t="n">
        <x:f>IF(AND(INDEX('Сводка'!$T$3:$T$397,U266)=0,INDEX('Сводка'!$T$3:$T$397,V266)=0),1,0)</x:f>
        <x:v>1</x:v>
      </x:c>
      <x:c r="S266" s="9" t="n">
        <x:f>IF(AND(R266=1,O266&lt;=$G$13),1,0)</x:f>
        <x:v>0</x:v>
      </x:c>
      <x:c r="T266" s="10" t="n">
        <x:f>EOMONTH(J266-'Сводка'!$B$11,-1)</x:f>
        <x:v>46112</x:v>
      </x:c>
      <x:c r="U266" s="4" t="n">
        <x:f>MATCH(J266,'Сводка'!$R$3:$R$397,0)</x:f>
        <x:v>277</x:v>
      </x:c>
      <x:c r="V266" s="4" t="n">
        <x:f>MATCH(J266-'Сводка'!$B$11,'Сводка'!$R$3:$R$397,0)</x:f>
        <x:v>276</x:v>
      </x:c>
      <x:c r="W266" s="4" t="n">
        <x:f>MATCH(T266,$J$388:$J$400,0)</x:f>
        <x:v>10</x:v>
      </x:c>
      <x:c r="X266" s="3"/>
      <x:c r="Y266" s="3"/>
      <x:c r="Z266" s="3"/>
    </x:row>
    <x:row r="267" ht="15" customHeight="1">
      <x:c r="A267" s="3"/>
      <x:c r="B267" s="3"/>
      <x:c r="C267" s="3"/>
      <x:c r="D267" s="3"/>
      <x:c r="E267" s="3"/>
      <x:c r="F267" s="3"/>
      <x:c r="G267" s="3"/>
      <x:c r="H267" s="3"/>
      <x:c r="I267" s="3"/>
      <x:c r="J267" s="10" t="n">
        <x:v>46118</x:v>
      </x:c>
      <x:c r="K267" s="8" t="n">
        <x:f>INDEX('Сводка'!$S$3:$S$397,U267)</x:f>
        <x:v>-17</x:v>
      </x:c>
      <x:c r="L267" s="8" t="n">
        <x:f>INDEX('Сводка'!$S$3:$S$397,V267)</x:f>
        <x:v>-35</x:v>
      </x:c>
      <x:c r="M267" s="8" t="n">
        <x:f>INDEX($K$388:$N$400,W267,1)+INDEX($K$388:$N$400,W267,2)*(2*(J267-$T$405)/(T267-$T$405)-1)^1+INDEX($K$388:$N$400,W267,3)*(2*(J267-$T$405)/(T267-$T$405)-1)^2+INDEX($K$388:$N$400,W267,4)*(2*(J267-$T$405)/(T267-$T$405)-1)^3</x:f>
        <x:v>98.43091140030029</x:v>
      </x:c>
      <x:c r="N267" s="8" t="n">
        <x:f>K267-M267</x:f>
        <x:v>-115.43091140030029</x:v>
      </x:c>
      <x:c r="O267" s="8" t="n">
        <x:f>ABS(N267)</x:f>
        <x:v>115.43091140030029</x:v>
      </x:c>
      <x:c r="P267" s="8" t="n">
        <x:f>N267^2</x:f>
        <x:v>13324.295306703974</x:v>
      </x:c>
      <x:c r="Q267" s="8" t="n">
        <x:f>K267-L267</x:f>
        <x:v>18</x:v>
      </x:c>
      <x:c r="R267" s="9" t="n">
        <x:f>IF(AND(INDEX('Сводка'!$T$3:$T$397,U267)=0,INDEX('Сводка'!$T$3:$T$397,V267)=0),1,0)</x:f>
        <x:v>1</x:v>
      </x:c>
      <x:c r="S267" s="9" t="n">
        <x:f>IF(AND(R267=1,O267&lt;=$G$13),1,0)</x:f>
        <x:v>0</x:v>
      </x:c>
      <x:c r="T267" s="10" t="n">
        <x:f>EOMONTH(J267-'Сводка'!$B$11,-1)</x:f>
        <x:v>46112</x:v>
      </x:c>
      <x:c r="U267" s="4" t="n">
        <x:f>MATCH(J267,'Сводка'!$R$3:$R$397,0)</x:f>
        <x:v>278</x:v>
      </x:c>
      <x:c r="V267" s="4" t="n">
        <x:f>MATCH(J267-'Сводка'!$B$11,'Сводка'!$R$3:$R$397,0)</x:f>
        <x:v>277</x:v>
      </x:c>
      <x:c r="W267" s="4" t="n">
        <x:f>MATCH(T267,$J$388:$J$400,0)</x:f>
        <x:v>10</x:v>
      </x:c>
      <x:c r="X267" s="3"/>
      <x:c r="Y267" s="3"/>
      <x:c r="Z267" s="3"/>
    </x:row>
    <x:row r="268" ht="15" customHeight="1">
      <x:c r="A268" s="3"/>
      <x:c r="B268" s="3"/>
      <x:c r="C268" s="3"/>
      <x:c r="D268" s="3"/>
      <x:c r="E268" s="3"/>
      <x:c r="F268" s="3"/>
      <x:c r="G268" s="3"/>
      <x:c r="H268" s="3"/>
      <x:c r="I268" s="3"/>
      <x:c r="J268" s="10" t="n">
        <x:v>46119</x:v>
      </x:c>
      <x:c r="K268" s="8" t="n">
        <x:f>INDEX('Сводка'!$S$3:$S$397,U268)</x:f>
        <x:v>-3</x:v>
      </x:c>
      <x:c r="L268" s="8" t="n">
        <x:f>INDEX('Сводка'!$S$3:$S$397,V268)</x:f>
        <x:v>-17</x:v>
      </x:c>
      <x:c r="M268" s="8" t="n">
        <x:f>INDEX($K$388:$N$400,W268,1)+INDEX($K$388:$N$400,W268,2)*(2*(J268-$T$405)/(T268-$T$405)-1)^1+INDEX($K$388:$N$400,W268,3)*(2*(J268-$T$405)/(T268-$T$405)-1)^2+INDEX($K$388:$N$400,W268,4)*(2*(J268-$T$405)/(T268-$T$405)-1)^3</x:f>
        <x:v>98.39568121676643</x:v>
      </x:c>
      <x:c r="N268" s="8" t="n">
        <x:f>K268-M268</x:f>
        <x:v>-101.39568121676643</x:v>
      </x:c>
      <x:c r="O268" s="8" t="n">
        <x:f>ABS(N268)</x:f>
        <x:v>101.39568121676643</x:v>
      </x:c>
      <x:c r="P268" s="8" t="n">
        <x:f>N268^2</x:f>
        <x:v>10281.08416941212</x:v>
      </x:c>
      <x:c r="Q268" s="8" t="n">
        <x:f>K268-L268</x:f>
        <x:v>14</x:v>
      </x:c>
      <x:c r="R268" s="9" t="n">
        <x:f>IF(AND(INDEX('Сводка'!$T$3:$T$397,U268)=0,INDEX('Сводка'!$T$3:$T$397,V268)=0),1,0)</x:f>
        <x:v>1</x:v>
      </x:c>
      <x:c r="S268" s="9" t="n">
        <x:f>IF(AND(R268=1,O268&lt;=$G$13),1,0)</x:f>
        <x:v>0</x:v>
      </x:c>
      <x:c r="T268" s="10" t="n">
        <x:f>EOMONTH(J268-'Сводка'!$B$11,-1)</x:f>
        <x:v>46112</x:v>
      </x:c>
      <x:c r="U268" s="4" t="n">
        <x:f>MATCH(J268,'Сводка'!$R$3:$R$397,0)</x:f>
        <x:v>279</x:v>
      </x:c>
      <x:c r="V268" s="4" t="n">
        <x:f>MATCH(J268-'Сводка'!$B$11,'Сводка'!$R$3:$R$397,0)</x:f>
        <x:v>278</x:v>
      </x:c>
      <x:c r="W268" s="4" t="n">
        <x:f>MATCH(T268,$J$388:$J$400,0)</x:f>
        <x:v>10</x:v>
      </x:c>
      <x:c r="X268" s="3"/>
      <x:c r="Y268" s="3"/>
      <x:c r="Z268" s="3"/>
    </x:row>
    <x:row r="269" ht="15" customHeight="1">
      <x:c r="A269" s="3"/>
      <x:c r="B269" s="3"/>
      <x:c r="C269" s="3"/>
      <x:c r="D269" s="3"/>
      <x:c r="E269" s="3"/>
      <x:c r="F269" s="3"/>
      <x:c r="G269" s="3"/>
      <x:c r="H269" s="3"/>
      <x:c r="I269" s="3"/>
      <x:c r="J269" s="10" t="n">
        <x:v>46120</x:v>
      </x:c>
      <x:c r="K269" s="8" t="n">
        <x:f>INDEX('Сводка'!$S$3:$S$397,U269)</x:f>
        <x:v>17</x:v>
      </x:c>
      <x:c r="L269" s="8" t="n">
        <x:f>INDEX('Сводка'!$S$3:$S$397,V269)</x:f>
        <x:v>-3</x:v>
      </x:c>
      <x:c r="M269" s="8" t="n">
        <x:f>INDEX($K$388:$N$400,W269,1)+INDEX($K$388:$N$400,W269,2)*(2*(J269-$T$405)/(T269-$T$405)-1)^1+INDEX($K$388:$N$400,W269,3)*(2*(J269-$T$405)/(T269-$T$405)-1)^2+INDEX($K$388:$N$400,W269,4)*(2*(J269-$T$405)/(T269-$T$405)-1)^3</x:f>
        <x:v>98.36042949130467</x:v>
      </x:c>
      <x:c r="N269" s="8" t="n">
        <x:f>K269-M269</x:f>
        <x:v>-81.36042949130467</x:v>
      </x:c>
      <x:c r="O269" s="8" t="n">
        <x:f>ABS(N269)</x:f>
        <x:v>81.36042949130467</x:v>
      </x:c>
      <x:c r="P269" s="8" t="n">
        <x:f>N269^2</x:f>
        <x:v>6619.519487009559</x:v>
      </x:c>
      <x:c r="Q269" s="8" t="n">
        <x:f>K269-L269</x:f>
        <x:v>20</x:v>
      </x:c>
      <x:c r="R269" s="9" t="n">
        <x:f>IF(AND(INDEX('Сводка'!$T$3:$T$397,U269)=0,INDEX('Сводка'!$T$3:$T$397,V269)=0),1,0)</x:f>
        <x:v>1</x:v>
      </x:c>
      <x:c r="S269" s="9" t="n">
        <x:f>IF(AND(R269=1,O269&lt;=$G$13),1,0)</x:f>
        <x:v>0</x:v>
      </x:c>
      <x:c r="T269" s="10" t="n">
        <x:f>EOMONTH(J269-'Сводка'!$B$11,-1)</x:f>
        <x:v>46112</x:v>
      </x:c>
      <x:c r="U269" s="4" t="n">
        <x:f>MATCH(J269,'Сводка'!$R$3:$R$397,0)</x:f>
        <x:v>280</x:v>
      </x:c>
      <x:c r="V269" s="4" t="n">
        <x:f>MATCH(J269-'Сводка'!$B$11,'Сводка'!$R$3:$R$397,0)</x:f>
        <x:v>279</x:v>
      </x:c>
      <x:c r="W269" s="4" t="n">
        <x:f>MATCH(T269,$J$388:$J$400,0)</x:f>
        <x:v>10</x:v>
      </x:c>
      <x:c r="X269" s="3"/>
      <x:c r="Y269" s="3"/>
      <x:c r="Z269" s="3"/>
    </x:row>
    <x:row r="270" ht="15" customHeight="1">
      <x:c r="A270" s="3"/>
      <x:c r="B270" s="3"/>
      <x:c r="C270" s="3"/>
      <x:c r="D270" s="3"/>
      <x:c r="E270" s="3"/>
      <x:c r="F270" s="3"/>
      <x:c r="G270" s="3"/>
      <x:c r="H270" s="3"/>
      <x:c r="I270" s="3"/>
      <x:c r="J270" s="10" t="n">
        <x:v>46121</x:v>
      </x:c>
      <x:c r="K270" s="8" t="n">
        <x:f>INDEX('Сводка'!$S$3:$S$397,U270)</x:f>
        <x:v>44</x:v>
      </x:c>
      <x:c r="L270" s="8" t="n">
        <x:f>INDEX('Сводка'!$S$3:$S$397,V270)</x:f>
        <x:v>17</x:v>
      </x:c>
      <x:c r="M270" s="8" t="n">
        <x:f>INDEX($K$388:$N$400,W270,1)+INDEX($K$388:$N$400,W270,2)*(2*(J270-$T$405)/(T270-$T$405)-1)^1+INDEX($K$388:$N$400,W270,3)*(2*(J270-$T$405)/(T270-$T$405)-1)^2+INDEX($K$388:$N$400,W270,4)*(2*(J270-$T$405)/(T270-$T$405)-1)^3</x:f>
        <x:v>98.32515622062377</x:v>
      </x:c>
      <x:c r="N270" s="8" t="n">
        <x:f>K270-M270</x:f>
        <x:v>-54.32515622062377</x:v>
      </x:c>
      <x:c r="O270" s="8" t="n">
        <x:f>ABS(N270)</x:f>
        <x:v>54.32515622062377</x:v>
      </x:c>
      <x:c r="P270" s="8" t="n">
        <x:f>N270^2</x:f>
        <x:v>2951.222598395177</x:v>
      </x:c>
      <x:c r="Q270" s="8" t="n">
        <x:f>K270-L270</x:f>
        <x:v>27</x:v>
      </x:c>
      <x:c r="R270" s="9" t="n">
        <x:f>IF(AND(INDEX('Сводка'!$T$3:$T$397,U270)=0,INDEX('Сводка'!$T$3:$T$397,V270)=0),1,0)</x:f>
        <x:v>1</x:v>
      </x:c>
      <x:c r="S270" s="9" t="n">
        <x:f>IF(AND(R270=1,O270&lt;=$G$13),1,0)</x:f>
        <x:v>0</x:v>
      </x:c>
      <x:c r="T270" s="10" t="n">
        <x:f>EOMONTH(J270-'Сводка'!$B$11,-1)</x:f>
        <x:v>46112</x:v>
      </x:c>
      <x:c r="U270" s="4" t="n">
        <x:f>MATCH(J270,'Сводка'!$R$3:$R$397,0)</x:f>
        <x:v>281</x:v>
      </x:c>
      <x:c r="V270" s="4" t="n">
        <x:f>MATCH(J270-'Сводка'!$B$11,'Сводка'!$R$3:$R$397,0)</x:f>
        <x:v>280</x:v>
      </x:c>
      <x:c r="W270" s="4" t="n">
        <x:f>MATCH(T270,$J$388:$J$400,0)</x:f>
        <x:v>10</x:v>
      </x:c>
      <x:c r="X270" s="3"/>
      <x:c r="Y270" s="3"/>
      <x:c r="Z270" s="3"/>
    </x:row>
    <x:row r="271" ht="15" customHeight="1">
      <x:c r="A271" s="3"/>
      <x:c r="B271" s="3"/>
      <x:c r="C271" s="3"/>
      <x:c r="D271" s="3"/>
      <x:c r="E271" s="3"/>
      <x:c r="F271" s="3"/>
      <x:c r="G271" s="3"/>
      <x:c r="H271" s="3"/>
      <x:c r="I271" s="3"/>
      <x:c r="J271" s="10" t="n">
        <x:v>46122</x:v>
      </x:c>
      <x:c r="K271" s="8" t="n">
        <x:f>INDEX('Сводка'!$S$3:$S$397,U271)</x:f>
        <x:v>82</x:v>
      </x:c>
      <x:c r="L271" s="8" t="n">
        <x:f>INDEX('Сводка'!$S$3:$S$397,V271)</x:f>
        <x:v>44</x:v>
      </x:c>
      <x:c r="M271" s="8" t="n">
        <x:f>INDEX($K$388:$N$400,W271,1)+INDEX($K$388:$N$400,W271,2)*(2*(J271-$T$405)/(T271-$T$405)-1)^1+INDEX($K$388:$N$400,W271,3)*(2*(J271-$T$405)/(T271-$T$405)-1)^2+INDEX($K$388:$N$400,W271,4)*(2*(J271-$T$405)/(T271-$T$405)-1)^3</x:f>
        <x:v>98.28986140143212</x:v>
      </x:c>
      <x:c r="N271" s="8" t="n">
        <x:f>K271-M271</x:f>
        <x:v>-16.28986140143212</x:v>
      </x:c>
      <x:c r="O271" s="8" t="n">
        <x:f>ABS(N271)</x:f>
        <x:v>16.28986140143212</x:v>
      </x:c>
      <x:c r="P271" s="8" t="n">
        <x:f>N271^2</x:f>
        <x:v>265.359584477868</x:v>
      </x:c>
      <x:c r="Q271" s="8" t="n">
        <x:f>K271-L271</x:f>
        <x:v>38</x:v>
      </x:c>
      <x:c r="R271" s="9" t="n">
        <x:f>IF(AND(INDEX('Сводка'!$T$3:$T$397,U271)=0,INDEX('Сводка'!$T$3:$T$397,V271)=0),1,0)</x:f>
        <x:v>1</x:v>
      </x:c>
      <x:c r="S271" s="9" t="n">
        <x:f>IF(AND(R271=1,O271&lt;=$G$13),1,0)</x:f>
        <x:v>0</x:v>
      </x:c>
      <x:c r="T271" s="10" t="n">
        <x:f>EOMONTH(J271-'Сводка'!$B$11,-1)</x:f>
        <x:v>46112</x:v>
      </x:c>
      <x:c r="U271" s="4" t="n">
        <x:f>MATCH(J271,'Сводка'!$R$3:$R$397,0)</x:f>
        <x:v>282</x:v>
      </x:c>
      <x:c r="V271" s="4" t="n">
        <x:f>MATCH(J271-'Сводка'!$B$11,'Сводка'!$R$3:$R$397,0)</x:f>
        <x:v>281</x:v>
      </x:c>
      <x:c r="W271" s="4" t="n">
        <x:f>MATCH(T271,$J$388:$J$400,0)</x:f>
        <x:v>10</x:v>
      </x:c>
      <x:c r="X271" s="3"/>
      <x:c r="Y271" s="3"/>
      <x:c r="Z271" s="3"/>
    </x:row>
    <x:row r="272" ht="15" customHeight="1">
      <x:c r="A272" s="3"/>
      <x:c r="B272" s="3"/>
      <x:c r="C272" s="3"/>
      <x:c r="D272" s="3"/>
      <x:c r="E272" s="3"/>
      <x:c r="F272" s="3"/>
      <x:c r="G272" s="3"/>
      <x:c r="H272" s="3"/>
      <x:c r="I272" s="3"/>
      <x:c r="J272" s="10" t="n">
        <x:v>46123</x:v>
      </x:c>
      <x:c r="K272" s="8" t="n">
        <x:f>INDEX('Сводка'!$S$3:$S$397,U272)</x:f>
        <x:v>96</x:v>
      </x:c>
      <x:c r="L272" s="8" t="n">
        <x:f>INDEX('Сводка'!$S$3:$S$397,V272)</x:f>
        <x:v>82</x:v>
      </x:c>
      <x:c r="M272" s="8" t="n">
        <x:f>INDEX($K$388:$N$400,W272,1)+INDEX($K$388:$N$400,W272,2)*(2*(J272-$T$405)/(T272-$T$405)-1)^1+INDEX($K$388:$N$400,W272,3)*(2*(J272-$T$405)/(T272-$T$405)-1)^2+INDEX($K$388:$N$400,W272,4)*(2*(J272-$T$405)/(T272-$T$405)-1)^3</x:f>
        <x:v>98.25454503043852</x:v>
      </x:c>
      <x:c r="N272" s="8" t="n">
        <x:f>K272-M272</x:f>
        <x:v>-2.2545450304385213</x:v>
      </x:c>
      <x:c r="O272" s="8" t="n">
        <x:f>ABS(N272)</x:f>
        <x:v>2.2545450304385213</x:v>
      </x:c>
      <x:c r="P272" s="8" t="n">
        <x:f>N272^2</x:f>
        <x:v>5.082973294275033</x:v>
      </x:c>
      <x:c r="Q272" s="8" t="n">
        <x:f>K272-L272</x:f>
        <x:v>14</x:v>
      </x:c>
      <x:c r="R272" s="9" t="n">
        <x:f>IF(AND(INDEX('Сводка'!$T$3:$T$397,U272)=0,INDEX('Сводка'!$T$3:$T$397,V272)=0),1,0)</x:f>
        <x:v>1</x:v>
      </x:c>
      <x:c r="S272" s="9" t="n">
        <x:f>IF(AND(R272=1,O272&lt;=$G$13),1,0)</x:f>
        <x:v>1</x:v>
      </x:c>
      <x:c r="T272" s="10" t="n">
        <x:f>EOMONTH(J272-'Сводка'!$B$11,-1)</x:f>
        <x:v>46112</x:v>
      </x:c>
      <x:c r="U272" s="4" t="n">
        <x:f>MATCH(J272,'Сводка'!$R$3:$R$397,0)</x:f>
        <x:v>283</x:v>
      </x:c>
      <x:c r="V272" s="4" t="n">
        <x:f>MATCH(J272-'Сводка'!$B$11,'Сводка'!$R$3:$R$397,0)</x:f>
        <x:v>282</x:v>
      </x:c>
      <x:c r="W272" s="4" t="n">
        <x:f>MATCH(T272,$J$388:$J$400,0)</x:f>
        <x:v>10</x:v>
      </x:c>
      <x:c r="X272" s="3"/>
      <x:c r="Y272" s="3"/>
      <x:c r="Z272" s="3"/>
    </x:row>
    <x:row r="273" ht="15" customHeight="1">
      <x:c r="A273" s="3"/>
      <x:c r="B273" s="3"/>
      <x:c r="C273" s="3"/>
      <x:c r="D273" s="3"/>
      <x:c r="E273" s="3"/>
      <x:c r="F273" s="3"/>
      <x:c r="G273" s="3"/>
      <x:c r="H273" s="3"/>
      <x:c r="I273" s="3"/>
      <x:c r="J273" s="10" t="n">
        <x:v>46124</x:v>
      </x:c>
      <x:c r="K273" s="8" t="n">
        <x:f>INDEX('Сводка'!$S$3:$S$397,U273)</x:f>
        <x:v>163</x:v>
      </x:c>
      <x:c r="L273" s="8" t="n">
        <x:f>INDEX('Сводка'!$S$3:$S$397,V273)</x:f>
        <x:v>96</x:v>
      </x:c>
      <x:c r="M273" s="8" t="n">
        <x:f>INDEX($K$388:$N$400,W273,1)+INDEX($K$388:$N$400,W273,2)*(2*(J273-$T$405)/(T273-$T$405)-1)^1+INDEX($K$388:$N$400,W273,3)*(2*(J273-$T$405)/(T273-$T$405)-1)^2+INDEX($K$388:$N$400,W273,4)*(2*(J273-$T$405)/(T273-$T$405)-1)^3</x:f>
        <x:v>98.2192071043516</x:v>
      </x:c>
      <x:c r="N273" s="8" t="n">
        <x:f>K273-M273</x:f>
        <x:v>64.7807928956484</x:v>
      </x:c>
      <x:c r="O273" s="8" t="n">
        <x:f>ABS(N273)</x:f>
        <x:v>64.7807928956484</x:v>
      </x:c>
      <x:c r="P273" s="8" t="n">
        <x:f>N273^2</x:f>
        <x:v>4196.55112818889</x:v>
      </x:c>
      <x:c r="Q273" s="8" t="n">
        <x:f>K273-L273</x:f>
        <x:v>67</x:v>
      </x:c>
      <x:c r="R273" s="9" t="n">
        <x:f>IF(AND(INDEX('Сводка'!$T$3:$T$397,U273)=0,INDEX('Сводка'!$T$3:$T$397,V273)=0),1,0)</x:f>
        <x:v>1</x:v>
      </x:c>
      <x:c r="S273" s="9" t="n">
        <x:f>IF(AND(R273=1,O273&lt;=$G$13),1,0)</x:f>
        <x:v>0</x:v>
      </x:c>
      <x:c r="T273" s="10" t="n">
        <x:f>EOMONTH(J273-'Сводка'!$B$11,-1)</x:f>
        <x:v>46112</x:v>
      </x:c>
      <x:c r="U273" s="4" t="n">
        <x:f>MATCH(J273,'Сводка'!$R$3:$R$397,0)</x:f>
        <x:v>284</x:v>
      </x:c>
      <x:c r="V273" s="4" t="n">
        <x:f>MATCH(J273-'Сводка'!$B$11,'Сводка'!$R$3:$R$397,0)</x:f>
        <x:v>283</x:v>
      </x:c>
      <x:c r="W273" s="4" t="n">
        <x:f>MATCH(T273,$J$388:$J$400,0)</x:f>
        <x:v>10</x:v>
      </x:c>
      <x:c r="X273" s="3"/>
      <x:c r="Y273" s="3"/>
      <x:c r="Z273" s="3"/>
    </x:row>
    <x:row r="274" ht="15" customHeight="1">
      <x:c r="A274" s="3"/>
      <x:c r="B274" s="3"/>
      <x:c r="C274" s="3"/>
      <x:c r="D274" s="3"/>
      <x:c r="E274" s="3"/>
      <x:c r="F274" s="3"/>
      <x:c r="G274" s="3"/>
      <x:c r="H274" s="3"/>
      <x:c r="I274" s="3"/>
      <x:c r="J274" s="10" t="n">
        <x:v>46125</x:v>
      </x:c>
      <x:c r="K274" s="8" t="n">
        <x:f>INDEX('Сводка'!$S$3:$S$397,U274)</x:f>
        <x:v>100</x:v>
      </x:c>
      <x:c r="L274" s="8" t="n">
        <x:f>INDEX('Сводка'!$S$3:$S$397,V274)</x:f>
        <x:v>163</x:v>
      </x:c>
      <x:c r="M274" s="8" t="n">
        <x:f>INDEX($K$388:$N$400,W274,1)+INDEX($K$388:$N$400,W274,2)*(2*(J274-$T$405)/(T274-$T$405)-1)^1+INDEX($K$388:$N$400,W274,3)*(2*(J274-$T$405)/(T274-$T$405)-1)^2+INDEX($K$388:$N$400,W274,4)*(2*(J274-$T$405)/(T274-$T$405)-1)^3</x:f>
        <x:v>98.18384761988004</x:v>
      </x:c>
      <x:c r="N274" s="8" t="n">
        <x:f>K274-M274</x:f>
        <x:v>1.8161523801199593</x:v>
      </x:c>
      <x:c r="O274" s="8" t="n">
        <x:f>ABS(N274)</x:f>
        <x:v>1.8161523801199593</x:v>
      </x:c>
      <x:c r="P274" s="8" t="n">
        <x:f>N274^2</x:f>
        <x:v>3.298409467815393</x:v>
      </x:c>
      <x:c r="Q274" s="8" t="n">
        <x:f>K274-L274</x:f>
        <x:v>-63</x:v>
      </x:c>
      <x:c r="R274" s="9" t="n">
        <x:f>IF(AND(INDEX('Сводка'!$T$3:$T$397,U274)=0,INDEX('Сводка'!$T$3:$T$397,V274)=0),1,0)</x:f>
        <x:v>1</x:v>
      </x:c>
      <x:c r="S274" s="9" t="n">
        <x:f>IF(AND(R274=1,O274&lt;=$G$13),1,0)</x:f>
        <x:v>1</x:v>
      </x:c>
      <x:c r="T274" s="10" t="n">
        <x:f>EOMONTH(J274-'Сводка'!$B$11,-1)</x:f>
        <x:v>46112</x:v>
      </x:c>
      <x:c r="U274" s="4" t="n">
        <x:f>MATCH(J274,'Сводка'!$R$3:$R$397,0)</x:f>
        <x:v>285</x:v>
      </x:c>
      <x:c r="V274" s="4" t="n">
        <x:f>MATCH(J274-'Сводка'!$B$11,'Сводка'!$R$3:$R$397,0)</x:f>
        <x:v>284</x:v>
      </x:c>
      <x:c r="W274" s="4" t="n">
        <x:f>MATCH(T274,$J$388:$J$400,0)</x:f>
        <x:v>10</x:v>
      </x:c>
      <x:c r="X274" s="3"/>
      <x:c r="Y274" s="3"/>
      <x:c r="Z274" s="3"/>
    </x:row>
    <x:row r="275" ht="15" customHeight="1">
      <x:c r="A275" s="3"/>
      <x:c r="B275" s="3"/>
      <x:c r="C275" s="3"/>
      <x:c r="D275" s="3"/>
      <x:c r="E275" s="3"/>
      <x:c r="F275" s="3"/>
      <x:c r="G275" s="3"/>
      <x:c r="H275" s="3"/>
      <x:c r="I275" s="3"/>
      <x:c r="J275" s="10" t="n">
        <x:v>46126</x:v>
      </x:c>
      <x:c r="K275" s="8" t="n">
        <x:f>INDEX('Сводка'!$S$3:$S$397,U275)</x:f>
        <x:v>36</x:v>
      </x:c>
      <x:c r="L275" s="8" t="n">
        <x:f>INDEX('Сводка'!$S$3:$S$397,V275)</x:f>
        <x:v>100</x:v>
      </x:c>
      <x:c r="M275" s="8" t="n">
        <x:f>INDEX($K$388:$N$400,W275,1)+INDEX($K$388:$N$400,W275,2)*(2*(J275-$T$405)/(T275-$T$405)-1)^1+INDEX($K$388:$N$400,W275,3)*(2*(J275-$T$405)/(T275-$T$405)-1)^2+INDEX($K$388:$N$400,W275,4)*(2*(J275-$T$405)/(T275-$T$405)-1)^3</x:f>
        <x:v>98.14846657373232</x:v>
      </x:c>
      <x:c r="N275" s="8" t="n">
        <x:f>K275-M275</x:f>
        <x:v>-62.14846657373232</x:v>
      </x:c>
      <x:c r="O275" s="8" t="n">
        <x:f>ABS(N275)</x:f>
        <x:v>62.14846657373232</x:v>
      </x:c>
      <x:c r="P275" s="8" t="n">
        <x:f>N275^2</x:f>
        <x:v>3862.431897466324</x:v>
      </x:c>
      <x:c r="Q275" s="8" t="n">
        <x:f>K275-L275</x:f>
        <x:v>-64</x:v>
      </x:c>
      <x:c r="R275" s="9" t="n">
        <x:f>IF(AND(INDEX('Сводка'!$T$3:$T$397,U275)=0,INDEX('Сводка'!$T$3:$T$397,V275)=0),1,0)</x:f>
        <x:v>1</x:v>
      </x:c>
      <x:c r="S275" s="9" t="n">
        <x:f>IF(AND(R275=1,O275&lt;=$G$13),1,0)</x:f>
        <x:v>0</x:v>
      </x:c>
      <x:c r="T275" s="10" t="n">
        <x:f>EOMONTH(J275-'Сводка'!$B$11,-1)</x:f>
        <x:v>46112</x:v>
      </x:c>
      <x:c r="U275" s="4" t="n">
        <x:f>MATCH(J275,'Сводка'!$R$3:$R$397,0)</x:f>
        <x:v>286</x:v>
      </x:c>
      <x:c r="V275" s="4" t="n">
        <x:f>MATCH(J275-'Сводка'!$B$11,'Сводка'!$R$3:$R$397,0)</x:f>
        <x:v>285</x:v>
      </x:c>
      <x:c r="W275" s="4" t="n">
        <x:f>MATCH(T275,$J$388:$J$400,0)</x:f>
        <x:v>10</x:v>
      </x:c>
      <x:c r="X275" s="3"/>
      <x:c r="Y275" s="3"/>
      <x:c r="Z275" s="3"/>
    </x:row>
    <x:row r="276" ht="15" customHeight="1">
      <x:c r="A276" s="3"/>
      <x:c r="B276" s="3"/>
      <x:c r="C276" s="3"/>
      <x:c r="D276" s="3"/>
      <x:c r="E276" s="3"/>
      <x:c r="F276" s="3"/>
      <x:c r="G276" s="3"/>
      <x:c r="H276" s="3"/>
      <x:c r="I276" s="3"/>
      <x:c r="J276" s="10" t="n">
        <x:v>46127</x:v>
      </x:c>
      <x:c r="K276" s="8" t="n">
        <x:f>INDEX('Сводка'!$S$3:$S$397,U276)</x:f>
        <x:v>-4</x:v>
      </x:c>
      <x:c r="L276" s="8" t="n">
        <x:f>INDEX('Сводка'!$S$3:$S$397,V276)</x:f>
        <x:v>36</x:v>
      </x:c>
      <x:c r="M276" s="8" t="n">
        <x:f>INDEX($K$388:$N$400,W276,1)+INDEX($K$388:$N$400,W276,2)*(2*(J276-$T$405)/(T276-$T$405)-1)^1+INDEX($K$388:$N$400,W276,3)*(2*(J276-$T$405)/(T276-$T$405)-1)^2+INDEX($K$388:$N$400,W276,4)*(2*(J276-$T$405)/(T276-$T$405)-1)^3</x:f>
        <x:v>98.11306396261722</x:v>
      </x:c>
      <x:c r="N276" s="8" t="n">
        <x:f>K276-M276</x:f>
        <x:v>-102.11306396261722</x:v>
      </x:c>
      <x:c r="O276" s="8" t="n">
        <x:f>ABS(N276)</x:f>
        <x:v>102.11306396261722</x:v>
      </x:c>
      <x:c r="P276" s="8" t="n">
        <x:f>N276^2</x:f>
        <x:v>10427.077831833556</x:v>
      </x:c>
      <x:c r="Q276" s="8" t="n">
        <x:f>K276-L276</x:f>
        <x:v>-40</x:v>
      </x:c>
      <x:c r="R276" s="9" t="n">
        <x:f>IF(AND(INDEX('Сводка'!$T$3:$T$397,U276)=0,INDEX('Сводка'!$T$3:$T$397,V276)=0),1,0)</x:f>
        <x:v>1</x:v>
      </x:c>
      <x:c r="S276" s="9" t="n">
        <x:f>IF(AND(R276=1,O276&lt;=$G$13),1,0)</x:f>
        <x:v>0</x:v>
      </x:c>
      <x:c r="T276" s="10" t="n">
        <x:f>EOMONTH(J276-'Сводка'!$B$11,-1)</x:f>
        <x:v>46112</x:v>
      </x:c>
      <x:c r="U276" s="4" t="n">
        <x:f>MATCH(J276,'Сводка'!$R$3:$R$397,0)</x:f>
        <x:v>287</x:v>
      </x:c>
      <x:c r="V276" s="4" t="n">
        <x:f>MATCH(J276-'Сводка'!$B$11,'Сводка'!$R$3:$R$397,0)</x:f>
        <x:v>286</x:v>
      </x:c>
      <x:c r="W276" s="4" t="n">
        <x:f>MATCH(T276,$J$388:$J$400,0)</x:f>
        <x:v>10</x:v>
      </x:c>
      <x:c r="X276" s="3"/>
      <x:c r="Y276" s="3"/>
      <x:c r="Z276" s="3"/>
    </x:row>
    <x:row r="277" ht="15" customHeight="1">
      <x:c r="A277" s="3"/>
      <x:c r="B277" s="3"/>
      <x:c r="C277" s="3"/>
      <x:c r="D277" s="3"/>
      <x:c r="E277" s="3"/>
      <x:c r="F277" s="3"/>
      <x:c r="G277" s="3"/>
      <x:c r="H277" s="3"/>
      <x:c r="I277" s="3"/>
      <x:c r="J277" s="10" t="n">
        <x:v>46128</x:v>
      </x:c>
      <x:c r="K277" s="8" t="n">
        <x:f>INDEX('Сводка'!$S$3:$S$397,U277)</x:f>
        <x:v>-14</x:v>
      </x:c>
      <x:c r="L277" s="8" t="n">
        <x:f>INDEX('Сводка'!$S$3:$S$397,V277)</x:f>
        <x:v>-4</x:v>
      </x:c>
      <x:c r="M277" s="8" t="n">
        <x:f>INDEX($K$388:$N$400,W277,1)+INDEX($K$388:$N$400,W277,2)*(2*(J277-$T$405)/(T277-$T$405)-1)^1+INDEX($K$388:$N$400,W277,3)*(2*(J277-$T$405)/(T277-$T$405)-1)^2+INDEX($K$388:$N$400,W277,4)*(2*(J277-$T$405)/(T277-$T$405)-1)^3</x:f>
        <x:v>98.07763978324334</x:v>
      </x:c>
      <x:c r="N277" s="8" t="n">
        <x:f>K277-M277</x:f>
        <x:v>-112.07763978324334</x:v>
      </x:c>
      <x:c r="O277" s="8" t="n">
        <x:f>ABS(N277)</x:f>
        <x:v>112.07763978324334</x:v>
      </x:c>
      <x:c r="P277" s="8" t="n">
        <x:f>N277^2</x:f>
        <x:v>12561.39733938245</x:v>
      </x:c>
      <x:c r="Q277" s="8" t="n">
        <x:f>K277-L277</x:f>
        <x:v>-10</x:v>
      </x:c>
      <x:c r="R277" s="9" t="n">
        <x:f>IF(AND(INDEX('Сводка'!$T$3:$T$397,U277)=0,INDEX('Сводка'!$T$3:$T$397,V277)=0),1,0)</x:f>
        <x:v>1</x:v>
      </x:c>
      <x:c r="S277" s="9" t="n">
        <x:f>IF(AND(R277=1,O277&lt;=$G$13),1,0)</x:f>
        <x:v>0</x:v>
      </x:c>
      <x:c r="T277" s="10" t="n">
        <x:f>EOMONTH(J277-'Сводка'!$B$11,-1)</x:f>
        <x:v>46112</x:v>
      </x:c>
      <x:c r="U277" s="4" t="n">
        <x:f>MATCH(J277,'Сводка'!$R$3:$R$397,0)</x:f>
        <x:v>288</x:v>
      </x:c>
      <x:c r="V277" s="4" t="n">
        <x:f>MATCH(J277-'Сводка'!$B$11,'Сводка'!$R$3:$R$397,0)</x:f>
        <x:v>287</x:v>
      </x:c>
      <x:c r="W277" s="4" t="n">
        <x:f>MATCH(T277,$J$388:$J$400,0)</x:f>
        <x:v>10</x:v>
      </x:c>
      <x:c r="X277" s="3"/>
      <x:c r="Y277" s="3"/>
      <x:c r="Z277" s="3"/>
    </x:row>
    <x:row r="278" ht="15" customHeight="1">
      <x:c r="A278" s="3"/>
      <x:c r="B278" s="3"/>
      <x:c r="C278" s="3"/>
      <x:c r="D278" s="3"/>
      <x:c r="E278" s="3"/>
      <x:c r="F278" s="3"/>
      <x:c r="G278" s="3"/>
      <x:c r="H278" s="3"/>
      <x:c r="I278" s="3"/>
      <x:c r="J278" s="10" t="n">
        <x:v>46129</x:v>
      </x:c>
      <x:c r="K278" s="8" t="n">
        <x:f>INDEX('Сводка'!$S$3:$S$397,U278)</x:f>
        <x:v>-6</x:v>
      </x:c>
      <x:c r="L278" s="8" t="n">
        <x:f>INDEX('Сводка'!$S$3:$S$397,V278)</x:f>
        <x:v>-14</x:v>
      </x:c>
      <x:c r="M278" s="8" t="n">
        <x:f>INDEX($K$388:$N$400,W278,1)+INDEX($K$388:$N$400,W278,2)*(2*(J278-$T$405)/(T278-$T$405)-1)^1+INDEX($K$388:$N$400,W278,3)*(2*(J278-$T$405)/(T278-$T$405)-1)^2+INDEX($K$388:$N$400,W278,4)*(2*(J278-$T$405)/(T278-$T$405)-1)^3</x:f>
        <x:v>98.04219403231923</x:v>
      </x:c>
      <x:c r="N278" s="8" t="n">
        <x:f>K278-M278</x:f>
        <x:v>-104.04219403231923</x:v>
      </x:c>
      <x:c r="O278" s="8" t="n">
        <x:f>ABS(N278)</x:f>
        <x:v>104.04219403231923</x:v>
      </x:c>
      <x:c r="P278" s="8" t="n">
        <x:f>N278^2</x:f>
        <x:v>10824.778139058762</x:v>
      </x:c>
      <x:c r="Q278" s="8" t="n">
        <x:f>K278-L278</x:f>
        <x:v>8</x:v>
      </x:c>
      <x:c r="R278" s="9" t="n">
        <x:f>IF(AND(INDEX('Сводка'!$T$3:$T$397,U278)=0,INDEX('Сводка'!$T$3:$T$397,V278)=0),1,0)</x:f>
        <x:v>1</x:v>
      </x:c>
      <x:c r="S278" s="9" t="n">
        <x:f>IF(AND(R278=1,O278&lt;=$G$13),1,0)</x:f>
        <x:v>0</x:v>
      </x:c>
      <x:c r="T278" s="10" t="n">
        <x:f>EOMONTH(J278-'Сводка'!$B$11,-1)</x:f>
        <x:v>46112</x:v>
      </x:c>
      <x:c r="U278" s="4" t="n">
        <x:f>MATCH(J278,'Сводка'!$R$3:$R$397,0)</x:f>
        <x:v>289</x:v>
      </x:c>
      <x:c r="V278" s="4" t="n">
        <x:f>MATCH(J278-'Сводка'!$B$11,'Сводка'!$R$3:$R$397,0)</x:f>
        <x:v>288</x:v>
      </x:c>
      <x:c r="W278" s="4" t="n">
        <x:f>MATCH(T278,$J$388:$J$400,0)</x:f>
        <x:v>10</x:v>
      </x:c>
      <x:c r="X278" s="3"/>
      <x:c r="Y278" s="3"/>
      <x:c r="Z278" s="3"/>
    </x:row>
    <x:row r="279" ht="15" customHeight="1">
      <x:c r="A279" s="3"/>
      <x:c r="B279" s="3"/>
      <x:c r="C279" s="3"/>
      <x:c r="D279" s="3"/>
      <x:c r="E279" s="3"/>
      <x:c r="F279" s="3"/>
      <x:c r="G279" s="3"/>
      <x:c r="H279" s="3"/>
      <x:c r="I279" s="3"/>
      <x:c r="J279" s="10" t="n">
        <x:v>46130</x:v>
      </x:c>
      <x:c r="K279" s="8" t="n">
        <x:f>INDEX('Сводка'!$S$3:$S$397,U279)</x:f>
        <x:v>-4</x:v>
      </x:c>
      <x:c r="L279" s="8" t="n">
        <x:f>INDEX('Сводка'!$S$3:$S$397,V279)</x:f>
        <x:v>-6</x:v>
      </x:c>
      <x:c r="M279" s="8" t="n">
        <x:f>INDEX($K$388:$N$400,W279,1)+INDEX($K$388:$N$400,W279,2)*(2*(J279-$T$405)/(T279-$T$405)-1)^1+INDEX($K$388:$N$400,W279,3)*(2*(J279-$T$405)/(T279-$T$405)-1)^2+INDEX($K$388:$N$400,W279,4)*(2*(J279-$T$405)/(T279-$T$405)-1)^3</x:f>
        <x:v>98.00672670655361</x:v>
      </x:c>
      <x:c r="N279" s="8" t="n">
        <x:f>K279-M279</x:f>
        <x:v>-102.00672670655361</x:v>
      </x:c>
      <x:c r="O279" s="8" t="n">
        <x:f>ABS(N279)</x:f>
        <x:v>102.00672670655361</x:v>
      </x:c>
      <x:c r="P279" s="8" t="n">
        <x:f>N279^2</x:f>
        <x:v>10405.372293385517</x:v>
      </x:c>
      <x:c r="Q279" s="8" t="n">
        <x:f>K279-L279</x:f>
        <x:v>2</x:v>
      </x:c>
      <x:c r="R279" s="9" t="n">
        <x:f>IF(AND(INDEX('Сводка'!$T$3:$T$397,U279)=0,INDEX('Сводка'!$T$3:$T$397,V279)=0),1,0)</x:f>
        <x:v>1</x:v>
      </x:c>
      <x:c r="S279" s="9" t="n">
        <x:f>IF(AND(R279=1,O279&lt;=$G$13),1,0)</x:f>
        <x:v>0</x:v>
      </x:c>
      <x:c r="T279" s="10" t="n">
        <x:f>EOMONTH(J279-'Сводка'!$B$11,-1)</x:f>
        <x:v>46112</x:v>
      </x:c>
      <x:c r="U279" s="4" t="n">
        <x:f>MATCH(J279,'Сводка'!$R$3:$R$397,0)</x:f>
        <x:v>290</x:v>
      </x:c>
      <x:c r="V279" s="4" t="n">
        <x:f>MATCH(J279-'Сводка'!$B$11,'Сводка'!$R$3:$R$397,0)</x:f>
        <x:v>289</x:v>
      </x:c>
      <x:c r="W279" s="4" t="n">
        <x:f>MATCH(T279,$J$388:$J$400,0)</x:f>
        <x:v>10</x:v>
      </x:c>
      <x:c r="X279" s="3"/>
      <x:c r="Y279" s="3"/>
      <x:c r="Z279" s="3"/>
    </x:row>
    <x:row r="280" ht="15" customHeight="1">
      <x:c r="A280" s="3"/>
      <x:c r="B280" s="3"/>
      <x:c r="C280" s="3"/>
      <x:c r="D280" s="3"/>
      <x:c r="E280" s="3"/>
      <x:c r="F280" s="3"/>
      <x:c r="G280" s="3"/>
      <x:c r="H280" s="3"/>
      <x:c r="I280" s="3"/>
      <x:c r="J280" s="10" t="n">
        <x:v>46131</x:v>
      </x:c>
      <x:c r="K280" s="8" t="n">
        <x:f>INDEX('Сводка'!$S$3:$S$397,U280)</x:f>
        <x:v>64</x:v>
      </x:c>
      <x:c r="L280" s="8" t="n">
        <x:f>INDEX('Сводка'!$S$3:$S$397,V280)</x:f>
        <x:v>-4</x:v>
      </x:c>
      <x:c r="M280" s="8" t="n">
        <x:f>INDEX($K$388:$N$400,W280,1)+INDEX($K$388:$N$400,W280,2)*(2*(J280-$T$405)/(T280-$T$405)-1)^1+INDEX($K$388:$N$400,W280,3)*(2*(J280-$T$405)/(T280-$T$405)-1)^2+INDEX($K$388:$N$400,W280,4)*(2*(J280-$T$405)/(T280-$T$405)-1)^3</x:f>
        <x:v>97.97123780265508</x:v>
      </x:c>
      <x:c r="N280" s="8" t="n">
        <x:f>K280-M280</x:f>
        <x:v>-33.97123780265508</x:v>
      </x:c>
      <x:c r="O280" s="8" t="n">
        <x:f>ABS(N280)</x:f>
        <x:v>33.97123780265508</x:v>
      </x:c>
      <x:c r="P280" s="8" t="n">
        <x:f>N280^2</x:f>
        <x:v>1154.0449978445417</x:v>
      </x:c>
      <x:c r="Q280" s="8" t="n">
        <x:f>K280-L280</x:f>
        <x:v>68</x:v>
      </x:c>
      <x:c r="R280" s="9" t="n">
        <x:f>IF(AND(INDEX('Сводка'!$T$3:$T$397,U280)=0,INDEX('Сводка'!$T$3:$T$397,V280)=0),1,0)</x:f>
        <x:v>1</x:v>
      </x:c>
      <x:c r="S280" s="9" t="n">
        <x:f>IF(AND(R280=1,O280&lt;=$G$13),1,0)</x:f>
        <x:v>0</x:v>
      </x:c>
      <x:c r="T280" s="10" t="n">
        <x:f>EOMONTH(J280-'Сводка'!$B$11,-1)</x:f>
        <x:v>46112</x:v>
      </x:c>
      <x:c r="U280" s="4" t="n">
        <x:f>MATCH(J280,'Сводка'!$R$3:$R$397,0)</x:f>
        <x:v>291</x:v>
      </x:c>
      <x:c r="V280" s="4" t="n">
        <x:f>MATCH(J280-'Сводка'!$B$11,'Сводка'!$R$3:$R$397,0)</x:f>
        <x:v>290</x:v>
      </x:c>
      <x:c r="W280" s="4" t="n">
        <x:f>MATCH(T280,$J$388:$J$400,0)</x:f>
        <x:v>10</x:v>
      </x:c>
      <x:c r="X280" s="3"/>
      <x:c r="Y280" s="3"/>
      <x:c r="Z280" s="3"/>
    </x:row>
    <x:row r="281" ht="15" customHeight="1">
      <x:c r="A281" s="3"/>
      <x:c r="B281" s="3"/>
      <x:c r="C281" s="3"/>
      <x:c r="D281" s="3"/>
      <x:c r="E281" s="3"/>
      <x:c r="F281" s="3"/>
      <x:c r="G281" s="3"/>
      <x:c r="H281" s="3"/>
      <x:c r="I281" s="3"/>
      <x:c r="J281" s="10" t="n">
        <x:v>46132</x:v>
      </x:c>
      <x:c r="K281" s="8" t="n">
        <x:f>INDEX('Сводка'!$S$3:$S$397,U281)</x:f>
        <x:v>82</x:v>
      </x:c>
      <x:c r="L281" s="8" t="n">
        <x:f>INDEX('Сводка'!$S$3:$S$397,V281)</x:f>
        <x:v>64</x:v>
      </x:c>
      <x:c r="M281" s="8" t="n">
        <x:f>INDEX($K$388:$N$400,W281,1)+INDEX($K$388:$N$400,W281,2)*(2*(J281-$T$405)/(T281-$T$405)-1)^1+INDEX($K$388:$N$400,W281,3)*(2*(J281-$T$405)/(T281-$T$405)-1)^2+INDEX($K$388:$N$400,W281,4)*(2*(J281-$T$405)/(T281-$T$405)-1)^3</x:f>
        <x:v>97.93572731733238</x:v>
      </x:c>
      <x:c r="N281" s="8" t="n">
        <x:f>K281-M281</x:f>
        <x:v>-15.935727317332379</x:v>
      </x:c>
      <x:c r="O281" s="8" t="n">
        <x:f>ABS(N281)</x:f>
        <x:v>15.935727317332379</x:v>
      </x:c>
      <x:c r="P281" s="8" t="n">
        <x:f>N281^2</x:f>
        <x:v>253.94740513237343</x:v>
      </x:c>
      <x:c r="Q281" s="8" t="n">
        <x:f>K281-L281</x:f>
        <x:v>18</x:v>
      </x:c>
      <x:c r="R281" s="9" t="n">
        <x:f>IF(AND(INDEX('Сводка'!$T$3:$T$397,U281)=0,INDEX('Сводка'!$T$3:$T$397,V281)=0),1,0)</x:f>
        <x:v>1</x:v>
      </x:c>
      <x:c r="S281" s="9" t="n">
        <x:f>IF(AND(R281=1,O281&lt;=$G$13),1,0)</x:f>
        <x:v>0</x:v>
      </x:c>
      <x:c r="T281" s="10" t="n">
        <x:f>EOMONTH(J281-'Сводка'!$B$11,-1)</x:f>
        <x:v>46112</x:v>
      </x:c>
      <x:c r="U281" s="4" t="n">
        <x:f>MATCH(J281,'Сводка'!$R$3:$R$397,0)</x:f>
        <x:v>292</x:v>
      </x:c>
      <x:c r="V281" s="4" t="n">
        <x:f>MATCH(J281-'Сводка'!$B$11,'Сводка'!$R$3:$R$397,0)</x:f>
        <x:v>291</x:v>
      </x:c>
      <x:c r="W281" s="4" t="n">
        <x:f>MATCH(T281,$J$388:$J$400,0)</x:f>
        <x:v>10</x:v>
      </x:c>
      <x:c r="X281" s="3"/>
      <x:c r="Y281" s="3"/>
      <x:c r="Z281" s="3"/>
    </x:row>
    <x:row r="282" ht="15" customHeight="1">
      <x:c r="A282" s="3"/>
      <x:c r="B282" s="3"/>
      <x:c r="C282" s="3"/>
      <x:c r="D282" s="3"/>
      <x:c r="E282" s="3"/>
      <x:c r="F282" s="3"/>
      <x:c r="G282" s="3"/>
      <x:c r="H282" s="3"/>
      <x:c r="I282" s="3"/>
      <x:c r="J282" s="10" t="n">
        <x:v>46133</x:v>
      </x:c>
      <x:c r="K282" s="8" t="n">
        <x:f>INDEX('Сводка'!$S$3:$S$397,U282)</x:f>
        <x:v>64</x:v>
      </x:c>
      <x:c r="L282" s="8" t="n">
        <x:f>INDEX('Сводка'!$S$3:$S$397,V282)</x:f>
        <x:v>82</x:v>
      </x:c>
      <x:c r="M282" s="8" t="n">
        <x:f>INDEX($K$388:$N$400,W282,1)+INDEX($K$388:$N$400,W282,2)*(2*(J282-$T$405)/(T282-$T$405)-1)^1+INDEX($K$388:$N$400,W282,3)*(2*(J282-$T$405)/(T282-$T$405)-1)^2+INDEX($K$388:$N$400,W282,4)*(2*(J282-$T$405)/(T282-$T$405)-1)^3</x:f>
        <x:v>97.90019524729396</x:v>
      </x:c>
      <x:c r="N282" s="8" t="n">
        <x:f>K282-M282</x:f>
        <x:v>-33.900195247293965</x:v>
      </x:c>
      <x:c r="O282" s="8" t="n">
        <x:f>ABS(N282)</x:f>
        <x:v>33.900195247293965</x:v>
      </x:c>
      <x:c r="P282" s="8" t="n">
        <x:f>N282^2</x:f>
        <x:v>1149.2232378046524</x:v>
      </x:c>
      <x:c r="Q282" s="8" t="n">
        <x:f>K282-L282</x:f>
        <x:v>-18</x:v>
      </x:c>
      <x:c r="R282" s="9" t="n">
        <x:f>IF(AND(INDEX('Сводка'!$T$3:$T$397,U282)=0,INDEX('Сводка'!$T$3:$T$397,V282)=0),1,0)</x:f>
        <x:v>1</x:v>
      </x:c>
      <x:c r="S282" s="9" t="n">
        <x:f>IF(AND(R282=1,O282&lt;=$G$13),1,0)</x:f>
        <x:v>0</x:v>
      </x:c>
      <x:c r="T282" s="10" t="n">
        <x:f>EOMONTH(J282-'Сводка'!$B$11,-1)</x:f>
        <x:v>46112</x:v>
      </x:c>
      <x:c r="U282" s="4" t="n">
        <x:f>MATCH(J282,'Сводка'!$R$3:$R$397,0)</x:f>
        <x:v>293</x:v>
      </x:c>
      <x:c r="V282" s="4" t="n">
        <x:f>MATCH(J282-'Сводка'!$B$11,'Сводка'!$R$3:$R$397,0)</x:f>
        <x:v>292</x:v>
      </x:c>
      <x:c r="W282" s="4" t="n">
        <x:f>MATCH(T282,$J$388:$J$400,0)</x:f>
        <x:v>10</x:v>
      </x:c>
      <x:c r="X282" s="3"/>
      <x:c r="Y282" s="3"/>
      <x:c r="Z282" s="3"/>
    </x:row>
    <x:row r="283" ht="15" customHeight="1">
      <x:c r="A283" s="3"/>
      <x:c r="B283" s="3"/>
      <x:c r="C283" s="3"/>
      <x:c r="D283" s="3"/>
      <x:c r="E283" s="3"/>
      <x:c r="F283" s="3"/>
      <x:c r="G283" s="3"/>
      <x:c r="H283" s="3"/>
      <x:c r="I283" s="3"/>
      <x:c r="J283" s="10" t="n">
        <x:v>46134</x:v>
      </x:c>
      <x:c r="K283" s="8" t="n">
        <x:f>INDEX('Сводка'!$S$3:$S$397,U283)</x:f>
        <x:v>63</x:v>
      </x:c>
      <x:c r="L283" s="8" t="n">
        <x:f>INDEX('Сводка'!$S$3:$S$397,V283)</x:f>
        <x:v>64</x:v>
      </x:c>
      <x:c r="M283" s="8" t="n">
        <x:f>INDEX($K$388:$N$400,W283,1)+INDEX($K$388:$N$400,W283,2)*(2*(J283-$T$405)/(T283-$T$405)-1)^1+INDEX($K$388:$N$400,W283,3)*(2*(J283-$T$405)/(T283-$T$405)-1)^2+INDEX($K$388:$N$400,W283,4)*(2*(J283-$T$405)/(T283-$T$405)-1)^3</x:f>
        <x:v>97.8646415892486</x:v>
      </x:c>
      <x:c r="N283" s="8" t="n">
        <x:f>K283-M283</x:f>
        <x:v>-34.864641589248606</x:v>
      </x:c>
      <x:c r="O283" s="8" t="n">
        <x:f>ABS(N283)</x:f>
        <x:v>34.864641589248606</x:v>
      </x:c>
      <x:c r="P283" s="8" t="n">
        <x:f>N283^2</x:f>
        <x:v>1215.5432331467637</x:v>
      </x:c>
      <x:c r="Q283" s="8" t="n">
        <x:f>K283-L283</x:f>
        <x:v>-1</x:v>
      </x:c>
      <x:c r="R283" s="9" t="n">
        <x:f>IF(AND(INDEX('Сводка'!$T$3:$T$397,U283)=0,INDEX('Сводка'!$T$3:$T$397,V283)=0),1,0)</x:f>
        <x:v>1</x:v>
      </x:c>
      <x:c r="S283" s="9" t="n">
        <x:f>IF(AND(R283=1,O283&lt;=$G$13),1,0)</x:f>
        <x:v>0</x:v>
      </x:c>
      <x:c r="T283" s="10" t="n">
        <x:f>EOMONTH(J283-'Сводка'!$B$11,-1)</x:f>
        <x:v>46112</x:v>
      </x:c>
      <x:c r="U283" s="4" t="n">
        <x:f>MATCH(J283,'Сводка'!$R$3:$R$397,0)</x:f>
        <x:v>294</x:v>
      </x:c>
      <x:c r="V283" s="4" t="n">
        <x:f>MATCH(J283-'Сводка'!$B$11,'Сводка'!$R$3:$R$397,0)</x:f>
        <x:v>293</x:v>
      </x:c>
      <x:c r="W283" s="4" t="n">
        <x:f>MATCH(T283,$J$388:$J$400,0)</x:f>
        <x:v>10</x:v>
      </x:c>
      <x:c r="X283" s="3"/>
      <x:c r="Y283" s="3"/>
      <x:c r="Z283" s="3"/>
    </x:row>
    <x:row r="284" ht="15" customHeight="1">
      <x:c r="A284" s="3"/>
      <x:c r="B284" s="3"/>
      <x:c r="C284" s="3"/>
      <x:c r="D284" s="3"/>
      <x:c r="E284" s="3"/>
      <x:c r="F284" s="3"/>
      <x:c r="G284" s="3"/>
      <x:c r="H284" s="3"/>
      <x:c r="I284" s="3"/>
      <x:c r="J284" s="10" t="n">
        <x:v>46135</x:v>
      </x:c>
      <x:c r="K284" s="8" t="n">
        <x:f>INDEX('Сводка'!$S$3:$S$397,U284)</x:f>
        <x:v>55</x:v>
      </x:c>
      <x:c r="L284" s="8" t="n">
        <x:f>INDEX('Сводка'!$S$3:$S$397,V284)</x:f>
        <x:v>63</x:v>
      </x:c>
      <x:c r="M284" s="8" t="n">
        <x:f>INDEX($K$388:$N$400,W284,1)+INDEX($K$388:$N$400,W284,2)*(2*(J284-$T$405)/(T284-$T$405)-1)^1+INDEX($K$388:$N$400,W284,3)*(2*(J284-$T$405)/(T284-$T$405)-1)^2+INDEX($K$388:$N$400,W284,4)*(2*(J284-$T$405)/(T284-$T$405)-1)^3</x:f>
        <x:v>97.82906633990495</x:v>
      </x:c>
      <x:c r="N284" s="8" t="n">
        <x:f>K284-M284</x:f>
        <x:v>-42.829066339904955</x:v>
      </x:c>
      <x:c r="O284" s="8" t="n">
        <x:f>ABS(N284)</x:f>
        <x:v>42.829066339904955</x:v>
      </x:c>
      <x:c r="P284" s="8" t="n">
        <x:f>N284^2</x:f>
        <x:v>1834.3289235479797</x:v>
      </x:c>
      <x:c r="Q284" s="8" t="n">
        <x:f>K284-L284</x:f>
        <x:v>-8</x:v>
      </x:c>
      <x:c r="R284" s="9" t="n">
        <x:f>IF(AND(INDEX('Сводка'!$T$3:$T$397,U284)=0,INDEX('Сводка'!$T$3:$T$397,V284)=0),1,0)</x:f>
        <x:v>1</x:v>
      </x:c>
      <x:c r="S284" s="9" t="n">
        <x:f>IF(AND(R284=1,O284&lt;=$G$13),1,0)</x:f>
        <x:v>0</x:v>
      </x:c>
      <x:c r="T284" s="10" t="n">
        <x:f>EOMONTH(J284-'Сводка'!$B$11,-1)</x:f>
        <x:v>46112</x:v>
      </x:c>
      <x:c r="U284" s="4" t="n">
        <x:f>MATCH(J284,'Сводка'!$R$3:$R$397,0)</x:f>
        <x:v>295</x:v>
      </x:c>
      <x:c r="V284" s="4" t="n">
        <x:f>MATCH(J284-'Сводка'!$B$11,'Сводка'!$R$3:$R$397,0)</x:f>
        <x:v>294</x:v>
      </x:c>
      <x:c r="W284" s="4" t="n">
        <x:f>MATCH(T284,$J$388:$J$400,0)</x:f>
        <x:v>10</x:v>
      </x:c>
      <x:c r="X284" s="3"/>
      <x:c r="Y284" s="3"/>
      <x:c r="Z284" s="3"/>
    </x:row>
    <x:row r="285" ht="15" customHeight="1">
      <x:c r="A285" s="3"/>
      <x:c r="B285" s="3"/>
      <x:c r="C285" s="3"/>
      <x:c r="D285" s="3"/>
      <x:c r="E285" s="3"/>
      <x:c r="F285" s="3"/>
      <x:c r="G285" s="3"/>
      <x:c r="H285" s="3"/>
      <x:c r="I285" s="3"/>
      <x:c r="J285" s="10" t="n">
        <x:v>46136</x:v>
      </x:c>
      <x:c r="K285" s="8" t="n">
        <x:f>INDEX('Сводка'!$S$3:$S$397,U285)</x:f>
        <x:v>53</x:v>
      </x:c>
      <x:c r="L285" s="8" t="n">
        <x:f>INDEX('Сводка'!$S$3:$S$397,V285)</x:f>
        <x:v>55</x:v>
      </x:c>
      <x:c r="M285" s="8" t="n">
        <x:f>INDEX($K$388:$N$400,W285,1)+INDEX($K$388:$N$400,W285,2)*(2*(J285-$T$405)/(T285-$T$405)-1)^1+INDEX($K$388:$N$400,W285,3)*(2*(J285-$T$405)/(T285-$T$405)-1)^2+INDEX($K$388:$N$400,W285,4)*(2*(J285-$T$405)/(T285-$T$405)-1)^3</x:f>
        <x:v>97.79346949597155</x:v>
      </x:c>
      <x:c r="N285" s="8" t="n">
        <x:f>K285-M285</x:f>
        <x:v>-44.79346949597155</x:v>
      </x:c>
      <x:c r="O285" s="8" t="n">
        <x:f>ABS(N285)</x:f>
        <x:v>44.79346949597155</x:v>
      </x:c>
      <x:c r="P285" s="8" t="n">
        <x:f>N285^2</x:f>
        <x:v>2006.4549094865338</x:v>
      </x:c>
      <x:c r="Q285" s="8" t="n">
        <x:f>K285-L285</x:f>
        <x:v>-2</x:v>
      </x:c>
      <x:c r="R285" s="9" t="n">
        <x:f>IF(AND(INDEX('Сводка'!$T$3:$T$397,U285)=0,INDEX('Сводка'!$T$3:$T$397,V285)=0),1,0)</x:f>
        <x:v>1</x:v>
      </x:c>
      <x:c r="S285" s="9" t="n">
        <x:f>IF(AND(R285=1,O285&lt;=$G$13),1,0)</x:f>
        <x:v>0</x:v>
      </x:c>
      <x:c r="T285" s="10" t="n">
        <x:f>EOMONTH(J285-'Сводка'!$B$11,-1)</x:f>
        <x:v>46112</x:v>
      </x:c>
      <x:c r="U285" s="4" t="n">
        <x:f>MATCH(J285,'Сводка'!$R$3:$R$397,0)</x:f>
        <x:v>296</x:v>
      </x:c>
      <x:c r="V285" s="4" t="n">
        <x:f>MATCH(J285-'Сводка'!$B$11,'Сводка'!$R$3:$R$397,0)</x:f>
        <x:v>295</x:v>
      </x:c>
      <x:c r="W285" s="4" t="n">
        <x:f>MATCH(T285,$J$388:$J$400,0)</x:f>
        <x:v>10</x:v>
      </x:c>
      <x:c r="X285" s="3"/>
      <x:c r="Y285" s="3"/>
      <x:c r="Z285" s="3"/>
    </x:row>
    <x:row r="286" ht="15" customHeight="1">
      <x:c r="A286" s="3"/>
      <x:c r="B286" s="3"/>
      <x:c r="C286" s="3"/>
      <x:c r="D286" s="3"/>
      <x:c r="E286" s="3"/>
      <x:c r="F286" s="3"/>
      <x:c r="G286" s="3"/>
      <x:c r="H286" s="3"/>
      <x:c r="I286" s="3"/>
      <x:c r="J286" s="10" t="n">
        <x:v>46137</x:v>
      </x:c>
      <x:c r="K286" s="8" t="n">
        <x:f>INDEX('Сводка'!$S$3:$S$397,U286)</x:f>
        <x:v>58</x:v>
      </x:c>
      <x:c r="L286" s="8" t="n">
        <x:f>INDEX('Сводка'!$S$3:$S$397,V286)</x:f>
        <x:v>53</x:v>
      </x:c>
      <x:c r="M286" s="8" t="n">
        <x:f>INDEX($K$388:$N$400,W286,1)+INDEX($K$388:$N$400,W286,2)*(2*(J286-$T$405)/(T286-$T$405)-1)^1+INDEX($K$388:$N$400,W286,3)*(2*(J286-$T$405)/(T286-$T$405)-1)^2+INDEX($K$388:$N$400,W286,4)*(2*(J286-$T$405)/(T286-$T$405)-1)^3</x:f>
        <x:v>97.75785105415704</x:v>
      </x:c>
      <x:c r="N286" s="8" t="n">
        <x:f>K286-M286</x:f>
        <x:v>-39.757851054157044</x:v>
      </x:c>
      <x:c r="O286" s="8" t="n">
        <x:f>ABS(N286)</x:f>
        <x:v>39.757851054157044</x:v>
      </x:c>
      <x:c r="P286" s="8" t="n">
        <x:f>N286^2</x:f>
        <x:v>1580.6867204445364</x:v>
      </x:c>
      <x:c r="Q286" s="8" t="n">
        <x:f>K286-L286</x:f>
        <x:v>5</x:v>
      </x:c>
      <x:c r="R286" s="9" t="n">
        <x:f>IF(AND(INDEX('Сводка'!$T$3:$T$397,U286)=0,INDEX('Сводка'!$T$3:$T$397,V286)=0),1,0)</x:f>
        <x:v>1</x:v>
      </x:c>
      <x:c r="S286" s="9" t="n">
        <x:f>IF(AND(R286=1,O286&lt;=$G$13),1,0)</x:f>
        <x:v>0</x:v>
      </x:c>
      <x:c r="T286" s="10" t="n">
        <x:f>EOMONTH(J286-'Сводка'!$B$11,-1)</x:f>
        <x:v>46112</x:v>
      </x:c>
      <x:c r="U286" s="4" t="n">
        <x:f>MATCH(J286,'Сводка'!$R$3:$R$397,0)</x:f>
        <x:v>297</x:v>
      </x:c>
      <x:c r="V286" s="4" t="n">
        <x:f>MATCH(J286-'Сводка'!$B$11,'Сводка'!$R$3:$R$397,0)</x:f>
        <x:v>296</x:v>
      </x:c>
      <x:c r="W286" s="4" t="n">
        <x:f>MATCH(T286,$J$388:$J$400,0)</x:f>
        <x:v>10</x:v>
      </x:c>
      <x:c r="X286" s="3"/>
      <x:c r="Y286" s="3"/>
      <x:c r="Z286" s="3"/>
    </x:row>
    <x:row r="287" ht="15" customHeight="1">
      <x:c r="A287" s="3"/>
      <x:c r="B287" s="3"/>
      <x:c r="C287" s="3"/>
      <x:c r="D287" s="3"/>
      <x:c r="E287" s="3"/>
      <x:c r="F287" s="3"/>
      <x:c r="G287" s="3"/>
      <x:c r="H287" s="3"/>
      <x:c r="I287" s="3"/>
      <x:c r="J287" s="10" t="n">
        <x:v>46138</x:v>
      </x:c>
      <x:c r="K287" s="8" t="n">
        <x:f>INDEX('Сводка'!$S$3:$S$397,U287)</x:f>
        <x:v>58</x:v>
      </x:c>
      <x:c r="L287" s="8" t="n">
        <x:f>INDEX('Сводка'!$S$3:$S$397,V287)</x:f>
        <x:v>58</x:v>
      </x:c>
      <x:c r="M287" s="8" t="n">
        <x:f>INDEX($K$388:$N$400,W287,1)+INDEX($K$388:$N$400,W287,2)*(2*(J287-$T$405)/(T287-$T$405)-1)^1+INDEX($K$388:$N$400,W287,3)*(2*(J287-$T$405)/(T287-$T$405)-1)^2+INDEX($K$388:$N$400,W287,4)*(2*(J287-$T$405)/(T287-$T$405)-1)^3</x:f>
        <x:v>97.72221101117013</x:v>
      </x:c>
      <x:c r="N287" s="8" t="n">
        <x:f>K287-M287</x:f>
        <x:v>-39.72221101117013</x:v>
      </x:c>
      <x:c r="O287" s="8" t="n">
        <x:f>ABS(N287)</x:f>
        <x:v>39.72221101117013</x:v>
      </x:c>
      <x:c r="P287" s="8" t="n">
        <x:f>N287^2</x:f>
        <x:v>1577.8540476159255</x:v>
      </x:c>
      <x:c r="Q287" s="8" t="n">
        <x:f>K287-L287</x:f>
        <x:v>0</x:v>
      </x:c>
      <x:c r="R287" s="9" t="n">
        <x:f>IF(AND(INDEX('Сводка'!$T$3:$T$397,U287)=0,INDEX('Сводка'!$T$3:$T$397,V287)=0),1,0)</x:f>
        <x:v>1</x:v>
      </x:c>
      <x:c r="S287" s="9" t="n">
        <x:f>IF(AND(R287=1,O287&lt;=$G$13),1,0)</x:f>
        <x:v>0</x:v>
      </x:c>
      <x:c r="T287" s="10" t="n">
        <x:f>EOMONTH(J287-'Сводка'!$B$11,-1)</x:f>
        <x:v>46112</x:v>
      </x:c>
      <x:c r="U287" s="4" t="n">
        <x:f>MATCH(J287,'Сводка'!$R$3:$R$397,0)</x:f>
        <x:v>298</x:v>
      </x:c>
      <x:c r="V287" s="4" t="n">
        <x:f>MATCH(J287-'Сводка'!$B$11,'Сводка'!$R$3:$R$397,0)</x:f>
        <x:v>297</x:v>
      </x:c>
      <x:c r="W287" s="4" t="n">
        <x:f>MATCH(T287,$J$388:$J$400,0)</x:f>
        <x:v>10</x:v>
      </x:c>
      <x:c r="X287" s="3"/>
      <x:c r="Y287" s="3"/>
      <x:c r="Z287" s="3"/>
    </x:row>
    <x:row r="288" ht="15" customHeight="1">
      <x:c r="A288" s="3"/>
      <x:c r="B288" s="3"/>
      <x:c r="C288" s="3"/>
      <x:c r="D288" s="3"/>
      <x:c r="E288" s="3"/>
      <x:c r="F288" s="3"/>
      <x:c r="G288" s="3"/>
      <x:c r="H288" s="3"/>
      <x:c r="I288" s="3"/>
      <x:c r="J288" s="10" t="n">
        <x:v>46139</x:v>
      </x:c>
      <x:c r="K288" s="8" t="n">
        <x:f>INDEX('Сводка'!$S$3:$S$397,U288)</x:f>
        <x:v>61</x:v>
      </x:c>
      <x:c r="L288" s="8" t="n">
        <x:f>INDEX('Сводка'!$S$3:$S$397,V288)</x:f>
        <x:v>58</x:v>
      </x:c>
      <x:c r="M288" s="8" t="n">
        <x:f>INDEX($K$388:$N$400,W288,1)+INDEX($K$388:$N$400,W288,2)*(2*(J288-$T$405)/(T288-$T$405)-1)^1+INDEX($K$388:$N$400,W288,3)*(2*(J288-$T$405)/(T288-$T$405)-1)^2+INDEX($K$388:$N$400,W288,4)*(2*(J288-$T$405)/(T288-$T$405)-1)^3</x:f>
        <x:v>97.68654936371945</x:v>
      </x:c>
      <x:c r="N288" s="8" t="n">
        <x:f>K288-M288</x:f>
        <x:v>-36.68654936371945</x:v>
      </x:c>
      <x:c r="O288" s="8" t="n">
        <x:f>ABS(N288)</x:f>
        <x:v>36.68654936371945</x:v>
      </x:c>
      <x:c r="P288" s="8" t="n">
        <x:f>N288^2</x:f>
        <x:v>1345.902904216624</x:v>
      </x:c>
      <x:c r="Q288" s="8" t="n">
        <x:f>K288-L288</x:f>
        <x:v>3</x:v>
      </x:c>
      <x:c r="R288" s="9" t="n">
        <x:f>IF(AND(INDEX('Сводка'!$T$3:$T$397,U288)=0,INDEX('Сводка'!$T$3:$T$397,V288)=0),1,0)</x:f>
        <x:v>1</x:v>
      </x:c>
      <x:c r="S288" s="9" t="n">
        <x:f>IF(AND(R288=1,O288&lt;=$G$13),1,0)</x:f>
        <x:v>0</x:v>
      </x:c>
      <x:c r="T288" s="10" t="n">
        <x:f>EOMONTH(J288-'Сводка'!$B$11,-1)</x:f>
        <x:v>46112</x:v>
      </x:c>
      <x:c r="U288" s="4" t="n">
        <x:f>MATCH(J288,'Сводка'!$R$3:$R$397,0)</x:f>
        <x:v>299</x:v>
      </x:c>
      <x:c r="V288" s="4" t="n">
        <x:f>MATCH(J288-'Сводка'!$B$11,'Сводка'!$R$3:$R$397,0)</x:f>
        <x:v>298</x:v>
      </x:c>
      <x:c r="W288" s="4" t="n">
        <x:f>MATCH(T288,$J$388:$J$400,0)</x:f>
        <x:v>10</x:v>
      </x:c>
      <x:c r="X288" s="3"/>
      <x:c r="Y288" s="3"/>
      <x:c r="Z288" s="3"/>
    </x:row>
    <x:row r="289" ht="15" customHeight="1">
      <x:c r="A289" s="3"/>
      <x:c r="B289" s="3"/>
      <x:c r="C289" s="3"/>
      <x:c r="D289" s="3"/>
      <x:c r="E289" s="3"/>
      <x:c r="F289" s="3"/>
      <x:c r="G289" s="3"/>
      <x:c r="H289" s="3"/>
      <x:c r="I289" s="3"/>
      <x:c r="J289" s="10" t="n">
        <x:v>46140</x:v>
      </x:c>
      <x:c r="K289" s="8" t="n">
        <x:f>INDEX('Сводка'!$S$3:$S$397,U289)</x:f>
        <x:v>47</x:v>
      </x:c>
      <x:c r="L289" s="8" t="n">
        <x:f>INDEX('Сводка'!$S$3:$S$397,V289)</x:f>
        <x:v>61</x:v>
      </x:c>
      <x:c r="M289" s="8" t="n">
        <x:f>INDEX($K$388:$N$400,W289,1)+INDEX($K$388:$N$400,W289,2)*(2*(J289-$T$405)/(T289-$T$405)-1)^1+INDEX($K$388:$N$400,W289,3)*(2*(J289-$T$405)/(T289-$T$405)-1)^2+INDEX($K$388:$N$400,W289,4)*(2*(J289-$T$405)/(T289-$T$405)-1)^3</x:f>
        <x:v>97.65086610851351</x:v>
      </x:c>
      <x:c r="N289" s="8" t="n">
        <x:f>K289-M289</x:f>
        <x:v>-50.65086610851351</x:v>
      </x:c>
      <x:c r="O289" s="8" t="n">
        <x:f>ABS(N289)</x:f>
        <x:v>50.65086610851351</x:v>
      </x:c>
      <x:c r="P289" s="8" t="n">
        <x:f>N289^2</x:f>
        <x:v>2565.5102375425627</x:v>
      </x:c>
      <x:c r="Q289" s="8" t="n">
        <x:f>K289-L289</x:f>
        <x:v>-14</x:v>
      </x:c>
      <x:c r="R289" s="9" t="n">
        <x:f>IF(AND(INDEX('Сводка'!$T$3:$T$397,U289)=0,INDEX('Сводка'!$T$3:$T$397,V289)=0),1,0)</x:f>
        <x:v>1</x:v>
      </x:c>
      <x:c r="S289" s="9" t="n">
        <x:f>IF(AND(R289=1,O289&lt;=$G$13),1,0)</x:f>
        <x:v>0</x:v>
      </x:c>
      <x:c r="T289" s="10" t="n">
        <x:f>EOMONTH(J289-'Сводка'!$B$11,-1)</x:f>
        <x:v>46112</x:v>
      </x:c>
      <x:c r="U289" s="4" t="n">
        <x:f>MATCH(J289,'Сводка'!$R$3:$R$397,0)</x:f>
        <x:v>300</x:v>
      </x:c>
      <x:c r="V289" s="4" t="n">
        <x:f>MATCH(J289-'Сводка'!$B$11,'Сводка'!$R$3:$R$397,0)</x:f>
        <x:v>299</x:v>
      </x:c>
      <x:c r="W289" s="4" t="n">
        <x:f>MATCH(T289,$J$388:$J$400,0)</x:f>
        <x:v>10</x:v>
      </x:c>
      <x:c r="X289" s="3"/>
      <x:c r="Y289" s="3"/>
      <x:c r="Z289" s="3"/>
    </x:row>
    <x:row r="290" ht="15" customHeight="1">
      <x:c r="A290" s="3"/>
      <x:c r="B290" s="3"/>
      <x:c r="C290" s="3"/>
      <x:c r="D290" s="3"/>
      <x:c r="E290" s="3"/>
      <x:c r="F290" s="3"/>
      <x:c r="G290" s="3"/>
      <x:c r="H290" s="3"/>
      <x:c r="I290" s="3"/>
      <x:c r="J290" s="10" t="n">
        <x:v>46141</x:v>
      </x:c>
      <x:c r="K290" s="8" t="n">
        <x:f>INDEX('Сводка'!$S$3:$S$397,U290)</x:f>
        <x:v>37</x:v>
      </x:c>
      <x:c r="L290" s="8" t="n">
        <x:f>INDEX('Сводка'!$S$3:$S$397,V290)</x:f>
        <x:v>47</x:v>
      </x:c>
      <x:c r="M290" s="8" t="n">
        <x:f>INDEX($K$388:$N$400,W290,1)+INDEX($K$388:$N$400,W290,2)*(2*(J290-$T$405)/(T290-$T$405)-1)^1+INDEX($K$388:$N$400,W290,3)*(2*(J290-$T$405)/(T290-$T$405)-1)^2+INDEX($K$388:$N$400,W290,4)*(2*(J290-$T$405)/(T290-$T$405)-1)^3</x:f>
        <x:v>97.61516124226108</x:v>
      </x:c>
      <x:c r="N290" s="8" t="n">
        <x:f>K290-M290</x:f>
        <x:v>-60.61516124226108</x:v>
      </x:c>
      <x:c r="O290" s="8" t="n">
        <x:f>ABS(N290)</x:f>
        <x:v>60.61516124226108</x:v>
      </x:c>
      <x:c r="P290" s="8" t="n">
        <x:f>N290^2</x:f>
        <x:v>3674.1977724253097</x:v>
      </x:c>
      <x:c r="Q290" s="8" t="n">
        <x:f>K290-L290</x:f>
        <x:v>-10</x:v>
      </x:c>
      <x:c r="R290" s="9" t="n">
        <x:f>IF(AND(INDEX('Сводка'!$T$3:$T$397,U290)=0,INDEX('Сводка'!$T$3:$T$397,V290)=0),1,0)</x:f>
        <x:v>1</x:v>
      </x:c>
      <x:c r="S290" s="9" t="n">
        <x:f>IF(AND(R290=1,O290&lt;=$G$13),1,0)</x:f>
        <x:v>0</x:v>
      </x:c>
      <x:c r="T290" s="10" t="n">
        <x:f>EOMONTH(J290-'Сводка'!$B$11,-1)</x:f>
        <x:v>46112</x:v>
      </x:c>
      <x:c r="U290" s="4" t="n">
        <x:f>MATCH(J290,'Сводка'!$R$3:$R$397,0)</x:f>
        <x:v>301</x:v>
      </x:c>
      <x:c r="V290" s="4" t="n">
        <x:f>MATCH(J290-'Сводка'!$B$11,'Сводка'!$R$3:$R$397,0)</x:f>
        <x:v>300</x:v>
      </x:c>
      <x:c r="W290" s="4" t="n">
        <x:f>MATCH(T290,$J$388:$J$400,0)</x:f>
        <x:v>10</x:v>
      </x:c>
      <x:c r="X290" s="3"/>
      <x:c r="Y290" s="3"/>
      <x:c r="Z290" s="3"/>
    </x:row>
    <x:row r="291" ht="15" customHeight="1">
      <x:c r="A291" s="3"/>
      <x:c r="B291" s="3"/>
      <x:c r="C291" s="3"/>
      <x:c r="D291" s="3"/>
      <x:c r="E291" s="3"/>
      <x:c r="F291" s="3"/>
      <x:c r="G291" s="3"/>
      <x:c r="H291" s="3"/>
      <x:c r="I291" s="3"/>
      <x:c r="J291" s="10" t="n">
        <x:v>46142</x:v>
      </x:c>
      <x:c r="K291" s="8" t="n">
        <x:f>INDEX('Сводка'!$S$3:$S$397,U291)</x:f>
        <x:v>33</x:v>
      </x:c>
      <x:c r="L291" s="8" t="n">
        <x:f>INDEX('Сводка'!$S$3:$S$397,V291)</x:f>
        <x:v>37</x:v>
      </x:c>
      <x:c r="M291" s="8" t="n">
        <x:f>INDEX($K$388:$N$400,W291,1)+INDEX($K$388:$N$400,W291,2)*(2*(J291-$T$405)/(T291-$T$405)-1)^1+INDEX($K$388:$N$400,W291,3)*(2*(J291-$T$405)/(T291-$T$405)-1)^2+INDEX($K$388:$N$400,W291,4)*(2*(J291-$T$405)/(T291-$T$405)-1)^3</x:f>
        <x:v>97.57943476167077</x:v>
      </x:c>
      <x:c r="N291" s="8" t="n">
        <x:f>K291-M291</x:f>
        <x:v>-64.57943476167077</x:v>
      </x:c>
      <x:c r="O291" s="8" t="n">
        <x:f>ABS(N291)</x:f>
        <x:v>64.57943476167077</x:v>
      </x:c>
      <x:c r="P291" s="8" t="n">
        <x:f>N291^2</x:f>
        <x:v>4170.503394136891</x:v>
      </x:c>
      <x:c r="Q291" s="8" t="n">
        <x:f>K291-L291</x:f>
        <x:v>-4</x:v>
      </x:c>
      <x:c r="R291" s="9" t="n">
        <x:f>IF(AND(INDEX('Сводка'!$T$3:$T$397,U291)=0,INDEX('Сводка'!$T$3:$T$397,V291)=0),1,0)</x:f>
        <x:v>1</x:v>
      </x:c>
      <x:c r="S291" s="9" t="n">
        <x:f>IF(AND(R291=1,O291&lt;=$G$13),1,0)</x:f>
        <x:v>0</x:v>
      </x:c>
      <x:c r="T291" s="10" t="n">
        <x:f>EOMONTH(J291-'Сводка'!$B$11,-1)</x:f>
        <x:v>46112</x:v>
      </x:c>
      <x:c r="U291" s="4" t="n">
        <x:f>MATCH(J291,'Сводка'!$R$3:$R$397,0)</x:f>
        <x:v>302</x:v>
      </x:c>
      <x:c r="V291" s="4" t="n">
        <x:f>MATCH(J291-'Сводка'!$B$11,'Сводка'!$R$3:$R$397,0)</x:f>
        <x:v>301</x:v>
      </x:c>
      <x:c r="W291" s="4" t="n">
        <x:f>MATCH(T291,$J$388:$J$400,0)</x:f>
        <x:v>10</x:v>
      </x:c>
      <x:c r="X291" s="3"/>
      <x:c r="Y291" s="3"/>
      <x:c r="Z291" s="3"/>
    </x:row>
    <x:row r="292" ht="15" customHeight="1">
      <x:c r="A292" s="3"/>
      <x:c r="B292" s="3"/>
      <x:c r="C292" s="3"/>
      <x:c r="D292" s="3"/>
      <x:c r="E292" s="3"/>
      <x:c r="F292" s="3"/>
      <x:c r="G292" s="3"/>
      <x:c r="H292" s="3"/>
      <x:c r="I292" s="3"/>
      <x:c r="J292" s="10" t="n">
        <x:v>46143</x:v>
      </x:c>
      <x:c r="K292" s="8" t="n">
        <x:f>INDEX('Сводка'!$S$3:$S$397,U292)</x:f>
        <x:v>44</x:v>
      </x:c>
      <x:c r="L292" s="8" t="n">
        <x:f>INDEX('Сводка'!$S$3:$S$397,V292)</x:f>
        <x:v>33</x:v>
      </x:c>
      <x:c r="M292" s="8" t="n">
        <x:f>INDEX($K$388:$N$400,W292,1)+INDEX($K$388:$N$400,W292,2)*(2*(J292-$T$405)/(T292-$T$405)-1)^1+INDEX($K$388:$N$400,W292,3)*(2*(J292-$T$405)/(T292-$T$405)-1)^2+INDEX($K$388:$N$400,W292,4)*(2*(J292-$T$405)/(T292-$T$405)-1)^3</x:f>
        <x:v>97.54368666345124</x:v>
      </x:c>
      <x:c r="N292" s="8" t="n">
        <x:f>K292-M292</x:f>
        <x:v>-53.54368666345124</x:v>
      </x:c>
      <x:c r="O292" s="8" t="n">
        <x:f>ABS(N292)</x:f>
        <x:v>53.54368666345124</x:v>
      </x:c>
      <x:c r="P292" s="8" t="n">
        <x:f>N292^2</x:f>
        <x:v>2866.926381513846</x:v>
      </x:c>
      <x:c r="Q292" s="8" t="n">
        <x:f>K292-L292</x:f>
        <x:v>11</x:v>
      </x:c>
      <x:c r="R292" s="9" t="n">
        <x:f>IF(AND(INDEX('Сводка'!$T$3:$T$397,U292)=0,INDEX('Сводка'!$T$3:$T$397,V292)=0),1,0)</x:f>
        <x:v>1</x:v>
      </x:c>
      <x:c r="S292" s="9" t="n">
        <x:f>IF(AND(R292=1,O292&lt;=$G$13),1,0)</x:f>
        <x:v>0</x:v>
      </x:c>
      <x:c r="T292" s="10" t="n">
        <x:f>EOMONTH(J292-'Сводка'!$B$11,-1)</x:f>
        <x:v>46112</x:v>
      </x:c>
      <x:c r="U292" s="4" t="n">
        <x:f>MATCH(J292,'Сводка'!$R$3:$R$397,0)</x:f>
        <x:v>303</x:v>
      </x:c>
      <x:c r="V292" s="4" t="n">
        <x:f>MATCH(J292-'Сводка'!$B$11,'Сводка'!$R$3:$R$397,0)</x:f>
        <x:v>302</x:v>
      </x:c>
      <x:c r="W292" s="4" t="n">
        <x:f>MATCH(T292,$J$388:$J$400,0)</x:f>
        <x:v>10</x:v>
      </x:c>
      <x:c r="X292" s="3"/>
      <x:c r="Y292" s="3"/>
      <x:c r="Z292" s="3"/>
    </x:row>
    <x:row r="293" ht="15" customHeight="1">
      <x:c r="A293" s="3"/>
      <x:c r="B293" s="3"/>
      <x:c r="C293" s="3"/>
      <x:c r="D293" s="3"/>
      <x:c r="E293" s="3"/>
      <x:c r="F293" s="3"/>
      <x:c r="G293" s="3"/>
      <x:c r="H293" s="3"/>
      <x:c r="I293" s="3"/>
      <x:c r="J293" s="10" t="n">
        <x:v>46144</x:v>
      </x:c>
      <x:c r="K293" s="8" t="n">
        <x:f>INDEX('Сводка'!$S$3:$S$397,U293)</x:f>
        <x:v>61</x:v>
      </x:c>
      <x:c r="L293" s="8" t="n">
        <x:f>INDEX('Сводка'!$S$3:$S$397,V293)</x:f>
        <x:v>44</x:v>
      </x:c>
      <x:c r="M293" s="8" t="n">
        <x:f>INDEX($K$388:$N$400,W293,1)+INDEX($K$388:$N$400,W293,2)*(2*(J293-$T$405)/(T293-$T$405)-1)^1+INDEX($K$388:$N$400,W293,3)*(2*(J293-$T$405)/(T293-$T$405)-1)^2+INDEX($K$388:$N$400,W293,4)*(2*(J293-$T$405)/(T293-$T$405)-1)^3</x:f>
        <x:v>93.67888541604228</x:v>
      </x:c>
      <x:c r="N293" s="8" t="n">
        <x:f>K293-M293</x:f>
        <x:v>-32.67888541604228</x:v>
      </x:c>
      <x:c r="O293" s="8" t="n">
        <x:f>ABS(N293)</x:f>
        <x:v>32.67888541604228</x:v>
      </x:c>
      <x:c r="P293" s="8" t="n">
        <x:f>N293^2</x:f>
        <x:v>1067.9095520348205</x:v>
      </x:c>
      <x:c r="Q293" s="8" t="n">
        <x:f>K293-L293</x:f>
        <x:v>17</x:v>
      </x:c>
      <x:c r="R293" s="9" t="n">
        <x:f>IF(AND(INDEX('Сводка'!$T$3:$T$397,U293)=0,INDEX('Сводка'!$T$3:$T$397,V293)=0),1,0)</x:f>
        <x:v>1</x:v>
      </x:c>
      <x:c r="S293" s="9" t="n">
        <x:f>IF(AND(R293=1,O293&lt;=$G$13),1,0)</x:f>
        <x:v>0</x:v>
      </x:c>
      <x:c r="T293" s="10" t="n">
        <x:f>EOMONTH(J293-'Сводка'!$B$11,-1)</x:f>
        <x:v>46142</x:v>
      </x:c>
      <x:c r="U293" s="4" t="n">
        <x:f>MATCH(J293,'Сводка'!$R$3:$R$397,0)</x:f>
        <x:v>304</x:v>
      </x:c>
      <x:c r="V293" s="4" t="n">
        <x:f>MATCH(J293-'Сводка'!$B$11,'Сводка'!$R$3:$R$397,0)</x:f>
        <x:v>303</x:v>
      </x:c>
      <x:c r="W293" s="4" t="n">
        <x:f>MATCH(T293,$J$388:$J$400,0)</x:f>
        <x:v>11</x:v>
      </x:c>
      <x:c r="X293" s="3"/>
      <x:c r="Y293" s="3"/>
      <x:c r="Z293" s="3"/>
    </x:row>
    <x:row r="294" ht="15" customHeight="1">
      <x:c r="A294" s="3"/>
      <x:c r="B294" s="3"/>
      <x:c r="C294" s="3"/>
      <x:c r="D294" s="3"/>
      <x:c r="E294" s="3"/>
      <x:c r="F294" s="3"/>
      <x:c r="G294" s="3"/>
      <x:c r="H294" s="3"/>
      <x:c r="I294" s="3"/>
      <x:c r="J294" s="10" t="n">
        <x:v>46145</x:v>
      </x:c>
      <x:c r="K294" s="8" t="n">
        <x:f>INDEX('Сводка'!$S$3:$S$397,U294)</x:f>
        <x:v>76</x:v>
      </x:c>
      <x:c r="L294" s="8" t="n">
        <x:f>INDEX('Сводка'!$S$3:$S$397,V294)</x:f>
        <x:v>61</x:v>
      </x:c>
      <x:c r="M294" s="8" t="n">
        <x:f>INDEX($K$388:$N$400,W294,1)+INDEX($K$388:$N$400,W294,2)*(2*(J294-$T$405)/(T294-$T$405)-1)^1+INDEX($K$388:$N$400,W294,3)*(2*(J294-$T$405)/(T294-$T$405)-1)^2+INDEX($K$388:$N$400,W294,4)*(2*(J294-$T$405)/(T294-$T$405)-1)^3</x:f>
        <x:v>93.63994068353247</x:v>
      </x:c>
      <x:c r="N294" s="8" t="n">
        <x:f>K294-M294</x:f>
        <x:v>-17.639940683532473</x:v>
      </x:c>
      <x:c r="O294" s="8" t="n">
        <x:f>ABS(N294)</x:f>
        <x:v>17.639940683532473</x:v>
      </x:c>
      <x:c r="P294" s="8" t="n">
        <x:f>N294^2</x:f>
        <x:v>311.1675073185441</x:v>
      </x:c>
      <x:c r="Q294" s="8" t="n">
        <x:f>K294-L294</x:f>
        <x:v>15</x:v>
      </x:c>
      <x:c r="R294" s="9" t="n">
        <x:f>IF(AND(INDEX('Сводка'!$T$3:$T$397,U294)=0,INDEX('Сводка'!$T$3:$T$397,V294)=0),1,0)</x:f>
        <x:v>1</x:v>
      </x:c>
      <x:c r="S294" s="9" t="n">
        <x:f>IF(AND(R294=1,O294&lt;=$G$13),1,0)</x:f>
        <x:v>0</x:v>
      </x:c>
      <x:c r="T294" s="10" t="n">
        <x:f>EOMONTH(J294-'Сводка'!$B$11,-1)</x:f>
        <x:v>46142</x:v>
      </x:c>
      <x:c r="U294" s="4" t="n">
        <x:f>MATCH(J294,'Сводка'!$R$3:$R$397,0)</x:f>
        <x:v>305</x:v>
      </x:c>
      <x:c r="V294" s="4" t="n">
        <x:f>MATCH(J294-'Сводка'!$B$11,'Сводка'!$R$3:$R$397,0)</x:f>
        <x:v>304</x:v>
      </x:c>
      <x:c r="W294" s="4" t="n">
        <x:f>MATCH(T294,$J$388:$J$400,0)</x:f>
        <x:v>11</x:v>
      </x:c>
      <x:c r="X294" s="3"/>
      <x:c r="Y294" s="3"/>
      <x:c r="Z294" s="3"/>
    </x:row>
    <x:row r="295" ht="15" customHeight="1">
      <x:c r="A295" s="3"/>
      <x:c r="B295" s="3"/>
      <x:c r="C295" s="3"/>
      <x:c r="D295" s="3"/>
      <x:c r="E295" s="3"/>
      <x:c r="F295" s="3"/>
      <x:c r="G295" s="3"/>
      <x:c r="H295" s="3"/>
      <x:c r="I295" s="3"/>
      <x:c r="J295" s="10" t="n">
        <x:v>46146</x:v>
      </x:c>
      <x:c r="K295" s="8" t="n">
        <x:f>INDEX('Сводка'!$S$3:$S$397,U295)</x:f>
        <x:v>83</x:v>
      </x:c>
      <x:c r="L295" s="8" t="n">
        <x:f>INDEX('Сводка'!$S$3:$S$397,V295)</x:f>
        <x:v>76</x:v>
      </x:c>
      <x:c r="M295" s="8" t="n">
        <x:f>INDEX($K$388:$N$400,W295,1)+INDEX($K$388:$N$400,W295,2)*(2*(J295-$T$405)/(T295-$T$405)-1)^1+INDEX($K$388:$N$400,W295,3)*(2*(J295-$T$405)/(T295-$T$405)-1)^2+INDEX($K$388:$N$400,W295,4)*(2*(J295-$T$405)/(T295-$T$405)-1)^3</x:f>
        <x:v>93.60097292023875</x:v>
      </x:c>
      <x:c r="N295" s="8" t="n">
        <x:f>K295-M295</x:f>
        <x:v>-10.600972920238746</x:v>
      </x:c>
      <x:c r="O295" s="8" t="n">
        <x:f>ABS(N295)</x:f>
        <x:v>10.600972920238746</x:v>
      </x:c>
      <x:c r="P295" s="8" t="n">
        <x:f>N295^2</x:f>
        <x:v>112.38062685563521</x:v>
      </x:c>
      <x:c r="Q295" s="8" t="n">
        <x:f>K295-L295</x:f>
        <x:v>7</x:v>
      </x:c>
      <x:c r="R295" s="9" t="n">
        <x:f>IF(AND(INDEX('Сводка'!$T$3:$T$397,U295)=0,INDEX('Сводка'!$T$3:$T$397,V295)=0),1,0)</x:f>
        <x:v>1</x:v>
      </x:c>
      <x:c r="S295" s="9" t="n">
        <x:f>IF(AND(R295=1,O295&lt;=$G$13),1,0)</x:f>
        <x:v>0</x:v>
      </x:c>
      <x:c r="T295" s="10" t="n">
        <x:f>EOMONTH(J295-'Сводка'!$B$11,-1)</x:f>
        <x:v>46142</x:v>
      </x:c>
      <x:c r="U295" s="4" t="n">
        <x:f>MATCH(J295,'Сводка'!$R$3:$R$397,0)</x:f>
        <x:v>306</x:v>
      </x:c>
      <x:c r="V295" s="4" t="n">
        <x:f>MATCH(J295-'Сводка'!$B$11,'Сводка'!$R$3:$R$397,0)</x:f>
        <x:v>305</x:v>
      </x:c>
      <x:c r="W295" s="4" t="n">
        <x:f>MATCH(T295,$J$388:$J$400,0)</x:f>
        <x:v>11</x:v>
      </x:c>
      <x:c r="X295" s="3"/>
      <x:c r="Y295" s="3"/>
      <x:c r="Z295" s="3"/>
    </x:row>
    <x:row r="296" ht="15" customHeight="1">
      <x:c r="A296" s="3"/>
      <x:c r="B296" s="3"/>
      <x:c r="C296" s="3"/>
      <x:c r="D296" s="3"/>
      <x:c r="E296" s="3"/>
      <x:c r="F296" s="3"/>
      <x:c r="G296" s="3"/>
      <x:c r="H296" s="3"/>
      <x:c r="I296" s="3"/>
      <x:c r="J296" s="10" t="n">
        <x:v>46147</x:v>
      </x:c>
      <x:c r="K296" s="8" t="n">
        <x:f>INDEX('Сводка'!$S$3:$S$397,U296)</x:f>
        <x:v>87</x:v>
      </x:c>
      <x:c r="L296" s="8" t="n">
        <x:f>INDEX('Сводка'!$S$3:$S$397,V296)</x:f>
        <x:v>83</x:v>
      </x:c>
      <x:c r="M296" s="8" t="n">
        <x:f>INDEX($K$388:$N$400,W296,1)+INDEX($K$388:$N$400,W296,2)*(2*(J296-$T$405)/(T296-$T$405)-1)^1+INDEX($K$388:$N$400,W296,3)*(2*(J296-$T$405)/(T296-$T$405)-1)^2+INDEX($K$388:$N$400,W296,4)*(2*(J296-$T$405)/(T296-$T$405)-1)^3</x:f>
        <x:v>93.56198212259514</x:v>
      </x:c>
      <x:c r="N296" s="8" t="n">
        <x:f>K296-M296</x:f>
        <x:v>-6.56198212259514</x:v>
      </x:c>
      <x:c r="O296" s="8" t="n">
        <x:f>ABS(N296)</x:f>
        <x:v>6.56198212259514</x:v>
      </x:c>
      <x:c r="P296" s="8" t="n">
        <x:f>N296^2</x:f>
        <x:v>43.05960937725822</x:v>
      </x:c>
      <x:c r="Q296" s="8" t="n">
        <x:f>K296-L296</x:f>
        <x:v>4</x:v>
      </x:c>
      <x:c r="R296" s="9" t="n">
        <x:f>IF(AND(INDEX('Сводка'!$T$3:$T$397,U296)=0,INDEX('Сводка'!$T$3:$T$397,V296)=0),1,0)</x:f>
        <x:v>1</x:v>
      </x:c>
      <x:c r="S296" s="9" t="n">
        <x:f>IF(AND(R296=1,O296&lt;=$G$13),1,0)</x:f>
        <x:v>1</x:v>
      </x:c>
      <x:c r="T296" s="10" t="n">
        <x:f>EOMONTH(J296-'Сводка'!$B$11,-1)</x:f>
        <x:v>46142</x:v>
      </x:c>
      <x:c r="U296" s="4" t="n">
        <x:f>MATCH(J296,'Сводка'!$R$3:$R$397,0)</x:f>
        <x:v>307</x:v>
      </x:c>
      <x:c r="V296" s="4" t="n">
        <x:f>MATCH(J296-'Сводка'!$B$11,'Сводка'!$R$3:$R$397,0)</x:f>
        <x:v>306</x:v>
      </x:c>
      <x:c r="W296" s="4" t="n">
        <x:f>MATCH(T296,$J$388:$J$400,0)</x:f>
        <x:v>11</x:v>
      </x:c>
      <x:c r="X296" s="3"/>
      <x:c r="Y296" s="3"/>
      <x:c r="Z296" s="3"/>
    </x:row>
    <x:row r="297" ht="15" customHeight="1">
      <x:c r="A297" s="3"/>
      <x:c r="B297" s="3"/>
      <x:c r="C297" s="3"/>
      <x:c r="D297" s="3"/>
      <x:c r="E297" s="3"/>
      <x:c r="F297" s="3"/>
      <x:c r="G297" s="3"/>
      <x:c r="H297" s="3"/>
      <x:c r="I297" s="3"/>
      <x:c r="J297" s="10" t="n">
        <x:v>46148</x:v>
      </x:c>
      <x:c r="K297" s="8" t="n">
        <x:f>INDEX('Сводка'!$S$3:$S$397,U297)</x:f>
        <x:v>92</x:v>
      </x:c>
      <x:c r="L297" s="8" t="n">
        <x:f>INDEX('Сводка'!$S$3:$S$397,V297)</x:f>
        <x:v>87</x:v>
      </x:c>
      <x:c r="M297" s="8" t="n">
        <x:f>INDEX($K$388:$N$400,W297,1)+INDEX($K$388:$N$400,W297,2)*(2*(J297-$T$405)/(T297-$T$405)-1)^1+INDEX($K$388:$N$400,W297,3)*(2*(J297-$T$405)/(T297-$T$405)-1)^2+INDEX($K$388:$N$400,W297,4)*(2*(J297-$T$405)/(T297-$T$405)-1)^3</x:f>
        <x:v>93.5229682870359</x:v>
      </x:c>
      <x:c r="N297" s="8" t="n">
        <x:f>K297-M297</x:f>
        <x:v>-1.5229682870358943</x:v>
      </x:c>
      <x:c r="O297" s="8" t="n">
        <x:f>ABS(N297)</x:f>
        <x:v>1.5229682870358943</x:v>
      </x:c>
      <x:c r="P297" s="8" t="n">
        <x:f>N297^2</x:f>
        <x:v>2.319432403317046</x:v>
      </x:c>
      <x:c r="Q297" s="8" t="n">
        <x:f>K297-L297</x:f>
        <x:v>5</x:v>
      </x:c>
      <x:c r="R297" s="9" t="n">
        <x:f>IF(AND(INDEX('Сводка'!$T$3:$T$397,U297)=0,INDEX('Сводка'!$T$3:$T$397,V297)=0),1,0)</x:f>
        <x:v>1</x:v>
      </x:c>
      <x:c r="S297" s="9" t="n">
        <x:f>IF(AND(R297=1,O297&lt;=$G$13),1,0)</x:f>
        <x:v>1</x:v>
      </x:c>
      <x:c r="T297" s="10" t="n">
        <x:f>EOMONTH(J297-'Сводка'!$B$11,-1)</x:f>
        <x:v>46142</x:v>
      </x:c>
      <x:c r="U297" s="4" t="n">
        <x:f>MATCH(J297,'Сводка'!$R$3:$R$397,0)</x:f>
        <x:v>308</x:v>
      </x:c>
      <x:c r="V297" s="4" t="n">
        <x:f>MATCH(J297-'Сводка'!$B$11,'Сводка'!$R$3:$R$397,0)</x:f>
        <x:v>307</x:v>
      </x:c>
      <x:c r="W297" s="4" t="n">
        <x:f>MATCH(T297,$J$388:$J$400,0)</x:f>
        <x:v>11</x:v>
      </x:c>
      <x:c r="X297" s="3"/>
      <x:c r="Y297" s="3"/>
      <x:c r="Z297" s="3"/>
    </x:row>
    <x:row r="298" ht="15" customHeight="1">
      <x:c r="A298" s="3"/>
      <x:c r="B298" s="3"/>
      <x:c r="C298" s="3"/>
      <x:c r="D298" s="3"/>
      <x:c r="E298" s="3"/>
      <x:c r="F298" s="3"/>
      <x:c r="G298" s="3"/>
      <x:c r="H298" s="3"/>
      <x:c r="I298" s="3"/>
      <x:c r="J298" s="10" t="n">
        <x:v>46149</x:v>
      </x:c>
      <x:c r="K298" s="8" t="n">
        <x:f>INDEX('Сводка'!$S$3:$S$397,U298)</x:f>
        <x:v>99</x:v>
      </x:c>
      <x:c r="L298" s="8" t="n">
        <x:f>INDEX('Сводка'!$S$3:$S$397,V298)</x:f>
        <x:v>92</x:v>
      </x:c>
      <x:c r="M298" s="8" t="n">
        <x:f>INDEX($K$388:$N$400,W298,1)+INDEX($K$388:$N$400,W298,2)*(2*(J298-$T$405)/(T298-$T$405)-1)^1+INDEX($K$388:$N$400,W298,3)*(2*(J298-$T$405)/(T298-$T$405)-1)^2+INDEX($K$388:$N$400,W298,4)*(2*(J298-$T$405)/(T298-$T$405)-1)^3</x:f>
        <x:v>93.48393140999495</x:v>
      </x:c>
      <x:c r="N298" s="8" t="n">
        <x:f>K298-M298</x:f>
        <x:v>5.516068590005048</x:v>
      </x:c>
      <x:c r="O298" s="8" t="n">
        <x:f>ABS(N298)</x:f>
        <x:v>5.516068590005048</x:v>
      </x:c>
      <x:c r="P298" s="8" t="n">
        <x:f>N298^2</x:f>
        <x:v>30.42701268964028</x:v>
      </x:c>
      <x:c r="Q298" s="8" t="n">
        <x:f>K298-L298</x:f>
        <x:v>7</x:v>
      </x:c>
      <x:c r="R298" s="9" t="n">
        <x:f>IF(AND(INDEX('Сводка'!$T$3:$T$397,U298)=0,INDEX('Сводка'!$T$3:$T$397,V298)=0),1,0)</x:f>
        <x:v>1</x:v>
      </x:c>
      <x:c r="S298" s="9" t="n">
        <x:f>IF(AND(R298=1,O298&lt;=$G$13),1,0)</x:f>
        <x:v>1</x:v>
      </x:c>
      <x:c r="T298" s="10" t="n">
        <x:f>EOMONTH(J298-'Сводка'!$B$11,-1)</x:f>
        <x:v>46142</x:v>
      </x:c>
      <x:c r="U298" s="4" t="n">
        <x:f>MATCH(J298,'Сводка'!$R$3:$R$397,0)</x:f>
        <x:v>309</x:v>
      </x:c>
      <x:c r="V298" s="4" t="n">
        <x:f>MATCH(J298-'Сводка'!$B$11,'Сводка'!$R$3:$R$397,0)</x:f>
        <x:v>308</x:v>
      </x:c>
      <x:c r="W298" s="4" t="n">
        <x:f>MATCH(T298,$J$388:$J$400,0)</x:f>
        <x:v>11</x:v>
      </x:c>
      <x:c r="X298" s="3"/>
      <x:c r="Y298" s="3"/>
      <x:c r="Z298" s="3"/>
    </x:row>
    <x:row r="299" ht="15" customHeight="1">
      <x:c r="A299" s="3"/>
      <x:c r="B299" s="3"/>
      <x:c r="C299" s="3"/>
      <x:c r="D299" s="3"/>
      <x:c r="E299" s="3"/>
      <x:c r="F299" s="3"/>
      <x:c r="G299" s="3"/>
      <x:c r="H299" s="3"/>
      <x:c r="I299" s="3"/>
      <x:c r="J299" s="10" t="n">
        <x:v>46150</x:v>
      </x:c>
      <x:c r="K299" s="8" t="n">
        <x:f>INDEX('Сводка'!$S$3:$S$397,U299)</x:f>
        <x:v>108</x:v>
      </x:c>
      <x:c r="L299" s="8" t="n">
        <x:f>INDEX('Сводка'!$S$3:$S$397,V299)</x:f>
        <x:v>99</x:v>
      </x:c>
      <x:c r="M299" s="8" t="n">
        <x:f>INDEX($K$388:$N$400,W299,1)+INDEX($K$388:$N$400,W299,2)*(2*(J299-$T$405)/(T299-$T$405)-1)^1+INDEX($K$388:$N$400,W299,3)*(2*(J299-$T$405)/(T299-$T$405)-1)^2+INDEX($K$388:$N$400,W299,4)*(2*(J299-$T$405)/(T299-$T$405)-1)^3</x:f>
        <x:v>93.4448714879066</x:v>
      </x:c>
      <x:c r="N299" s="8" t="n">
        <x:f>K299-M299</x:f>
        <x:v>14.555128512093404</x:v>
      </x:c>
      <x:c r="O299" s="8" t="n">
        <x:f>ABS(N299)</x:f>
        <x:v>14.555128512093404</x:v>
      </x:c>
      <x:c r="P299" s="8" t="n">
        <x:f>N299^2</x:f>
        <x:v>211.85176600355436</x:v>
      </x:c>
      <x:c r="Q299" s="8" t="n">
        <x:f>K299-L299</x:f>
        <x:v>9</x:v>
      </x:c>
      <x:c r="R299" s="9" t="n">
        <x:f>IF(AND(INDEX('Сводка'!$T$3:$T$397,U299)=0,INDEX('Сводка'!$T$3:$T$397,V299)=0),1,0)</x:f>
        <x:v>1</x:v>
      </x:c>
      <x:c r="S299" s="9" t="n">
        <x:f>IF(AND(R299=1,O299&lt;=$G$13),1,0)</x:f>
        <x:v>0</x:v>
      </x:c>
      <x:c r="T299" s="10" t="n">
        <x:f>EOMONTH(J299-'Сводка'!$B$11,-1)</x:f>
        <x:v>46142</x:v>
      </x:c>
      <x:c r="U299" s="4" t="n">
        <x:f>MATCH(J299,'Сводка'!$R$3:$R$397,0)</x:f>
        <x:v>310</x:v>
      </x:c>
      <x:c r="V299" s="4" t="n">
        <x:f>MATCH(J299-'Сводка'!$B$11,'Сводка'!$R$3:$R$397,0)</x:f>
        <x:v>309</x:v>
      </x:c>
      <x:c r="W299" s="4" t="n">
        <x:f>MATCH(T299,$J$388:$J$400,0)</x:f>
        <x:v>11</x:v>
      </x:c>
      <x:c r="X299" s="3"/>
      <x:c r="Y299" s="3"/>
      <x:c r="Z299" s="3"/>
    </x:row>
    <x:row r="300" ht="15" customHeight="1">
      <x:c r="A300" s="3"/>
      <x:c r="B300" s="3"/>
      <x:c r="C300" s="3"/>
      <x:c r="D300" s="3"/>
      <x:c r="E300" s="3"/>
      <x:c r="F300" s="3"/>
      <x:c r="G300" s="3"/>
      <x:c r="H300" s="3"/>
      <x:c r="I300" s="3"/>
      <x:c r="J300" s="10" t="n">
        <x:v>46151</x:v>
      </x:c>
      <x:c r="K300" s="8" t="n">
        <x:f>INDEX('Сводка'!$S$3:$S$397,U300)</x:f>
        <x:v>120</x:v>
      </x:c>
      <x:c r="L300" s="8" t="n">
        <x:f>INDEX('Сводка'!$S$3:$S$397,V300)</x:f>
        <x:v>108</x:v>
      </x:c>
      <x:c r="M300" s="8" t="n">
        <x:f>INDEX($K$388:$N$400,W300,1)+INDEX($K$388:$N$400,W300,2)*(2*(J300-$T$405)/(T300-$T$405)-1)^1+INDEX($K$388:$N$400,W300,3)*(2*(J300-$T$405)/(T300-$T$405)-1)^2+INDEX($K$388:$N$400,W300,4)*(2*(J300-$T$405)/(T300-$T$405)-1)^3</x:f>
        <x:v>93.40578851720495</x:v>
      </x:c>
      <x:c r="N300" s="8" t="n">
        <x:f>K300-M300</x:f>
        <x:v>26.594211482795046</x:v>
      </x:c>
      <x:c r="O300" s="8" t="n">
        <x:f>ABS(N300)</x:f>
        <x:v>26.594211482795046</x:v>
      </x:c>
      <x:c r="P300" s="8" t="n">
        <x:f>N300^2</x:f>
        <x:v>707.2520843916279</x:v>
      </x:c>
      <x:c r="Q300" s="8" t="n">
        <x:f>K300-L300</x:f>
        <x:v>12</x:v>
      </x:c>
      <x:c r="R300" s="9" t="n">
        <x:f>IF(AND(INDEX('Сводка'!$T$3:$T$397,U300)=0,INDEX('Сводка'!$T$3:$T$397,V300)=0),1,0)</x:f>
        <x:v>1</x:v>
      </x:c>
      <x:c r="S300" s="9" t="n">
        <x:f>IF(AND(R300=1,O300&lt;=$G$13),1,0)</x:f>
        <x:v>0</x:v>
      </x:c>
      <x:c r="T300" s="10" t="n">
        <x:f>EOMONTH(J300-'Сводка'!$B$11,-1)</x:f>
        <x:v>46142</x:v>
      </x:c>
      <x:c r="U300" s="4" t="n">
        <x:f>MATCH(J300,'Сводка'!$R$3:$R$397,0)</x:f>
        <x:v>311</x:v>
      </x:c>
      <x:c r="V300" s="4" t="n">
        <x:f>MATCH(J300-'Сводка'!$B$11,'Сводка'!$R$3:$R$397,0)</x:f>
        <x:v>310</x:v>
      </x:c>
      <x:c r="W300" s="4" t="n">
        <x:f>MATCH(T300,$J$388:$J$400,0)</x:f>
        <x:v>11</x:v>
      </x:c>
      <x:c r="X300" s="3"/>
      <x:c r="Y300" s="3"/>
      <x:c r="Z300" s="3"/>
    </x:row>
    <x:row r="301" ht="15" customHeight="1">
      <x:c r="A301" s="3"/>
      <x:c r="B301" s="3"/>
      <x:c r="C301" s="3"/>
      <x:c r="D301" s="3"/>
      <x:c r="E301" s="3"/>
      <x:c r="F301" s="3"/>
      <x:c r="G301" s="3"/>
      <x:c r="H301" s="3"/>
      <x:c r="I301" s="3"/>
      <x:c r="J301" s="10" t="n">
        <x:v>46152</x:v>
      </x:c>
      <x:c r="K301" s="8" t="n">
        <x:f>INDEX('Сводка'!$S$3:$S$397,U301)</x:f>
        <x:v>137</x:v>
      </x:c>
      <x:c r="L301" s="8" t="n">
        <x:f>INDEX('Сводка'!$S$3:$S$397,V301)</x:f>
        <x:v>120</x:v>
      </x:c>
      <x:c r="M301" s="8" t="n">
        <x:f>INDEX($K$388:$N$400,W301,1)+INDEX($K$388:$N$400,W301,2)*(2*(J301-$T$405)/(T301-$T$405)-1)^1+INDEX($K$388:$N$400,W301,3)*(2*(J301-$T$405)/(T301-$T$405)-1)^2+INDEX($K$388:$N$400,W301,4)*(2*(J301-$T$405)/(T301-$T$405)-1)^3</x:f>
        <x:v>93.36668249432401</x:v>
      </x:c>
      <x:c r="N301" s="8" t="n">
        <x:f>K301-M301</x:f>
        <x:v>43.63331750567599</x:v>
      </x:c>
      <x:c r="O301" s="8" t="n">
        <x:f>ABS(N301)</x:f>
        <x:v>43.63331750567599</x:v>
      </x:c>
      <x:c r="P301" s="8" t="n">
        <x:f>N301^2</x:f>
        <x:v>1903.8663965511307</x:v>
      </x:c>
      <x:c r="Q301" s="8" t="n">
        <x:f>K301-L301</x:f>
        <x:v>17</x:v>
      </x:c>
      <x:c r="R301" s="9" t="n">
        <x:f>IF(AND(INDEX('Сводка'!$T$3:$T$397,U301)=0,INDEX('Сводка'!$T$3:$T$397,V301)=0),1,0)</x:f>
        <x:v>1</x:v>
      </x:c>
      <x:c r="S301" s="9" t="n">
        <x:f>IF(AND(R301=1,O301&lt;=$G$13),1,0)</x:f>
        <x:v>0</x:v>
      </x:c>
      <x:c r="T301" s="10" t="n">
        <x:f>EOMONTH(J301-'Сводка'!$B$11,-1)</x:f>
        <x:v>46142</x:v>
      </x:c>
      <x:c r="U301" s="4" t="n">
        <x:f>MATCH(J301,'Сводка'!$R$3:$R$397,0)</x:f>
        <x:v>312</x:v>
      </x:c>
      <x:c r="V301" s="4" t="n">
        <x:f>MATCH(J301-'Сводка'!$B$11,'Сводка'!$R$3:$R$397,0)</x:f>
        <x:v>311</x:v>
      </x:c>
      <x:c r="W301" s="4" t="n">
        <x:f>MATCH(T301,$J$388:$J$400,0)</x:f>
        <x:v>11</x:v>
      </x:c>
      <x:c r="X301" s="3"/>
      <x:c r="Y301" s="3"/>
      <x:c r="Z301" s="3"/>
    </x:row>
    <x:row r="302" ht="15" customHeight="1">
      <x:c r="A302" s="3"/>
      <x:c r="B302" s="3"/>
      <x:c r="C302" s="3"/>
      <x:c r="D302" s="3"/>
      <x:c r="E302" s="3"/>
      <x:c r="F302" s="3"/>
      <x:c r="G302" s="3"/>
      <x:c r="H302" s="3"/>
      <x:c r="I302" s="3"/>
      <x:c r="J302" s="10" t="n">
        <x:v>46153</x:v>
      </x:c>
      <x:c r="K302" s="8" t="n">
        <x:f>INDEX('Сводка'!$S$3:$S$397,U302)</x:f>
        <x:v>152</x:v>
      </x:c>
      <x:c r="L302" s="8" t="n">
        <x:f>INDEX('Сводка'!$S$3:$S$397,V302)</x:f>
        <x:v>137</x:v>
      </x:c>
      <x:c r="M302" s="8" t="n">
        <x:f>INDEX($K$388:$N$400,W302,1)+INDEX($K$388:$N$400,W302,2)*(2*(J302-$T$405)/(T302-$T$405)-1)^1+INDEX($K$388:$N$400,W302,3)*(2*(J302-$T$405)/(T302-$T$405)-1)^2+INDEX($K$388:$N$400,W302,4)*(2*(J302-$T$405)/(T302-$T$405)-1)^3</x:f>
        <x:v>93.32755341569795</x:v>
      </x:c>
      <x:c r="N302" s="8" t="n">
        <x:f>K302-M302</x:f>
        <x:v>58.67244658430205</x:v>
      </x:c>
      <x:c r="O302" s="8" t="n">
        <x:f>ABS(N302)</x:f>
        <x:v>58.67244658430205</x:v>
      </x:c>
      <x:c r="P302" s="8" t="n">
        <x:f>N302^2</x:f>
        <x:v>3442.4559881877776</x:v>
      </x:c>
      <x:c r="Q302" s="8" t="n">
        <x:f>K302-L302</x:f>
        <x:v>15</x:v>
      </x:c>
      <x:c r="R302" s="9" t="n">
        <x:f>IF(AND(INDEX('Сводка'!$T$3:$T$397,U302)=0,INDEX('Сводка'!$T$3:$T$397,V302)=0),1,0)</x:f>
        <x:v>1</x:v>
      </x:c>
      <x:c r="S302" s="9" t="n">
        <x:f>IF(AND(R302=1,O302&lt;=$G$13),1,0)</x:f>
        <x:v>0</x:v>
      </x:c>
      <x:c r="T302" s="10" t="n">
        <x:f>EOMONTH(J302-'Сводка'!$B$11,-1)</x:f>
        <x:v>46142</x:v>
      </x:c>
      <x:c r="U302" s="4" t="n">
        <x:f>MATCH(J302,'Сводка'!$R$3:$R$397,0)</x:f>
        <x:v>313</x:v>
      </x:c>
      <x:c r="V302" s="4" t="n">
        <x:f>MATCH(J302-'Сводка'!$B$11,'Сводка'!$R$3:$R$397,0)</x:f>
        <x:v>312</x:v>
      </x:c>
      <x:c r="W302" s="4" t="n">
        <x:f>MATCH(T302,$J$388:$J$400,0)</x:f>
        <x:v>11</x:v>
      </x:c>
      <x:c r="X302" s="3"/>
      <x:c r="Y302" s="3"/>
      <x:c r="Z302" s="3"/>
    </x:row>
    <x:row r="303" ht="15" customHeight="1">
      <x:c r="A303" s="3"/>
      <x:c r="B303" s="3"/>
      <x:c r="C303" s="3"/>
      <x:c r="D303" s="3"/>
      <x:c r="E303" s="3"/>
      <x:c r="F303" s="3"/>
      <x:c r="G303" s="3"/>
      <x:c r="H303" s="3"/>
      <x:c r="I303" s="3"/>
      <x:c r="J303" s="10" t="n">
        <x:v>46154</x:v>
      </x:c>
      <x:c r="K303" s="8" t="n">
        <x:f>INDEX('Сводка'!$S$3:$S$397,U303)</x:f>
        <x:v>160</x:v>
      </x:c>
      <x:c r="L303" s="8" t="n">
        <x:f>INDEX('Сводка'!$S$3:$S$397,V303)</x:f>
        <x:v>152</x:v>
      </x:c>
      <x:c r="M303" s="8" t="n">
        <x:f>INDEX($K$388:$N$400,W303,1)+INDEX($K$388:$N$400,W303,2)*(2*(J303-$T$405)/(T303-$T$405)-1)^1+INDEX($K$388:$N$400,W303,3)*(2*(J303-$T$405)/(T303-$T$405)-1)^2+INDEX($K$388:$N$400,W303,4)*(2*(J303-$T$405)/(T303-$T$405)-1)^3</x:f>
        <x:v>93.2884012777609</x:v>
      </x:c>
      <x:c r="N303" s="8" t="n">
        <x:f>K303-M303</x:f>
        <x:v>66.7115987222391</x:v>
      </x:c>
      <x:c r="O303" s="8" t="n">
        <x:f>ABS(N303)</x:f>
        <x:v>66.7115987222391</x:v>
      </x:c>
      <x:c r="P303" s="8" t="n">
        <x:f>N303^2</x:f>
        <x:v>4450.4374040770535</x:v>
      </x:c>
      <x:c r="Q303" s="8" t="n">
        <x:f>K303-L303</x:f>
        <x:v>8</x:v>
      </x:c>
      <x:c r="R303" s="9" t="n">
        <x:f>IF(AND(INDEX('Сводка'!$T$3:$T$397,U303)=0,INDEX('Сводка'!$T$3:$T$397,V303)=0),1,0)</x:f>
        <x:v>1</x:v>
      </x:c>
      <x:c r="S303" s="9" t="n">
        <x:f>IF(AND(R303=1,O303&lt;=$G$13),1,0)</x:f>
        <x:v>0</x:v>
      </x:c>
      <x:c r="T303" s="10" t="n">
        <x:f>EOMONTH(J303-'Сводка'!$B$11,-1)</x:f>
        <x:v>46142</x:v>
      </x:c>
      <x:c r="U303" s="4" t="n">
        <x:f>MATCH(J303,'Сводка'!$R$3:$R$397,0)</x:f>
        <x:v>314</x:v>
      </x:c>
      <x:c r="V303" s="4" t="n">
        <x:f>MATCH(J303-'Сводка'!$B$11,'Сводка'!$R$3:$R$397,0)</x:f>
        <x:v>313</x:v>
      </x:c>
      <x:c r="W303" s="4" t="n">
        <x:f>MATCH(T303,$J$388:$J$400,0)</x:f>
        <x:v>11</x:v>
      </x:c>
      <x:c r="X303" s="3"/>
      <x:c r="Y303" s="3"/>
      <x:c r="Z303" s="3"/>
    </x:row>
    <x:row r="304" ht="15" customHeight="1">
      <x:c r="A304" s="3"/>
      <x:c r="B304" s="3"/>
      <x:c r="C304" s="3"/>
      <x:c r="D304" s="3"/>
      <x:c r="E304" s="3"/>
      <x:c r="F304" s="3"/>
      <x:c r="G304" s="3"/>
      <x:c r="H304" s="3"/>
      <x:c r="I304" s="3"/>
      <x:c r="J304" s="10" t="n">
        <x:v>46155</x:v>
      </x:c>
      <x:c r="K304" s="8" t="n">
        <x:f>INDEX('Сводка'!$S$3:$S$397,U304)</x:f>
        <x:v>162</x:v>
      </x:c>
      <x:c r="L304" s="8" t="n">
        <x:f>INDEX('Сводка'!$S$3:$S$397,V304)</x:f>
        <x:v>160</x:v>
      </x:c>
      <x:c r="M304" s="8" t="n">
        <x:f>INDEX($K$388:$N$400,W304,1)+INDEX($K$388:$N$400,W304,2)*(2*(J304-$T$405)/(T304-$T$405)-1)^1+INDEX($K$388:$N$400,W304,3)*(2*(J304-$T$405)/(T304-$T$405)-1)^2+INDEX($K$388:$N$400,W304,4)*(2*(J304-$T$405)/(T304-$T$405)-1)^3</x:f>
        <x:v>93.24922607694714</x:v>
      </x:c>
      <x:c r="N304" s="8" t="n">
        <x:f>K304-M304</x:f>
        <x:v>68.75077392305286</x:v>
      </x:c>
      <x:c r="O304" s="8" t="n">
        <x:f>ABS(N304)</x:f>
        <x:v>68.75077392305286</x:v>
      </x:c>
      <x:c r="P304" s="8" t="n">
        <x:f>N304^2</x:f>
        <x:v>4726.668915018726</x:v>
      </x:c>
      <x:c r="Q304" s="8" t="n">
        <x:f>K304-L304</x:f>
        <x:v>2</x:v>
      </x:c>
      <x:c r="R304" s="9" t="n">
        <x:f>IF(AND(INDEX('Сводка'!$T$3:$T$397,U304)=0,INDEX('Сводка'!$T$3:$T$397,V304)=0),1,0)</x:f>
        <x:v>1</x:v>
      </x:c>
      <x:c r="S304" s="9" t="n">
        <x:f>IF(AND(R304=1,O304&lt;=$G$13),1,0)</x:f>
        <x:v>0</x:v>
      </x:c>
      <x:c r="T304" s="10" t="n">
        <x:f>EOMONTH(J304-'Сводка'!$B$11,-1)</x:f>
        <x:v>46142</x:v>
      </x:c>
      <x:c r="U304" s="4" t="n">
        <x:f>MATCH(J304,'Сводка'!$R$3:$R$397,0)</x:f>
        <x:v>315</x:v>
      </x:c>
      <x:c r="V304" s="4" t="n">
        <x:f>MATCH(J304-'Сводка'!$B$11,'Сводка'!$R$3:$R$397,0)</x:f>
        <x:v>314</x:v>
      </x:c>
      <x:c r="W304" s="4" t="n">
        <x:f>MATCH(T304,$J$388:$J$400,0)</x:f>
        <x:v>11</x:v>
      </x:c>
      <x:c r="X304" s="3"/>
      <x:c r="Y304" s="3"/>
      <x:c r="Z304" s="3"/>
    </x:row>
    <x:row r="305" ht="15" customHeight="1">
      <x:c r="A305" s="3"/>
      <x:c r="B305" s="3"/>
      <x:c r="C305" s="3"/>
      <x:c r="D305" s="3"/>
      <x:c r="E305" s="3"/>
      <x:c r="F305" s="3"/>
      <x:c r="G305" s="3"/>
      <x:c r="H305" s="3"/>
      <x:c r="I305" s="3"/>
      <x:c r="J305" s="10" t="n">
        <x:v>46156</x:v>
      </x:c>
      <x:c r="K305" s="8" t="n">
        <x:f>INDEX('Сводка'!$S$3:$S$397,U305)</x:f>
        <x:v>161</x:v>
      </x:c>
      <x:c r="L305" s="8" t="n">
        <x:f>INDEX('Сводка'!$S$3:$S$397,V305)</x:f>
        <x:v>162</x:v>
      </x:c>
      <x:c r="M305" s="8" t="n">
        <x:f>INDEX($K$388:$N$400,W305,1)+INDEX($K$388:$N$400,W305,2)*(2*(J305-$T$405)/(T305-$T$405)-1)^1+INDEX($K$388:$N$400,W305,3)*(2*(J305-$T$405)/(T305-$T$405)-1)^2+INDEX($K$388:$N$400,W305,4)*(2*(J305-$T$405)/(T305-$T$405)-1)^3</x:f>
        <x:v>93.2100278096905</x:v>
      </x:c>
      <x:c r="N305" s="8" t="n">
        <x:f>K305-M305</x:f>
        <x:v>67.7899721903095</x:v>
      </x:c>
      <x:c r="O305" s="8" t="n">
        <x:f>ABS(N305)</x:f>
        <x:v>67.7899721903095</x:v>
      </x:c>
      <x:c r="P305" s="8" t="n">
        <x:f>N305^2</x:f>
        <x:v>4595.480329562935</x:v>
      </x:c>
      <x:c r="Q305" s="8" t="n">
        <x:f>K305-L305</x:f>
        <x:v>-1</x:v>
      </x:c>
      <x:c r="R305" s="9" t="n">
        <x:f>IF(AND(INDEX('Сводка'!$T$3:$T$397,U305)=0,INDEX('Сводка'!$T$3:$T$397,V305)=0),1,0)</x:f>
        <x:v>1</x:v>
      </x:c>
      <x:c r="S305" s="9" t="n">
        <x:f>IF(AND(R305=1,O305&lt;=$G$13),1,0)</x:f>
        <x:v>0</x:v>
      </x:c>
      <x:c r="T305" s="10" t="n">
        <x:f>EOMONTH(J305-'Сводка'!$B$11,-1)</x:f>
        <x:v>46142</x:v>
      </x:c>
      <x:c r="U305" s="4" t="n">
        <x:f>MATCH(J305,'Сводка'!$R$3:$R$397,0)</x:f>
        <x:v>316</x:v>
      </x:c>
      <x:c r="V305" s="4" t="n">
        <x:f>MATCH(J305-'Сводка'!$B$11,'Сводка'!$R$3:$R$397,0)</x:f>
        <x:v>315</x:v>
      </x:c>
      <x:c r="W305" s="4" t="n">
        <x:f>MATCH(T305,$J$388:$J$400,0)</x:f>
        <x:v>11</x:v>
      </x:c>
      <x:c r="X305" s="3"/>
      <x:c r="Y305" s="3"/>
      <x:c r="Z305" s="3"/>
    </x:row>
    <x:row r="306" ht="15" customHeight="1">
      <x:c r="A306" s="3"/>
      <x:c r="B306" s="3"/>
      <x:c r="C306" s="3"/>
      <x:c r="D306" s="3"/>
      <x:c r="E306" s="3"/>
      <x:c r="F306" s="3"/>
      <x:c r="G306" s="3"/>
      <x:c r="H306" s="3"/>
      <x:c r="I306" s="3"/>
      <x:c r="J306" s="10" t="n">
        <x:v>46157</x:v>
      </x:c>
      <x:c r="K306" s="8" t="n">
        <x:f>INDEX('Сводка'!$S$3:$S$397,U306)</x:f>
        <x:v>154</x:v>
      </x:c>
      <x:c r="L306" s="8" t="n">
        <x:f>INDEX('Сводка'!$S$3:$S$397,V306)</x:f>
        <x:v>161</x:v>
      </x:c>
      <x:c r="M306" s="8" t="n">
        <x:f>INDEX($K$388:$N$400,W306,1)+INDEX($K$388:$N$400,W306,2)*(2*(J306-$T$405)/(T306-$T$405)-1)^1+INDEX($K$388:$N$400,W306,3)*(2*(J306-$T$405)/(T306-$T$405)-1)^2+INDEX($K$388:$N$400,W306,4)*(2*(J306-$T$405)/(T306-$T$405)-1)^3</x:f>
        <x:v>93.17080647242537</x:v>
      </x:c>
      <x:c r="N306" s="8" t="n">
        <x:f>K306-M306</x:f>
        <x:v>60.82919352757463</x:v>
      </x:c>
      <x:c r="O306" s="8" t="n">
        <x:f>ABS(N306)</x:f>
        <x:v>60.82919352757463</x:v>
      </x:c>
      <x:c r="P306" s="8" t="n">
        <x:f>N306^2</x:f>
        <x:v>3700.1907852151276</x:v>
      </x:c>
      <x:c r="Q306" s="8" t="n">
        <x:f>K306-L306</x:f>
        <x:v>-7</x:v>
      </x:c>
      <x:c r="R306" s="9" t="n">
        <x:f>IF(AND(INDEX('Сводка'!$T$3:$T$397,U306)=0,INDEX('Сводка'!$T$3:$T$397,V306)=0),1,0)</x:f>
        <x:v>1</x:v>
      </x:c>
      <x:c r="S306" s="9" t="n">
        <x:f>IF(AND(R306=1,O306&lt;=$G$13),1,0)</x:f>
        <x:v>0</x:v>
      </x:c>
      <x:c r="T306" s="10" t="n">
        <x:f>EOMONTH(J306-'Сводка'!$B$11,-1)</x:f>
        <x:v>46142</x:v>
      </x:c>
      <x:c r="U306" s="4" t="n">
        <x:f>MATCH(J306,'Сводка'!$R$3:$R$397,0)</x:f>
        <x:v>317</x:v>
      </x:c>
      <x:c r="V306" s="4" t="n">
        <x:f>MATCH(J306-'Сводка'!$B$11,'Сводка'!$R$3:$R$397,0)</x:f>
        <x:v>316</x:v>
      </x:c>
      <x:c r="W306" s="4" t="n">
        <x:f>MATCH(T306,$J$388:$J$400,0)</x:f>
        <x:v>11</x:v>
      </x:c>
      <x:c r="X306" s="3"/>
      <x:c r="Y306" s="3"/>
      <x:c r="Z306" s="3"/>
    </x:row>
    <x:row r="307" ht="15" customHeight="1">
      <x:c r="A307" s="3"/>
      <x:c r="B307" s="3"/>
      <x:c r="C307" s="3"/>
      <x:c r="D307" s="3"/>
      <x:c r="E307" s="3"/>
      <x:c r="F307" s="3"/>
      <x:c r="G307" s="3"/>
      <x:c r="H307" s="3"/>
      <x:c r="I307" s="3"/>
      <x:c r="J307" s="10" t="n">
        <x:v>46158</x:v>
      </x:c>
      <x:c r="K307" s="8" t="n">
        <x:f>INDEX('Сводка'!$S$3:$S$397,U307)</x:f>
        <x:v>148</x:v>
      </x:c>
      <x:c r="L307" s="8" t="n">
        <x:f>INDEX('Сводка'!$S$3:$S$397,V307)</x:f>
        <x:v>154</x:v>
      </x:c>
      <x:c r="M307" s="8" t="n">
        <x:f>INDEX($K$388:$N$400,W307,1)+INDEX($K$388:$N$400,W307,2)*(2*(J307-$T$405)/(T307-$T$405)-1)^1+INDEX($K$388:$N$400,W307,3)*(2*(J307-$T$405)/(T307-$T$405)-1)^2+INDEX($K$388:$N$400,W307,4)*(2*(J307-$T$405)/(T307-$T$405)-1)^3</x:f>
        <x:v>93.13156206158574</x:v>
      </x:c>
      <x:c r="N307" s="8" t="n">
        <x:f>K307-M307</x:f>
        <x:v>54.86843793841426</x:v>
      </x:c>
      <x:c r="O307" s="8" t="n">
        <x:f>ABS(N307)</x:f>
        <x:v>54.86843793841426</x:v>
      </x:c>
      <x:c r="P307" s="8" t="n">
        <x:f>N307^2</x:f>
        <x:v>3010.5454818016174</x:v>
      </x:c>
      <x:c r="Q307" s="8" t="n">
        <x:f>K307-L307</x:f>
        <x:v>-6</x:v>
      </x:c>
      <x:c r="R307" s="9" t="n">
        <x:f>IF(AND(INDEX('Сводка'!$T$3:$T$397,U307)=0,INDEX('Сводка'!$T$3:$T$397,V307)=0),1,0)</x:f>
        <x:v>1</x:v>
      </x:c>
      <x:c r="S307" s="9" t="n">
        <x:f>IF(AND(R307=1,O307&lt;=$G$13),1,0)</x:f>
        <x:v>0</x:v>
      </x:c>
      <x:c r="T307" s="10" t="n">
        <x:f>EOMONTH(J307-'Сводка'!$B$11,-1)</x:f>
        <x:v>46142</x:v>
      </x:c>
      <x:c r="U307" s="4" t="n">
        <x:f>MATCH(J307,'Сводка'!$R$3:$R$397,0)</x:f>
        <x:v>318</x:v>
      </x:c>
      <x:c r="V307" s="4" t="n">
        <x:f>MATCH(J307-'Сводка'!$B$11,'Сводка'!$R$3:$R$397,0)</x:f>
        <x:v>317</x:v>
      </x:c>
      <x:c r="W307" s="4" t="n">
        <x:f>MATCH(T307,$J$388:$J$400,0)</x:f>
        <x:v>11</x:v>
      </x:c>
      <x:c r="X307" s="3"/>
      <x:c r="Y307" s="3"/>
      <x:c r="Z307" s="3"/>
    </x:row>
    <x:row r="308" ht="15" customHeight="1">
      <x:c r="A308" s="3"/>
      <x:c r="B308" s="3"/>
      <x:c r="C308" s="3"/>
      <x:c r="D308" s="3"/>
      <x:c r="E308" s="3"/>
      <x:c r="F308" s="3"/>
      <x:c r="G308" s="3"/>
      <x:c r="H308" s="3"/>
      <x:c r="I308" s="3"/>
      <x:c r="J308" s="10" t="n">
        <x:v>46159</x:v>
      </x:c>
      <x:c r="K308" s="8" t="n">
        <x:f>INDEX('Сводка'!$S$3:$S$397,U308)</x:f>
        <x:v>141</x:v>
      </x:c>
      <x:c r="L308" s="8" t="n">
        <x:f>INDEX('Сводка'!$S$3:$S$397,V308)</x:f>
        <x:v>148</x:v>
      </x:c>
      <x:c r="M308" s="8" t="n">
        <x:f>INDEX($K$388:$N$400,W308,1)+INDEX($K$388:$N$400,W308,2)*(2*(J308-$T$405)/(T308-$T$405)-1)^1+INDEX($K$388:$N$400,W308,3)*(2*(J308-$T$405)/(T308-$T$405)-1)^2+INDEX($K$388:$N$400,W308,4)*(2*(J308-$T$405)/(T308-$T$405)-1)^3</x:f>
        <x:v>93.09229457360571</x:v>
      </x:c>
      <x:c r="N308" s="8" t="n">
        <x:f>K308-M308</x:f>
        <x:v>47.90770542639429</x:v>
      </x:c>
      <x:c r="O308" s="8" t="n">
        <x:f>ABS(N308)</x:f>
        <x:v>47.90770542639429</x:v>
      </x:c>
      <x:c r="P308" s="8" t="n">
        <x:f>N308^2</x:f>
        <x:v>2295.1482392221687</x:v>
      </x:c>
      <x:c r="Q308" s="8" t="n">
        <x:f>K308-L308</x:f>
        <x:v>-7</x:v>
      </x:c>
      <x:c r="R308" s="9" t="n">
        <x:f>IF(AND(INDEX('Сводка'!$T$3:$T$397,U308)=0,INDEX('Сводка'!$T$3:$T$397,V308)=0),1,0)</x:f>
        <x:v>1</x:v>
      </x:c>
      <x:c r="S308" s="9" t="n">
        <x:f>IF(AND(R308=1,O308&lt;=$G$13),1,0)</x:f>
        <x:v>0</x:v>
      </x:c>
      <x:c r="T308" s="10" t="n">
        <x:f>EOMONTH(J308-'Сводка'!$B$11,-1)</x:f>
        <x:v>46142</x:v>
      </x:c>
      <x:c r="U308" s="4" t="n">
        <x:f>MATCH(J308,'Сводка'!$R$3:$R$397,0)</x:f>
        <x:v>319</x:v>
      </x:c>
      <x:c r="V308" s="4" t="n">
        <x:f>MATCH(J308-'Сводка'!$B$11,'Сводка'!$R$3:$R$397,0)</x:f>
        <x:v>318</x:v>
      </x:c>
      <x:c r="W308" s="4" t="n">
        <x:f>MATCH(T308,$J$388:$J$400,0)</x:f>
        <x:v>11</x:v>
      </x:c>
      <x:c r="X308" s="3"/>
      <x:c r="Y308" s="3"/>
      <x:c r="Z308" s="3"/>
    </x:row>
    <x:row r="309" ht="15" customHeight="1">
      <x:c r="A309" s="3"/>
      <x:c r="B309" s="3"/>
      <x:c r="C309" s="3"/>
      <x:c r="D309" s="3"/>
      <x:c r="E309" s="3"/>
      <x:c r="F309" s="3"/>
      <x:c r="G309" s="3"/>
      <x:c r="H309" s="3"/>
      <x:c r="I309" s="3"/>
      <x:c r="J309" s="10" t="n">
        <x:v>46160</x:v>
      </x:c>
      <x:c r="K309" s="8" t="n">
        <x:f>INDEX('Сводка'!$S$3:$S$397,U309)</x:f>
        <x:v>139</x:v>
      </x:c>
      <x:c r="L309" s="8" t="n">
        <x:f>INDEX('Сводка'!$S$3:$S$397,V309)</x:f>
        <x:v>141</x:v>
      </x:c>
      <x:c r="M309" s="8" t="n">
        <x:f>INDEX($K$388:$N$400,W309,1)+INDEX($K$388:$N$400,W309,2)*(2*(J309-$T$405)/(T309-$T$405)-1)^1+INDEX($K$388:$N$400,W309,3)*(2*(J309-$T$405)/(T309-$T$405)-1)^2+INDEX($K$388:$N$400,W309,4)*(2*(J309-$T$405)/(T309-$T$405)-1)^3</x:f>
        <x:v>93.05300400491944</x:v>
      </x:c>
      <x:c r="N309" s="8" t="n">
        <x:f>K309-M309</x:f>
        <x:v>45.946995995080556</x:v>
      </x:c>
      <x:c r="O309" s="8" t="n">
        <x:f>ABS(N309)</x:f>
        <x:v>45.946995995080556</x:v>
      </x:c>
      <x:c r="P309" s="8" t="n">
        <x:f>N309^2</x:f>
        <x:v>2111.126440971949</x:v>
      </x:c>
      <x:c r="Q309" s="8" t="n">
        <x:f>K309-L309</x:f>
        <x:v>-2</x:v>
      </x:c>
      <x:c r="R309" s="9" t="n">
        <x:f>IF(AND(INDEX('Сводка'!$T$3:$T$397,U309)=0,INDEX('Сводка'!$T$3:$T$397,V309)=0),1,0)</x:f>
        <x:v>1</x:v>
      </x:c>
      <x:c r="S309" s="9" t="n">
        <x:f>IF(AND(R309=1,O309&lt;=$G$13),1,0)</x:f>
        <x:v>0</x:v>
      </x:c>
      <x:c r="T309" s="10" t="n">
        <x:f>EOMONTH(J309-'Сводка'!$B$11,-1)</x:f>
        <x:v>46142</x:v>
      </x:c>
      <x:c r="U309" s="4" t="n">
        <x:f>MATCH(J309,'Сводка'!$R$3:$R$397,0)</x:f>
        <x:v>320</x:v>
      </x:c>
      <x:c r="V309" s="4" t="n">
        <x:f>MATCH(J309-'Сводка'!$B$11,'Сводка'!$R$3:$R$397,0)</x:f>
        <x:v>319</x:v>
      </x:c>
      <x:c r="W309" s="4" t="n">
        <x:f>MATCH(T309,$J$388:$J$400,0)</x:f>
        <x:v>11</x:v>
      </x:c>
      <x:c r="X309" s="3"/>
      <x:c r="Y309" s="3"/>
      <x:c r="Z309" s="3"/>
    </x:row>
    <x:row r="310" ht="15" customHeight="1">
      <x:c r="A310" s="3"/>
      <x:c r="B310" s="3"/>
      <x:c r="C310" s="3"/>
      <x:c r="D310" s="3"/>
      <x:c r="E310" s="3"/>
      <x:c r="F310" s="3"/>
      <x:c r="G310" s="3"/>
      <x:c r="H310" s="3"/>
      <x:c r="I310" s="3"/>
      <x:c r="J310" s="10" t="n">
        <x:v>46161</x:v>
      </x:c>
      <x:c r="K310" s="8" t="n">
        <x:f>INDEX('Сводка'!$S$3:$S$397,U310)</x:f>
        <x:v>135</x:v>
      </x:c>
      <x:c r="L310" s="8" t="n">
        <x:f>INDEX('Сводка'!$S$3:$S$397,V310)</x:f>
        <x:v>139</x:v>
      </x:c>
      <x:c r="M310" s="8" t="n">
        <x:f>INDEX($K$388:$N$400,W310,1)+INDEX($K$388:$N$400,W310,2)*(2*(J310-$T$405)/(T310-$T$405)-1)^1+INDEX($K$388:$N$400,W310,3)*(2*(J310-$T$405)/(T310-$T$405)-1)^2+INDEX($K$388:$N$400,W310,4)*(2*(J310-$T$405)/(T310-$T$405)-1)^3</x:f>
        <x:v>93.01369035196106</x:v>
      </x:c>
      <x:c r="N310" s="8" t="n">
        <x:f>K310-M310</x:f>
        <x:v>41.98630964803894</x:v>
      </x:c>
      <x:c r="O310" s="8" t="n">
        <x:f>ABS(N310)</x:f>
        <x:v>41.98630964803894</x:v>
      </x:c>
      <x:c r="P310" s="8" t="n">
        <x:f>N310^2</x:f>
        <x:v>1762.8501978610077</x:v>
      </x:c>
      <x:c r="Q310" s="8" t="n">
        <x:f>K310-L310</x:f>
        <x:v>-4</x:v>
      </x:c>
      <x:c r="R310" s="9" t="n">
        <x:f>IF(AND(INDEX('Сводка'!$T$3:$T$397,U310)=0,INDEX('Сводка'!$T$3:$T$397,V310)=0),1,0)</x:f>
        <x:v>1</x:v>
      </x:c>
      <x:c r="S310" s="9" t="n">
        <x:f>IF(AND(R310=1,O310&lt;=$G$13),1,0)</x:f>
        <x:v>0</x:v>
      </x:c>
      <x:c r="T310" s="10" t="n">
        <x:f>EOMONTH(J310-'Сводка'!$B$11,-1)</x:f>
        <x:v>46142</x:v>
      </x:c>
      <x:c r="U310" s="4" t="n">
        <x:f>MATCH(J310,'Сводка'!$R$3:$R$397,0)</x:f>
        <x:v>321</x:v>
      </x:c>
      <x:c r="V310" s="4" t="n">
        <x:f>MATCH(J310-'Сводка'!$B$11,'Сводка'!$R$3:$R$397,0)</x:f>
        <x:v>320</x:v>
      </x:c>
      <x:c r="W310" s="4" t="n">
        <x:f>MATCH(T310,$J$388:$J$400,0)</x:f>
        <x:v>11</x:v>
      </x:c>
      <x:c r="X310" s="3"/>
      <x:c r="Y310" s="3"/>
      <x:c r="Z310" s="3"/>
    </x:row>
    <x:row r="311" ht="15" customHeight="1">
      <x:c r="A311" s="3"/>
      <x:c r="B311" s="3"/>
      <x:c r="C311" s="3"/>
      <x:c r="D311" s="3"/>
      <x:c r="E311" s="3"/>
      <x:c r="F311" s="3"/>
      <x:c r="G311" s="3"/>
      <x:c r="H311" s="3"/>
      <x:c r="I311" s="3"/>
      <x:c r="J311" s="10" t="n">
        <x:v>46162</x:v>
      </x:c>
      <x:c r="K311" s="8" t="n">
        <x:f>INDEX('Сводка'!$S$3:$S$397,U311)</x:f>
        <x:v>135</x:v>
      </x:c>
      <x:c r="L311" s="8" t="n">
        <x:f>INDEX('Сводка'!$S$3:$S$397,V311)</x:f>
        <x:v>135</x:v>
      </x:c>
      <x:c r="M311" s="8" t="n">
        <x:f>INDEX($K$388:$N$400,W311,1)+INDEX($K$388:$N$400,W311,2)*(2*(J311-$T$405)/(T311-$T$405)-1)^1+INDEX($K$388:$N$400,W311,3)*(2*(J311-$T$405)/(T311-$T$405)-1)^2+INDEX($K$388:$N$400,W311,4)*(2*(J311-$T$405)/(T311-$T$405)-1)^3</x:f>
        <x:v>92.97435361116483</x:v>
      </x:c>
      <x:c r="N311" s="8" t="n">
        <x:f>K311-M311</x:f>
        <x:v>42.02564638883517</x:v>
      </x:c>
      <x:c r="O311" s="8" t="n">
        <x:f>ABS(N311)</x:f>
        <x:v>42.02564638883517</x:v>
      </x:c>
      <x:c r="P311" s="8" t="n">
        <x:f>N311^2</x:f>
        <x:v>1766.1549543994147</x:v>
      </x:c>
      <x:c r="Q311" s="8" t="n">
        <x:f>K311-L311</x:f>
        <x:v>0</x:v>
      </x:c>
      <x:c r="R311" s="9" t="n">
        <x:f>IF(AND(INDEX('Сводка'!$T$3:$T$397,U311)=0,INDEX('Сводка'!$T$3:$T$397,V311)=0),1,0)</x:f>
        <x:v>1</x:v>
      </x:c>
      <x:c r="S311" s="9" t="n">
        <x:f>IF(AND(R311=1,O311&lt;=$G$13),1,0)</x:f>
        <x:v>0</x:v>
      </x:c>
      <x:c r="T311" s="10" t="n">
        <x:f>EOMONTH(J311-'Сводка'!$B$11,-1)</x:f>
        <x:v>46142</x:v>
      </x:c>
      <x:c r="U311" s="4" t="n">
        <x:f>MATCH(J311,'Сводка'!$R$3:$R$397,0)</x:f>
        <x:v>322</x:v>
      </x:c>
      <x:c r="V311" s="4" t="n">
        <x:f>MATCH(J311-'Сводка'!$B$11,'Сводка'!$R$3:$R$397,0)</x:f>
        <x:v>321</x:v>
      </x:c>
      <x:c r="W311" s="4" t="n">
        <x:f>MATCH(T311,$J$388:$J$400,0)</x:f>
        <x:v>11</x:v>
      </x:c>
      <x:c r="X311" s="3"/>
      <x:c r="Y311" s="3"/>
      <x:c r="Z311" s="3"/>
    </x:row>
    <x:row r="312" ht="15" customHeight="1">
      <x:c r="A312" s="3"/>
      <x:c r="B312" s="3"/>
      <x:c r="C312" s="3"/>
      <x:c r="D312" s="3"/>
      <x:c r="E312" s="3"/>
      <x:c r="F312" s="3"/>
      <x:c r="G312" s="3"/>
      <x:c r="H312" s="3"/>
      <x:c r="I312" s="3"/>
      <x:c r="J312" s="10" t="n">
        <x:v>46163</x:v>
      </x:c>
      <x:c r="K312" s="8" t="n">
        <x:f>INDEX('Сводка'!$S$3:$S$397,U312)</x:f>
        <x:v>134</x:v>
      </x:c>
      <x:c r="L312" s="8" t="n">
        <x:f>INDEX('Сводка'!$S$3:$S$397,V312)</x:f>
        <x:v>135</x:v>
      </x:c>
      <x:c r="M312" s="8" t="n">
        <x:f>INDEX($K$388:$N$400,W312,1)+INDEX($K$388:$N$400,W312,2)*(2*(J312-$T$405)/(T312-$T$405)-1)^1+INDEX($K$388:$N$400,W312,3)*(2*(J312-$T$405)/(T312-$T$405)-1)^2+INDEX($K$388:$N$400,W312,4)*(2*(J312-$T$405)/(T312-$T$405)-1)^3</x:f>
        <x:v>92.93499377896458</x:v>
      </x:c>
      <x:c r="N312" s="8" t="n">
        <x:f>K312-M312</x:f>
        <x:v>41.06500622103542</x:v>
      </x:c>
      <x:c r="O312" s="8" t="n">
        <x:f>ABS(N312)</x:f>
        <x:v>41.06500622103542</x:v>
      </x:c>
      <x:c r="P312" s="8" t="n">
        <x:f>N312^2</x:f>
        <x:v>1686.3347359336776</x:v>
      </x:c>
      <x:c r="Q312" s="8" t="n">
        <x:f>K312-L312</x:f>
        <x:v>-1</x:v>
      </x:c>
      <x:c r="R312" s="9" t="n">
        <x:f>IF(AND(INDEX('Сводка'!$T$3:$T$397,U312)=0,INDEX('Сводка'!$T$3:$T$397,V312)=0),1,0)</x:f>
        <x:v>1</x:v>
      </x:c>
      <x:c r="S312" s="9" t="n">
        <x:f>IF(AND(R312=1,O312&lt;=$G$13),1,0)</x:f>
        <x:v>0</x:v>
      </x:c>
      <x:c r="T312" s="10" t="n">
        <x:f>EOMONTH(J312-'Сводка'!$B$11,-1)</x:f>
        <x:v>46142</x:v>
      </x:c>
      <x:c r="U312" s="4" t="n">
        <x:f>MATCH(J312,'Сводка'!$R$3:$R$397,0)</x:f>
        <x:v>323</x:v>
      </x:c>
      <x:c r="V312" s="4" t="n">
        <x:f>MATCH(J312-'Сводка'!$B$11,'Сводка'!$R$3:$R$397,0)</x:f>
        <x:v>322</x:v>
      </x:c>
      <x:c r="W312" s="4" t="n">
        <x:f>MATCH(T312,$J$388:$J$400,0)</x:f>
        <x:v>11</x:v>
      </x:c>
      <x:c r="X312" s="3"/>
      <x:c r="Y312" s="3"/>
      <x:c r="Z312" s="3"/>
    </x:row>
    <x:row r="313" ht="15" customHeight="1">
      <x:c r="A313" s="3"/>
      <x:c r="B313" s="3"/>
      <x:c r="C313" s="3"/>
      <x:c r="D313" s="3"/>
      <x:c r="E313" s="3"/>
      <x:c r="F313" s="3"/>
      <x:c r="G313" s="3"/>
      <x:c r="H313" s="3"/>
      <x:c r="I313" s="3"/>
      <x:c r="J313" s="10" t="n">
        <x:v>46164</x:v>
      </x:c>
      <x:c r="K313" s="8" t="n">
        <x:f>INDEX('Сводка'!$S$3:$S$397,U313)</x:f>
        <x:v>131</x:v>
      </x:c>
      <x:c r="L313" s="8" t="n">
        <x:f>INDEX('Сводка'!$S$3:$S$397,V313)</x:f>
        <x:v>134</x:v>
      </x:c>
      <x:c r="M313" s="8" t="n">
        <x:f>INDEX($K$388:$N$400,W313,1)+INDEX($K$388:$N$400,W313,2)*(2*(J313-$T$405)/(T313-$T$405)-1)^1+INDEX($K$388:$N$400,W313,3)*(2*(J313-$T$405)/(T313-$T$405)-1)^2+INDEX($K$388:$N$400,W313,4)*(2*(J313-$T$405)/(T313-$T$405)-1)^3</x:f>
        <x:v>92.89561085179473</x:v>
      </x:c>
      <x:c r="N313" s="8" t="n">
        <x:f>K313-M313</x:f>
        <x:v>38.10438914820527</x:v>
      </x:c>
      <x:c r="O313" s="8" t="n">
        <x:f>ABS(N313)</x:f>
        <x:v>38.10438914820527</x:v>
      </x:c>
      <x:c r="P313" s="8" t="n">
        <x:f>N313^2</x:f>
        <x:v>1451.9444723578636</x:v>
      </x:c>
      <x:c r="Q313" s="8" t="n">
        <x:f>K313-L313</x:f>
        <x:v>-3</x:v>
      </x:c>
      <x:c r="R313" s="9" t="n">
        <x:f>IF(AND(INDEX('Сводка'!$T$3:$T$397,U313)=0,INDEX('Сводка'!$T$3:$T$397,V313)=0),1,0)</x:f>
        <x:v>1</x:v>
      </x:c>
      <x:c r="S313" s="9" t="n">
        <x:f>IF(AND(R313=1,O313&lt;=$G$13),1,0)</x:f>
        <x:v>0</x:v>
      </x:c>
      <x:c r="T313" s="10" t="n">
        <x:f>EOMONTH(J313-'Сводка'!$B$11,-1)</x:f>
        <x:v>46142</x:v>
      </x:c>
      <x:c r="U313" s="4" t="n">
        <x:f>MATCH(J313,'Сводка'!$R$3:$R$397,0)</x:f>
        <x:v>324</x:v>
      </x:c>
      <x:c r="V313" s="4" t="n">
        <x:f>MATCH(J313-'Сводка'!$B$11,'Сводка'!$R$3:$R$397,0)</x:f>
        <x:v>323</x:v>
      </x:c>
      <x:c r="W313" s="4" t="n">
        <x:f>MATCH(T313,$J$388:$J$400,0)</x:f>
        <x:v>11</x:v>
      </x:c>
      <x:c r="X313" s="3"/>
      <x:c r="Y313" s="3"/>
      <x:c r="Z313" s="3"/>
    </x:row>
    <x:row r="314" ht="15" customHeight="1">
      <x:c r="A314" s="3"/>
      <x:c r="B314" s="3"/>
      <x:c r="C314" s="3"/>
      <x:c r="D314" s="3"/>
      <x:c r="E314" s="3"/>
      <x:c r="F314" s="3"/>
      <x:c r="G314" s="3"/>
      <x:c r="H314" s="3"/>
      <x:c r="I314" s="3"/>
      <x:c r="J314" s="10" t="n">
        <x:v>46165</x:v>
      </x:c>
      <x:c r="K314" s="8" t="n">
        <x:f>INDEX('Сводка'!$S$3:$S$397,U314)</x:f>
        <x:v>126</x:v>
      </x:c>
      <x:c r="L314" s="8" t="n">
        <x:f>INDEX('Сводка'!$S$3:$S$397,V314)</x:f>
        <x:v>131</x:v>
      </x:c>
      <x:c r="M314" s="8" t="n">
        <x:f>INDEX($K$388:$N$400,W314,1)+INDEX($K$388:$N$400,W314,2)*(2*(J314-$T$405)/(T314-$T$405)-1)^1+INDEX($K$388:$N$400,W314,3)*(2*(J314-$T$405)/(T314-$T$405)-1)^2+INDEX($K$388:$N$400,W314,4)*(2*(J314-$T$405)/(T314-$T$405)-1)^3</x:f>
        <x:v>92.85620482608921</x:v>
      </x:c>
      <x:c r="N314" s="8" t="n">
        <x:f>K314-M314</x:f>
        <x:v>33.14379517391079</x:v>
      </x:c>
      <x:c r="O314" s="8" t="n">
        <x:f>ABS(N314)</x:f>
        <x:v>33.14379517391079</x:v>
      </x:c>
      <x:c r="P314" s="8" t="n">
        <x:f>N314^2</x:f>
        <x:v>1098.511158530152</x:v>
      </x:c>
      <x:c r="Q314" s="8" t="n">
        <x:f>K314-L314</x:f>
        <x:v>-5</x:v>
      </x:c>
      <x:c r="R314" s="9" t="n">
        <x:f>IF(AND(INDEX('Сводка'!$T$3:$T$397,U314)=0,INDEX('Сводка'!$T$3:$T$397,V314)=0),1,0)</x:f>
        <x:v>1</x:v>
      </x:c>
      <x:c r="S314" s="9" t="n">
        <x:f>IF(AND(R314=1,O314&lt;=$G$13),1,0)</x:f>
        <x:v>0</x:v>
      </x:c>
      <x:c r="T314" s="10" t="n">
        <x:f>EOMONTH(J314-'Сводка'!$B$11,-1)</x:f>
        <x:v>46142</x:v>
      </x:c>
      <x:c r="U314" s="4" t="n">
        <x:f>MATCH(J314,'Сводка'!$R$3:$R$397,0)</x:f>
        <x:v>325</x:v>
      </x:c>
      <x:c r="V314" s="4" t="n">
        <x:f>MATCH(J314-'Сводка'!$B$11,'Сводка'!$R$3:$R$397,0)</x:f>
        <x:v>324</x:v>
      </x:c>
      <x:c r="W314" s="4" t="n">
        <x:f>MATCH(T314,$J$388:$J$400,0)</x:f>
        <x:v>11</x:v>
      </x:c>
      <x:c r="X314" s="3"/>
      <x:c r="Y314" s="3"/>
      <x:c r="Z314" s="3"/>
    </x:row>
    <x:row r="315" ht="15" customHeight="1">
      <x:c r="A315" s="3"/>
      <x:c r="B315" s="3"/>
      <x:c r="C315" s="3"/>
      <x:c r="D315" s="3"/>
      <x:c r="E315" s="3"/>
      <x:c r="F315" s="3"/>
      <x:c r="G315" s="3"/>
      <x:c r="H315" s="3"/>
      <x:c r="I315" s="3"/>
      <x:c r="J315" s="10" t="n">
        <x:v>46166</x:v>
      </x:c>
      <x:c r="K315" s="8" t="n">
        <x:f>INDEX('Сводка'!$S$3:$S$397,U315)</x:f>
        <x:v>119</x:v>
      </x:c>
      <x:c r="L315" s="8" t="n">
        <x:f>INDEX('Сводка'!$S$3:$S$397,V315)</x:f>
        <x:v>126</x:v>
      </x:c>
      <x:c r="M315" s="8" t="n">
        <x:f>INDEX($K$388:$N$400,W315,1)+INDEX($K$388:$N$400,W315,2)*(2*(J315-$T$405)/(T315-$T$405)-1)^1+INDEX($K$388:$N$400,W315,3)*(2*(J315-$T$405)/(T315-$T$405)-1)^2+INDEX($K$388:$N$400,W315,4)*(2*(J315-$T$405)/(T315-$T$405)-1)^3</x:f>
        <x:v>92.81677569828216</x:v>
      </x:c>
      <x:c r="N315" s="8" t="n">
        <x:f>K315-M315</x:f>
        <x:v>26.183224301717843</x:v>
      </x:c>
      <x:c r="O315" s="8" t="n">
        <x:f>ABS(N315)</x:f>
        <x:v>26.183224301717843</x:v>
      </x:c>
      <x:c r="P315" s="8" t="n">
        <x:f>N315^2</x:f>
        <x:v>685.5612348340678</x:v>
      </x:c>
      <x:c r="Q315" s="8" t="n">
        <x:f>K315-L315</x:f>
        <x:v>-7</x:v>
      </x:c>
      <x:c r="R315" s="9" t="n">
        <x:f>IF(AND(INDEX('Сводка'!$T$3:$T$397,U315)=0,INDEX('Сводка'!$T$3:$T$397,V315)=0),1,0)</x:f>
        <x:v>1</x:v>
      </x:c>
      <x:c r="S315" s="9" t="n">
        <x:f>IF(AND(R315=1,O315&lt;=$G$13),1,0)</x:f>
        <x:v>0</x:v>
      </x:c>
      <x:c r="T315" s="10" t="n">
        <x:f>EOMONTH(J315-'Сводка'!$B$11,-1)</x:f>
        <x:v>46142</x:v>
      </x:c>
      <x:c r="U315" s="4" t="n">
        <x:f>MATCH(J315,'Сводка'!$R$3:$R$397,0)</x:f>
        <x:v>326</x:v>
      </x:c>
      <x:c r="V315" s="4" t="n">
        <x:f>MATCH(J315-'Сводка'!$B$11,'Сводка'!$R$3:$R$397,0)</x:f>
        <x:v>325</x:v>
      </x:c>
      <x:c r="W315" s="4" t="n">
        <x:f>MATCH(T315,$J$388:$J$400,0)</x:f>
        <x:v>11</x:v>
      </x:c>
      <x:c r="X315" s="3"/>
      <x:c r="Y315" s="3"/>
      <x:c r="Z315" s="3"/>
    </x:row>
    <x:row r="316" ht="15" customHeight="1">
      <x:c r="A316" s="3"/>
      <x:c r="B316" s="3"/>
      <x:c r="C316" s="3"/>
      <x:c r="D316" s="3"/>
      <x:c r="E316" s="3"/>
      <x:c r="F316" s="3"/>
      <x:c r="G316" s="3"/>
      <x:c r="H316" s="3"/>
      <x:c r="I316" s="3"/>
      <x:c r="J316" s="10" t="n">
        <x:v>46167</x:v>
      </x:c>
      <x:c r="K316" s="8" t="n">
        <x:f>INDEX('Сводка'!$S$3:$S$397,U316)</x:f>
        <x:v>114</x:v>
      </x:c>
      <x:c r="L316" s="8" t="n">
        <x:f>INDEX('Сводка'!$S$3:$S$397,V316)</x:f>
        <x:v>119</x:v>
      </x:c>
      <x:c r="M316" s="8" t="n">
        <x:f>INDEX($K$388:$N$400,W316,1)+INDEX($K$388:$N$400,W316,2)*(2*(J316-$T$405)/(T316-$T$405)-1)^1+INDEX($K$388:$N$400,W316,3)*(2*(J316-$T$405)/(T316-$T$405)-1)^2+INDEX($K$388:$N$400,W316,4)*(2*(J316-$T$405)/(T316-$T$405)-1)^3</x:f>
        <x:v>92.77732346480778</x:v>
      </x:c>
      <x:c r="N316" s="8" t="n">
        <x:f>K316-M316</x:f>
        <x:v>21.22267653519222</x:v>
      </x:c>
      <x:c r="O316" s="8" t="n">
        <x:f>ABS(N316)</x:f>
        <x:v>21.22267653519222</x:v>
      </x:c>
      <x:c r="P316" s="8" t="n">
        <x:f>N316^2</x:f>
        <x:v>450.4019993173985</x:v>
      </x:c>
      <x:c r="Q316" s="8" t="n">
        <x:f>K316-L316</x:f>
        <x:v>-5</x:v>
      </x:c>
      <x:c r="R316" s="9" t="n">
        <x:f>IF(AND(INDEX('Сводка'!$T$3:$T$397,U316)=0,INDEX('Сводка'!$T$3:$T$397,V316)=0),1,0)</x:f>
        <x:v>1</x:v>
      </x:c>
      <x:c r="S316" s="9" t="n">
        <x:f>IF(AND(R316=1,O316&lt;=$G$13),1,0)</x:f>
        <x:v>0</x:v>
      </x:c>
      <x:c r="T316" s="10" t="n">
        <x:f>EOMONTH(J316-'Сводка'!$B$11,-1)</x:f>
        <x:v>46142</x:v>
      </x:c>
      <x:c r="U316" s="4" t="n">
        <x:f>MATCH(J316,'Сводка'!$R$3:$R$397,0)</x:f>
        <x:v>327</x:v>
      </x:c>
      <x:c r="V316" s="4" t="n">
        <x:f>MATCH(J316-'Сводка'!$B$11,'Сводка'!$R$3:$R$397,0)</x:f>
        <x:v>326</x:v>
      </x:c>
      <x:c r="W316" s="4" t="n">
        <x:f>MATCH(T316,$J$388:$J$400,0)</x:f>
        <x:v>11</x:v>
      </x:c>
      <x:c r="X316" s="3"/>
      <x:c r="Y316" s="3"/>
      <x:c r="Z316" s="3"/>
    </x:row>
    <x:row r="317" ht="15" customHeight="1">
      <x:c r="A317" s="3"/>
      <x:c r="B317" s="3"/>
      <x:c r="C317" s="3"/>
      <x:c r="D317" s="3"/>
      <x:c r="E317" s="3"/>
      <x:c r="F317" s="3"/>
      <x:c r="G317" s="3"/>
      <x:c r="H317" s="3"/>
      <x:c r="I317" s="3"/>
      <x:c r="J317" s="10" t="n">
        <x:v>46168</x:v>
      </x:c>
      <x:c r="K317" s="8" t="n">
        <x:f>INDEX('Сводка'!$S$3:$S$397,U317)</x:f>
        <x:v>106</x:v>
      </x:c>
      <x:c r="L317" s="8" t="n">
        <x:f>INDEX('Сводка'!$S$3:$S$397,V317)</x:f>
        <x:v>114</x:v>
      </x:c>
      <x:c r="M317" s="8" t="n">
        <x:f>INDEX($K$388:$N$400,W317,1)+INDEX($K$388:$N$400,W317,2)*(2*(J317-$T$405)/(T317-$T$405)-1)^1+INDEX($K$388:$N$400,W317,3)*(2*(J317-$T$405)/(T317-$T$405)-1)^2+INDEX($K$388:$N$400,W317,4)*(2*(J317-$T$405)/(T317-$T$405)-1)^3</x:f>
        <x:v>92.73784812210013</x:v>
      </x:c>
      <x:c r="N317" s="8" t="n">
        <x:f>K317-M317</x:f>
        <x:v>13.262151877899868</x:v>
      </x:c>
      <x:c r="O317" s="8" t="n">
        <x:f>ABS(N317)</x:f>
        <x:v>13.262151877899868</x:v>
      </x:c>
      <x:c r="P317" s="8" t="n">
        <x:f>N317^2</x:f>
        <x:v>175.884672432483</x:v>
      </x:c>
      <x:c r="Q317" s="8" t="n">
        <x:f>K317-L317</x:f>
        <x:v>-8</x:v>
      </x:c>
      <x:c r="R317" s="9" t="n">
        <x:f>IF(AND(INDEX('Сводка'!$T$3:$T$397,U317)=0,INDEX('Сводка'!$T$3:$T$397,V317)=0),1,0)</x:f>
        <x:v>1</x:v>
      </x:c>
      <x:c r="S317" s="9" t="n">
        <x:f>IF(AND(R317=1,O317&lt;=$G$13),1,0)</x:f>
        <x:v>0</x:v>
      </x:c>
      <x:c r="T317" s="10" t="n">
        <x:f>EOMONTH(J317-'Сводка'!$B$11,-1)</x:f>
        <x:v>46142</x:v>
      </x:c>
      <x:c r="U317" s="4" t="n">
        <x:f>MATCH(J317,'Сводка'!$R$3:$R$397,0)</x:f>
        <x:v>328</x:v>
      </x:c>
      <x:c r="V317" s="4" t="n">
        <x:f>MATCH(J317-'Сводка'!$B$11,'Сводка'!$R$3:$R$397,0)</x:f>
        <x:v>327</x:v>
      </x:c>
      <x:c r="W317" s="4" t="n">
        <x:f>MATCH(T317,$J$388:$J$400,0)</x:f>
        <x:v>11</x:v>
      </x:c>
      <x:c r="X317" s="3"/>
      <x:c r="Y317" s="3"/>
      <x:c r="Z317" s="3"/>
    </x:row>
    <x:row r="318" ht="15" customHeight="1">
      <x:c r="A318" s="3"/>
      <x:c r="B318" s="3"/>
      <x:c r="C318" s="3"/>
      <x:c r="D318" s="3"/>
      <x:c r="E318" s="3"/>
      <x:c r="F318" s="3"/>
      <x:c r="G318" s="3"/>
      <x:c r="H318" s="3"/>
      <x:c r="I318" s="3"/>
      <x:c r="J318" s="10" t="n">
        <x:v>46169</x:v>
      </x:c>
      <x:c r="K318" s="8" t="n">
        <x:f>INDEX('Сводка'!$S$3:$S$397,U318)</x:f>
        <x:v>101</x:v>
      </x:c>
      <x:c r="L318" s="8" t="n">
        <x:f>INDEX('Сводка'!$S$3:$S$397,V318)</x:f>
        <x:v>106</x:v>
      </x:c>
      <x:c r="M318" s="8" t="n">
        <x:f>INDEX($K$388:$N$400,W318,1)+INDEX($K$388:$N$400,W318,2)*(2*(J318-$T$405)/(T318-$T$405)-1)^1+INDEX($K$388:$N$400,W318,3)*(2*(J318-$T$405)/(T318-$T$405)-1)^2+INDEX($K$388:$N$400,W318,4)*(2*(J318-$T$405)/(T318-$T$405)-1)^3</x:f>
        <x:v>92.69834966659349</x:v>
      </x:c>
      <x:c r="N318" s="8" t="n">
        <x:f>K318-M318</x:f>
        <x:v>8.301650333406513</x:v>
      </x:c>
      <x:c r="O318" s="8" t="n">
        <x:f>ABS(N318)</x:f>
        <x:v>8.301650333406513</x:v>
      </x:c>
      <x:c r="P318" s="8" t="n">
        <x:f>N318^2</x:f>
        <x:v>68.91739825814848</x:v>
      </x:c>
      <x:c r="Q318" s="8" t="n">
        <x:f>K318-L318</x:f>
        <x:v>-5</x:v>
      </x:c>
      <x:c r="R318" s="9" t="n">
        <x:f>IF(AND(INDEX('Сводка'!$T$3:$T$397,U318)=0,INDEX('Сводка'!$T$3:$T$397,V318)=0),1,0)</x:f>
        <x:v>1</x:v>
      </x:c>
      <x:c r="S318" s="9" t="n">
        <x:f>IF(AND(R318=1,O318&lt;=$G$13),1,0)</x:f>
        <x:v>0</x:v>
      </x:c>
      <x:c r="T318" s="10" t="n">
        <x:f>EOMONTH(J318-'Сводка'!$B$11,-1)</x:f>
        <x:v>46142</x:v>
      </x:c>
      <x:c r="U318" s="4" t="n">
        <x:f>MATCH(J318,'Сводка'!$R$3:$R$397,0)</x:f>
        <x:v>329</x:v>
      </x:c>
      <x:c r="V318" s="4" t="n">
        <x:f>MATCH(J318-'Сводка'!$B$11,'Сводка'!$R$3:$R$397,0)</x:f>
        <x:v>328</x:v>
      </x:c>
      <x:c r="W318" s="4" t="n">
        <x:f>MATCH(T318,$J$388:$J$400,0)</x:f>
        <x:v>11</x:v>
      </x:c>
      <x:c r="X318" s="3"/>
      <x:c r="Y318" s="3"/>
      <x:c r="Z318" s="3"/>
    </x:row>
    <x:row r="319" ht="15" customHeight="1">
      <x:c r="A319" s="3"/>
      <x:c r="B319" s="3"/>
      <x:c r="C319" s="3"/>
      <x:c r="D319" s="3"/>
      <x:c r="E319" s="3"/>
      <x:c r="F319" s="3"/>
      <x:c r="G319" s="3"/>
      <x:c r="H319" s="3"/>
      <x:c r="I319" s="3"/>
      <x:c r="J319" s="10" t="n">
        <x:v>46170</x:v>
      </x:c>
      <x:c r="K319" s="8" t="n">
        <x:f>INDEX('Сводка'!$S$3:$S$397,U319)</x:f>
        <x:v>95</x:v>
      </x:c>
      <x:c r="L319" s="8" t="n">
        <x:f>INDEX('Сводка'!$S$3:$S$397,V319)</x:f>
        <x:v>101</x:v>
      </x:c>
      <x:c r="M319" s="8" t="n">
        <x:f>INDEX($K$388:$N$400,W319,1)+INDEX($K$388:$N$400,W319,2)*(2*(J319-$T$405)/(T319-$T$405)-1)^1+INDEX($K$388:$N$400,W319,3)*(2*(J319-$T$405)/(T319-$T$405)-1)^2+INDEX($K$388:$N$400,W319,4)*(2*(J319-$T$405)/(T319-$T$405)-1)^3</x:f>
        <x:v>92.65882809472171</x:v>
      </x:c>
      <x:c r="N319" s="8" t="n">
        <x:f>K319-M319</x:f>
        <x:v>2.341171905278287</x:v>
      </x:c>
      <x:c r="O319" s="8" t="n">
        <x:f>ABS(N319)</x:f>
        <x:v>2.341171905278287</x:v>
      </x:c>
      <x:c r="P319" s="8" t="n">
        <x:f>N319^2</x:f>
        <x:v>5.481085890064365</x:v>
      </x:c>
      <x:c r="Q319" s="8" t="n">
        <x:f>K319-L319</x:f>
        <x:v>-6</x:v>
      </x:c>
      <x:c r="R319" s="9" t="n">
        <x:f>IF(AND(INDEX('Сводка'!$T$3:$T$397,U319)=0,INDEX('Сводка'!$T$3:$T$397,V319)=0),1,0)</x:f>
        <x:v>1</x:v>
      </x:c>
      <x:c r="S319" s="9" t="n">
        <x:f>IF(AND(R319=1,O319&lt;=$G$13),1,0)</x:f>
        <x:v>1</x:v>
      </x:c>
      <x:c r="T319" s="10" t="n">
        <x:f>EOMONTH(J319-'Сводка'!$B$11,-1)</x:f>
        <x:v>46142</x:v>
      </x:c>
      <x:c r="U319" s="4" t="n">
        <x:f>MATCH(J319,'Сводка'!$R$3:$R$397,0)</x:f>
        <x:v>330</x:v>
      </x:c>
      <x:c r="V319" s="4" t="n">
        <x:f>MATCH(J319-'Сводка'!$B$11,'Сводка'!$R$3:$R$397,0)</x:f>
        <x:v>329</x:v>
      </x:c>
      <x:c r="W319" s="4" t="n">
        <x:f>MATCH(T319,$J$388:$J$400,0)</x:f>
        <x:v>11</x:v>
      </x:c>
      <x:c r="X319" s="3"/>
      <x:c r="Y319" s="3"/>
      <x:c r="Z319" s="3"/>
    </x:row>
    <x:row r="320" ht="15" customHeight="1">
      <x:c r="A320" s="3"/>
      <x:c r="B320" s="3"/>
      <x:c r="C320" s="3"/>
      <x:c r="D320" s="3"/>
      <x:c r="E320" s="3"/>
      <x:c r="F320" s="3"/>
      <x:c r="G320" s="3"/>
      <x:c r="H320" s="3"/>
      <x:c r="I320" s="3"/>
      <x:c r="J320" s="10" t="n">
        <x:v>46171</x:v>
      </x:c>
      <x:c r="K320" s="8" t="n">
        <x:f>INDEX('Сводка'!$S$3:$S$397,U320)</x:f>
        <x:v>85</x:v>
      </x:c>
      <x:c r="L320" s="8" t="n">
        <x:f>INDEX('Сводка'!$S$3:$S$397,V320)</x:f>
        <x:v>95</x:v>
      </x:c>
      <x:c r="M320" s="8" t="n">
        <x:f>INDEX($K$388:$N$400,W320,1)+INDEX($K$388:$N$400,W320,2)*(2*(J320-$T$405)/(T320-$T$405)-1)^1+INDEX($K$388:$N$400,W320,3)*(2*(J320-$T$405)/(T320-$T$405)-1)^2+INDEX($K$388:$N$400,W320,4)*(2*(J320-$T$405)/(T320-$T$405)-1)^3</x:f>
        <x:v>92.61928340291917</x:v>
      </x:c>
      <x:c r="N320" s="8" t="n">
        <x:f>K320-M320</x:f>
        <x:v>-7.619283402919166</x:v>
      </x:c>
      <x:c r="O320" s="8" t="n">
        <x:f>ABS(N320)</x:f>
        <x:v>7.619283402919166</x:v>
      </x:c>
      <x:c r="P320" s="8" t="n">
        <x:f>N320^2</x:f>
        <x:v>58.05347957399946</x:v>
      </x:c>
      <x:c r="Q320" s="8" t="n">
        <x:f>K320-L320</x:f>
        <x:v>-10</x:v>
      </x:c>
      <x:c r="R320" s="9" t="n">
        <x:f>IF(AND(INDEX('Сводка'!$T$3:$T$397,U320)=0,INDEX('Сводка'!$T$3:$T$397,V320)=0),1,0)</x:f>
        <x:v>1</x:v>
      </x:c>
      <x:c r="S320" s="9" t="n">
        <x:f>IF(AND(R320=1,O320&lt;=$G$13),1,0)</x:f>
        <x:v>0</x:v>
      </x:c>
      <x:c r="T320" s="10" t="n">
        <x:f>EOMONTH(J320-'Сводка'!$B$11,-1)</x:f>
        <x:v>46142</x:v>
      </x:c>
      <x:c r="U320" s="4" t="n">
        <x:f>MATCH(J320,'Сводка'!$R$3:$R$397,0)</x:f>
        <x:v>331</x:v>
      </x:c>
      <x:c r="V320" s="4" t="n">
        <x:f>MATCH(J320-'Сводка'!$B$11,'Сводка'!$R$3:$R$397,0)</x:f>
        <x:v>330</x:v>
      </x:c>
      <x:c r="W320" s="4" t="n">
        <x:f>MATCH(T320,$J$388:$J$400,0)</x:f>
        <x:v>11</x:v>
      </x:c>
      <x:c r="X320" s="3"/>
      <x:c r="Y320" s="3"/>
      <x:c r="Z320" s="3"/>
    </x:row>
    <x:row r="321" ht="15" customHeight="1">
      <x:c r="A321" s="3"/>
      <x:c r="B321" s="3"/>
      <x:c r="C321" s="3"/>
      <x:c r="D321" s="3"/>
      <x:c r="E321" s="3"/>
      <x:c r="F321" s="3"/>
      <x:c r="G321" s="3"/>
      <x:c r="H321" s="3"/>
      <x:c r="I321" s="3"/>
      <x:c r="J321" s="10" t="n">
        <x:v>46172</x:v>
      </x:c>
      <x:c r="K321" s="8" t="n">
        <x:f>INDEX('Сводка'!$S$3:$S$397,U321)</x:f>
        <x:v>77</x:v>
      </x:c>
      <x:c r="L321" s="8" t="n">
        <x:f>INDEX('Сводка'!$S$3:$S$397,V321)</x:f>
        <x:v>85</x:v>
      </x:c>
      <x:c r="M321" s="8" t="n">
        <x:f>INDEX($K$388:$N$400,W321,1)+INDEX($K$388:$N$400,W321,2)*(2*(J321-$T$405)/(T321-$T$405)-1)^1+INDEX($K$388:$N$400,W321,3)*(2*(J321-$T$405)/(T321-$T$405)-1)^2+INDEX($K$388:$N$400,W321,4)*(2*(J321-$T$405)/(T321-$T$405)-1)^3</x:f>
        <x:v>92.57971558761983</x:v>
      </x:c>
      <x:c r="N321" s="8" t="n">
        <x:f>K321-M321</x:f>
        <x:v>-15.57971558761983</x:v>
      </x:c>
      <x:c r="O321" s="8" t="n">
        <x:f>ABS(N321)</x:f>
        <x:v>15.57971558761983</x:v>
      </x:c>
      <x:c r="P321" s="8" t="n">
        <x:f>N321^2</x:f>
        <x:v>242.72753779112432</x:v>
      </x:c>
      <x:c r="Q321" s="8" t="n">
        <x:f>K321-L321</x:f>
        <x:v>-8</x:v>
      </x:c>
      <x:c r="R321" s="9" t="n">
        <x:f>IF(AND(INDEX('Сводка'!$T$3:$T$397,U321)=0,INDEX('Сводка'!$T$3:$T$397,V321)=0),1,0)</x:f>
        <x:v>1</x:v>
      </x:c>
      <x:c r="S321" s="9" t="n">
        <x:f>IF(AND(R321=1,O321&lt;=$G$13),1,0)</x:f>
        <x:v>0</x:v>
      </x:c>
      <x:c r="T321" s="10" t="n">
        <x:f>EOMONTH(J321-'Сводка'!$B$11,-1)</x:f>
        <x:v>46142</x:v>
      </x:c>
      <x:c r="U321" s="4" t="n">
        <x:f>MATCH(J321,'Сводка'!$R$3:$R$397,0)</x:f>
        <x:v>332</x:v>
      </x:c>
      <x:c r="V321" s="4" t="n">
        <x:f>MATCH(J321-'Сводка'!$B$11,'Сводка'!$R$3:$R$397,0)</x:f>
        <x:v>331</x:v>
      </x:c>
      <x:c r="W321" s="4" t="n">
        <x:f>MATCH(T321,$J$388:$J$400,0)</x:f>
        <x:v>11</x:v>
      </x:c>
      <x:c r="X321" s="3"/>
      <x:c r="Y321" s="3"/>
      <x:c r="Z321" s="3"/>
    </x:row>
    <x:row r="322" ht="15" customHeight="1">
      <x:c r="A322" s="3"/>
      <x:c r="B322" s="3"/>
      <x:c r="C322" s="3"/>
      <x:c r="D322" s="3"/>
      <x:c r="E322" s="3"/>
      <x:c r="F322" s="3"/>
      <x:c r="G322" s="3"/>
      <x:c r="H322" s="3"/>
      <x:c r="I322" s="3"/>
      <x:c r="J322" s="10" t="n">
        <x:v>46173</x:v>
      </x:c>
      <x:c r="K322" s="8" t="n">
        <x:f>INDEX('Сводка'!$S$3:$S$397,U322)</x:f>
        <x:v>70</x:v>
      </x:c>
      <x:c r="L322" s="8" t="n">
        <x:f>INDEX('Сводка'!$S$3:$S$397,V322)</x:f>
        <x:v>77</x:v>
      </x:c>
      <x:c r="M322" s="8" t="n">
        <x:f>INDEX($K$388:$N$400,W322,1)+INDEX($K$388:$N$400,W322,2)*(2*(J322-$T$405)/(T322-$T$405)-1)^1+INDEX($K$388:$N$400,W322,3)*(2*(J322-$T$405)/(T322-$T$405)-1)^2+INDEX($K$388:$N$400,W322,4)*(2*(J322-$T$405)/(T322-$T$405)-1)^3</x:f>
        <x:v>92.54012464525789</x:v>
      </x:c>
      <x:c r="N322" s="8" t="n">
        <x:f>K322-M322</x:f>
        <x:v>-22.54012464525789</x:v>
      </x:c>
      <x:c r="O322" s="8" t="n">
        <x:f>ABS(N322)</x:f>
        <x:v>22.54012464525789</x:v>
      </x:c>
      <x:c r="P322" s="8" t="n">
        <x:f>N322^2</x:f>
        <x:v>508.0572190237621</x:v>
      </x:c>
      <x:c r="Q322" s="8" t="n">
        <x:f>K322-L322</x:f>
        <x:v>-7</x:v>
      </x:c>
      <x:c r="R322" s="9" t="n">
        <x:f>IF(AND(INDEX('Сводка'!$T$3:$T$397,U322)=0,INDEX('Сводка'!$T$3:$T$397,V322)=0),1,0)</x:f>
        <x:v>1</x:v>
      </x:c>
      <x:c r="S322" s="9" t="n">
        <x:f>IF(AND(R322=1,O322&lt;=$G$13),1,0)</x:f>
        <x:v>0</x:v>
      </x:c>
      <x:c r="T322" s="10" t="n">
        <x:f>EOMONTH(J322-'Сводка'!$B$11,-1)</x:f>
        <x:v>46142</x:v>
      </x:c>
      <x:c r="U322" s="4" t="n">
        <x:f>MATCH(J322,'Сводка'!$R$3:$R$397,0)</x:f>
        <x:v>333</x:v>
      </x:c>
      <x:c r="V322" s="4" t="n">
        <x:f>MATCH(J322-'Сводка'!$B$11,'Сводка'!$R$3:$R$397,0)</x:f>
        <x:v>332</x:v>
      </x:c>
      <x:c r="W322" s="4" t="n">
        <x:f>MATCH(T322,$J$388:$J$400,0)</x:f>
        <x:v>11</x:v>
      </x:c>
      <x:c r="X322" s="3"/>
      <x:c r="Y322" s="3"/>
      <x:c r="Z322" s="3"/>
    </x:row>
    <x:row r="323" ht="15" customHeight="1">
      <x:c r="A323" s="3"/>
      <x:c r="B323" s="3"/>
      <x:c r="C323" s="3"/>
      <x:c r="D323" s="3"/>
      <x:c r="E323" s="3"/>
      <x:c r="F323" s="3"/>
      <x:c r="G323" s="3"/>
      <x:c r="H323" s="3"/>
      <x:c r="I323" s="3"/>
      <x:c r="J323" s="10" t="n">
        <x:v>46174</x:v>
      </x:c>
      <x:c r="K323" s="8" t="n">
        <x:f>INDEX('Сводка'!$S$3:$S$397,U323)</x:f>
        <x:v>64</x:v>
      </x:c>
      <x:c r="L323" s="8" t="n">
        <x:f>INDEX('Сводка'!$S$3:$S$397,V323)</x:f>
        <x:v>70</x:v>
      </x:c>
      <x:c r="M323" s="8" t="n">
        <x:f>INDEX($K$388:$N$400,W323,1)+INDEX($K$388:$N$400,W323,2)*(2*(J323-$T$405)/(T323-$T$405)-1)^1+INDEX($K$388:$N$400,W323,3)*(2*(J323-$T$405)/(T323-$T$405)-1)^2+INDEX($K$388:$N$400,W323,4)*(2*(J323-$T$405)/(T323-$T$405)-1)^3</x:f>
        <x:v>92.50051057226742</x:v>
      </x:c>
      <x:c r="N323" s="8" t="n">
        <x:f>K323-M323</x:f>
        <x:v>-28.500510572267416</x:v>
      </x:c>
      <x:c r="O323" s="8" t="n">
        <x:f>ABS(N323)</x:f>
        <x:v>28.500510572267416</x:v>
      </x:c>
      <x:c r="P323" s="8" t="n">
        <x:f>N323^2</x:f>
        <x:v>812.2791028799268</x:v>
      </x:c>
      <x:c r="Q323" s="8" t="n">
        <x:f>K323-L323</x:f>
        <x:v>-6</x:v>
      </x:c>
      <x:c r="R323" s="9" t="n">
        <x:f>IF(AND(INDEX('Сводка'!$T$3:$T$397,U323)=0,INDEX('Сводка'!$T$3:$T$397,V323)=0),1,0)</x:f>
        <x:v>1</x:v>
      </x:c>
      <x:c r="S323" s="9" t="n">
        <x:f>IF(AND(R323=1,O323&lt;=$G$13),1,0)</x:f>
        <x:v>0</x:v>
      </x:c>
      <x:c r="T323" s="10" t="n">
        <x:f>EOMONTH(J323-'Сводка'!$B$11,-1)</x:f>
        <x:v>46142</x:v>
      </x:c>
      <x:c r="U323" s="4" t="n">
        <x:f>MATCH(J323,'Сводка'!$R$3:$R$397,0)</x:f>
        <x:v>334</x:v>
      </x:c>
      <x:c r="V323" s="4" t="n">
        <x:f>MATCH(J323-'Сводка'!$B$11,'Сводка'!$R$3:$R$397,0)</x:f>
        <x:v>333</x:v>
      </x:c>
      <x:c r="W323" s="4" t="n">
        <x:f>MATCH(T323,$J$388:$J$400,0)</x:f>
        <x:v>11</x:v>
      </x:c>
      <x:c r="X323" s="3"/>
      <x:c r="Y323" s="3"/>
      <x:c r="Z323" s="3"/>
    </x:row>
    <x:row r="324" ht="15" customHeight="1">
      <x:c r="A324" s="3"/>
      <x:c r="B324" s="3"/>
      <x:c r="C324" s="3"/>
      <x:c r="D324" s="3"/>
      <x:c r="E324" s="3"/>
      <x:c r="F324" s="3"/>
      <x:c r="G324" s="3"/>
      <x:c r="H324" s="3"/>
      <x:c r="I324" s="3"/>
      <x:c r="J324" s="10" t="n">
        <x:v>46175</x:v>
      </x:c>
      <x:c r="K324" s="8" t="n">
        <x:f>INDEX('Сводка'!$S$3:$S$397,U324)</x:f>
        <x:v>62</x:v>
      </x:c>
      <x:c r="L324" s="8" t="n">
        <x:f>INDEX('Сводка'!$S$3:$S$397,V324)</x:f>
        <x:v>64</x:v>
      </x:c>
      <x:c r="M324" s="8" t="n">
        <x:f>INDEX($K$388:$N$400,W324,1)+INDEX($K$388:$N$400,W324,2)*(2*(J324-$T$405)/(T324-$T$405)-1)^1+INDEX($K$388:$N$400,W324,3)*(2*(J324-$T$405)/(T324-$T$405)-1)^2+INDEX($K$388:$N$400,W324,4)*(2*(J324-$T$405)/(T324-$T$405)-1)^3</x:f>
        <x:v>93.7097837426785</x:v>
      </x:c>
      <x:c r="N324" s="8" t="n">
        <x:f>K324-M324</x:f>
        <x:v>-31.709783742678496</x:v>
      </x:c>
      <x:c r="O324" s="8" t="n">
        <x:f>ABS(N324)</x:f>
        <x:v>31.709783742678496</x:v>
      </x:c>
      <x:c r="P324" s="8" t="n">
        <x:f>N324^2</x:f>
        <x:v>1005.5103850074374</x:v>
      </x:c>
      <x:c r="Q324" s="8" t="n">
        <x:f>K324-L324</x:f>
        <x:v>-2</x:v>
      </x:c>
      <x:c r="R324" s="9" t="n">
        <x:f>IF(AND(INDEX('Сводка'!$T$3:$T$397,U324)=0,INDEX('Сводка'!$T$3:$T$397,V324)=0),1,0)</x:f>
        <x:v>1</x:v>
      </x:c>
      <x:c r="S324" s="9" t="n">
        <x:f>IF(AND(R324=1,O324&lt;=$G$13),1,0)</x:f>
        <x:v>0</x:v>
      </x:c>
      <x:c r="T324" s="10" t="n">
        <x:f>EOMONTH(J324-'Сводка'!$B$11,-1)</x:f>
        <x:v>46173</x:v>
      </x:c>
      <x:c r="U324" s="4" t="n">
        <x:f>MATCH(J324,'Сводка'!$R$3:$R$397,0)</x:f>
        <x:v>335</x:v>
      </x:c>
      <x:c r="V324" s="4" t="n">
        <x:f>MATCH(J324-'Сводка'!$B$11,'Сводка'!$R$3:$R$397,0)</x:f>
        <x:v>334</x:v>
      </x:c>
      <x:c r="W324" s="4" t="n">
        <x:f>MATCH(T324,$J$388:$J$400,0)</x:f>
        <x:v>12</x:v>
      </x:c>
      <x:c r="X324" s="3"/>
      <x:c r="Y324" s="3"/>
      <x:c r="Z324" s="3"/>
    </x:row>
    <x:row r="325" ht="15" customHeight="1">
      <x:c r="A325" s="3"/>
      <x:c r="B325" s="3"/>
      <x:c r="C325" s="3"/>
      <x:c r="D325" s="3"/>
      <x:c r="E325" s="3"/>
      <x:c r="F325" s="3"/>
      <x:c r="G325" s="3"/>
      <x:c r="H325" s="3"/>
      <x:c r="I325" s="3"/>
      <x:c r="J325" s="10" t="n">
        <x:v>46176</x:v>
      </x:c>
      <x:c r="K325" s="8" t="n">
        <x:f>INDEX('Сводка'!$S$3:$S$397,U325)</x:f>
        <x:v>61</x:v>
      </x:c>
      <x:c r="L325" s="8" t="n">
        <x:f>INDEX('Сводка'!$S$3:$S$397,V325)</x:f>
        <x:v>62</x:v>
      </x:c>
      <x:c r="M325" s="8" t="n">
        <x:f>INDEX($K$388:$N$400,W325,1)+INDEX($K$388:$N$400,W325,2)*(2*(J325-$T$405)/(T325-$T$405)-1)^1+INDEX($K$388:$N$400,W325,3)*(2*(J325-$T$405)/(T325-$T$405)-1)^2+INDEX($K$388:$N$400,W325,4)*(2*(J325-$T$405)/(T325-$T$405)-1)^3</x:f>
        <x:v>93.67115052983358</x:v>
      </x:c>
      <x:c r="N325" s="8" t="n">
        <x:f>K325-M325</x:f>
        <x:v>-32.67115052983358</x:v>
      </x:c>
      <x:c r="O325" s="8" t="n">
        <x:f>ABS(N325)</x:f>
        <x:v>32.67115052983358</x:v>
      </x:c>
      <x:c r="P325" s="8" t="n">
        <x:f>N325^2</x:f>
        <x:v>1067.404076943045</x:v>
      </x:c>
      <x:c r="Q325" s="8" t="n">
        <x:f>K325-L325</x:f>
        <x:v>-1</x:v>
      </x:c>
      <x:c r="R325" s="9" t="n">
        <x:f>IF(AND(INDEX('Сводка'!$T$3:$T$397,U325)=0,INDEX('Сводка'!$T$3:$T$397,V325)=0),1,0)</x:f>
        <x:v>1</x:v>
      </x:c>
      <x:c r="S325" s="9" t="n">
        <x:f>IF(AND(R325=1,O325&lt;=$G$13),1,0)</x:f>
        <x:v>0</x:v>
      </x:c>
      <x:c r="T325" s="10" t="n">
        <x:f>EOMONTH(J325-'Сводка'!$B$11,-1)</x:f>
        <x:v>46173</x:v>
      </x:c>
      <x:c r="U325" s="4" t="n">
        <x:f>MATCH(J325,'Сводка'!$R$3:$R$397,0)</x:f>
        <x:v>336</x:v>
      </x:c>
      <x:c r="V325" s="4" t="n">
        <x:f>MATCH(J325-'Сводка'!$B$11,'Сводка'!$R$3:$R$397,0)</x:f>
        <x:v>335</x:v>
      </x:c>
      <x:c r="W325" s="4" t="n">
        <x:f>MATCH(T325,$J$388:$J$400,0)</x:f>
        <x:v>12</x:v>
      </x:c>
      <x:c r="X325" s="3"/>
      <x:c r="Y325" s="3"/>
      <x:c r="Z325" s="3"/>
    </x:row>
    <x:row r="326" ht="15" customHeight="1">
      <x:c r="A326" s="3"/>
      <x:c r="B326" s="3"/>
      <x:c r="C326" s="3"/>
      <x:c r="D326" s="3"/>
      <x:c r="E326" s="3"/>
      <x:c r="F326" s="3"/>
      <x:c r="G326" s="3"/>
      <x:c r="H326" s="3"/>
      <x:c r="I326" s="3"/>
      <x:c r="J326" s="10" t="n">
        <x:v>46177</x:v>
      </x:c>
      <x:c r="K326" s="8" t="n">
        <x:f>INDEX('Сводка'!$S$3:$S$397,U326)</x:f>
        <x:v>75</x:v>
      </x:c>
      <x:c r="L326" s="8" t="n">
        <x:f>INDEX('Сводка'!$S$3:$S$397,V326)</x:f>
        <x:v>61</x:v>
      </x:c>
      <x:c r="M326" s="8" t="n">
        <x:f>INDEX($K$388:$N$400,W326,1)+INDEX($K$388:$N$400,W326,2)*(2*(J326-$T$405)/(T326-$T$405)-1)^1+INDEX($K$388:$N$400,W326,3)*(2*(J326-$T$405)/(T326-$T$405)-1)^2+INDEX($K$388:$N$400,W326,4)*(2*(J326-$T$405)/(T326-$T$405)-1)^3</x:f>
        <x:v>93.63249463163217</x:v>
      </x:c>
      <x:c r="N326" s="8" t="n">
        <x:f>K326-M326</x:f>
        <x:v>-18.63249463163217</x:v>
      </x:c>
      <x:c r="O326" s="8" t="n">
        <x:f>ABS(N326)</x:f>
        <x:v>18.63249463163217</x:v>
      </x:c>
      <x:c r="P326" s="8" t="n">
        <x:f>N326^2</x:f>
        <x:v>347.1698561978016</x:v>
      </x:c>
      <x:c r="Q326" s="8" t="n">
        <x:f>K326-L326</x:f>
        <x:v>14</x:v>
      </x:c>
      <x:c r="R326" s="9" t="n">
        <x:f>IF(AND(INDEX('Сводка'!$T$3:$T$397,U326)=0,INDEX('Сводка'!$T$3:$T$397,V326)=0),1,0)</x:f>
        <x:v>1</x:v>
      </x:c>
      <x:c r="S326" s="9" t="n">
        <x:f>IF(AND(R326=1,O326&lt;=$G$13),1,0)</x:f>
        <x:v>0</x:v>
      </x:c>
      <x:c r="T326" s="10" t="n">
        <x:f>EOMONTH(J326-'Сводка'!$B$11,-1)</x:f>
        <x:v>46173</x:v>
      </x:c>
      <x:c r="U326" s="4" t="n">
        <x:f>MATCH(J326,'Сводка'!$R$3:$R$397,0)</x:f>
        <x:v>337</x:v>
      </x:c>
      <x:c r="V326" s="4" t="n">
        <x:f>MATCH(J326-'Сводка'!$B$11,'Сводка'!$R$3:$R$397,0)</x:f>
        <x:v>336</x:v>
      </x:c>
      <x:c r="W326" s="4" t="n">
        <x:f>MATCH(T326,$J$388:$J$400,0)</x:f>
        <x:v>12</x:v>
      </x:c>
      <x:c r="X326" s="3"/>
      <x:c r="Y326" s="3"/>
      <x:c r="Z326" s="3"/>
    </x:row>
    <x:row r="327" ht="15" customHeight="1">
      <x:c r="A327" s="3"/>
      <x:c r="B327" s="3"/>
      <x:c r="C327" s="3"/>
      <x:c r="D327" s="3"/>
      <x:c r="E327" s="3"/>
      <x:c r="F327" s="3"/>
      <x:c r="G327" s="3"/>
      <x:c r="H327" s="3"/>
      <x:c r="I327" s="3"/>
      <x:c r="J327" s="10" t="n">
        <x:v>46178</x:v>
      </x:c>
      <x:c r="K327" s="8" t="n">
        <x:f>INDEX('Сводка'!$S$3:$S$397,U327)</x:f>
        <x:v>94</x:v>
      </x:c>
      <x:c r="L327" s="8" t="n">
        <x:f>INDEX('Сводка'!$S$3:$S$397,V327)</x:f>
        <x:v>75</x:v>
      </x:c>
      <x:c r="M327" s="8" t="n">
        <x:f>INDEX($K$388:$N$400,W327,1)+INDEX($K$388:$N$400,W327,2)*(2*(J327-$T$405)/(T327-$T$405)-1)^1+INDEX($K$388:$N$400,W327,3)*(2*(J327-$T$405)/(T327-$T$405)-1)^2+INDEX($K$388:$N$400,W327,4)*(2*(J327-$T$405)/(T327-$T$405)-1)^3</x:f>
        <x:v>93.59381604459726</x:v>
      </x:c>
      <x:c r="N327" s="8" t="n">
        <x:f>K327-M327</x:f>
        <x:v>0.40618395540273866</x:v>
      </x:c>
      <x:c r="O327" s="8" t="n">
        <x:f>ABS(N327)</x:f>
        <x:v>0.40618395540273866</x:v>
      </x:c>
      <x:c r="P327" s="8" t="n">
        <x:f>N327^2</x:f>
        <x:v>0.16498540562661398</x:v>
      </x:c>
      <x:c r="Q327" s="8" t="n">
        <x:f>K327-L327</x:f>
        <x:v>19</x:v>
      </x:c>
      <x:c r="R327" s="9" t="n">
        <x:f>IF(AND(INDEX('Сводка'!$T$3:$T$397,U327)=0,INDEX('Сводка'!$T$3:$T$397,V327)=0),1,0)</x:f>
        <x:v>1</x:v>
      </x:c>
      <x:c r="S327" s="9" t="n">
        <x:f>IF(AND(R327=1,O327&lt;=$G$13),1,0)</x:f>
        <x:v>1</x:v>
      </x:c>
      <x:c r="T327" s="10" t="n">
        <x:f>EOMONTH(J327-'Сводка'!$B$11,-1)</x:f>
        <x:v>46173</x:v>
      </x:c>
      <x:c r="U327" s="4" t="n">
        <x:f>MATCH(J327,'Сводка'!$R$3:$R$397,0)</x:f>
        <x:v>338</x:v>
      </x:c>
      <x:c r="V327" s="4" t="n">
        <x:f>MATCH(J327-'Сводка'!$B$11,'Сводка'!$R$3:$R$397,0)</x:f>
        <x:v>337</x:v>
      </x:c>
      <x:c r="W327" s="4" t="n">
        <x:f>MATCH(T327,$J$388:$J$400,0)</x:f>
        <x:v>12</x:v>
      </x:c>
      <x:c r="X327" s="3"/>
      <x:c r="Y327" s="3"/>
      <x:c r="Z327" s="3"/>
    </x:row>
    <x:row r="328" ht="15" customHeight="1">
      <x:c r="A328" s="3"/>
      <x:c r="B328" s="3"/>
      <x:c r="C328" s="3"/>
      <x:c r="D328" s="3"/>
      <x:c r="E328" s="3"/>
      <x:c r="F328" s="3"/>
      <x:c r="G328" s="3"/>
      <x:c r="H328" s="3"/>
      <x:c r="I328" s="3"/>
      <x:c r="J328" s="10" t="n">
        <x:v>46179</x:v>
      </x:c>
      <x:c r="K328" s="8" t="n">
        <x:f>INDEX('Сводка'!$S$3:$S$397,U328)</x:f>
        <x:v>116</x:v>
      </x:c>
      <x:c r="L328" s="8" t="n">
        <x:f>INDEX('Сводка'!$S$3:$S$397,V328)</x:f>
        <x:v>94</x:v>
      </x:c>
      <x:c r="M328" s="8" t="n">
        <x:f>INDEX($K$388:$N$400,W328,1)+INDEX($K$388:$N$400,W328,2)*(2*(J328-$T$405)/(T328-$T$405)-1)^1+INDEX($K$388:$N$400,W328,3)*(2*(J328-$T$405)/(T328-$T$405)-1)^2+INDEX($K$388:$N$400,W328,4)*(2*(J328-$T$405)/(T328-$T$405)-1)^3</x:f>
        <x:v>93.55511476525201</x:v>
      </x:c>
      <x:c r="N328" s="8" t="n">
        <x:f>K328-M328</x:f>
        <x:v>22.444885234747986</x:v>
      </x:c>
      <x:c r="O328" s="8" t="n">
        <x:f>ABS(N328)</x:f>
        <x:v>22.444885234747986</x:v>
      </x:c>
      <x:c r="P328" s="8" t="n">
        <x:f>N328^2</x:f>
        <x:v>503.77287320100817</x:v>
      </x:c>
      <x:c r="Q328" s="8" t="n">
        <x:f>K328-L328</x:f>
        <x:v>22</x:v>
      </x:c>
      <x:c r="R328" s="9" t="n">
        <x:f>IF(AND(INDEX('Сводка'!$T$3:$T$397,U328)=0,INDEX('Сводка'!$T$3:$T$397,V328)=0),1,0)</x:f>
        <x:v>1</x:v>
      </x:c>
      <x:c r="S328" s="9" t="n">
        <x:f>IF(AND(R328=1,O328&lt;=$G$13),1,0)</x:f>
        <x:v>0</x:v>
      </x:c>
      <x:c r="T328" s="10" t="n">
        <x:f>EOMONTH(J328-'Сводка'!$B$11,-1)</x:f>
        <x:v>46173</x:v>
      </x:c>
      <x:c r="U328" s="4" t="n">
        <x:f>MATCH(J328,'Сводка'!$R$3:$R$397,0)</x:f>
        <x:v>339</x:v>
      </x:c>
      <x:c r="V328" s="4" t="n">
        <x:f>MATCH(J328-'Сводка'!$B$11,'Сводка'!$R$3:$R$397,0)</x:f>
        <x:v>338</x:v>
      </x:c>
      <x:c r="W328" s="4" t="n">
        <x:f>MATCH(T328,$J$388:$J$400,0)</x:f>
        <x:v>12</x:v>
      </x:c>
      <x:c r="X328" s="3"/>
      <x:c r="Y328" s="3"/>
      <x:c r="Z328" s="3"/>
    </x:row>
    <x:row r="329" ht="15" customHeight="1">
      <x:c r="A329" s="3"/>
      <x:c r="B329" s="3"/>
      <x:c r="C329" s="3"/>
      <x:c r="D329" s="3"/>
      <x:c r="E329" s="3"/>
      <x:c r="F329" s="3"/>
      <x:c r="G329" s="3"/>
      <x:c r="H329" s="3"/>
      <x:c r="I329" s="3"/>
      <x:c r="J329" s="10" t="n">
        <x:v>46180</x:v>
      </x:c>
      <x:c r="K329" s="8" t="n">
        <x:f>INDEX('Сводка'!$S$3:$S$397,U329)</x:f>
        <x:v>128</x:v>
      </x:c>
      <x:c r="L329" s="8" t="n">
        <x:f>INDEX('Сводка'!$S$3:$S$397,V329)</x:f>
        <x:v>116</x:v>
      </x:c>
      <x:c r="M329" s="8" t="n">
        <x:f>INDEX($K$388:$N$400,W329,1)+INDEX($K$388:$N$400,W329,2)*(2*(J329-$T$405)/(T329-$T$405)-1)^1+INDEX($K$388:$N$400,W329,3)*(2*(J329-$T$405)/(T329-$T$405)-1)^2+INDEX($K$388:$N$400,W329,4)*(2*(J329-$T$405)/(T329-$T$405)-1)^3</x:f>
        <x:v>93.51639079011943</x:v>
      </x:c>
      <x:c r="N329" s="8" t="n">
        <x:f>K329-M329</x:f>
        <x:v>34.48360920988057</x:v>
      </x:c>
      <x:c r="O329" s="8" t="n">
        <x:f>ABS(N329)</x:f>
        <x:v>34.48360920988057</x:v>
      </x:c>
      <x:c r="P329" s="8" t="n">
        <x:f>N329^2</x:f>
        <x:v>1189.11930413976</x:v>
      </x:c>
      <x:c r="Q329" s="8" t="n">
        <x:f>K329-L329</x:f>
        <x:v>12</x:v>
      </x:c>
      <x:c r="R329" s="9" t="n">
        <x:f>IF(AND(INDEX('Сводка'!$T$3:$T$397,U329)=0,INDEX('Сводка'!$T$3:$T$397,V329)=0),1,0)</x:f>
        <x:v>1</x:v>
      </x:c>
      <x:c r="S329" s="9" t="n">
        <x:f>IF(AND(R329=1,O329&lt;=$G$13),1,0)</x:f>
        <x:v>0</x:v>
      </x:c>
      <x:c r="T329" s="10" t="n">
        <x:f>EOMONTH(J329-'Сводка'!$B$11,-1)</x:f>
        <x:v>46173</x:v>
      </x:c>
      <x:c r="U329" s="4" t="n">
        <x:f>MATCH(J329,'Сводка'!$R$3:$R$397,0)</x:f>
        <x:v>340</x:v>
      </x:c>
      <x:c r="V329" s="4" t="n">
        <x:f>MATCH(J329-'Сводка'!$B$11,'Сводка'!$R$3:$R$397,0)</x:f>
        <x:v>339</x:v>
      </x:c>
      <x:c r="W329" s="4" t="n">
        <x:f>MATCH(T329,$J$388:$J$400,0)</x:f>
        <x:v>12</x:v>
      </x:c>
      <x:c r="X329" s="3"/>
      <x:c r="Y329" s="3"/>
      <x:c r="Z329" s="3"/>
    </x:row>
    <x:row r="330" ht="15" customHeight="1">
      <x:c r="A330" s="3"/>
      <x:c r="B330" s="3"/>
      <x:c r="C330" s="3"/>
      <x:c r="D330" s="3"/>
      <x:c r="E330" s="3"/>
      <x:c r="F330" s="3"/>
      <x:c r="G330" s="3"/>
      <x:c r="H330" s="3"/>
      <x:c r="I330" s="3"/>
      <x:c r="J330" s="10" t="n">
        <x:v>46181</x:v>
      </x:c>
      <x:c r="K330" s="8" t="n">
        <x:f>INDEX('Сводка'!$S$3:$S$397,U330)</x:f>
        <x:v>132</x:v>
      </x:c>
      <x:c r="L330" s="8" t="n">
        <x:f>INDEX('Сводка'!$S$3:$S$397,V330)</x:f>
        <x:v>128</x:v>
      </x:c>
      <x:c r="M330" s="8" t="n">
        <x:f>INDEX($K$388:$N$400,W330,1)+INDEX($K$388:$N$400,W330,2)*(2*(J330-$T$405)/(T330-$T$405)-1)^1+INDEX($K$388:$N$400,W330,3)*(2*(J330-$T$405)/(T330-$T$405)-1)^2+INDEX($K$388:$N$400,W330,4)*(2*(J330-$T$405)/(T330-$T$405)-1)^3</x:f>
        <x:v>93.47764411572271</x:v>
      </x:c>
      <x:c r="N330" s="8" t="n">
        <x:f>K330-M330</x:f>
        <x:v>38.52235588427729</x:v>
      </x:c>
      <x:c r="O330" s="8" t="n">
        <x:f>ABS(N330)</x:f>
        <x:v>38.52235588427729</x:v>
      </x:c>
      <x:c r="P330" s="8" t="n">
        <x:f>N330^2</x:f>
        <x:v>1483.971902874913</x:v>
      </x:c>
      <x:c r="Q330" s="8" t="n">
        <x:f>K330-L330</x:f>
        <x:v>4</x:v>
      </x:c>
      <x:c r="R330" s="9" t="n">
        <x:f>IF(AND(INDEX('Сводка'!$T$3:$T$397,U330)=0,INDEX('Сводка'!$T$3:$T$397,V330)=0),1,0)</x:f>
        <x:v>1</x:v>
      </x:c>
      <x:c r="S330" s="9" t="n">
        <x:f>IF(AND(R330=1,O330&lt;=$G$13),1,0)</x:f>
        <x:v>0</x:v>
      </x:c>
      <x:c r="T330" s="10" t="n">
        <x:f>EOMONTH(J330-'Сводка'!$B$11,-1)</x:f>
        <x:v>46173</x:v>
      </x:c>
      <x:c r="U330" s="4" t="n">
        <x:f>MATCH(J330,'Сводка'!$R$3:$R$397,0)</x:f>
        <x:v>341</x:v>
      </x:c>
      <x:c r="V330" s="4" t="n">
        <x:f>MATCH(J330-'Сводка'!$B$11,'Сводка'!$R$3:$R$397,0)</x:f>
        <x:v>340</x:v>
      </x:c>
      <x:c r="W330" s="4" t="n">
        <x:f>MATCH(T330,$J$388:$J$400,0)</x:f>
        <x:v>12</x:v>
      </x:c>
      <x:c r="X330" s="3"/>
      <x:c r="Y330" s="3"/>
      <x:c r="Z330" s="3"/>
    </x:row>
    <x:row r="331" ht="15" customHeight="1">
      <x:c r="A331" s="3"/>
      <x:c r="B331" s="3"/>
      <x:c r="C331" s="3"/>
      <x:c r="D331" s="3"/>
      <x:c r="E331" s="3"/>
      <x:c r="F331" s="3"/>
      <x:c r="G331" s="3"/>
      <x:c r="H331" s="3"/>
      <x:c r="I331" s="3"/>
      <x:c r="J331" s="10" t="n">
        <x:v>46182</x:v>
      </x:c>
      <x:c r="K331" s="8" t="n">
        <x:f>INDEX('Сводка'!$S$3:$S$397,U331)</x:f>
        <x:v>131</x:v>
      </x:c>
      <x:c r="L331" s="8" t="n">
        <x:f>INDEX('Сводка'!$S$3:$S$397,V331)</x:f>
        <x:v>132</x:v>
      </x:c>
      <x:c r="M331" s="8" t="n">
        <x:f>INDEX($K$388:$N$400,W331,1)+INDEX($K$388:$N$400,W331,2)*(2*(J331-$T$405)/(T331-$T$405)-1)^1+INDEX($K$388:$N$400,W331,3)*(2*(J331-$T$405)/(T331-$T$405)-1)^2+INDEX($K$388:$N$400,W331,4)*(2*(J331-$T$405)/(T331-$T$405)-1)^3</x:f>
        <x:v>93.43887473858479</x:v>
      </x:c>
      <x:c r="N331" s="8" t="n">
        <x:f>K331-M331</x:f>
        <x:v>37.561125261415214</x:v>
      </x:c>
      <x:c r="O331" s="8" t="n">
        <x:f>ABS(N331)</x:f>
        <x:v>37.561125261415214</x:v>
      </x:c>
      <x:c r="P331" s="8" t="n">
        <x:f>N331^2</x:f>
        <x:v>1410.838130903724</x:v>
      </x:c>
      <x:c r="Q331" s="8" t="n">
        <x:f>K331-L331</x:f>
        <x:v>-1</x:v>
      </x:c>
      <x:c r="R331" s="9" t="n">
        <x:f>IF(AND(INDEX('Сводка'!$T$3:$T$397,U331)=0,INDEX('Сводка'!$T$3:$T$397,V331)=0),1,0)</x:f>
        <x:v>1</x:v>
      </x:c>
      <x:c r="S331" s="9" t="n">
        <x:f>IF(AND(R331=1,O331&lt;=$G$13),1,0)</x:f>
        <x:v>0</x:v>
      </x:c>
      <x:c r="T331" s="10" t="n">
        <x:f>EOMONTH(J331-'Сводка'!$B$11,-1)</x:f>
        <x:v>46173</x:v>
      </x:c>
      <x:c r="U331" s="4" t="n">
        <x:f>MATCH(J331,'Сводка'!$R$3:$R$397,0)</x:f>
        <x:v>342</x:v>
      </x:c>
      <x:c r="V331" s="4" t="n">
        <x:f>MATCH(J331-'Сводка'!$B$11,'Сводка'!$R$3:$R$397,0)</x:f>
        <x:v>341</x:v>
      </x:c>
      <x:c r="W331" s="4" t="n">
        <x:f>MATCH(T331,$J$388:$J$400,0)</x:f>
        <x:v>12</x:v>
      </x:c>
      <x:c r="X331" s="3"/>
      <x:c r="Y331" s="3"/>
      <x:c r="Z331" s="3"/>
    </x:row>
    <x:row r="332" ht="15" customHeight="1">
      <x:c r="A332" s="3"/>
      <x:c r="B332" s="3"/>
      <x:c r="C332" s="3"/>
      <x:c r="D332" s="3"/>
      <x:c r="E332" s="3"/>
      <x:c r="F332" s="3"/>
      <x:c r="G332" s="3"/>
      <x:c r="H332" s="3"/>
      <x:c r="I332" s="3"/>
      <x:c r="J332" s="10" t="n">
        <x:v>46183</x:v>
      </x:c>
      <x:c r="K332" s="8" t="n">
        <x:f>INDEX('Сводка'!$S$3:$S$397,U332)</x:f>
        <x:v>128</x:v>
      </x:c>
      <x:c r="L332" s="8" t="n">
        <x:f>INDEX('Сводка'!$S$3:$S$397,V332)</x:f>
        <x:v>131</x:v>
      </x:c>
      <x:c r="M332" s="8" t="n">
        <x:f>INDEX($K$388:$N$400,W332,1)+INDEX($K$388:$N$400,W332,2)*(2*(J332-$T$405)/(T332-$T$405)-1)^1+INDEX($K$388:$N$400,W332,3)*(2*(J332-$T$405)/(T332-$T$405)-1)^2+INDEX($K$388:$N$400,W332,4)*(2*(J332-$T$405)/(T332-$T$405)-1)^3</x:f>
        <x:v>93.40008265522872</x:v>
      </x:c>
      <x:c r="N332" s="8" t="n">
        <x:f>K332-M332</x:f>
        <x:v>34.599917344771285</x:v>
      </x:c>
      <x:c r="O332" s="8" t="n">
        <x:f>ABS(N332)</x:f>
        <x:v>34.599917344771285</x:v>
      </x:c>
      <x:c r="P332" s="8" t="n">
        <x:f>N332^2</x:f>
        <x:v>1197.154280265005</x:v>
      </x:c>
      <x:c r="Q332" s="8" t="n">
        <x:f>K332-L332</x:f>
        <x:v>-3</x:v>
      </x:c>
      <x:c r="R332" s="9" t="n">
        <x:f>IF(AND(INDEX('Сводка'!$T$3:$T$397,U332)=0,INDEX('Сводка'!$T$3:$T$397,V332)=0),1,0)</x:f>
        <x:v>1</x:v>
      </x:c>
      <x:c r="S332" s="9" t="n">
        <x:f>IF(AND(R332=1,O332&lt;=$G$13),1,0)</x:f>
        <x:v>0</x:v>
      </x:c>
      <x:c r="T332" s="10" t="n">
        <x:f>EOMONTH(J332-'Сводка'!$B$11,-1)</x:f>
        <x:v>46173</x:v>
      </x:c>
      <x:c r="U332" s="4" t="n">
        <x:f>MATCH(J332,'Сводка'!$R$3:$R$397,0)</x:f>
        <x:v>343</x:v>
      </x:c>
      <x:c r="V332" s="4" t="n">
        <x:f>MATCH(J332-'Сводка'!$B$11,'Сводка'!$R$3:$R$397,0)</x:f>
        <x:v>342</x:v>
      </x:c>
      <x:c r="W332" s="4" t="n">
        <x:f>MATCH(T332,$J$388:$J$400,0)</x:f>
        <x:v>12</x:v>
      </x:c>
      <x:c r="X332" s="3"/>
      <x:c r="Y332" s="3"/>
      <x:c r="Z332" s="3"/>
    </x:row>
    <x:row r="333" ht="15" customHeight="1">
      <x:c r="A333" s="3"/>
      <x:c r="B333" s="3"/>
      <x:c r="C333" s="3"/>
      <x:c r="D333" s="3"/>
      <x:c r="E333" s="3"/>
      <x:c r="F333" s="3"/>
      <x:c r="G333" s="3"/>
      <x:c r="H333" s="3"/>
      <x:c r="I333" s="3"/>
      <x:c r="J333" s="10" t="n">
        <x:v>46184</x:v>
      </x:c>
      <x:c r="K333" s="8" t="n">
        <x:f>INDEX('Сводка'!$S$3:$S$397,U333)</x:f>
        <x:v>128</x:v>
      </x:c>
      <x:c r="L333" s="8" t="n">
        <x:f>INDEX('Сводка'!$S$3:$S$397,V333)</x:f>
        <x:v>128</x:v>
      </x:c>
      <x:c r="M333" s="8" t="n">
        <x:f>INDEX($K$388:$N$400,W333,1)+INDEX($K$388:$N$400,W333,2)*(2*(J333-$T$405)/(T333-$T$405)-1)^1+INDEX($K$388:$N$400,W333,3)*(2*(J333-$T$405)/(T333-$T$405)-1)^2+INDEX($K$388:$N$400,W333,4)*(2*(J333-$T$405)/(T333-$T$405)-1)^3</x:f>
        <x:v>93.3612678621777</x:v>
      </x:c>
      <x:c r="N333" s="8" t="n">
        <x:f>K333-M333</x:f>
        <x:v>34.6387321378223</x:v>
      </x:c>
      <x:c r="O333" s="8" t="n">
        <x:f>ABS(N333)</x:f>
        <x:v>34.6387321378223</x:v>
      </x:c>
      <x:c r="P333" s="8" t="n">
        <x:f>N333^2</x:f>
        <x:v>1199.8417641158037</x:v>
      </x:c>
      <x:c r="Q333" s="8" t="n">
        <x:f>K333-L333</x:f>
        <x:v>0</x:v>
      </x:c>
      <x:c r="R333" s="9" t="n">
        <x:f>IF(AND(INDEX('Сводка'!$T$3:$T$397,U333)=0,INDEX('Сводка'!$T$3:$T$397,V333)=0),1,0)</x:f>
        <x:v>1</x:v>
      </x:c>
      <x:c r="S333" s="9" t="n">
        <x:f>IF(AND(R333=1,O333&lt;=$G$13),1,0)</x:f>
        <x:v>0</x:v>
      </x:c>
      <x:c r="T333" s="10" t="n">
        <x:f>EOMONTH(J333-'Сводка'!$B$11,-1)</x:f>
        <x:v>46173</x:v>
      </x:c>
      <x:c r="U333" s="4" t="n">
        <x:f>MATCH(J333,'Сводка'!$R$3:$R$397,0)</x:f>
        <x:v>344</x:v>
      </x:c>
      <x:c r="V333" s="4" t="n">
        <x:f>MATCH(J333-'Сводка'!$B$11,'Сводка'!$R$3:$R$397,0)</x:f>
        <x:v>343</x:v>
      </x:c>
      <x:c r="W333" s="4" t="n">
        <x:f>MATCH(T333,$J$388:$J$400,0)</x:f>
        <x:v>12</x:v>
      </x:c>
      <x:c r="X333" s="3"/>
      <x:c r="Y333" s="3"/>
      <x:c r="Z333" s="3"/>
    </x:row>
    <x:row r="334" ht="15" customHeight="1">
      <x:c r="A334" s="3"/>
      <x:c r="B334" s="3"/>
      <x:c r="C334" s="3"/>
      <x:c r="D334" s="3"/>
      <x:c r="E334" s="3"/>
      <x:c r="F334" s="3"/>
      <x:c r="G334" s="3"/>
      <x:c r="H334" s="3"/>
      <x:c r="I334" s="3"/>
      <x:c r="J334" s="10" t="n">
        <x:v>46185</x:v>
      </x:c>
      <x:c r="K334" s="8" t="n">
        <x:f>INDEX('Сводка'!$S$3:$S$397,U334)</x:f>
        <x:v>123</x:v>
      </x:c>
      <x:c r="L334" s="8" t="n">
        <x:f>INDEX('Сводка'!$S$3:$S$397,V334)</x:f>
        <x:v>128</x:v>
      </x:c>
      <x:c r="M334" s="8" t="n">
        <x:f>INDEX($K$388:$N$400,W334,1)+INDEX($K$388:$N$400,W334,2)*(2*(J334-$T$405)/(T334-$T$405)-1)^1+INDEX($K$388:$N$400,W334,3)*(2*(J334-$T$405)/(T334-$T$405)-1)^2+INDEX($K$388:$N$400,W334,4)*(2*(J334-$T$405)/(T334-$T$405)-1)^3</x:f>
        <x:v>93.32243035595471</x:v>
      </x:c>
      <x:c r="N334" s="8" t="n">
        <x:f>K334-M334</x:f>
        <x:v>29.677569644045292</x:v>
      </x:c>
      <x:c r="O334" s="8" t="n">
        <x:f>ABS(N334)</x:f>
        <x:v>29.677569644045292</x:v>
      </x:c>
      <x:c r="P334" s="8" t="n">
        <x:f>N334^2</x:f>
        <x:v>880.7581399771586</x:v>
      </x:c>
      <x:c r="Q334" s="8" t="n">
        <x:f>K334-L334</x:f>
        <x:v>-5</x:v>
      </x:c>
      <x:c r="R334" s="9" t="n">
        <x:f>IF(AND(INDEX('Сводка'!$T$3:$T$397,U334)=0,INDEX('Сводка'!$T$3:$T$397,V334)=0),1,0)</x:f>
        <x:v>1</x:v>
      </x:c>
      <x:c r="S334" s="9" t="n">
        <x:f>IF(AND(R334=1,O334&lt;=$G$13),1,0)</x:f>
        <x:v>0</x:v>
      </x:c>
      <x:c r="T334" s="10" t="n">
        <x:f>EOMONTH(J334-'Сводка'!$B$11,-1)</x:f>
        <x:v>46173</x:v>
      </x:c>
      <x:c r="U334" s="4" t="n">
        <x:f>MATCH(J334,'Сводка'!$R$3:$R$397,0)</x:f>
        <x:v>345</x:v>
      </x:c>
      <x:c r="V334" s="4" t="n">
        <x:f>MATCH(J334-'Сводка'!$B$11,'Сводка'!$R$3:$R$397,0)</x:f>
        <x:v>344</x:v>
      </x:c>
      <x:c r="W334" s="4" t="n">
        <x:f>MATCH(T334,$J$388:$J$400,0)</x:f>
        <x:v>12</x:v>
      </x:c>
      <x:c r="X334" s="3"/>
      <x:c r="Y334" s="3"/>
      <x:c r="Z334" s="3"/>
    </x:row>
    <x:row r="335" ht="15" customHeight="1">
      <x:c r="A335" s="3"/>
      <x:c r="B335" s="3"/>
      <x:c r="C335" s="3"/>
      <x:c r="D335" s="3"/>
      <x:c r="E335" s="3"/>
      <x:c r="F335" s="3"/>
      <x:c r="G335" s="3"/>
      <x:c r="H335" s="3"/>
      <x:c r="I335" s="3"/>
      <x:c r="J335" s="10" t="n">
        <x:v>46186</x:v>
      </x:c>
      <x:c r="K335" s="8" t="n">
        <x:f>INDEX('Сводка'!$S$3:$S$397,U335)</x:f>
        <x:v>128</x:v>
      </x:c>
      <x:c r="L335" s="8" t="n">
        <x:f>INDEX('Сводка'!$S$3:$S$397,V335)</x:f>
        <x:v>123</x:v>
      </x:c>
      <x:c r="M335" s="8" t="n">
        <x:f>INDEX($K$388:$N$400,W335,1)+INDEX($K$388:$N$400,W335,2)*(2*(J335-$T$405)/(T335-$T$405)-1)^1+INDEX($K$388:$N$400,W335,3)*(2*(J335-$T$405)/(T335-$T$405)-1)^2+INDEX($K$388:$N$400,W335,4)*(2*(J335-$T$405)/(T335-$T$405)-1)^3</x:f>
        <x:v>93.28357013308272</x:v>
      </x:c>
      <x:c r="N335" s="8" t="n">
        <x:f>K335-M335</x:f>
        <x:v>34.71642986691728</x:v>
      </x:c>
      <x:c r="O335" s="8" t="n">
        <x:f>ABS(N335)</x:f>
        <x:v>34.71642986691728</x:v>
      </x:c>
      <x:c r="P335" s="8" t="n">
        <x:f>N335^2</x:f>
        <x:v>1205.2305027045861</x:v>
      </x:c>
      <x:c r="Q335" s="8" t="n">
        <x:f>K335-L335</x:f>
        <x:v>5</x:v>
      </x:c>
      <x:c r="R335" s="9" t="n">
        <x:f>IF(AND(INDEX('Сводка'!$T$3:$T$397,U335)=0,INDEX('Сводка'!$T$3:$T$397,V335)=0),1,0)</x:f>
        <x:v>1</x:v>
      </x:c>
      <x:c r="S335" s="9" t="n">
        <x:f>IF(AND(R335=1,O335&lt;=$G$13),1,0)</x:f>
        <x:v>0</x:v>
      </x:c>
      <x:c r="T335" s="10" t="n">
        <x:f>EOMONTH(J335-'Сводка'!$B$11,-1)</x:f>
        <x:v>46173</x:v>
      </x:c>
      <x:c r="U335" s="4" t="n">
        <x:f>MATCH(J335,'Сводка'!$R$3:$R$397,0)</x:f>
        <x:v>346</x:v>
      </x:c>
      <x:c r="V335" s="4" t="n">
        <x:f>MATCH(J335-'Сводка'!$B$11,'Сводка'!$R$3:$R$397,0)</x:f>
        <x:v>345</x:v>
      </x:c>
      <x:c r="W335" s="4" t="n">
        <x:f>MATCH(T335,$J$388:$J$400,0)</x:f>
        <x:v>12</x:v>
      </x:c>
      <x:c r="X335" s="3"/>
      <x:c r="Y335" s="3"/>
      <x:c r="Z335" s="3"/>
    </x:row>
    <x:row r="336" ht="15" customHeight="1">
      <x:c r="A336" s="3"/>
      <x:c r="B336" s="3"/>
      <x:c r="C336" s="3"/>
      <x:c r="D336" s="3"/>
      <x:c r="E336" s="3"/>
      <x:c r="F336" s="3"/>
      <x:c r="G336" s="3"/>
      <x:c r="H336" s="3"/>
      <x:c r="I336" s="3"/>
      <x:c r="J336" s="10" t="n">
        <x:v>46187</x:v>
      </x:c>
      <x:c r="K336" s="8" t="n">
        <x:f>INDEX('Сводка'!$S$3:$S$397,U336)</x:f>
        <x:v>138</x:v>
      </x:c>
      <x:c r="L336" s="8" t="n">
        <x:f>INDEX('Сводка'!$S$3:$S$397,V336)</x:f>
        <x:v>128</x:v>
      </x:c>
      <x:c r="M336" s="8" t="n">
        <x:f>INDEX($K$388:$N$400,W336,1)+INDEX($K$388:$N$400,W336,2)*(2*(J336-$T$405)/(T336-$T$405)-1)^1+INDEX($K$388:$N$400,W336,3)*(2*(J336-$T$405)/(T336-$T$405)-1)^2+INDEX($K$388:$N$400,W336,4)*(2*(J336-$T$405)/(T336-$T$405)-1)^3</x:f>
        <x:v>93.24468719008502</x:v>
      </x:c>
      <x:c r="N336" s="8" t="n">
        <x:f>K336-M336</x:f>
        <x:v>44.75531280991498</x:v>
      </x:c>
      <x:c r="O336" s="8" t="n">
        <x:f>ABS(N336)</x:f>
        <x:v>44.75531280991498</x:v>
      </x:c>
      <x:c r="P336" s="8" t="n">
        <x:f>N336^2</x:f>
        <x:v>2003.03802471334</x:v>
      </x:c>
      <x:c r="Q336" s="8" t="n">
        <x:f>K336-L336</x:f>
        <x:v>10</x:v>
      </x:c>
      <x:c r="R336" s="9" t="n">
        <x:f>IF(AND(INDEX('Сводка'!$T$3:$T$397,U336)=0,INDEX('Сводка'!$T$3:$T$397,V336)=0),1,0)</x:f>
        <x:v>1</x:v>
      </x:c>
      <x:c r="S336" s="9" t="n">
        <x:f>IF(AND(R336=1,O336&lt;=$G$13),1,0)</x:f>
        <x:v>0</x:v>
      </x:c>
      <x:c r="T336" s="10" t="n">
        <x:f>EOMONTH(J336-'Сводка'!$B$11,-1)</x:f>
        <x:v>46173</x:v>
      </x:c>
      <x:c r="U336" s="4" t="n">
        <x:f>MATCH(J336,'Сводка'!$R$3:$R$397,0)</x:f>
        <x:v>347</x:v>
      </x:c>
      <x:c r="V336" s="4" t="n">
        <x:f>MATCH(J336-'Сводка'!$B$11,'Сводка'!$R$3:$R$397,0)</x:f>
        <x:v>346</x:v>
      </x:c>
      <x:c r="W336" s="4" t="n">
        <x:f>MATCH(T336,$J$388:$J$400,0)</x:f>
        <x:v>12</x:v>
      </x:c>
      <x:c r="X336" s="3"/>
      <x:c r="Y336" s="3"/>
      <x:c r="Z336" s="3"/>
    </x:row>
    <x:row r="337" ht="15" customHeight="1">
      <x:c r="A337" s="3"/>
      <x:c r="B337" s="3"/>
      <x:c r="C337" s="3"/>
      <x:c r="D337" s="3"/>
      <x:c r="E337" s="3"/>
      <x:c r="F337" s="3"/>
      <x:c r="G337" s="3"/>
      <x:c r="H337" s="3"/>
      <x:c r="I337" s="3"/>
      <x:c r="J337" s="10" t="n">
        <x:v>46188</x:v>
      </x:c>
      <x:c r="K337" s="8" t="n">
        <x:f>INDEX('Сводка'!$S$3:$S$397,U337)</x:f>
        <x:v>147</x:v>
      </x:c>
      <x:c r="L337" s="8" t="n">
        <x:f>INDEX('Сводка'!$S$3:$S$397,V337)</x:f>
        <x:v>138</x:v>
      </x:c>
      <x:c r="M337" s="8" t="n">
        <x:f>INDEX($K$388:$N$400,W337,1)+INDEX($K$388:$N$400,W337,2)*(2*(J337-$T$405)/(T337-$T$405)-1)^1+INDEX($K$388:$N$400,W337,3)*(2*(J337-$T$405)/(T337-$T$405)-1)^2+INDEX($K$388:$N$400,W337,4)*(2*(J337-$T$405)/(T337-$T$405)-1)^3</x:f>
        <x:v>93.20578152348452</x:v>
      </x:c>
      <x:c r="N337" s="8" t="n">
        <x:f>K337-M337</x:f>
        <x:v>53.79421847651548</x:v>
      </x:c>
      <x:c r="O337" s="8" t="n">
        <x:f>ABS(N337)</x:f>
        <x:v>53.79421847651548</x:v>
      </x:c>
      <x:c r="P337" s="8" t="n">
        <x:f>N337^2</x:f>
        <x:v>2893.8179414990796</x:v>
      </x:c>
      <x:c r="Q337" s="8" t="n">
        <x:f>K337-L337</x:f>
        <x:v>9</x:v>
      </x:c>
      <x:c r="R337" s="9" t="n">
        <x:f>IF(AND(INDEX('Сводка'!$T$3:$T$397,U337)=0,INDEX('Сводка'!$T$3:$T$397,V337)=0),1,0)</x:f>
        <x:v>1</x:v>
      </x:c>
      <x:c r="S337" s="9" t="n">
        <x:f>IF(AND(R337=1,O337&lt;=$G$13),1,0)</x:f>
        <x:v>0</x:v>
      </x:c>
      <x:c r="T337" s="10" t="n">
        <x:f>EOMONTH(J337-'Сводка'!$B$11,-1)</x:f>
        <x:v>46173</x:v>
      </x:c>
      <x:c r="U337" s="4" t="n">
        <x:f>MATCH(J337,'Сводка'!$R$3:$R$397,0)</x:f>
        <x:v>348</x:v>
      </x:c>
      <x:c r="V337" s="4" t="n">
        <x:f>MATCH(J337-'Сводка'!$B$11,'Сводка'!$R$3:$R$397,0)</x:f>
        <x:v>347</x:v>
      </x:c>
      <x:c r="W337" s="4" t="n">
        <x:f>MATCH(T337,$J$388:$J$400,0)</x:f>
        <x:v>12</x:v>
      </x:c>
      <x:c r="X337" s="3"/>
      <x:c r="Y337" s="3"/>
      <x:c r="Z337" s="3"/>
    </x:row>
    <x:row r="338" ht="15" customHeight="1">
      <x:c r="A338" s="3"/>
      <x:c r="B338" s="3"/>
      <x:c r="C338" s="3"/>
      <x:c r="D338" s="3"/>
      <x:c r="E338" s="3"/>
      <x:c r="F338" s="3"/>
      <x:c r="G338" s="3"/>
      <x:c r="H338" s="3"/>
      <x:c r="I338" s="3"/>
      <x:c r="J338" s="10" t="n">
        <x:v>46189</x:v>
      </x:c>
      <x:c r="K338" s="8" t="n">
        <x:f>INDEX('Сводка'!$S$3:$S$397,U338)</x:f>
        <x:v>154</x:v>
      </x:c>
      <x:c r="L338" s="8" t="n">
        <x:f>INDEX('Сводка'!$S$3:$S$397,V338)</x:f>
        <x:v>147</x:v>
      </x:c>
      <x:c r="M338" s="8" t="n">
        <x:f>INDEX($K$388:$N$400,W338,1)+INDEX($K$388:$N$400,W338,2)*(2*(J338-$T$405)/(T338-$T$405)-1)^1+INDEX($K$388:$N$400,W338,3)*(2*(J338-$T$405)/(T338-$T$405)-1)^2+INDEX($K$388:$N$400,W338,4)*(2*(J338-$T$405)/(T338-$T$405)-1)^3</x:f>
        <x:v>93.16685312980422</x:v>
      </x:c>
      <x:c r="N338" s="8" t="n">
        <x:f>K338-M338</x:f>
        <x:v>60.833146870195776</x:v>
      </x:c>
      <x:c r="O338" s="8" t="n">
        <x:f>ABS(N338)</x:f>
        <x:v>60.833146870195776</x:v>
      </x:c>
      <x:c r="P338" s="8" t="n">
        <x:f>N338^2</x:f>
        <x:v>3700.6717581308103</x:v>
      </x:c>
      <x:c r="Q338" s="8" t="n">
        <x:f>K338-L338</x:f>
        <x:v>7</x:v>
      </x:c>
      <x:c r="R338" s="9" t="n">
        <x:f>IF(AND(INDEX('Сводка'!$T$3:$T$397,U338)=0,INDEX('Сводка'!$T$3:$T$397,V338)=0),1,0)</x:f>
        <x:v>1</x:v>
      </x:c>
      <x:c r="S338" s="9" t="n">
        <x:f>IF(AND(R338=1,O338&lt;=$G$13),1,0)</x:f>
        <x:v>0</x:v>
      </x:c>
      <x:c r="T338" s="10" t="n">
        <x:f>EOMONTH(J338-'Сводка'!$B$11,-1)</x:f>
        <x:v>46173</x:v>
      </x:c>
      <x:c r="U338" s="4" t="n">
        <x:f>MATCH(J338,'Сводка'!$R$3:$R$397,0)</x:f>
        <x:v>349</x:v>
      </x:c>
      <x:c r="V338" s="4" t="n">
        <x:f>MATCH(J338-'Сводка'!$B$11,'Сводка'!$R$3:$R$397,0)</x:f>
        <x:v>348</x:v>
      </x:c>
      <x:c r="W338" s="4" t="n">
        <x:f>MATCH(T338,$J$388:$J$400,0)</x:f>
        <x:v>12</x:v>
      </x:c>
      <x:c r="X338" s="3"/>
      <x:c r="Y338" s="3"/>
      <x:c r="Z338" s="3"/>
    </x:row>
    <x:row r="339" ht="15" customHeight="1">
      <x:c r="A339" s="3"/>
      <x:c r="B339" s="3"/>
      <x:c r="C339" s="3"/>
      <x:c r="D339" s="3"/>
      <x:c r="E339" s="3"/>
      <x:c r="F339" s="3"/>
      <x:c r="G339" s="3"/>
      <x:c r="H339" s="3"/>
      <x:c r="I339" s="3"/>
      <x:c r="J339" s="10" t="n">
        <x:v>46190</x:v>
      </x:c>
      <x:c r="K339" s="8" t="n">
        <x:f>INDEX('Сводка'!$S$3:$S$397,U339)</x:f>
        <x:v>158</x:v>
      </x:c>
      <x:c r="L339" s="8" t="n">
        <x:f>INDEX('Сводка'!$S$3:$S$397,V339)</x:f>
        <x:v>154</x:v>
      </x:c>
      <x:c r="M339" s="8" t="n">
        <x:f>INDEX($K$388:$N$400,W339,1)+INDEX($K$388:$N$400,W339,2)*(2*(J339-$T$405)/(T339-$T$405)-1)^1+INDEX($K$388:$N$400,W339,3)*(2*(J339-$T$405)/(T339-$T$405)-1)^2+INDEX($K$388:$N$400,W339,4)*(2*(J339-$T$405)/(T339-$T$405)-1)^3</x:f>
        <x:v>93.12790200556745</x:v>
      </x:c>
      <x:c r="N339" s="8" t="n">
        <x:f>K339-M339</x:f>
        <x:v>64.87209799443255</x:v>
      </x:c>
      <x:c r="O339" s="8" t="n">
        <x:f>ABS(N339)</x:f>
        <x:v>64.87209799443255</x:v>
      </x:c>
      <x:c r="P339" s="8" t="n">
        <x:f>N339^2</x:f>
        <x:v>4208.38909819926</x:v>
      </x:c>
      <x:c r="Q339" s="8" t="n">
        <x:f>K339-L339</x:f>
        <x:v>4</x:v>
      </x:c>
      <x:c r="R339" s="9" t="n">
        <x:f>IF(AND(INDEX('Сводка'!$T$3:$T$397,U339)=0,INDEX('Сводка'!$T$3:$T$397,V339)=0),1,0)</x:f>
        <x:v>1</x:v>
      </x:c>
      <x:c r="S339" s="9" t="n">
        <x:f>IF(AND(R339=1,O339&lt;=$G$13),1,0)</x:f>
        <x:v>0</x:v>
      </x:c>
      <x:c r="T339" s="10" t="n">
        <x:f>EOMONTH(J339-'Сводка'!$B$11,-1)</x:f>
        <x:v>46173</x:v>
      </x:c>
      <x:c r="U339" s="4" t="n">
        <x:f>MATCH(J339,'Сводка'!$R$3:$R$397,0)</x:f>
        <x:v>350</x:v>
      </x:c>
      <x:c r="V339" s="4" t="n">
        <x:f>MATCH(J339-'Сводка'!$B$11,'Сводка'!$R$3:$R$397,0)</x:f>
        <x:v>349</x:v>
      </x:c>
      <x:c r="W339" s="4" t="n">
        <x:f>MATCH(T339,$J$388:$J$400,0)</x:f>
        <x:v>12</x:v>
      </x:c>
      <x:c r="X339" s="3"/>
      <x:c r="Y339" s="3"/>
      <x:c r="Z339" s="3"/>
    </x:row>
    <x:row r="340" ht="15" customHeight="1">
      <x:c r="A340" s="3"/>
      <x:c r="B340" s="3"/>
      <x:c r="C340" s="3"/>
      <x:c r="D340" s="3"/>
      <x:c r="E340" s="3"/>
      <x:c r="F340" s="3"/>
      <x:c r="G340" s="3"/>
      <x:c r="H340" s="3"/>
      <x:c r="I340" s="3"/>
      <x:c r="J340" s="10" t="n">
        <x:v>46191</x:v>
      </x:c>
      <x:c r="K340" s="8" t="n">
        <x:f>INDEX('Сводка'!$S$3:$S$397,U340)</x:f>
        <x:v>166</x:v>
      </x:c>
      <x:c r="L340" s="8" t="n">
        <x:f>INDEX('Сводка'!$S$3:$S$397,V340)</x:f>
        <x:v>158</x:v>
      </x:c>
      <x:c r="M340" s="8" t="n">
        <x:f>INDEX($K$388:$N$400,W340,1)+INDEX($K$388:$N$400,W340,2)*(2*(J340-$T$405)/(T340-$T$405)-1)^1+INDEX($K$388:$N$400,W340,3)*(2*(J340-$T$405)/(T340-$T$405)-1)^2+INDEX($K$388:$N$400,W340,4)*(2*(J340-$T$405)/(T340-$T$405)-1)^3</x:f>
        <x:v>93.08892814729701</x:v>
      </x:c>
      <x:c r="N340" s="8" t="n">
        <x:f>K340-M340</x:f>
        <x:v>72.91107185270299</x:v>
      </x:c>
      <x:c r="O340" s="8" t="n">
        <x:f>ABS(N340)</x:f>
        <x:v>72.91107185270299</x:v>
      </x:c>
      <x:c r="P340" s="8" t="n">
        <x:f>N340^2</x:f>
        <x:v>5316.024398710018</x:v>
      </x:c>
      <x:c r="Q340" s="8" t="n">
        <x:f>K340-L340</x:f>
        <x:v>8</x:v>
      </x:c>
      <x:c r="R340" s="9" t="n">
        <x:f>IF(AND(INDEX('Сводка'!$T$3:$T$397,U340)=0,INDEX('Сводка'!$T$3:$T$397,V340)=0),1,0)</x:f>
        <x:v>1</x:v>
      </x:c>
      <x:c r="S340" s="9" t="n">
        <x:f>IF(AND(R340=1,O340&lt;=$G$13),1,0)</x:f>
        <x:v>0</x:v>
      </x:c>
      <x:c r="T340" s="10" t="n">
        <x:f>EOMONTH(J340-'Сводка'!$B$11,-1)</x:f>
        <x:v>46173</x:v>
      </x:c>
      <x:c r="U340" s="4" t="n">
        <x:f>MATCH(J340,'Сводка'!$R$3:$R$397,0)</x:f>
        <x:v>351</x:v>
      </x:c>
      <x:c r="V340" s="4" t="n">
        <x:f>MATCH(J340-'Сводка'!$B$11,'Сводка'!$R$3:$R$397,0)</x:f>
        <x:v>350</x:v>
      </x:c>
      <x:c r="W340" s="4" t="n">
        <x:f>MATCH(T340,$J$388:$J$400,0)</x:f>
        <x:v>12</x:v>
      </x:c>
      <x:c r="X340" s="3"/>
      <x:c r="Y340" s="3"/>
      <x:c r="Z340" s="3"/>
    </x:row>
    <x:row r="341" ht="15" customHeight="1">
      <x:c r="A341" s="3"/>
      <x:c r="B341" s="3"/>
      <x:c r="C341" s="3"/>
      <x:c r="D341" s="3"/>
      <x:c r="E341" s="3"/>
      <x:c r="F341" s="3"/>
      <x:c r="G341" s="3"/>
      <x:c r="H341" s="3"/>
      <x:c r="I341" s="3"/>
      <x:c r="J341" s="10" t="n">
        <x:v>46192</x:v>
      </x:c>
      <x:c r="K341" s="8" t="n">
        <x:f>INDEX('Сводка'!$S$3:$S$397,U341)</x:f>
        <x:v>170</x:v>
      </x:c>
      <x:c r="L341" s="8" t="n">
        <x:f>INDEX('Сводка'!$S$3:$S$397,V341)</x:f>
        <x:v>166</x:v>
      </x:c>
      <x:c r="M341" s="8" t="n">
        <x:f>INDEX($K$388:$N$400,W341,1)+INDEX($K$388:$N$400,W341,2)*(2*(J341-$T$405)/(T341-$T$405)-1)^1+INDEX($K$388:$N$400,W341,3)*(2*(J341-$T$405)/(T341-$T$405)-1)^2+INDEX($K$388:$N$400,W341,4)*(2*(J341-$T$405)/(T341-$T$405)-1)^3</x:f>
        <x:v>93.04993155151612</x:v>
      </x:c>
      <x:c r="N341" s="8" t="n">
        <x:f>K341-M341</x:f>
        <x:v>76.95006844848388</x:v>
      </x:c>
      <x:c r="O341" s="8" t="n">
        <x:f>ABS(N341)</x:f>
        <x:v>76.95006844848388</x:v>
      </x:c>
      <x:c r="P341" s="8" t="n">
        <x:f>N341^2</x:f>
        <x:v>5921.313034226354</x:v>
      </x:c>
      <x:c r="Q341" s="8" t="n">
        <x:f>K341-L341</x:f>
        <x:v>4</x:v>
      </x:c>
      <x:c r="R341" s="9" t="n">
        <x:f>IF(AND(INDEX('Сводка'!$T$3:$T$397,U341)=0,INDEX('Сводка'!$T$3:$T$397,V341)=0),1,0)</x:f>
        <x:v>1</x:v>
      </x:c>
      <x:c r="S341" s="9" t="n">
        <x:f>IF(AND(R341=1,O341&lt;=$G$13),1,0)</x:f>
        <x:v>0</x:v>
      </x:c>
      <x:c r="T341" s="10" t="n">
        <x:f>EOMONTH(J341-'Сводка'!$B$11,-1)</x:f>
        <x:v>46173</x:v>
      </x:c>
      <x:c r="U341" s="4" t="n">
        <x:f>MATCH(J341,'Сводка'!$R$3:$R$397,0)</x:f>
        <x:v>352</x:v>
      </x:c>
      <x:c r="V341" s="4" t="n">
        <x:f>MATCH(J341-'Сводка'!$B$11,'Сводка'!$R$3:$R$397,0)</x:f>
        <x:v>351</x:v>
      </x:c>
      <x:c r="W341" s="4" t="n">
        <x:f>MATCH(T341,$J$388:$J$400,0)</x:f>
        <x:v>12</x:v>
      </x:c>
      <x:c r="X341" s="3"/>
      <x:c r="Y341" s="3"/>
      <x:c r="Z341" s="3"/>
    </x:row>
    <x:row r="342" ht="15" customHeight="1">
      <x:c r="A342" s="3"/>
      <x:c r="B342" s="3"/>
      <x:c r="C342" s="3"/>
      <x:c r="D342" s="3"/>
      <x:c r="E342" s="3"/>
      <x:c r="F342" s="3"/>
      <x:c r="G342" s="3"/>
      <x:c r="H342" s="3"/>
      <x:c r="I342" s="3"/>
      <x:c r="J342" s="10" t="n">
        <x:v>46193</x:v>
      </x:c>
      <x:c r="K342" s="8" t="n">
        <x:f>INDEX('Сводка'!$S$3:$S$397,U342)</x:f>
        <x:v>171</x:v>
      </x:c>
      <x:c r="L342" s="8" t="n">
        <x:f>INDEX('Сводка'!$S$3:$S$397,V342)</x:f>
        <x:v>170</x:v>
      </x:c>
      <x:c r="M342" s="8" t="n">
        <x:f>INDEX($K$388:$N$400,W342,1)+INDEX($K$388:$N$400,W342,2)*(2*(J342-$T$405)/(T342-$T$405)-1)^1+INDEX($K$388:$N$400,W342,3)*(2*(J342-$T$405)/(T342-$T$405)-1)^2+INDEX($K$388:$N$400,W342,4)*(2*(J342-$T$405)/(T342-$T$405)-1)^3</x:f>
        <x:v>93.0109122147478</x:v>
      </x:c>
      <x:c r="N342" s="8" t="n">
        <x:f>K342-M342</x:f>
        <x:v>77.9890877852522</x:v>
      </x:c>
      <x:c r="O342" s="8" t="n">
        <x:f>ABS(N342)</x:f>
        <x:v>77.9890877852522</x:v>
      </x:c>
      <x:c r="P342" s="8" t="n">
        <x:f>N342^2</x:f>
        <x:v>6082.297813575773</x:v>
      </x:c>
      <x:c r="Q342" s="8" t="n">
        <x:f>K342-L342</x:f>
        <x:v>1</x:v>
      </x:c>
      <x:c r="R342" s="9" t="n">
        <x:f>IF(AND(INDEX('Сводка'!$T$3:$T$397,U342)=0,INDEX('Сводка'!$T$3:$T$397,V342)=0),1,0)</x:f>
        <x:v>1</x:v>
      </x:c>
      <x:c r="S342" s="9" t="n">
        <x:f>IF(AND(R342=1,O342&lt;=$G$13),1,0)</x:f>
        <x:v>0</x:v>
      </x:c>
      <x:c r="T342" s="10" t="n">
        <x:f>EOMONTH(J342-'Сводка'!$B$11,-1)</x:f>
        <x:v>46173</x:v>
      </x:c>
      <x:c r="U342" s="4" t="n">
        <x:f>MATCH(J342,'Сводка'!$R$3:$R$397,0)</x:f>
        <x:v>353</x:v>
      </x:c>
      <x:c r="V342" s="4" t="n">
        <x:f>MATCH(J342-'Сводка'!$B$11,'Сводка'!$R$3:$R$397,0)</x:f>
        <x:v>352</x:v>
      </x:c>
      <x:c r="W342" s="4" t="n">
        <x:f>MATCH(T342,$J$388:$J$400,0)</x:f>
        <x:v>12</x:v>
      </x:c>
      <x:c r="X342" s="3"/>
      <x:c r="Y342" s="3"/>
      <x:c r="Z342" s="3"/>
    </x:row>
    <x:row r="343" ht="15" customHeight="1">
      <x:c r="A343" s="3"/>
      <x:c r="B343" s="3"/>
      <x:c r="C343" s="3"/>
      <x:c r="D343" s="3"/>
      <x:c r="E343" s="3"/>
      <x:c r="F343" s="3"/>
      <x:c r="G343" s="3"/>
      <x:c r="H343" s="3"/>
      <x:c r="I343" s="3"/>
      <x:c r="J343" s="10" t="n">
        <x:v>46194</x:v>
      </x:c>
      <x:c r="K343" s="8" t="n">
        <x:f>INDEX('Сводка'!$S$3:$S$397,U343)</x:f>
        <x:v>169</x:v>
      </x:c>
      <x:c r="L343" s="8" t="n">
        <x:f>INDEX('Сводка'!$S$3:$S$397,V343)</x:f>
        <x:v>171</x:v>
      </x:c>
      <x:c r="M343" s="8" t="n">
        <x:f>INDEX($K$388:$N$400,W343,1)+INDEX($K$388:$N$400,W343,2)*(2*(J343-$T$405)/(T343-$T$405)-1)^1+INDEX($K$388:$N$400,W343,3)*(2*(J343-$T$405)/(T343-$T$405)-1)^2+INDEX($K$388:$N$400,W343,4)*(2*(J343-$T$405)/(T343-$T$405)-1)^3</x:f>
        <x:v>92.9718701335151</x:v>
      </x:c>
      <x:c r="N343" s="8" t="n">
        <x:f>K343-M343</x:f>
        <x:v>76.0281298664849</x:v>
      </x:c>
      <x:c r="O343" s="8" t="n">
        <x:f>ABS(N343)</x:f>
        <x:v>76.0281298664849</x:v>
      </x:c>
      <x:c r="P343" s="8" t="n">
        <x:f>N343^2</x:f>
        <x:v>5780.276530995094</x:v>
      </x:c>
      <x:c r="Q343" s="8" t="n">
        <x:f>K343-L343</x:f>
        <x:v>-2</x:v>
      </x:c>
      <x:c r="R343" s="9" t="n">
        <x:f>IF(AND(INDEX('Сводка'!$T$3:$T$397,U343)=0,INDEX('Сводка'!$T$3:$T$397,V343)=0),1,0)</x:f>
        <x:v>1</x:v>
      </x:c>
      <x:c r="S343" s="9" t="n">
        <x:f>IF(AND(R343=1,O343&lt;=$G$13),1,0)</x:f>
        <x:v>0</x:v>
      </x:c>
      <x:c r="T343" s="10" t="n">
        <x:f>EOMONTH(J343-'Сводка'!$B$11,-1)</x:f>
        <x:v>46173</x:v>
      </x:c>
      <x:c r="U343" s="4" t="n">
        <x:f>MATCH(J343,'Сводка'!$R$3:$R$397,0)</x:f>
        <x:v>354</x:v>
      </x:c>
      <x:c r="V343" s="4" t="n">
        <x:f>MATCH(J343-'Сводка'!$B$11,'Сводка'!$R$3:$R$397,0)</x:f>
        <x:v>353</x:v>
      </x:c>
      <x:c r="W343" s="4" t="n">
        <x:f>MATCH(T343,$J$388:$J$400,0)</x:f>
        <x:v>12</x:v>
      </x:c>
      <x:c r="X343" s="3"/>
      <x:c r="Y343" s="3"/>
      <x:c r="Z343" s="3"/>
    </x:row>
    <x:row r="344" ht="15" customHeight="1">
      <x:c r="A344" s="3"/>
      <x:c r="B344" s="3"/>
      <x:c r="C344" s="3"/>
      <x:c r="D344" s="3"/>
      <x:c r="E344" s="3"/>
      <x:c r="F344" s="3"/>
      <x:c r="G344" s="3"/>
      <x:c r="H344" s="3"/>
      <x:c r="I344" s="3"/>
      <x:c r="J344" s="10" t="n">
        <x:v>46195</x:v>
      </x:c>
      <x:c r="K344" s="8" t="n">
        <x:f>INDEX('Сводка'!$S$3:$S$397,U344)</x:f>
        <x:v>168</x:v>
      </x:c>
      <x:c r="L344" s="8" t="n">
        <x:f>INDEX('Сводка'!$S$3:$S$397,V344)</x:f>
        <x:v>169</x:v>
      </x:c>
      <x:c r="M344" s="8" t="n">
        <x:f>INDEX($K$388:$N$400,W344,1)+INDEX($K$388:$N$400,W344,2)*(2*(J344-$T$405)/(T344-$T$405)-1)^1+INDEX($K$388:$N$400,W344,3)*(2*(J344-$T$405)/(T344-$T$405)-1)^2+INDEX($K$388:$N$400,W344,4)*(2*(J344-$T$405)/(T344-$T$405)-1)^3</x:f>
        <x:v>92.93280530434109</x:v>
      </x:c>
      <x:c r="N344" s="8" t="n">
        <x:f>K344-M344</x:f>
        <x:v>75.06719469565891</x:v>
      </x:c>
      <x:c r="O344" s="8" t="n">
        <x:f>ABS(N344)</x:f>
        <x:v>75.06719469565891</x:v>
      </x:c>
      <x:c r="P344" s="8" t="n">
        <x:f>N344^2</x:f>
        <x:v>5635.0837194759615</x:v>
      </x:c>
      <x:c r="Q344" s="8" t="n">
        <x:f>K344-L344</x:f>
        <x:v>-1</x:v>
      </x:c>
      <x:c r="R344" s="9" t="n">
        <x:f>IF(AND(INDEX('Сводка'!$T$3:$T$397,U344)=0,INDEX('Сводка'!$T$3:$T$397,V344)=0),1,0)</x:f>
        <x:v>1</x:v>
      </x:c>
      <x:c r="S344" s="9" t="n">
        <x:f>IF(AND(R344=1,O344&lt;=$G$13),1,0)</x:f>
        <x:v>0</x:v>
      </x:c>
      <x:c r="T344" s="10" t="n">
        <x:f>EOMONTH(J344-'Сводка'!$B$11,-1)</x:f>
        <x:v>46173</x:v>
      </x:c>
      <x:c r="U344" s="4" t="n">
        <x:f>MATCH(J344,'Сводка'!$R$3:$R$397,0)</x:f>
        <x:v>355</x:v>
      </x:c>
      <x:c r="V344" s="4" t="n">
        <x:f>MATCH(J344-'Сводка'!$B$11,'Сводка'!$R$3:$R$397,0)</x:f>
        <x:v>354</x:v>
      </x:c>
      <x:c r="W344" s="4" t="n">
        <x:f>MATCH(T344,$J$388:$J$400,0)</x:f>
        <x:v>12</x:v>
      </x:c>
      <x:c r="X344" s="3"/>
      <x:c r="Y344" s="3"/>
      <x:c r="Z344" s="3"/>
    </x:row>
    <x:row r="345" ht="15" customHeight="1">
      <x:c r="A345" s="3"/>
      <x:c r="B345" s="3"/>
      <x:c r="C345" s="3"/>
      <x:c r="D345" s="3"/>
      <x:c r="E345" s="3"/>
      <x:c r="F345" s="3"/>
      <x:c r="G345" s="3"/>
      <x:c r="H345" s="3"/>
      <x:c r="I345" s="3"/>
      <x:c r="J345" s="10" t="n">
        <x:v>46196</x:v>
      </x:c>
      <x:c r="K345" s="8" t="n">
        <x:f>INDEX('Сводка'!$S$3:$S$397,U345)</x:f>
        <x:v>159</x:v>
      </x:c>
      <x:c r="L345" s="8" t="n">
        <x:f>INDEX('Сводка'!$S$3:$S$397,V345)</x:f>
        <x:v>168</x:v>
      </x:c>
      <x:c r="M345" s="8" t="n">
        <x:f>INDEX($K$388:$N$400,W345,1)+INDEX($K$388:$N$400,W345,2)*(2*(J345-$T$405)/(T345-$T$405)-1)^1+INDEX($K$388:$N$400,W345,3)*(2*(J345-$T$405)/(T345-$T$405)-1)^2+INDEX($K$388:$N$400,W345,4)*(2*(J345-$T$405)/(T345-$T$405)-1)^3</x:f>
        <x:v>92.89371772374895</x:v>
      </x:c>
      <x:c r="N345" s="8" t="n">
        <x:f>K345-M345</x:f>
        <x:v>66.10628227625105</x:v>
      </x:c>
      <x:c r="O345" s="8" t="n">
        <x:f>ABS(N345)</x:f>
        <x:v>66.10628227625105</x:v>
      </x:c>
      <x:c r="P345" s="8" t="n">
        <x:f>N345^2</x:f>
        <x:v>4370.040556387384</x:v>
      </x:c>
      <x:c r="Q345" s="8" t="n">
        <x:f>K345-L345</x:f>
        <x:v>-9</x:v>
      </x:c>
      <x:c r="R345" s="9" t="n">
        <x:f>IF(AND(INDEX('Сводка'!$T$3:$T$397,U345)=0,INDEX('Сводка'!$T$3:$T$397,V345)=0),1,0)</x:f>
        <x:v>1</x:v>
      </x:c>
      <x:c r="S345" s="9" t="n">
        <x:f>IF(AND(R345=1,O345&lt;=$G$13),1,0)</x:f>
        <x:v>0</x:v>
      </x:c>
      <x:c r="T345" s="10" t="n">
        <x:f>EOMONTH(J345-'Сводка'!$B$11,-1)</x:f>
        <x:v>46173</x:v>
      </x:c>
      <x:c r="U345" s="4" t="n">
        <x:f>MATCH(J345,'Сводка'!$R$3:$R$397,0)</x:f>
        <x:v>356</x:v>
      </x:c>
      <x:c r="V345" s="4" t="n">
        <x:f>MATCH(J345-'Сводка'!$B$11,'Сводка'!$R$3:$R$397,0)</x:f>
        <x:v>355</x:v>
      </x:c>
      <x:c r="W345" s="4" t="n">
        <x:f>MATCH(T345,$J$388:$J$400,0)</x:f>
        <x:v>12</x:v>
      </x:c>
      <x:c r="X345" s="3"/>
      <x:c r="Y345" s="3"/>
      <x:c r="Z345" s="3"/>
    </x:row>
    <x:row r="346" ht="15" customHeight="1">
      <x:c r="A346" s="3"/>
      <x:c r="B346" s="3"/>
      <x:c r="C346" s="3"/>
      <x:c r="D346" s="3"/>
      <x:c r="E346" s="3"/>
      <x:c r="F346" s="3"/>
      <x:c r="G346" s="3"/>
      <x:c r="H346" s="3"/>
      <x:c r="I346" s="3"/>
      <x:c r="J346" s="10" t="n">
        <x:v>46197</x:v>
      </x:c>
      <x:c r="K346" s="8" t="n">
        <x:f>INDEX('Сводка'!$S$3:$S$397,U346)</x:f>
        <x:v>151</x:v>
      </x:c>
      <x:c r="L346" s="8" t="n">
        <x:f>INDEX('Сводка'!$S$3:$S$397,V346)</x:f>
        <x:v>159</x:v>
      </x:c>
      <x:c r="M346" s="8" t="n">
        <x:f>INDEX($K$388:$N$400,W346,1)+INDEX($K$388:$N$400,W346,2)*(2*(J346-$T$405)/(T346-$T$405)-1)^1+INDEX($K$388:$N$400,W346,3)*(2*(J346-$T$405)/(T346-$T$405)-1)^2+INDEX($K$388:$N$400,W346,4)*(2*(J346-$T$405)/(T346-$T$405)-1)^3</x:f>
        <x:v>92.85460738826154</x:v>
      </x:c>
      <x:c r="N346" s="8" t="n">
        <x:f>K346-M346</x:f>
        <x:v>58.14539261173846</x:v>
      </x:c>
      <x:c r="O346" s="8" t="n">
        <x:f>ABS(N346)</x:f>
        <x:v>58.14539261173846</x:v>
      </x:c>
      <x:c r="P346" s="8" t="n">
        <x:f>N346^2</x:f>
        <x:v>3380.8866819732093</x:v>
      </x:c>
      <x:c r="Q346" s="8" t="n">
        <x:f>K346-L346</x:f>
        <x:v>-8</x:v>
      </x:c>
      <x:c r="R346" s="9" t="n">
        <x:f>IF(AND(INDEX('Сводка'!$T$3:$T$397,U346)=0,INDEX('Сводка'!$T$3:$T$397,V346)=0),1,0)</x:f>
        <x:v>1</x:v>
      </x:c>
      <x:c r="S346" s="9" t="n">
        <x:f>IF(AND(R346=1,O346&lt;=$G$13),1,0)</x:f>
        <x:v>0</x:v>
      </x:c>
      <x:c r="T346" s="10" t="n">
        <x:f>EOMONTH(J346-'Сводка'!$B$11,-1)</x:f>
        <x:v>46173</x:v>
      </x:c>
      <x:c r="U346" s="4" t="n">
        <x:f>MATCH(J346,'Сводка'!$R$3:$R$397,0)</x:f>
        <x:v>357</x:v>
      </x:c>
      <x:c r="V346" s="4" t="n">
        <x:f>MATCH(J346-'Сводка'!$B$11,'Сводка'!$R$3:$R$397,0)</x:f>
        <x:v>356</x:v>
      </x:c>
      <x:c r="W346" s="4" t="n">
        <x:f>MATCH(T346,$J$388:$J$400,0)</x:f>
        <x:v>12</x:v>
      </x:c>
      <x:c r="X346" s="3"/>
      <x:c r="Y346" s="3"/>
      <x:c r="Z346" s="3"/>
    </x:row>
    <x:row r="347" ht="15" customHeight="1">
      <x:c r="A347" s="3"/>
      <x:c r="B347" s="3"/>
      <x:c r="C347" s="3"/>
      <x:c r="D347" s="3"/>
      <x:c r="E347" s="3"/>
      <x:c r="F347" s="3"/>
      <x:c r="G347" s="3"/>
      <x:c r="H347" s="3"/>
      <x:c r="I347" s="3"/>
      <x:c r="J347" s="10" t="n">
        <x:v>46198</x:v>
      </x:c>
      <x:c r="K347" s="8" t="n">
        <x:f>INDEX('Сводка'!$S$3:$S$397,U347)</x:f>
        <x:v>144</x:v>
      </x:c>
      <x:c r="L347" s="8" t="n">
        <x:f>INDEX('Сводка'!$S$3:$S$397,V347)</x:f>
        <x:v>151</x:v>
      </x:c>
      <x:c r="M347" s="8" t="n">
        <x:f>INDEX($K$388:$N$400,W347,1)+INDEX($K$388:$N$400,W347,2)*(2*(J347-$T$405)/(T347-$T$405)-1)^1+INDEX($K$388:$N$400,W347,3)*(2*(J347-$T$405)/(T347-$T$405)-1)^2+INDEX($K$388:$N$400,W347,4)*(2*(J347-$T$405)/(T347-$T$405)-1)^3</x:f>
        <x:v>92.81547429440205</x:v>
      </x:c>
      <x:c r="N347" s="8" t="n">
        <x:f>K347-M347</x:f>
        <x:v>51.18452570559795</x:v>
      </x:c>
      <x:c r="O347" s="8" t="n">
        <x:f>ABS(N347)</x:f>
        <x:v>51.18452570559795</x:v>
      </x:c>
      <x:c r="P347" s="8" t="n">
        <x:f>N347^2</x:f>
        <x:v>2619.8556717070173</x:v>
      </x:c>
      <x:c r="Q347" s="8" t="n">
        <x:f>K347-L347</x:f>
        <x:v>-7</x:v>
      </x:c>
      <x:c r="R347" s="9" t="n">
        <x:f>IF(AND(INDEX('Сводка'!$T$3:$T$397,U347)=0,INDEX('Сводка'!$T$3:$T$397,V347)=0),1,0)</x:f>
        <x:v>1</x:v>
      </x:c>
      <x:c r="S347" s="9" t="n">
        <x:f>IF(AND(R347=1,O347&lt;=$G$13),1,0)</x:f>
        <x:v>0</x:v>
      </x:c>
      <x:c r="T347" s="10" t="n">
        <x:f>EOMONTH(J347-'Сводка'!$B$11,-1)</x:f>
        <x:v>46173</x:v>
      </x:c>
      <x:c r="U347" s="4" t="n">
        <x:f>MATCH(J347,'Сводка'!$R$3:$R$397,0)</x:f>
        <x:v>358</x:v>
      </x:c>
      <x:c r="V347" s="4" t="n">
        <x:f>MATCH(J347-'Сводка'!$B$11,'Сводка'!$R$3:$R$397,0)</x:f>
        <x:v>357</x:v>
      </x:c>
      <x:c r="W347" s="4" t="n">
        <x:f>MATCH(T347,$J$388:$J$400,0)</x:f>
        <x:v>12</x:v>
      </x:c>
      <x:c r="X347" s="3"/>
      <x:c r="Y347" s="3"/>
      <x:c r="Z347" s="3"/>
    </x:row>
    <x:row r="348" ht="15" customHeight="1">
      <x:c r="A348" s="3"/>
      <x:c r="B348" s="3"/>
      <x:c r="C348" s="3"/>
      <x:c r="D348" s="3"/>
      <x:c r="E348" s="3"/>
      <x:c r="F348" s="3"/>
      <x:c r="G348" s="3"/>
      <x:c r="H348" s="3"/>
      <x:c r="I348" s="3"/>
      <x:c r="J348" s="10" t="n">
        <x:v>46199</x:v>
      </x:c>
      <x:c r="K348" s="8" t="n">
        <x:f>INDEX('Сводка'!$S$3:$S$397,U348)</x:f>
        <x:v>139</x:v>
      </x:c>
      <x:c r="L348" s="8" t="n">
        <x:f>INDEX('Сводка'!$S$3:$S$397,V348)</x:f>
        <x:v>144</x:v>
      </x:c>
      <x:c r="M348" s="8" t="n">
        <x:f>INDEX($K$388:$N$400,W348,1)+INDEX($K$388:$N$400,W348,2)*(2*(J348-$T$405)/(T348-$T$405)-1)^1+INDEX($K$388:$N$400,W348,3)*(2*(J348-$T$405)/(T348-$T$405)-1)^2+INDEX($K$388:$N$400,W348,4)*(2*(J348-$T$405)/(T348-$T$405)-1)^3</x:f>
        <x:v>92.77631843869355</x:v>
      </x:c>
      <x:c r="N348" s="8" t="n">
        <x:f>K348-M348</x:f>
        <x:v>46.22368156130645</x:v>
      </x:c>
      <x:c r="O348" s="8" t="n">
        <x:f>ABS(N348)</x:f>
        <x:v>46.22368156130645</x:v>
      </x:c>
      <x:c r="P348" s="8" t="n">
        <x:f>N348^2</x:f>
        <x:v>2136.628737081062</x:v>
      </x:c>
      <x:c r="Q348" s="8" t="n">
        <x:f>K348-L348</x:f>
        <x:v>-5</x:v>
      </x:c>
      <x:c r="R348" s="9" t="n">
        <x:f>IF(AND(INDEX('Сводка'!$T$3:$T$397,U348)=0,INDEX('Сводка'!$T$3:$T$397,V348)=0),1,0)</x:f>
        <x:v>1</x:v>
      </x:c>
      <x:c r="S348" s="9" t="n">
        <x:f>IF(AND(R348=1,O348&lt;=$G$13),1,0)</x:f>
        <x:v>0</x:v>
      </x:c>
      <x:c r="T348" s="10" t="n">
        <x:f>EOMONTH(J348-'Сводка'!$B$11,-1)</x:f>
        <x:v>46173</x:v>
      </x:c>
      <x:c r="U348" s="4" t="n">
        <x:f>MATCH(J348,'Сводка'!$R$3:$R$397,0)</x:f>
        <x:v>359</x:v>
      </x:c>
      <x:c r="V348" s="4" t="n">
        <x:f>MATCH(J348-'Сводка'!$B$11,'Сводка'!$R$3:$R$397,0)</x:f>
        <x:v>358</x:v>
      </x:c>
      <x:c r="W348" s="4" t="n">
        <x:f>MATCH(T348,$J$388:$J$400,0)</x:f>
        <x:v>12</x:v>
      </x:c>
      <x:c r="X348" s="3"/>
      <x:c r="Y348" s="3"/>
      <x:c r="Z348" s="3"/>
    </x:row>
    <x:row r="349" ht="15" customHeight="1">
      <x:c r="A349" s="3"/>
      <x:c r="B349" s="3"/>
      <x:c r="C349" s="3"/>
      <x:c r="D349" s="3"/>
      <x:c r="E349" s="3"/>
      <x:c r="F349" s="3"/>
      <x:c r="G349" s="3"/>
      <x:c r="H349" s="3"/>
      <x:c r="I349" s="3"/>
      <x:c r="J349" s="10" t="n">
        <x:v>46200</x:v>
      </x:c>
      <x:c r="K349" s="8" t="n">
        <x:f>INDEX('Сводка'!$S$3:$S$397,U349)</x:f>
        <x:v>136</x:v>
      </x:c>
      <x:c r="L349" s="8" t="n">
        <x:f>INDEX('Сводка'!$S$3:$S$397,V349)</x:f>
        <x:v>139</x:v>
      </x:c>
      <x:c r="M349" s="8" t="n">
        <x:f>INDEX($K$388:$N$400,W349,1)+INDEX($K$388:$N$400,W349,2)*(2*(J349-$T$405)/(T349-$T$405)-1)^1+INDEX($K$388:$N$400,W349,3)*(2*(J349-$T$405)/(T349-$T$405)-1)^2+INDEX($K$388:$N$400,W349,4)*(2*(J349-$T$405)/(T349-$T$405)-1)^3</x:f>
        <x:v>92.73713981765911</x:v>
      </x:c>
      <x:c r="N349" s="8" t="n">
        <x:f>K349-M349</x:f>
        <x:v>43.26286018234089</x:v>
      </x:c>
      <x:c r="O349" s="8" t="n">
        <x:f>ABS(N349)</x:f>
        <x:v>43.26286018234089</x:v>
      </x:c>
      <x:c r="P349" s="8" t="n">
        <x:f>N349^2</x:f>
        <x:v>1871.6750711567765</x:v>
      </x:c>
      <x:c r="Q349" s="8" t="n">
        <x:f>K349-L349</x:f>
        <x:v>-3</x:v>
      </x:c>
      <x:c r="R349" s="9" t="n">
        <x:f>IF(AND(INDEX('Сводка'!$T$3:$T$397,U349)=0,INDEX('Сводка'!$T$3:$T$397,V349)=0),1,0)</x:f>
        <x:v>1</x:v>
      </x:c>
      <x:c r="S349" s="9" t="n">
        <x:f>IF(AND(R349=1,O349&lt;=$G$13),1,0)</x:f>
        <x:v>0</x:v>
      </x:c>
      <x:c r="T349" s="10" t="n">
        <x:f>EOMONTH(J349-'Сводка'!$B$11,-1)</x:f>
        <x:v>46173</x:v>
      </x:c>
      <x:c r="U349" s="4" t="n">
        <x:f>MATCH(J349,'Сводка'!$R$3:$R$397,0)</x:f>
        <x:v>360</x:v>
      </x:c>
      <x:c r="V349" s="4" t="n">
        <x:f>MATCH(J349-'Сводка'!$B$11,'Сводка'!$R$3:$R$397,0)</x:f>
        <x:v>359</x:v>
      </x:c>
      <x:c r="W349" s="4" t="n">
        <x:f>MATCH(T349,$J$388:$J$400,0)</x:f>
        <x:v>12</x:v>
      </x:c>
      <x:c r="X349" s="3"/>
      <x:c r="Y349" s="3"/>
      <x:c r="Z349" s="3"/>
    </x:row>
    <x:row r="350" ht="15" customHeight="1">
      <x:c r="A350" s="3"/>
      <x:c r="B350" s="3"/>
      <x:c r="C350" s="3"/>
      <x:c r="D350" s="3"/>
      <x:c r="E350" s="3"/>
      <x:c r="F350" s="3"/>
      <x:c r="G350" s="3"/>
      <x:c r="H350" s="3"/>
      <x:c r="I350" s="3"/>
      <x:c r="J350" s="10" t="n">
        <x:v>46201</x:v>
      </x:c>
      <x:c r="K350" s="8" t="n">
        <x:f>INDEX('Сводка'!$S$3:$S$397,U350)</x:f>
        <x:v>127</x:v>
      </x:c>
      <x:c r="L350" s="8" t="n">
        <x:f>INDEX('Сводка'!$S$3:$S$397,V350)</x:f>
        <x:v>136</x:v>
      </x:c>
      <x:c r="M350" s="8" t="n">
        <x:f>INDEX($K$388:$N$400,W350,1)+INDEX($K$388:$N$400,W350,2)*(2*(J350-$T$405)/(T350-$T$405)-1)^1+INDEX($K$388:$N$400,W350,3)*(2*(J350-$T$405)/(T350-$T$405)-1)^2+INDEX($K$388:$N$400,W350,4)*(2*(J350-$T$405)/(T350-$T$405)-1)^3</x:f>
        <x:v>92.69793842782177</x:v>
      </x:c>
      <x:c r="N350" s="8" t="n">
        <x:f>K350-M350</x:f>
        <x:v>34.30206157217823</x:v>
      </x:c>
      <x:c r="O350" s="8" t="n">
        <x:f>ABS(N350)</x:f>
        <x:v>34.30206157217823</x:v>
      </x:c>
      <x:c r="P350" s="8" t="n">
        <x:f>N350^2</x:f>
        <x:v>1176.6314281015066</x:v>
      </x:c>
      <x:c r="Q350" s="8" t="n">
        <x:f>K350-L350</x:f>
        <x:v>-9</x:v>
      </x:c>
      <x:c r="R350" s="9" t="n">
        <x:f>IF(AND(INDEX('Сводка'!$T$3:$T$397,U350)=0,INDEX('Сводка'!$T$3:$T$397,V350)=0),1,0)</x:f>
        <x:v>1</x:v>
      </x:c>
      <x:c r="S350" s="9" t="n">
        <x:f>IF(AND(R350=1,O350&lt;=$G$13),1,0)</x:f>
        <x:v>0</x:v>
      </x:c>
      <x:c r="T350" s="10" t="n">
        <x:f>EOMONTH(J350-'Сводка'!$B$11,-1)</x:f>
        <x:v>46173</x:v>
      </x:c>
      <x:c r="U350" s="4" t="n">
        <x:f>MATCH(J350,'Сводка'!$R$3:$R$397,0)</x:f>
        <x:v>361</x:v>
      </x:c>
      <x:c r="V350" s="4" t="n">
        <x:f>MATCH(J350-'Сводка'!$B$11,'Сводка'!$R$3:$R$397,0)</x:f>
        <x:v>360</x:v>
      </x:c>
      <x:c r="W350" s="4" t="n">
        <x:f>MATCH(T350,$J$388:$J$400,0)</x:f>
        <x:v>12</x:v>
      </x:c>
      <x:c r="X350" s="3"/>
      <x:c r="Y350" s="3"/>
      <x:c r="Z350" s="3"/>
    </x:row>
    <x:row r="351" ht="15" customHeight="1">
      <x:c r="A351" s="3"/>
      <x:c r="B351" s="3"/>
      <x:c r="C351" s="3"/>
      <x:c r="D351" s="3"/>
      <x:c r="E351" s="3"/>
      <x:c r="F351" s="3"/>
      <x:c r="G351" s="3"/>
      <x:c r="H351" s="3"/>
      <x:c r="I351" s="3"/>
      <x:c r="J351" s="10" t="n">
        <x:v>46202</x:v>
      </x:c>
      <x:c r="K351" s="8" t="n">
        <x:f>INDEX('Сводка'!$S$3:$S$397,U351)</x:f>
        <x:v>122</x:v>
      </x:c>
      <x:c r="L351" s="8" t="n">
        <x:f>INDEX('Сводка'!$S$3:$S$397,V351)</x:f>
        <x:v>127</x:v>
      </x:c>
      <x:c r="M351" s="8" t="n">
        <x:f>INDEX($K$388:$N$400,W351,1)+INDEX($K$388:$N$400,W351,2)*(2*(J351-$T$405)/(T351-$T$405)-1)^1+INDEX($K$388:$N$400,W351,3)*(2*(J351-$T$405)/(T351-$T$405)-1)^2+INDEX($K$388:$N$400,W351,4)*(2*(J351-$T$405)/(T351-$T$405)-1)^3</x:f>
        <x:v>92.65871426570456</x:v>
      </x:c>
      <x:c r="N351" s="8" t="n">
        <x:f>K351-M351</x:f>
        <x:v>29.34128573429544</x:v>
      </x:c>
      <x:c r="O351" s="8" t="n">
        <x:f>ABS(N351)</x:f>
        <x:v>29.34128573429544</x:v>
      </x:c>
      <x:c r="P351" s="8" t="n">
        <x:f>N351^2</x:f>
        <x:v>860.9110485415691</x:v>
      </x:c>
      <x:c r="Q351" s="8" t="n">
        <x:f>K351-L351</x:f>
        <x:v>-5</x:v>
      </x:c>
      <x:c r="R351" s="9" t="n">
        <x:f>IF(AND(INDEX('Сводка'!$T$3:$T$397,U351)=0,INDEX('Сводка'!$T$3:$T$397,V351)=0),1,0)</x:f>
        <x:v>1</x:v>
      </x:c>
      <x:c r="S351" s="9" t="n">
        <x:f>IF(AND(R351=1,O351&lt;=$G$13),1,0)</x:f>
        <x:v>0</x:v>
      </x:c>
      <x:c r="T351" s="10" t="n">
        <x:f>EOMONTH(J351-'Сводка'!$B$11,-1)</x:f>
        <x:v>46173</x:v>
      </x:c>
      <x:c r="U351" s="4" t="n">
        <x:f>MATCH(J351,'Сводка'!$R$3:$R$397,0)</x:f>
        <x:v>362</x:v>
      </x:c>
      <x:c r="V351" s="4" t="n">
        <x:f>MATCH(J351-'Сводка'!$B$11,'Сводка'!$R$3:$R$397,0)</x:f>
        <x:v>361</x:v>
      </x:c>
      <x:c r="W351" s="4" t="n">
        <x:f>MATCH(T351,$J$388:$J$400,0)</x:f>
        <x:v>12</x:v>
      </x:c>
      <x:c r="X351" s="3"/>
      <x:c r="Y351" s="3"/>
      <x:c r="Z351" s="3"/>
    </x:row>
    <x:row r="352" ht="15" customHeight="1">
      <x:c r="A352" s="3"/>
      <x:c r="B352" s="3"/>
      <x:c r="C352" s="3"/>
      <x:c r="D352" s="3"/>
      <x:c r="E352" s="3"/>
      <x:c r="F352" s="3"/>
      <x:c r="G352" s="3"/>
      <x:c r="H352" s="3"/>
      <x:c r="I352" s="3"/>
      <x:c r="J352" s="10" t="n">
        <x:v>46203</x:v>
      </x:c>
      <x:c r="K352" s="8" t="n">
        <x:f>INDEX('Сводка'!$S$3:$S$397,U352)</x:f>
        <x:v>116</x:v>
      </x:c>
      <x:c r="L352" s="8" t="n">
        <x:f>INDEX('Сводка'!$S$3:$S$397,V352)</x:f>
        <x:v>122</x:v>
      </x:c>
      <x:c r="M352" s="8" t="n">
        <x:f>INDEX($K$388:$N$400,W352,1)+INDEX($K$388:$N$400,W352,2)*(2*(J352-$T$405)/(T352-$T$405)-1)^1+INDEX($K$388:$N$400,W352,3)*(2*(J352-$T$405)/(T352-$T$405)-1)^2+INDEX($K$388:$N$400,W352,4)*(2*(J352-$T$405)/(T352-$T$405)-1)^3</x:f>
        <x:v>92.61946732783065</x:v>
      </x:c>
      <x:c r="N352" s="8" t="n">
        <x:f>K352-M352</x:f>
        <x:v>23.380532672169352</x:v>
      </x:c>
      <x:c r="O352" s="8" t="n">
        <x:f>ABS(N352)</x:f>
        <x:v>23.380532672169352</x:v>
      </x:c>
      <x:c r="P352" s="8" t="n">
        <x:f>N352^2</x:f>
        <x:v>546.6493080343786</x:v>
      </x:c>
      <x:c r="Q352" s="8" t="n">
        <x:f>K352-L352</x:f>
        <x:v>-6</x:v>
      </x:c>
      <x:c r="R352" s="9" t="n">
        <x:f>IF(AND(INDEX('Сводка'!$T$3:$T$397,U352)=0,INDEX('Сводка'!$T$3:$T$397,V352)=0),1,0)</x:f>
        <x:v>1</x:v>
      </x:c>
      <x:c r="S352" s="9" t="n">
        <x:f>IF(AND(R352=1,O352&lt;=$G$13),1,0)</x:f>
        <x:v>0</x:v>
      </x:c>
      <x:c r="T352" s="10" t="n">
        <x:f>EOMONTH(J352-'Сводка'!$B$11,-1)</x:f>
        <x:v>46173</x:v>
      </x:c>
      <x:c r="U352" s="4" t="n">
        <x:f>MATCH(J352,'Сводка'!$R$3:$R$397,0)</x:f>
        <x:v>363</x:v>
      </x:c>
      <x:c r="V352" s="4" t="n">
        <x:f>MATCH(J352-'Сводка'!$B$11,'Сводка'!$R$3:$R$397,0)</x:f>
        <x:v>362</x:v>
      </x:c>
      <x:c r="W352" s="4" t="n">
        <x:f>MATCH(T352,$J$388:$J$400,0)</x:f>
        <x:v>12</x:v>
      </x:c>
      <x:c r="X352" s="3"/>
      <x:c r="Y352" s="3"/>
      <x:c r="Z352" s="3"/>
    </x:row>
    <x:row r="353" ht="15" customHeight="1">
      <x:c r="A353" s="3"/>
      <x:c r="B353" s="3"/>
      <x:c r="C353" s="3"/>
      <x:c r="D353" s="3"/>
      <x:c r="E353" s="3"/>
      <x:c r="F353" s="3"/>
      <x:c r="G353" s="3"/>
      <x:c r="H353" s="3"/>
      <x:c r="I353" s="3"/>
      <x:c r="J353" s="10" t="n">
        <x:v>46204</x:v>
      </x:c>
      <x:c r="K353" s="8" t="n">
        <x:f>INDEX('Сводка'!$S$3:$S$397,U353)</x:f>
        <x:v>110</x:v>
      </x:c>
      <x:c r="L353" s="8" t="n">
        <x:f>INDEX('Сводка'!$S$3:$S$397,V353)</x:f>
        <x:v>116</x:v>
      </x:c>
      <x:c r="M353" s="8" t="n">
        <x:f>INDEX($K$388:$N$400,W353,1)+INDEX($K$388:$N$400,W353,2)*(2*(J353-$T$405)/(T353-$T$405)-1)^1+INDEX($K$388:$N$400,W353,3)*(2*(J353-$T$405)/(T353-$T$405)-1)^2+INDEX($K$388:$N$400,W353,4)*(2*(J353-$T$405)/(T353-$T$405)-1)^3</x:f>
        <x:v>92.58019761072303</x:v>
      </x:c>
      <x:c r="N353" s="8" t="n">
        <x:f>K353-M353</x:f>
        <x:v>17.419802389276967</x:v>
      </x:c>
      <x:c r="O353" s="8" t="n">
        <x:f>ABS(N353)</x:f>
        <x:v>17.419802389276967</x:v>
      </x:c>
      <x:c r="P353" s="8" t="n">
        <x:f>N353^2</x:f>
        <x:v>303.4495152814595</x:v>
      </x:c>
      <x:c r="Q353" s="8" t="n">
        <x:f>K353-L353</x:f>
        <x:v>-6</x:v>
      </x:c>
      <x:c r="R353" s="9" t="n">
        <x:f>IF(AND(INDEX('Сводка'!$T$3:$T$397,U353)=0,INDEX('Сводка'!$T$3:$T$397,V353)=0),1,0)</x:f>
        <x:v>1</x:v>
      </x:c>
      <x:c r="S353" s="9" t="n">
        <x:f>IF(AND(R353=1,O353&lt;=$G$13),1,0)</x:f>
        <x:v>0</x:v>
      </x:c>
      <x:c r="T353" s="10" t="n">
        <x:f>EOMONTH(J353-'Сводка'!$B$11,-1)</x:f>
        <x:v>46173</x:v>
      </x:c>
      <x:c r="U353" s="4" t="n">
        <x:f>MATCH(J353,'Сводка'!$R$3:$R$397,0)</x:f>
        <x:v>364</x:v>
      </x:c>
      <x:c r="V353" s="4" t="n">
        <x:f>MATCH(J353-'Сводка'!$B$11,'Сводка'!$R$3:$R$397,0)</x:f>
        <x:v>363</x:v>
      </x:c>
      <x:c r="W353" s="4" t="n">
        <x:f>MATCH(T353,$J$388:$J$400,0)</x:f>
        <x:v>12</x:v>
      </x:c>
      <x:c r="X353" s="3"/>
      <x:c r="Y353" s="3"/>
      <x:c r="Z353" s="3"/>
    </x:row>
    <x:row r="354" ht="15" customHeight="1">
      <x:c r="A354" s="3"/>
      <x:c r="B354" s="3"/>
      <x:c r="C354" s="3"/>
      <x:c r="D354" s="3"/>
      <x:c r="E354" s="3"/>
      <x:c r="F354" s="3"/>
      <x:c r="G354" s="3"/>
      <x:c r="H354" s="3"/>
      <x:c r="I354" s="3"/>
      <x:c r="J354" s="10" t="n">
        <x:v>46205</x:v>
      </x:c>
      <x:c r="K354" s="8" t="n">
        <x:f>INDEX('Сводка'!$S$3:$S$397,U354)</x:f>
        <x:v>105</x:v>
      </x:c>
      <x:c r="L354" s="8" t="n">
        <x:f>INDEX('Сводка'!$S$3:$S$397,V354)</x:f>
        <x:v>110</x:v>
      </x:c>
      <x:c r="M354" s="8" t="n">
        <x:f>INDEX($K$388:$N$400,W354,1)+INDEX($K$388:$N$400,W354,2)*(2*(J354-$T$405)/(T354-$T$405)-1)^1+INDEX($K$388:$N$400,W354,3)*(2*(J354-$T$405)/(T354-$T$405)-1)^2+INDEX($K$388:$N$400,W354,4)*(2*(J354-$T$405)/(T354-$T$405)-1)^3</x:f>
        <x:v>94.61572496358103</x:v>
      </x:c>
      <x:c r="N354" s="8" t="n">
        <x:f>K354-M354</x:f>
        <x:v>10.38427503641897</x:v>
      </x:c>
      <x:c r="O354" s="8" t="n">
        <x:f>ABS(N354)</x:f>
        <x:v>10.38427503641897</x:v>
      </x:c>
      <x:c r="P354" s="8" t="n">
        <x:f>N354^2</x:f>
        <x:v>107.83316803199419</x:v>
      </x:c>
      <x:c r="Q354" s="8" t="n">
        <x:f>K354-L354</x:f>
        <x:v>-5</x:v>
      </x:c>
      <x:c r="R354" s="9" t="n">
        <x:f>IF(AND(INDEX('Сводка'!$T$3:$T$397,U354)=0,INDEX('Сводка'!$T$3:$T$397,V354)=0),1,0)</x:f>
        <x:v>1</x:v>
      </x:c>
      <x:c r="S354" s="9" t="n">
        <x:f>IF(AND(R354=1,O354&lt;=$G$13),1,0)</x:f>
        <x:v>0</x:v>
      </x:c>
      <x:c r="T354" s="10" t="n">
        <x:f>EOMONTH(J354-'Сводка'!$B$11,-1)</x:f>
        <x:v>46203</x:v>
      </x:c>
      <x:c r="U354" s="4" t="n">
        <x:f>MATCH(J354,'Сводка'!$R$3:$R$397,0)</x:f>
        <x:v>365</x:v>
      </x:c>
      <x:c r="V354" s="4" t="n">
        <x:f>MATCH(J354-'Сводка'!$B$11,'Сводка'!$R$3:$R$397,0)</x:f>
        <x:v>364</x:v>
      </x:c>
      <x:c r="W354" s="4" t="n">
        <x:f>MATCH(T354,$J$388:$J$400,0)</x:f>
        <x:v>13</x:v>
      </x:c>
      <x:c r="X354" s="3"/>
      <x:c r="Y354" s="3"/>
      <x:c r="Z354" s="3"/>
    </x:row>
    <x:row r="355" ht="15" customHeight="1">
      <x:c r="A355" s="3"/>
      <x:c r="B355" s="3"/>
      <x:c r="C355" s="3"/>
      <x:c r="D355" s="3"/>
      <x:c r="E355" s="3"/>
      <x:c r="F355" s="3"/>
      <x:c r="G355" s="3"/>
      <x:c r="H355" s="3"/>
      <x:c r="I355" s="3"/>
      <x:c r="J355" s="10" t="n">
        <x:v>46206</x:v>
      </x:c>
      <x:c r="K355" s="8" t="n">
        <x:f>INDEX('Сводка'!$S$3:$S$397,U355)</x:f>
        <x:v>105</x:v>
      </x:c>
      <x:c r="L355" s="8" t="n">
        <x:f>INDEX('Сводка'!$S$3:$S$397,V355)</x:f>
        <x:v>105</x:v>
      </x:c>
      <x:c r="M355" s="8" t="n">
        <x:f>INDEX($K$388:$N$400,W355,1)+INDEX($K$388:$N$400,W355,2)*(2*(J355-$T$405)/(T355-$T$405)-1)^1+INDEX($K$388:$N$400,W355,3)*(2*(J355-$T$405)/(T355-$T$405)-1)^2+INDEX($K$388:$N$400,W355,4)*(2*(J355-$T$405)/(T355-$T$405)-1)^3</x:f>
        <x:v>94.57811334649176</x:v>
      </x:c>
      <x:c r="N355" s="8" t="n">
        <x:f>K355-M355</x:f>
        <x:v>10.421886653508238</x:v>
      </x:c>
      <x:c r="O355" s="8" t="n">
        <x:f>ABS(N355)</x:f>
        <x:v>10.421886653508238</x:v>
      </x:c>
      <x:c r="P355" s="8" t="n">
        <x:f>N355^2</x:f>
        <x:v>108.61572141857314</x:v>
      </x:c>
      <x:c r="Q355" s="8" t="n">
        <x:f>K355-L355</x:f>
        <x:v>0</x:v>
      </x:c>
      <x:c r="R355" s="9" t="n">
        <x:f>IF(AND(INDEX('Сводка'!$T$3:$T$397,U355)=0,INDEX('Сводка'!$T$3:$T$397,V355)=0),1,0)</x:f>
        <x:v>1</x:v>
      </x:c>
      <x:c r="S355" s="9" t="n">
        <x:f>IF(AND(R355=1,O355&lt;=$G$13),1,0)</x:f>
        <x:v>0</x:v>
      </x:c>
      <x:c r="T355" s="10" t="n">
        <x:f>EOMONTH(J355-'Сводка'!$B$11,-1)</x:f>
        <x:v>46203</x:v>
      </x:c>
      <x:c r="U355" s="4" t="n">
        <x:f>MATCH(J355,'Сводка'!$R$3:$R$397,0)</x:f>
        <x:v>366</x:v>
      </x:c>
      <x:c r="V355" s="4" t="n">
        <x:f>MATCH(J355-'Сводка'!$B$11,'Сводка'!$R$3:$R$397,0)</x:f>
        <x:v>365</x:v>
      </x:c>
      <x:c r="W355" s="4" t="n">
        <x:f>MATCH(T355,$J$388:$J$400,0)</x:f>
        <x:v>13</x:v>
      </x:c>
      <x:c r="X355" s="3"/>
      <x:c r="Y355" s="3"/>
      <x:c r="Z355" s="3"/>
    </x:row>
    <x:row r="356" ht="15" customHeight="1">
      <x:c r="A356" s="3"/>
      <x:c r="B356" s="3"/>
      <x:c r="C356" s="3"/>
      <x:c r="D356" s="3"/>
      <x:c r="E356" s="3"/>
      <x:c r="F356" s="3"/>
      <x:c r="G356" s="3"/>
      <x:c r="H356" s="3"/>
      <x:c r="I356" s="3"/>
      <x:c r="J356" s="10" t="n">
        <x:v>46207</x:v>
      </x:c>
      <x:c r="K356" s="8" t="n">
        <x:f>INDEX('Сводка'!$S$3:$S$397,U356)</x:f>
        <x:v>121</x:v>
      </x:c>
      <x:c r="L356" s="8" t="n">
        <x:f>INDEX('Сводка'!$S$3:$S$397,V356)</x:f>
        <x:v>105</x:v>
      </x:c>
      <x:c r="M356" s="8" t="n">
        <x:f>INDEX($K$388:$N$400,W356,1)+INDEX($K$388:$N$400,W356,2)*(2*(J356-$T$405)/(T356-$T$405)-1)^1+INDEX($K$388:$N$400,W356,3)*(2*(J356-$T$405)/(T356-$T$405)-1)^2+INDEX($K$388:$N$400,W356,4)*(2*(J356-$T$405)/(T356-$T$405)-1)^3</x:f>
        <x:v>94.54047969415865</x:v>
      </x:c>
      <x:c r="N356" s="8" t="n">
        <x:f>K356-M356</x:f>
        <x:v>26.45952030584135</x:v>
      </x:c>
      <x:c r="O356" s="8" t="n">
        <x:f>ABS(N356)</x:f>
        <x:v>26.45952030584135</x:v>
      </x:c>
      <x:c r="P356" s="8" t="n">
        <x:f>N356^2</x:f>
        <x:v>700.1062148152308</x:v>
      </x:c>
      <x:c r="Q356" s="8" t="n">
        <x:f>K356-L356</x:f>
        <x:v>16</x:v>
      </x:c>
      <x:c r="R356" s="9" t="n">
        <x:f>IF(AND(INDEX('Сводка'!$T$3:$T$397,U356)=0,INDEX('Сводка'!$T$3:$T$397,V356)=0),1,0)</x:f>
        <x:v>1</x:v>
      </x:c>
      <x:c r="S356" s="9" t="n">
        <x:f>IF(AND(R356=1,O356&lt;=$G$13),1,0)</x:f>
        <x:v>0</x:v>
      </x:c>
      <x:c r="T356" s="10" t="n">
        <x:f>EOMONTH(J356-'Сводка'!$B$11,-1)</x:f>
        <x:v>46203</x:v>
      </x:c>
      <x:c r="U356" s="4" t="n">
        <x:f>MATCH(J356,'Сводка'!$R$3:$R$397,0)</x:f>
        <x:v>367</x:v>
      </x:c>
      <x:c r="V356" s="4" t="n">
        <x:f>MATCH(J356-'Сводка'!$B$11,'Сводка'!$R$3:$R$397,0)</x:f>
        <x:v>366</x:v>
      </x:c>
      <x:c r="W356" s="4" t="n">
        <x:f>MATCH(T356,$J$388:$J$400,0)</x:f>
        <x:v>13</x:v>
      </x:c>
      <x:c r="X356" s="3"/>
      <x:c r="Y356" s="3"/>
      <x:c r="Z356" s="3"/>
    </x:row>
    <x:row r="357" ht="15" customHeight="1">
      <x:c r="A357" s="3"/>
      <x:c r="B357" s="3"/>
      <x:c r="C357" s="3"/>
      <x:c r="D357" s="3"/>
      <x:c r="E357" s="3"/>
      <x:c r="F357" s="3"/>
      <x:c r="G357" s="3"/>
      <x:c r="H357" s="3"/>
      <x:c r="I357" s="3"/>
      <x:c r="J357" s="10" t="n">
        <x:v>46208</x:v>
      </x:c>
      <x:c r="K357" s="8" t="n">
        <x:f>INDEX('Сводка'!$S$3:$S$397,U357)</x:f>
        <x:v>138</x:v>
      </x:c>
      <x:c r="L357" s="8" t="n">
        <x:f>INDEX('Сводка'!$S$3:$S$397,V357)</x:f>
        <x:v>121</x:v>
      </x:c>
      <x:c r="M357" s="8" t="n">
        <x:f>INDEX($K$388:$N$400,W357,1)+INDEX($K$388:$N$400,W357,2)*(2*(J357-$T$405)/(T357-$T$405)-1)^1+INDEX($K$388:$N$400,W357,3)*(2*(J357-$T$405)/(T357-$T$405)-1)^2+INDEX($K$388:$N$400,W357,4)*(2*(J357-$T$405)/(T357-$T$405)-1)^3</x:f>
        <x:v>94.50282400325152</x:v>
      </x:c>
      <x:c r="N357" s="8" t="n">
        <x:f>K357-M357</x:f>
        <x:v>43.49717599674848</x:v>
      </x:c>
      <x:c r="O357" s="8" t="n">
        <x:f>ABS(N357)</x:f>
        <x:v>43.49717599674848</x:v>
      </x:c>
      <x:c r="P357" s="8" t="n">
        <x:f>N357^2</x:f>
        <x:v>1892.0043196921122</x:v>
      </x:c>
      <x:c r="Q357" s="8" t="n">
        <x:f>K357-L357</x:f>
        <x:v>17</x:v>
      </x:c>
      <x:c r="R357" s="9" t="n">
        <x:f>IF(AND(INDEX('Сводка'!$T$3:$T$397,U357)=0,INDEX('Сводка'!$T$3:$T$397,V357)=0),1,0)</x:f>
        <x:v>1</x:v>
      </x:c>
      <x:c r="S357" s="9" t="n">
        <x:f>IF(AND(R357=1,O357&lt;=$G$13),1,0)</x:f>
        <x:v>0</x:v>
      </x:c>
      <x:c r="T357" s="10" t="n">
        <x:f>EOMONTH(J357-'Сводка'!$B$11,-1)</x:f>
        <x:v>46203</x:v>
      </x:c>
      <x:c r="U357" s="4" t="n">
        <x:f>MATCH(J357,'Сводка'!$R$3:$R$397,0)</x:f>
        <x:v>368</x:v>
      </x:c>
      <x:c r="V357" s="4" t="n">
        <x:f>MATCH(J357-'Сводка'!$B$11,'Сводка'!$R$3:$R$397,0)</x:f>
        <x:v>367</x:v>
      </x:c>
      <x:c r="W357" s="4" t="n">
        <x:f>MATCH(T357,$J$388:$J$400,0)</x:f>
        <x:v>13</x:v>
      </x:c>
      <x:c r="X357" s="3"/>
      <x:c r="Y357" s="3"/>
      <x:c r="Z357" s="3"/>
    </x:row>
    <x:row r="358" ht="15" customHeight="1">
      <x:c r="A358" s="3"/>
      <x:c r="B358" s="3"/>
      <x:c r="C358" s="3"/>
      <x:c r="D358" s="3"/>
      <x:c r="E358" s="3"/>
      <x:c r="F358" s="3"/>
      <x:c r="G358" s="3"/>
      <x:c r="H358" s="3"/>
      <x:c r="I358" s="3"/>
      <x:c r="J358" s="10" t="n">
        <x:v>46209</x:v>
      </x:c>
      <x:c r="K358" s="8" t="n">
        <x:f>INDEX('Сводка'!$S$3:$S$397,U358)</x:f>
        <x:v>149</x:v>
      </x:c>
      <x:c r="L358" s="8" t="n">
        <x:f>INDEX('Сводка'!$S$3:$S$397,V358)</x:f>
        <x:v>138</x:v>
      </x:c>
      <x:c r="M358" s="8" t="n">
        <x:f>INDEX($K$388:$N$400,W358,1)+INDEX($K$388:$N$400,W358,2)*(2*(J358-$T$405)/(T358-$T$405)-1)^1+INDEX($K$388:$N$400,W358,3)*(2*(J358-$T$405)/(T358-$T$405)-1)^2+INDEX($K$388:$N$400,W358,4)*(2*(J358-$T$405)/(T358-$T$405)-1)^3</x:f>
        <x:v>94.46514627044016</x:v>
      </x:c>
      <x:c r="N358" s="8" t="n">
        <x:f>K358-M358</x:f>
        <x:v>54.53485372955984</x:v>
      </x:c>
      <x:c r="O358" s="8" t="n">
        <x:f>ABS(N358)</x:f>
        <x:v>54.53485372955984</x:v>
      </x:c>
      <x:c r="P358" s="8" t="n">
        <x:f>N358^2</x:f>
        <x:v>2974.050271304487</x:v>
      </x:c>
      <x:c r="Q358" s="8" t="n">
        <x:f>K358-L358</x:f>
        <x:v>11</x:v>
      </x:c>
      <x:c r="R358" s="9" t="n">
        <x:f>IF(AND(INDEX('Сводка'!$T$3:$T$397,U358)=0,INDEX('Сводка'!$T$3:$T$397,V358)=0),1,0)</x:f>
        <x:v>1</x:v>
      </x:c>
      <x:c r="S358" s="9" t="n">
        <x:f>IF(AND(R358=1,O358&lt;=$G$13),1,0)</x:f>
        <x:v>0</x:v>
      </x:c>
      <x:c r="T358" s="10" t="n">
        <x:f>EOMONTH(J358-'Сводка'!$B$11,-1)</x:f>
        <x:v>46203</x:v>
      </x:c>
      <x:c r="U358" s="4" t="n">
        <x:f>MATCH(J358,'Сводка'!$R$3:$R$397,0)</x:f>
        <x:v>369</x:v>
      </x:c>
      <x:c r="V358" s="4" t="n">
        <x:f>MATCH(J358-'Сводка'!$B$11,'Сводка'!$R$3:$R$397,0)</x:f>
        <x:v>368</x:v>
      </x:c>
      <x:c r="W358" s="4" t="n">
        <x:f>MATCH(T358,$J$388:$J$400,0)</x:f>
        <x:v>13</x:v>
      </x:c>
      <x:c r="X358" s="3"/>
      <x:c r="Y358" s="3"/>
      <x:c r="Z358" s="3"/>
    </x:row>
    <x:row r="359" ht="15" customHeight="1">
      <x:c r="A359" s="3"/>
      <x:c r="B359" s="3"/>
      <x:c r="C359" s="3"/>
      <x:c r="D359" s="3"/>
      <x:c r="E359" s="3"/>
      <x:c r="F359" s="3"/>
      <x:c r="G359" s="3"/>
      <x:c r="H359" s="3"/>
      <x:c r="I359" s="3"/>
      <x:c r="J359" s="10" t="n">
        <x:v>46210</x:v>
      </x:c>
      <x:c r="K359" s="8" t="n">
        <x:f>INDEX('Сводка'!$S$3:$S$397,U359)</x:f>
        <x:v>158</x:v>
      </x:c>
      <x:c r="L359" s="8" t="n">
        <x:f>INDEX('Сводка'!$S$3:$S$397,V359)</x:f>
        <x:v>149</x:v>
      </x:c>
      <x:c r="M359" s="8" t="n">
        <x:f>INDEX($K$388:$N$400,W359,1)+INDEX($K$388:$N$400,W359,2)*(2*(J359-$T$405)/(T359-$T$405)-1)^1+INDEX($K$388:$N$400,W359,3)*(2*(J359-$T$405)/(T359-$T$405)-1)^2+INDEX($K$388:$N$400,W359,4)*(2*(J359-$T$405)/(T359-$T$405)-1)^3</x:f>
        <x:v>94.42744649239437</x:v>
      </x:c>
      <x:c r="N359" s="8" t="n">
        <x:f>K359-M359</x:f>
        <x:v>63.57255350760563</x:v>
      </x:c>
      <x:c r="O359" s="8" t="n">
        <x:f>ABS(N359)</x:f>
        <x:v>63.57255350760563</x:v>
      </x:c>
      <x:c r="P359" s="8" t="n">
        <x:f>N359^2</x:f>
        <x:v>4041.469559477381</x:v>
      </x:c>
      <x:c r="Q359" s="8" t="n">
        <x:f>K359-L359</x:f>
        <x:v>9</x:v>
      </x:c>
      <x:c r="R359" s="9" t="n">
        <x:f>IF(AND(INDEX('Сводка'!$T$3:$T$397,U359)=0,INDEX('Сводка'!$T$3:$T$397,V359)=0),1,0)</x:f>
        <x:v>1</x:v>
      </x:c>
      <x:c r="S359" s="9" t="n">
        <x:f>IF(AND(R359=1,O359&lt;=$G$13),1,0)</x:f>
        <x:v>0</x:v>
      </x:c>
      <x:c r="T359" s="10" t="n">
        <x:f>EOMONTH(J359-'Сводка'!$B$11,-1)</x:f>
        <x:v>46203</x:v>
      </x:c>
      <x:c r="U359" s="4" t="n">
        <x:f>MATCH(J359,'Сводка'!$R$3:$R$397,0)</x:f>
        <x:v>370</x:v>
      </x:c>
      <x:c r="V359" s="4" t="n">
        <x:f>MATCH(J359-'Сводка'!$B$11,'Сводка'!$R$3:$R$397,0)</x:f>
        <x:v>369</x:v>
      </x:c>
      <x:c r="W359" s="4" t="n">
        <x:f>MATCH(T359,$J$388:$J$400,0)</x:f>
        <x:v>13</x:v>
      </x:c>
      <x:c r="X359" s="3"/>
      <x:c r="Y359" s="3"/>
      <x:c r="Z359" s="3"/>
    </x:row>
    <x:row r="360" ht="15" customHeight="1">
      <x:c r="A360" s="3"/>
      <x:c r="B360" s="3"/>
      <x:c r="C360" s="3"/>
      <x:c r="D360" s="3"/>
      <x:c r="E360" s="3"/>
      <x:c r="F360" s="3"/>
      <x:c r="G360" s="3"/>
      <x:c r="H360" s="3"/>
      <x:c r="I360" s="3"/>
      <x:c r="J360" s="10" t="n">
        <x:v>46211</x:v>
      </x:c>
      <x:c r="K360" s="8" t="n">
        <x:f>INDEX('Сводка'!$S$3:$S$397,U360)</x:f>
        <x:v>166</x:v>
      </x:c>
      <x:c r="L360" s="8" t="n">
        <x:f>INDEX('Сводка'!$S$3:$S$397,V360)</x:f>
        <x:v>158</x:v>
      </x:c>
      <x:c r="M360" s="8" t="n">
        <x:f>INDEX($K$388:$N$400,W360,1)+INDEX($K$388:$N$400,W360,2)*(2*(J360-$T$405)/(T360-$T$405)-1)^1+INDEX($K$388:$N$400,W360,3)*(2*(J360-$T$405)/(T360-$T$405)-1)^2+INDEX($K$388:$N$400,W360,4)*(2*(J360-$T$405)/(T360-$T$405)-1)^3</x:f>
        <x:v>94.38972466578393</x:v>
      </x:c>
      <x:c r="N360" s="8" t="n">
        <x:f>K360-M360</x:f>
        <x:v>71.61027533421607</x:v>
      </x:c>
      <x:c r="O360" s="8" t="n">
        <x:f>ABS(N360)</x:f>
        <x:v>71.61027533421607</x:v>
      </x:c>
      <x:c r="P360" s="8" t="n">
        <x:f>N360^2</x:f>
        <x:v>5128.031533442235</x:v>
      </x:c>
      <x:c r="Q360" s="8" t="n">
        <x:f>K360-L360</x:f>
        <x:v>8</x:v>
      </x:c>
      <x:c r="R360" s="9" t="n">
        <x:f>IF(AND(INDEX('Сводка'!$T$3:$T$397,U360)=0,INDEX('Сводка'!$T$3:$T$397,V360)=0),1,0)</x:f>
        <x:v>1</x:v>
      </x:c>
      <x:c r="S360" s="9" t="n">
        <x:f>IF(AND(R360=1,O360&lt;=$G$13),1,0)</x:f>
        <x:v>0</x:v>
      </x:c>
      <x:c r="T360" s="10" t="n">
        <x:f>EOMONTH(J360-'Сводка'!$B$11,-1)</x:f>
        <x:v>46203</x:v>
      </x:c>
      <x:c r="U360" s="4" t="n">
        <x:f>MATCH(J360,'Сводка'!$R$3:$R$397,0)</x:f>
        <x:v>371</x:v>
      </x:c>
      <x:c r="V360" s="4" t="n">
        <x:f>MATCH(J360-'Сводка'!$B$11,'Сводка'!$R$3:$R$397,0)</x:f>
        <x:v>370</x:v>
      </x:c>
      <x:c r="W360" s="4" t="n">
        <x:f>MATCH(T360,$J$388:$J$400,0)</x:f>
        <x:v>13</x:v>
      </x:c>
      <x:c r="X360" s="3"/>
      <x:c r="Y360" s="3"/>
      <x:c r="Z360" s="3"/>
    </x:row>
    <x:row r="361" ht="15" customHeight="1">
      <x:c r="A361" s="3"/>
      <x:c r="B361" s="3"/>
      <x:c r="C361" s="3"/>
      <x:c r="D361" s="3"/>
      <x:c r="E361" s="3"/>
      <x:c r="F361" s="3"/>
      <x:c r="G361" s="3"/>
      <x:c r="H361" s="3"/>
      <x:c r="I361" s="3"/>
      <x:c r="J361" s="10" t="n">
        <x:v>46212</x:v>
      </x:c>
      <x:c r="K361" s="8" t="n">
        <x:f>INDEX('Сводка'!$S$3:$S$397,U361)</x:f>
        <x:v>174</x:v>
      </x:c>
      <x:c r="L361" s="8" t="n">
        <x:f>INDEX('Сводка'!$S$3:$S$397,V361)</x:f>
        <x:v>166</x:v>
      </x:c>
      <x:c r="M361" s="8" t="n">
        <x:f>INDEX($K$388:$N$400,W361,1)+INDEX($K$388:$N$400,W361,2)*(2*(J361-$T$405)/(T361-$T$405)-1)^1+INDEX($K$388:$N$400,W361,3)*(2*(J361-$T$405)/(T361-$T$405)-1)^2+INDEX($K$388:$N$400,W361,4)*(2*(J361-$T$405)/(T361-$T$405)-1)^3</x:f>
        <x:v>94.35198078727869</x:v>
      </x:c>
      <x:c r="N361" s="8" t="n">
        <x:f>K361-M361</x:f>
        <x:v>79.64801921272131</x:v>
      </x:c>
      <x:c r="O361" s="8" t="n">
        <x:f>ABS(N361)</x:f>
        <x:v>79.64801921272131</x:v>
      </x:c>
      <x:c r="P361" s="8" t="n">
        <x:f>N361^2</x:f>
        <x:v>6343.806964510023</x:v>
      </x:c>
      <x:c r="Q361" s="8" t="n">
        <x:f>K361-L361</x:f>
        <x:v>8</x:v>
      </x:c>
      <x:c r="R361" s="9" t="n">
        <x:f>IF(AND(INDEX('Сводка'!$T$3:$T$397,U361)=0,INDEX('Сводка'!$T$3:$T$397,V361)=0),1,0)</x:f>
        <x:v>1</x:v>
      </x:c>
      <x:c r="S361" s="9" t="n">
        <x:f>IF(AND(R361=1,O361&lt;=$G$13),1,0)</x:f>
        <x:v>0</x:v>
      </x:c>
      <x:c r="T361" s="10" t="n">
        <x:f>EOMONTH(J361-'Сводка'!$B$11,-1)</x:f>
        <x:v>46203</x:v>
      </x:c>
      <x:c r="U361" s="4" t="n">
        <x:f>MATCH(J361,'Сводка'!$R$3:$R$397,0)</x:f>
        <x:v>372</x:v>
      </x:c>
      <x:c r="V361" s="4" t="n">
        <x:f>MATCH(J361-'Сводка'!$B$11,'Сводка'!$R$3:$R$397,0)</x:f>
        <x:v>371</x:v>
      </x:c>
      <x:c r="W361" s="4" t="n">
        <x:f>MATCH(T361,$J$388:$J$400,0)</x:f>
        <x:v>13</x:v>
      </x:c>
      <x:c r="X361" s="3"/>
      <x:c r="Y361" s="3"/>
      <x:c r="Z361" s="3"/>
    </x:row>
    <x:row r="362" ht="15" customHeight="1">
      <x:c r="A362" s="3"/>
      <x:c r="B362" s="3"/>
      <x:c r="C362" s="3"/>
      <x:c r="D362" s="3"/>
      <x:c r="E362" s="3"/>
      <x:c r="F362" s="3"/>
      <x:c r="G362" s="3"/>
      <x:c r="H362" s="3"/>
      <x:c r="I362" s="3"/>
      <x:c r="J362" s="10" t="n">
        <x:v>46213</x:v>
      </x:c>
      <x:c r="K362" s="8" t="n">
        <x:f>INDEX('Сводка'!$S$3:$S$397,U362)</x:f>
        <x:v>180</x:v>
      </x:c>
      <x:c r="L362" s="8" t="n">
        <x:f>INDEX('Сводка'!$S$3:$S$397,V362)</x:f>
        <x:v>174</x:v>
      </x:c>
      <x:c r="M362" s="8" t="n">
        <x:f>INDEX($K$388:$N$400,W362,1)+INDEX($K$388:$N$400,W362,2)*(2*(J362-$T$405)/(T362-$T$405)-1)^1+INDEX($K$388:$N$400,W362,3)*(2*(J362-$T$405)/(T362-$T$405)-1)^2+INDEX($K$388:$N$400,W362,4)*(2*(J362-$T$405)/(T362-$T$405)-1)^3</x:f>
        <x:v>94.31421485354853</x:v>
      </x:c>
      <x:c r="N362" s="8" t="n">
        <x:f>K362-M362</x:f>
        <x:v>85.68578514645147</x:v>
      </x:c>
      <x:c r="O362" s="8" t="n">
        <x:f>ABS(N362)</x:f>
        <x:v>85.68578514645147</x:v>
      </x:c>
      <x:c r="P362" s="8" t="n">
        <x:f>N362^2</x:f>
        <x:v>7342.0537761638425</x:v>
      </x:c>
      <x:c r="Q362" s="8" t="n">
        <x:f>K362-L362</x:f>
        <x:v>6</x:v>
      </x:c>
      <x:c r="R362" s="9" t="n">
        <x:f>IF(AND(INDEX('Сводка'!$T$3:$T$397,U362)=0,INDEX('Сводка'!$T$3:$T$397,V362)=0),1,0)</x:f>
        <x:v>1</x:v>
      </x:c>
      <x:c r="S362" s="9" t="n">
        <x:f>IF(AND(R362=1,O362&lt;=$G$13),1,0)</x:f>
        <x:v>0</x:v>
      </x:c>
      <x:c r="T362" s="10" t="n">
        <x:f>EOMONTH(J362-'Сводка'!$B$11,-1)</x:f>
        <x:v>46203</x:v>
      </x:c>
      <x:c r="U362" s="4" t="n">
        <x:f>MATCH(J362,'Сводка'!$R$3:$R$397,0)</x:f>
        <x:v>373</x:v>
      </x:c>
      <x:c r="V362" s="4" t="n">
        <x:f>MATCH(J362-'Сводка'!$B$11,'Сводка'!$R$3:$R$397,0)</x:f>
        <x:v>372</x:v>
      </x:c>
      <x:c r="W362" s="4" t="n">
        <x:f>MATCH(T362,$J$388:$J$400,0)</x:f>
        <x:v>13</x:v>
      </x:c>
      <x:c r="X362" s="3"/>
      <x:c r="Y362" s="3"/>
      <x:c r="Z362" s="3"/>
    </x:row>
    <x:row r="363" ht="15" customHeight="1">
      <x:c r="A363" s="3"/>
      <x:c r="B363" s="3"/>
      <x:c r="C363" s="3"/>
      <x:c r="D363" s="3"/>
      <x:c r="E363" s="3"/>
      <x:c r="F363" s="3"/>
      <x:c r="G363" s="3"/>
      <x:c r="H363" s="3"/>
      <x:c r="I363" s="3"/>
      <x:c r="J363" s="10" t="n">
        <x:v>46214</x:v>
      </x:c>
      <x:c r="K363" s="8" t="n">
        <x:f>INDEX('Сводка'!$S$3:$S$397,U363)</x:f>
        <x:v>181</x:v>
      </x:c>
      <x:c r="L363" s="8" t="n">
        <x:f>INDEX('Сводка'!$S$3:$S$397,V363)</x:f>
        <x:v>180</x:v>
      </x:c>
      <x:c r="M363" s="8" t="n">
        <x:f>INDEX($K$388:$N$400,W363,1)+INDEX($K$388:$N$400,W363,2)*(2*(J363-$T$405)/(T363-$T$405)-1)^1+INDEX($K$388:$N$400,W363,3)*(2*(J363-$T$405)/(T363-$T$405)-1)^2+INDEX($K$388:$N$400,W363,4)*(2*(J363-$T$405)/(T363-$T$405)-1)^3</x:f>
        <x:v>94.2764268612631</x:v>
      </x:c>
      <x:c r="N363" s="8" t="n">
        <x:f>K363-M363</x:f>
        <x:v>86.7235731387369</x:v>
      </x:c>
      <x:c r="O363" s="8" t="n">
        <x:f>ABS(N363)</x:f>
        <x:v>86.7235731387369</x:v>
      </x:c>
      <x:c r="P363" s="8" t="n">
        <x:f>N363^2</x:f>
        <x:v>7520.978137949847</x:v>
      </x:c>
      <x:c r="Q363" s="8" t="n">
        <x:f>K363-L363</x:f>
        <x:v>1</x:v>
      </x:c>
      <x:c r="R363" s="9" t="n">
        <x:f>IF(AND(INDEX('Сводка'!$T$3:$T$397,U363)=0,INDEX('Сводка'!$T$3:$T$397,V363)=0),1,0)</x:f>
        <x:v>1</x:v>
      </x:c>
      <x:c r="S363" s="9" t="n">
        <x:f>IF(AND(R363=1,O363&lt;=$G$13),1,0)</x:f>
        <x:v>0</x:v>
      </x:c>
      <x:c r="T363" s="10" t="n">
        <x:f>EOMONTH(J363-'Сводка'!$B$11,-1)</x:f>
        <x:v>46203</x:v>
      </x:c>
      <x:c r="U363" s="4" t="n">
        <x:f>MATCH(J363,'Сводка'!$R$3:$R$397,0)</x:f>
        <x:v>374</x:v>
      </x:c>
      <x:c r="V363" s="4" t="n">
        <x:f>MATCH(J363-'Сводка'!$B$11,'Сводка'!$R$3:$R$397,0)</x:f>
        <x:v>373</x:v>
      </x:c>
      <x:c r="W363" s="4" t="n">
        <x:f>MATCH(T363,$J$388:$J$400,0)</x:f>
        <x:v>13</x:v>
      </x:c>
      <x:c r="X363" s="3"/>
      <x:c r="Y363" s="3"/>
      <x:c r="Z363" s="3"/>
    </x:row>
    <x:row r="364" ht="15" customHeight="1">
      <x:c r="A364" s="3"/>
      <x:c r="B364" s="3"/>
      <x:c r="C364" s="3"/>
      <x:c r="D364" s="3"/>
      <x:c r="E364" s="3"/>
      <x:c r="F364" s="3"/>
      <x:c r="G364" s="3"/>
      <x:c r="H364" s="3"/>
      <x:c r="I364" s="3"/>
      <x:c r="J364" s="10" t="n">
        <x:v>46215</x:v>
      </x:c>
      <x:c r="K364" s="8" t="n">
        <x:f>INDEX('Сводка'!$S$3:$S$397,U364)</x:f>
        <x:v>179</x:v>
      </x:c>
      <x:c r="L364" s="8" t="n">
        <x:f>INDEX('Сводка'!$S$3:$S$397,V364)</x:f>
        <x:v>181</x:v>
      </x:c>
      <x:c r="M364" s="8" t="n">
        <x:f>INDEX($K$388:$N$400,W364,1)+INDEX($K$388:$N$400,W364,2)*(2*(J364-$T$405)/(T364-$T$405)-1)^1+INDEX($K$388:$N$400,W364,3)*(2*(J364-$T$405)/(T364-$T$405)-1)^2+INDEX($K$388:$N$400,W364,4)*(2*(J364-$T$405)/(T364-$T$405)-1)^3</x:f>
        <x:v>94.23861680709228</x:v>
      </x:c>
      <x:c r="N364" s="8" t="n">
        <x:f>K364-M364</x:f>
        <x:v>84.76138319290772</x:v>
      </x:c>
      <x:c r="O364" s="8" t="n">
        <x:f>ABS(N364)</x:f>
        <x:v>84.76138319290772</x:v>
      </x:c>
      <x:c r="P364" s="8" t="n">
        <x:f>N364^2</x:f>
        <x:v>7184.492080774939</x:v>
      </x:c>
      <x:c r="Q364" s="8" t="n">
        <x:f>K364-L364</x:f>
        <x:v>-2</x:v>
      </x:c>
      <x:c r="R364" s="9" t="n">
        <x:f>IF(AND(INDEX('Сводка'!$T$3:$T$397,U364)=0,INDEX('Сводка'!$T$3:$T$397,V364)=0),1,0)</x:f>
        <x:v>1</x:v>
      </x:c>
      <x:c r="S364" s="9" t="n">
        <x:f>IF(AND(R364=1,O364&lt;=$G$13),1,0)</x:f>
        <x:v>0</x:v>
      </x:c>
      <x:c r="T364" s="10" t="n">
        <x:f>EOMONTH(J364-'Сводка'!$B$11,-1)</x:f>
        <x:v>46203</x:v>
      </x:c>
      <x:c r="U364" s="4" t="n">
        <x:f>MATCH(J364,'Сводка'!$R$3:$R$397,0)</x:f>
        <x:v>375</x:v>
      </x:c>
      <x:c r="V364" s="4" t="n">
        <x:f>MATCH(J364-'Сводка'!$B$11,'Сводка'!$R$3:$R$397,0)</x:f>
        <x:v>374</x:v>
      </x:c>
      <x:c r="W364" s="4" t="n">
        <x:f>MATCH(T364,$J$388:$J$400,0)</x:f>
        <x:v>13</x:v>
      </x:c>
      <x:c r="X364" s="3"/>
      <x:c r="Y364" s="3"/>
      <x:c r="Z364" s="3"/>
    </x:row>
    <x:row r="365" ht="15" customHeight="1">
      <x:c r="A365" s="3"/>
      <x:c r="B365" s="3"/>
      <x:c r="C365" s="3"/>
      <x:c r="D365" s="3"/>
      <x:c r="E365" s="3"/>
      <x:c r="F365" s="3"/>
      <x:c r="G365" s="3"/>
      <x:c r="H365" s="3"/>
      <x:c r="I365" s="3"/>
      <x:c r="J365" s="10" t="n">
        <x:v>46216</x:v>
      </x:c>
      <x:c r="K365" s="8" t="n">
        <x:f>INDEX('Сводка'!$S$3:$S$397,U365)</x:f>
        <x:v>182</x:v>
      </x:c>
      <x:c r="L365" s="8" t="n">
        <x:f>INDEX('Сводка'!$S$3:$S$397,V365)</x:f>
        <x:v>179</x:v>
      </x:c>
      <x:c r="M365" s="8" t="n">
        <x:f>INDEX($K$388:$N$400,W365,1)+INDEX($K$388:$N$400,W365,2)*(2*(J365-$T$405)/(T365-$T$405)-1)^1+INDEX($K$388:$N$400,W365,3)*(2*(J365-$T$405)/(T365-$T$405)-1)^2+INDEX($K$388:$N$400,W365,4)*(2*(J365-$T$405)/(T365-$T$405)-1)^3</x:f>
        <x:v>94.20078468770598</x:v>
      </x:c>
      <x:c r="N365" s="8" t="n">
        <x:f>K365-M365</x:f>
        <x:v>87.79921531229402</x:v>
      </x:c>
      <x:c r="O365" s="8" t="n">
        <x:f>ABS(N365)</x:f>
        <x:v>87.79921531229402</x:v>
      </x:c>
      <x:c r="P365" s="8" t="n">
        <x:f>N365^2</x:f>
        <x:v>7708.7022094545655</x:v>
      </x:c>
      <x:c r="Q365" s="8" t="n">
        <x:f>K365-L365</x:f>
        <x:v>3</x:v>
      </x:c>
      <x:c r="R365" s="9" t="n">
        <x:f>IF(AND(INDEX('Сводка'!$T$3:$T$397,U365)=0,INDEX('Сводка'!$T$3:$T$397,V365)=0),1,0)</x:f>
        <x:v>1</x:v>
      </x:c>
      <x:c r="S365" s="9" t="n">
        <x:f>IF(AND(R365=1,O365&lt;=$G$13),1,0)</x:f>
        <x:v>0</x:v>
      </x:c>
      <x:c r="T365" s="10" t="n">
        <x:f>EOMONTH(J365-'Сводка'!$B$11,-1)</x:f>
        <x:v>46203</x:v>
      </x:c>
      <x:c r="U365" s="4" t="n">
        <x:f>MATCH(J365,'Сводка'!$R$3:$R$397,0)</x:f>
        <x:v>376</x:v>
      </x:c>
      <x:c r="V365" s="4" t="n">
        <x:f>MATCH(J365-'Сводка'!$B$11,'Сводка'!$R$3:$R$397,0)</x:f>
        <x:v>375</x:v>
      </x:c>
      <x:c r="W365" s="4" t="n">
        <x:f>MATCH(T365,$J$388:$J$400,0)</x:f>
        <x:v>13</x:v>
      </x:c>
      <x:c r="X365" s="3"/>
      <x:c r="Y365" s="3"/>
      <x:c r="Z365" s="3"/>
    </x:row>
    <x:row r="366" ht="15" customHeight="1">
      <x:c r="A366" s="3"/>
      <x:c r="B366" s="3"/>
      <x:c r="C366" s="3"/>
      <x:c r="D366" s="3"/>
      <x:c r="E366" s="3"/>
      <x:c r="F366" s="3"/>
      <x:c r="G366" s="3"/>
      <x:c r="H366" s="3"/>
      <x:c r="I366" s="3"/>
      <x:c r="J366" s="10" t="n">
        <x:v>46217</x:v>
      </x:c>
      <x:c r="K366" s="8" t="n">
        <x:f>INDEX('Сводка'!$S$3:$S$397,U366)</x:f>
        <x:v>191</x:v>
      </x:c>
      <x:c r="L366" s="8" t="n">
        <x:f>INDEX('Сводка'!$S$3:$S$397,V366)</x:f>
        <x:v>182</x:v>
      </x:c>
      <x:c r="M366" s="8" t="n">
        <x:f>INDEX($K$388:$N$400,W366,1)+INDEX($K$388:$N$400,W366,2)*(2*(J366-$T$405)/(T366-$T$405)-1)^1+INDEX($K$388:$N$400,W366,3)*(2*(J366-$T$405)/(T366-$T$405)-1)^2+INDEX($K$388:$N$400,W366,4)*(2*(J366-$T$405)/(T366-$T$405)-1)^3</x:f>
        <x:v>94.16293049977381</x:v>
      </x:c>
      <x:c r="N366" s="8" t="n">
        <x:f>K366-M366</x:f>
        <x:v>96.83706950022619</x:v>
      </x:c>
      <x:c r="O366" s="8" t="n">
        <x:f>ABS(N366)</x:f>
        <x:v>96.83706950022619</x:v>
      </x:c>
      <x:c r="P366" s="8" t="n">
        <x:f>N366^2</x:f>
        <x:v>9377.418029391638</x:v>
      </x:c>
      <x:c r="Q366" s="8" t="n">
        <x:f>K366-L366</x:f>
        <x:v>9</x:v>
      </x:c>
      <x:c r="R366" s="9" t="n">
        <x:f>IF(AND(INDEX('Сводка'!$T$3:$T$397,U366)=0,INDEX('Сводка'!$T$3:$T$397,V366)=0),1,0)</x:f>
        <x:v>1</x:v>
      </x:c>
      <x:c r="S366" s="9" t="n">
        <x:f>IF(AND(R366=1,O366&lt;=$G$13),1,0)</x:f>
        <x:v>0</x:v>
      </x:c>
      <x:c r="T366" s="10" t="n">
        <x:f>EOMONTH(J366-'Сводка'!$B$11,-1)</x:f>
        <x:v>46203</x:v>
      </x:c>
      <x:c r="U366" s="4" t="n">
        <x:f>MATCH(J366,'Сводка'!$R$3:$R$397,0)</x:f>
        <x:v>377</x:v>
      </x:c>
      <x:c r="V366" s="4" t="n">
        <x:f>MATCH(J366-'Сводка'!$B$11,'Сводка'!$R$3:$R$397,0)</x:f>
        <x:v>376</x:v>
      </x:c>
      <x:c r="W366" s="4" t="n">
        <x:f>MATCH(T366,$J$388:$J$400,0)</x:f>
        <x:v>13</x:v>
      </x:c>
      <x:c r="X366" s="3"/>
      <x:c r="Y366" s="3"/>
      <x:c r="Z366" s="3"/>
    </x:row>
    <x:row r="367" ht="15" customHeight="1">
      <x:c r="A367" s="3"/>
      <x:c r="B367" s="3"/>
      <x:c r="C367" s="3"/>
      <x:c r="D367" s="3"/>
      <x:c r="E367" s="3"/>
      <x:c r="F367" s="3"/>
      <x:c r="G367" s="3"/>
      <x:c r="H367" s="3"/>
      <x:c r="I367" s="3"/>
      <x:c r="J367" s="10" t="n">
        <x:v>46218</x:v>
      </x:c>
      <x:c r="K367" s="8" t="n">
        <x:f>INDEX('Сводка'!$S$3:$S$397,U367)</x:f>
        <x:v>206</x:v>
      </x:c>
      <x:c r="L367" s="8" t="n">
        <x:f>INDEX('Сводка'!$S$3:$S$397,V367)</x:f>
        <x:v>191</x:v>
      </x:c>
      <x:c r="M367" s="8" t="n">
        <x:f>INDEX($K$388:$N$400,W367,1)+INDEX($K$388:$N$400,W367,2)*(2*(J367-$T$405)/(T367-$T$405)-1)^1+INDEX($K$388:$N$400,W367,3)*(2*(J367-$T$405)/(T367-$T$405)-1)^2+INDEX($K$388:$N$400,W367,4)*(2*(J367-$T$405)/(T367-$T$405)-1)^3</x:f>
        <x:v>94.12505423996572</x:v>
      </x:c>
      <x:c r="N367" s="8" t="n">
        <x:f>K367-M367</x:f>
        <x:v>111.87494576003428</x:v>
      </x:c>
      <x:c r="O367" s="8" t="n">
        <x:f>ABS(N367)</x:f>
        <x:v>111.87494576003428</x:v>
      </x:c>
      <x:c r="P367" s="8" t="n">
        <x:f>N367^2</x:f>
        <x:v>12516.003488810611</x:v>
      </x:c>
      <x:c r="Q367" s="8" t="n">
        <x:f>K367-L367</x:f>
        <x:v>15</x:v>
      </x:c>
      <x:c r="R367" s="9" t="n">
        <x:f>IF(AND(INDEX('Сводка'!$T$3:$T$397,U367)=0,INDEX('Сводка'!$T$3:$T$397,V367)=0),1,0)</x:f>
        <x:v>1</x:v>
      </x:c>
      <x:c r="S367" s="9" t="n">
        <x:f>IF(AND(R367=1,O367&lt;=$G$13),1,0)</x:f>
        <x:v>0</x:v>
      </x:c>
      <x:c r="T367" s="10" t="n">
        <x:f>EOMONTH(J367-'Сводка'!$B$11,-1)</x:f>
        <x:v>46203</x:v>
      </x:c>
      <x:c r="U367" s="4" t="n">
        <x:f>MATCH(J367,'Сводка'!$R$3:$R$397,0)</x:f>
        <x:v>378</x:v>
      </x:c>
      <x:c r="V367" s="4" t="n">
        <x:f>MATCH(J367-'Сводка'!$B$11,'Сводка'!$R$3:$R$397,0)</x:f>
        <x:v>377</x:v>
      </x:c>
      <x:c r="W367" s="4" t="n">
        <x:f>MATCH(T367,$J$388:$J$400,0)</x:f>
        <x:v>13</x:v>
      </x:c>
      <x:c r="X367" s="3"/>
      <x:c r="Y367" s="3"/>
      <x:c r="Z367" s="3"/>
    </x:row>
    <x:row r="368" ht="15" customHeight="1">
      <x:c r="A368" s="3"/>
      <x:c r="B368" s="3"/>
      <x:c r="C368" s="3"/>
      <x:c r="D368" s="3"/>
      <x:c r="E368" s="3"/>
      <x:c r="F368" s="3"/>
      <x:c r="G368" s="3"/>
      <x:c r="H368" s="3"/>
      <x:c r="I368" s="3"/>
      <x:c r="J368" s="10" t="n">
        <x:v>46219</x:v>
      </x:c>
      <x:c r="K368" s="8" t="n">
        <x:f>INDEX('Сводка'!$S$3:$S$397,U368)</x:f>
        <x:v>225</x:v>
      </x:c>
      <x:c r="L368" s="8" t="n">
        <x:f>INDEX('Сводка'!$S$3:$S$397,V368)</x:f>
        <x:v>206</x:v>
      </x:c>
      <x:c r="M368" s="8" t="n">
        <x:f>INDEX($K$388:$N$400,W368,1)+INDEX($K$388:$N$400,W368,2)*(2*(J368-$T$405)/(T368-$T$405)-1)^1+INDEX($K$388:$N$400,W368,3)*(2*(J368-$T$405)/(T368-$T$405)-1)^2+INDEX($K$388:$N$400,W368,4)*(2*(J368-$T$405)/(T368-$T$405)-1)^3</x:f>
        <x:v>94.08715590495154</x:v>
      </x:c>
      <x:c r="N368" s="8" t="n">
        <x:f>K368-M368</x:f>
        <x:v>130.91284409504846</x:v>
      </x:c>
      <x:c r="O368" s="8" t="n">
        <x:f>ABS(N368)</x:f>
        <x:v>130.91284409504846</x:v>
      </x:c>
      <x:c r="P368" s="8" t="n">
        <x:f>N368^2</x:f>
        <x:v>17138.17274905446</x:v>
      </x:c>
      <x:c r="Q368" s="8" t="n">
        <x:f>K368-L368</x:f>
        <x:v>19</x:v>
      </x:c>
      <x:c r="R368" s="9" t="n">
        <x:f>IF(AND(INDEX('Сводка'!$T$3:$T$397,U368)=0,INDEX('Сводка'!$T$3:$T$397,V368)=0),1,0)</x:f>
        <x:v>1</x:v>
      </x:c>
      <x:c r="S368" s="9" t="n">
        <x:f>IF(AND(R368=1,O368&lt;=$G$13),1,0)</x:f>
        <x:v>0</x:v>
      </x:c>
      <x:c r="T368" s="10" t="n">
        <x:f>EOMONTH(J368-'Сводка'!$B$11,-1)</x:f>
        <x:v>46203</x:v>
      </x:c>
      <x:c r="U368" s="4" t="n">
        <x:f>MATCH(J368,'Сводка'!$R$3:$R$397,0)</x:f>
        <x:v>379</x:v>
      </x:c>
      <x:c r="V368" s="4" t="n">
        <x:f>MATCH(J368-'Сводка'!$B$11,'Сводка'!$R$3:$R$397,0)</x:f>
        <x:v>378</x:v>
      </x:c>
      <x:c r="W368" s="4" t="n">
        <x:f>MATCH(T368,$J$388:$J$400,0)</x:f>
        <x:v>13</x:v>
      </x:c>
      <x:c r="X368" s="3"/>
      <x:c r="Y368" s="3"/>
      <x:c r="Z368" s="3"/>
    </x:row>
    <x:row r="369" ht="15" customHeight="1">
      <x:c r="A369" s="3"/>
      <x:c r="B369" s="3"/>
      <x:c r="C369" s="3"/>
      <x:c r="D369" s="3"/>
      <x:c r="E369" s="3"/>
      <x:c r="F369" s="3"/>
      <x:c r="G369" s="3"/>
      <x:c r="H369" s="3"/>
      <x:c r="I369" s="3"/>
      <x:c r="J369" s="10" t="n">
        <x:v>46220</x:v>
      </x:c>
      <x:c r="K369" s="8" t="n">
        <x:f>INDEX('Сводка'!$S$3:$S$397,U369)</x:f>
        <x:v>245</x:v>
      </x:c>
      <x:c r="L369" s="8" t="n">
        <x:f>INDEX('Сводка'!$S$3:$S$397,V369)</x:f>
        <x:v>225</x:v>
      </x:c>
      <x:c r="M369" s="8" t="n">
        <x:f>INDEX($K$388:$N$400,W369,1)+INDEX($K$388:$N$400,W369,2)*(2*(J369-$T$405)/(T369-$T$405)-1)^1+INDEX($K$388:$N$400,W369,3)*(2*(J369-$T$405)/(T369-$T$405)-1)^2+INDEX($K$388:$N$400,W369,4)*(2*(J369-$T$405)/(T369-$T$405)-1)^3</x:f>
        <x:v>94.04923549140096</x:v>
      </x:c>
      <x:c r="N369" s="8" t="n">
        <x:f>K369-M369</x:f>
        <x:v>150.95076450859904</x:v>
      </x:c>
      <x:c r="O369" s="8" t="n">
        <x:f>ABS(N369)</x:f>
        <x:v>150.95076450859904</x:v>
      </x:c>
      <x:c r="P369" s="8" t="n">
        <x:f>N369^2</x:f>
        <x:v>22786.133305730524</x:v>
      </x:c>
      <x:c r="Q369" s="8" t="n">
        <x:f>K369-L369</x:f>
        <x:v>20</x:v>
      </x:c>
      <x:c r="R369" s="9" t="n">
        <x:f>IF(AND(INDEX('Сводка'!$T$3:$T$397,U369)=0,INDEX('Сводка'!$T$3:$T$397,V369)=0),1,0)</x:f>
        <x:v>1</x:v>
      </x:c>
      <x:c r="S369" s="9" t="n">
        <x:f>IF(AND(R369=1,O369&lt;=$G$13),1,0)</x:f>
        <x:v>0</x:v>
      </x:c>
      <x:c r="T369" s="10" t="n">
        <x:f>EOMONTH(J369-'Сводка'!$B$11,-1)</x:f>
        <x:v>46203</x:v>
      </x:c>
      <x:c r="U369" s="4" t="n">
        <x:f>MATCH(J369,'Сводка'!$R$3:$R$397,0)</x:f>
        <x:v>380</x:v>
      </x:c>
      <x:c r="V369" s="4" t="n">
        <x:f>MATCH(J369-'Сводка'!$B$11,'Сводка'!$R$3:$R$397,0)</x:f>
        <x:v>379</x:v>
      </x:c>
      <x:c r="W369" s="4" t="n">
        <x:f>MATCH(T369,$J$388:$J$400,0)</x:f>
        <x:v>13</x:v>
      </x:c>
      <x:c r="X369" s="3"/>
      <x:c r="Y369" s="3"/>
      <x:c r="Z369" s="3"/>
    </x:row>
    <x:row r="370" ht="15" customHeight="1">
      <x:c r="A370" s="3"/>
      <x:c r="B370" s="3"/>
      <x:c r="C370" s="3"/>
      <x:c r="D370" s="3"/>
      <x:c r="E370" s="3"/>
      <x:c r="F370" s="3"/>
      <x:c r="G370" s="3"/>
      <x:c r="H370" s="3"/>
      <x:c r="I370" s="3"/>
      <x:c r="J370" s="10" t="n">
        <x:v>46221</x:v>
      </x:c>
      <x:c r="K370" s="8" t="n">
        <x:f>INDEX('Сводка'!$S$3:$S$397,U370)</x:f>
        <x:v>266</x:v>
      </x:c>
      <x:c r="L370" s="8" t="n">
        <x:f>INDEX('Сводка'!$S$3:$S$397,V370)</x:f>
        <x:v>245</x:v>
      </x:c>
      <x:c r="M370" s="8" t="n">
        <x:f>INDEX($K$388:$N$400,W370,1)+INDEX($K$388:$N$400,W370,2)*(2*(J370-$T$405)/(T370-$T$405)-1)^1+INDEX($K$388:$N$400,W370,3)*(2*(J370-$T$405)/(T370-$T$405)-1)^2+INDEX($K$388:$N$400,W370,4)*(2*(J370-$T$405)/(T370-$T$405)-1)^3</x:f>
        <x:v>94.01129299598392</x:v>
      </x:c>
      <x:c r="N370" s="8" t="n">
        <x:f>K370-M370</x:f>
        <x:v>171.98870700401608</x:v>
      </x:c>
      <x:c r="O370" s="8" t="n">
        <x:f>ABS(N370)</x:f>
        <x:v>171.98870700401608</x:v>
      </x:c>
      <x:c r="P370" s="8" t="n">
        <x:f>N370^2</x:f>
        <x:v>29580.115336913288</x:v>
      </x:c>
      <x:c r="Q370" s="8" t="n">
        <x:f>K370-L370</x:f>
        <x:v>21</x:v>
      </x:c>
      <x:c r="R370" s="9" t="n">
        <x:f>IF(AND(INDEX('Сводка'!$T$3:$T$397,U370)=0,INDEX('Сводка'!$T$3:$T$397,V370)=0),1,0)</x:f>
        <x:v>1</x:v>
      </x:c>
      <x:c r="S370" s="9" t="n">
        <x:f>IF(AND(R370=1,O370&lt;=$G$13),1,0)</x:f>
        <x:v>0</x:v>
      </x:c>
      <x:c r="T370" s="10" t="n">
        <x:f>EOMONTH(J370-'Сводка'!$B$11,-1)</x:f>
        <x:v>46203</x:v>
      </x:c>
      <x:c r="U370" s="4" t="n">
        <x:f>MATCH(J370,'Сводка'!$R$3:$R$397,0)</x:f>
        <x:v>381</x:v>
      </x:c>
      <x:c r="V370" s="4" t="n">
        <x:f>MATCH(J370-'Сводка'!$B$11,'Сводка'!$R$3:$R$397,0)</x:f>
        <x:v>380</x:v>
      </x:c>
      <x:c r="W370" s="4" t="n">
        <x:f>MATCH(T370,$J$388:$J$400,0)</x:f>
        <x:v>13</x:v>
      </x:c>
      <x:c r="X370" s="3"/>
      <x:c r="Y370" s="3"/>
      <x:c r="Z370" s="3"/>
    </x:row>
    <x:row r="371" ht="15" customHeight="1">
      <x:c r="A371" s="3"/>
      <x:c r="B371" s="3"/>
      <x:c r="C371" s="3"/>
      <x:c r="D371" s="3"/>
      <x:c r="E371" s="3"/>
      <x:c r="F371" s="3"/>
      <x:c r="G371" s="3"/>
      <x:c r="H371" s="3"/>
      <x:c r="I371" s="3"/>
      <x:c r="J371" s="10" t="n">
        <x:v>46222</x:v>
      </x:c>
      <x:c r="K371" s="8" t="n">
        <x:f>INDEX('Сводка'!$S$3:$S$397,U371)</x:f>
        <x:v>281</x:v>
      </x:c>
      <x:c r="L371" s="8" t="n">
        <x:f>INDEX('Сводка'!$S$3:$S$397,V371)</x:f>
        <x:v>266</x:v>
      </x:c>
      <x:c r="M371" s="8" t="n">
        <x:f>INDEX($K$388:$N$400,W371,1)+INDEX($K$388:$N$400,W371,2)*(2*(J371-$T$405)/(T371-$T$405)-1)^1+INDEX($K$388:$N$400,W371,3)*(2*(J371-$T$405)/(T371-$T$405)-1)^2+INDEX($K$388:$N$400,W371,4)*(2*(J371-$T$405)/(T371-$T$405)-1)^3</x:f>
        <x:v>93.97332841537006</x:v>
      </x:c>
      <x:c r="N371" s="8" t="n">
        <x:f>K371-M371</x:f>
        <x:v>187.02667158462992</x:v>
      </x:c>
      <x:c r="O371" s="8" t="n">
        <x:f>ABS(N371)</x:f>
        <x:v>187.02667158462992</x:v>
      </x:c>
      <x:c r="P371" s="8" t="n">
        <x:f>N371^2</x:f>
        <x:v>34978.97588402502</x:v>
      </x:c>
      <x:c r="Q371" s="8" t="n">
        <x:f>K371-L371</x:f>
        <x:v>15</x:v>
      </x:c>
      <x:c r="R371" s="9" t="n">
        <x:f>IF(AND(INDEX('Сводка'!$T$3:$T$397,U371)=0,INDEX('Сводка'!$T$3:$T$397,V371)=0),1,0)</x:f>
        <x:v>1</x:v>
      </x:c>
      <x:c r="S371" s="9" t="n">
        <x:f>IF(AND(R371=1,O371&lt;=$G$13),1,0)</x:f>
        <x:v>0</x:v>
      </x:c>
      <x:c r="T371" s="10" t="n">
        <x:f>EOMONTH(J371-'Сводка'!$B$11,-1)</x:f>
        <x:v>46203</x:v>
      </x:c>
      <x:c r="U371" s="4" t="n">
        <x:f>MATCH(J371,'Сводка'!$R$3:$R$397,0)</x:f>
        <x:v>382</x:v>
      </x:c>
      <x:c r="V371" s="4" t="n">
        <x:f>MATCH(J371-'Сводка'!$B$11,'Сводка'!$R$3:$R$397,0)</x:f>
        <x:v>381</x:v>
      </x:c>
      <x:c r="W371" s="4" t="n">
        <x:f>MATCH(T371,$J$388:$J$400,0)</x:f>
        <x:v>13</x:v>
      </x:c>
      <x:c r="X371" s="3"/>
      <x:c r="Y371" s="3"/>
      <x:c r="Z371" s="3"/>
    </x:row>
    <x:row r="372" ht="15" customHeight="1">
      <x:c r="A372" s="3"/>
      <x:c r="B372" s="3"/>
      <x:c r="C372" s="3"/>
      <x:c r="D372" s="3"/>
      <x:c r="E372" s="3"/>
      <x:c r="F372" s="3"/>
      <x:c r="G372" s="3"/>
      <x:c r="H372" s="3"/>
      <x:c r="I372" s="3"/>
      <x:c r="J372" s="10" t="n">
        <x:v>46223</x:v>
      </x:c>
      <x:c r="K372" s="8" t="n">
        <x:f>INDEX('Сводка'!$S$3:$S$397,U372)</x:f>
        <x:v>292</x:v>
      </x:c>
      <x:c r="L372" s="8" t="n">
        <x:f>INDEX('Сводка'!$S$3:$S$397,V372)</x:f>
        <x:v>281</x:v>
      </x:c>
      <x:c r="M372" s="8" t="n">
        <x:f>INDEX($K$388:$N$400,W372,1)+INDEX($K$388:$N$400,W372,2)*(2*(J372-$T$405)/(T372-$T$405)-1)^1+INDEX($K$388:$N$400,W372,3)*(2*(J372-$T$405)/(T372-$T$405)-1)^2+INDEX($K$388:$N$400,W372,4)*(2*(J372-$T$405)/(T372-$T$405)-1)^3</x:f>
        <x:v>93.93534174622933</x:v>
      </x:c>
      <x:c r="N372" s="8" t="n">
        <x:f>K372-M372</x:f>
        <x:v>198.0646582537707</x:v>
      </x:c>
      <x:c r="O372" s="8" t="n">
        <x:f>ABS(N372)</x:f>
        <x:v>198.0646582537707</x:v>
      </x:c>
      <x:c r="P372" s="8" t="n">
        <x:f>N372^2</x:f>
        <x:v>39229.60884918297</x:v>
      </x:c>
      <x:c r="Q372" s="8" t="n">
        <x:f>K372-L372</x:f>
        <x:v>11</x:v>
      </x:c>
      <x:c r="R372" s="9" t="n">
        <x:f>IF(AND(INDEX('Сводка'!$T$3:$T$397,U372)=0,INDEX('Сводка'!$T$3:$T$397,V372)=0),1,0)</x:f>
        <x:v>1</x:v>
      </x:c>
      <x:c r="S372" s="9" t="n">
        <x:f>IF(AND(R372=1,O372&lt;=$G$13),1,0)</x:f>
        <x:v>0</x:v>
      </x:c>
      <x:c r="T372" s="10" t="n">
        <x:f>EOMONTH(J372-'Сводка'!$B$11,-1)</x:f>
        <x:v>46203</x:v>
      </x:c>
      <x:c r="U372" s="4" t="n">
        <x:f>MATCH(J372,'Сводка'!$R$3:$R$397,0)</x:f>
        <x:v>383</x:v>
      </x:c>
      <x:c r="V372" s="4" t="n">
        <x:f>MATCH(J372-'Сводка'!$B$11,'Сводка'!$R$3:$R$397,0)</x:f>
        <x:v>382</x:v>
      </x:c>
      <x:c r="W372" s="4" t="n">
        <x:f>MATCH(T372,$J$388:$J$400,0)</x:f>
        <x:v>13</x:v>
      </x:c>
      <x:c r="X372" s="3"/>
      <x:c r="Y372" s="3"/>
      <x:c r="Z372" s="3"/>
    </x:row>
    <x:row r="373" ht="15" customHeight="1">
      <x:c r="A373" s="3"/>
      <x:c r="B373" s="3"/>
      <x:c r="C373" s="3"/>
      <x:c r="D373" s="3"/>
      <x:c r="E373" s="3"/>
      <x:c r="F373" s="3"/>
      <x:c r="G373" s="3"/>
      <x:c r="H373" s="3"/>
      <x:c r="I373" s="3"/>
      <x:c r="J373" s="10" t="n">
        <x:v>46224</x:v>
      </x:c>
      <x:c r="K373" s="8" t="n">
        <x:f>INDEX('Сводка'!$S$3:$S$397,U373)</x:f>
        <x:v>303</x:v>
      </x:c>
      <x:c r="L373" s="8" t="n">
        <x:f>INDEX('Сводка'!$S$3:$S$397,V373)</x:f>
        <x:v>292</x:v>
      </x:c>
      <x:c r="M373" s="8" t="n">
        <x:f>INDEX($K$388:$N$400,W373,1)+INDEX($K$388:$N$400,W373,2)*(2*(J373-$T$405)/(T373-$T$405)-1)^1+INDEX($K$388:$N$400,W373,3)*(2*(J373-$T$405)/(T373-$T$405)-1)^2+INDEX($K$388:$N$400,W373,4)*(2*(J373-$T$405)/(T373-$T$405)-1)^3</x:f>
        <x:v>93.89733298523151</x:v>
      </x:c>
      <x:c r="N373" s="8" t="n">
        <x:f>K373-M373</x:f>
        <x:v>209.10266701476849</x:v>
      </x:c>
      <x:c r="O373" s="8" t="n">
        <x:f>ABS(N373)</x:f>
        <x:v>209.10266701476849</x:v>
      </x:c>
      <x:c r="P373" s="8" t="n">
        <x:f>N373^2</x:f>
        <x:v>43723.92535268915</x:v>
      </x:c>
      <x:c r="Q373" s="8" t="n">
        <x:f>K373-L373</x:f>
        <x:v>11</x:v>
      </x:c>
      <x:c r="R373" s="9" t="n">
        <x:f>IF(AND(INDEX('Сводка'!$T$3:$T$397,U373)=0,INDEX('Сводка'!$T$3:$T$397,V373)=0),1,0)</x:f>
        <x:v>1</x:v>
      </x:c>
      <x:c r="S373" s="9" t="n">
        <x:f>IF(AND(R373=1,O373&lt;=$G$13),1,0)</x:f>
        <x:v>0</x:v>
      </x:c>
      <x:c r="T373" s="10" t="n">
        <x:f>EOMONTH(J373-'Сводка'!$B$11,-1)</x:f>
        <x:v>46203</x:v>
      </x:c>
      <x:c r="U373" s="4" t="n">
        <x:f>MATCH(J373,'Сводка'!$R$3:$R$397,0)</x:f>
        <x:v>384</x:v>
      </x:c>
      <x:c r="V373" s="4" t="n">
        <x:f>MATCH(J373-'Сводка'!$B$11,'Сводка'!$R$3:$R$397,0)</x:f>
        <x:v>383</x:v>
      </x:c>
      <x:c r="W373" s="4" t="n">
        <x:f>MATCH(T373,$J$388:$J$400,0)</x:f>
        <x:v>13</x:v>
      </x:c>
      <x:c r="X373" s="3"/>
      <x:c r="Y373" s="3"/>
      <x:c r="Z373" s="3"/>
    </x:row>
    <x:row r="374" ht="15" customHeight="1">
      <x:c r="A374" s="3"/>
      <x:c r="B374" s="3"/>
      <x:c r="C374" s="3"/>
      <x:c r="D374" s="3"/>
      <x:c r="E374" s="3"/>
      <x:c r="F374" s="3"/>
      <x:c r="G374" s="3"/>
      <x:c r="H374" s="3"/>
      <x:c r="I374" s="3"/>
      <x:c r="J374" s="10" t="n">
        <x:v>46225</x:v>
      </x:c>
      <x:c r="K374" s="8" t="n">
        <x:f>INDEX('Сводка'!$S$3:$S$397,U374)</x:f>
        <x:v>311</x:v>
      </x:c>
      <x:c r="L374" s="8" t="n">
        <x:f>INDEX('Сводка'!$S$3:$S$397,V374)</x:f>
        <x:v>303</x:v>
      </x:c>
      <x:c r="M374" s="8" t="n">
        <x:f>INDEX($K$388:$N$400,W374,1)+INDEX($K$388:$N$400,W374,2)*(2*(J374-$T$405)/(T374-$T$405)-1)^1+INDEX($K$388:$N$400,W374,3)*(2*(J374-$T$405)/(T374-$T$405)-1)^2+INDEX($K$388:$N$400,W374,4)*(2*(J374-$T$405)/(T374-$T$405)-1)^3</x:f>
        <x:v>93.85930212904637</x:v>
      </x:c>
      <x:c r="N374" s="8" t="n">
        <x:f>K374-M374</x:f>
        <x:v>217.14069787095363</x:v>
      </x:c>
      <x:c r="O374" s="8" t="n">
        <x:f>ABS(N374)</x:f>
        <x:v>217.14069787095363</x:v>
      </x:c>
      <x:c r="P374" s="8" t="n">
        <x:f>N374^2</x:f>
        <x:v>47150.08267188477</x:v>
      </x:c>
      <x:c r="Q374" s="8" t="n">
        <x:f>K374-L374</x:f>
        <x:v>8</x:v>
      </x:c>
      <x:c r="R374" s="9" t="n">
        <x:f>IF(AND(INDEX('Сводка'!$T$3:$T$397,U374)=0,INDEX('Сводка'!$T$3:$T$397,V374)=0),1,0)</x:f>
        <x:v>1</x:v>
      </x:c>
      <x:c r="S374" s="9" t="n">
        <x:f>IF(AND(R374=1,O374&lt;=$G$13),1,0)</x:f>
        <x:v>0</x:v>
      </x:c>
      <x:c r="T374" s="10" t="n">
        <x:f>EOMONTH(J374-'Сводка'!$B$11,-1)</x:f>
        <x:v>46203</x:v>
      </x:c>
      <x:c r="U374" s="4" t="n">
        <x:f>MATCH(J374,'Сводка'!$R$3:$R$397,0)</x:f>
        <x:v>385</x:v>
      </x:c>
      <x:c r="V374" s="4" t="n">
        <x:f>MATCH(J374-'Сводка'!$B$11,'Сводка'!$R$3:$R$397,0)</x:f>
        <x:v>384</x:v>
      </x:c>
      <x:c r="W374" s="4" t="n">
        <x:f>MATCH(T374,$J$388:$J$400,0)</x:f>
        <x:v>13</x:v>
      </x:c>
      <x:c r="X374" s="3"/>
      <x:c r="Y374" s="3"/>
      <x:c r="Z374" s="3"/>
    </x:row>
    <x:row r="375" ht="15" customHeight="1">
      <x:c r="A375" s="3"/>
      <x:c r="B375" s="3"/>
      <x:c r="C375" s="3"/>
      <x:c r="D375" s="3"/>
      <x:c r="E375" s="3"/>
      <x:c r="F375" s="3"/>
      <x:c r="G375" s="3"/>
      <x:c r="H375" s="3"/>
      <x:c r="I375" s="3"/>
      <x:c r="J375" s="10" t="n">
        <x:v>46226</x:v>
      </x:c>
      <x:c r="K375" s="8" t="n">
        <x:f>INDEX('Сводка'!$S$3:$S$397,U375)</x:f>
        <x:v>328</x:v>
      </x:c>
      <x:c r="L375" s="8" t="n">
        <x:f>INDEX('Сводка'!$S$3:$S$397,V375)</x:f>
        <x:v>311</x:v>
      </x:c>
      <x:c r="M375" s="8" t="n">
        <x:f>INDEX($K$388:$N$400,W375,1)+INDEX($K$388:$N$400,W375,2)*(2*(J375-$T$405)/(T375-$T$405)-1)^1+INDEX($K$388:$N$400,W375,3)*(2*(J375-$T$405)/(T375-$T$405)-1)^2+INDEX($K$388:$N$400,W375,4)*(2*(J375-$T$405)/(T375-$T$405)-1)^3</x:f>
        <x:v>93.82124917434373</x:v>
      </x:c>
      <x:c r="N375" s="8" t="n">
        <x:f>K375-M375</x:f>
        <x:v>234.17875082565627</x:v>
      </x:c>
      <x:c r="O375" s="8" t="n">
        <x:f>ABS(N375)</x:f>
        <x:v>234.17875082565627</x:v>
      </x:c>
      <x:c r="P375" s="8" t="n">
        <x:f>N375^2</x:f>
        <x:v>54839.687338264805</x:v>
      </x:c>
      <x:c r="Q375" s="8" t="n">
        <x:f>K375-L375</x:f>
        <x:v>17</x:v>
      </x:c>
      <x:c r="R375" s="9" t="n">
        <x:f>IF(AND(INDEX('Сводка'!$T$3:$T$397,U375)=0,INDEX('Сводка'!$T$3:$T$397,V375)=0),1,0)</x:f>
        <x:v>1</x:v>
      </x:c>
      <x:c r="S375" s="9" t="n">
        <x:f>IF(AND(R375=1,O375&lt;=$G$13),1,0)</x:f>
        <x:v>0</x:v>
      </x:c>
      <x:c r="T375" s="10" t="n">
        <x:f>EOMONTH(J375-'Сводка'!$B$11,-1)</x:f>
        <x:v>46203</x:v>
      </x:c>
      <x:c r="U375" s="4" t="n">
        <x:f>MATCH(J375,'Сводка'!$R$3:$R$397,0)</x:f>
        <x:v>386</x:v>
      </x:c>
      <x:c r="V375" s="4" t="n">
        <x:f>MATCH(J375-'Сводка'!$B$11,'Сводка'!$R$3:$R$397,0)</x:f>
        <x:v>385</x:v>
      </x:c>
      <x:c r="W375" s="4" t="n">
        <x:f>MATCH(T375,$J$388:$J$400,0)</x:f>
        <x:v>13</x:v>
      </x:c>
      <x:c r="X375" s="3"/>
      <x:c r="Y375" s="3"/>
      <x:c r="Z375" s="3"/>
    </x:row>
    <x:row r="376" ht="15" customHeight="1">
      <x:c r="A376" s="3"/>
      <x:c r="B376" s="3"/>
      <x:c r="C376" s="3"/>
      <x:c r="D376" s="3"/>
      <x:c r="E376" s="3"/>
      <x:c r="F376" s="3"/>
      <x:c r="G376" s="3"/>
      <x:c r="H376" s="3"/>
      <x:c r="I376" s="3"/>
      <x:c r="J376" s="10" t="n">
        <x:v>46227</x:v>
      </x:c>
      <x:c r="K376" s="8" t="n">
        <x:f>INDEX('Сводка'!$S$3:$S$397,U376)</x:f>
        <x:v>340</x:v>
      </x:c>
      <x:c r="L376" s="8" t="n">
        <x:f>INDEX('Сводка'!$S$3:$S$397,V376)</x:f>
        <x:v>328</x:v>
      </x:c>
      <x:c r="M376" s="8" t="n">
        <x:f>INDEX($K$388:$N$400,W376,1)+INDEX($K$388:$N$400,W376,2)*(2*(J376-$T$405)/(T376-$T$405)-1)^1+INDEX($K$388:$N$400,W376,3)*(2*(J376-$T$405)/(T376-$T$405)-1)^2+INDEX($K$388:$N$400,W376,4)*(2*(J376-$T$405)/(T376-$T$405)-1)^3</x:f>
        <x:v>93.7831741177935</x:v>
      </x:c>
      <x:c r="N376" s="8" t="n">
        <x:f>K376-M376</x:f>
        <x:v>246.2168258822065</x:v>
      </x:c>
      <x:c r="O376" s="8" t="n">
        <x:f>ABS(N376)</x:f>
        <x:v>246.2168258822065</x:v>
      </x:c>
      <x:c r="P376" s="8" t="n">
        <x:f>N376^2</x:f>
        <x:v>60622.72534750879</x:v>
      </x:c>
      <x:c r="Q376" s="8" t="n">
        <x:f>K376-L376</x:f>
        <x:v>12</x:v>
      </x:c>
      <x:c r="R376" s="9" t="n">
        <x:f>IF(AND(INDEX('Сводка'!$T$3:$T$397,U376)=0,INDEX('Сводка'!$T$3:$T$397,V376)=0),1,0)</x:f>
        <x:v>1</x:v>
      </x:c>
      <x:c r="S376" s="9" t="n">
        <x:f>IF(AND(R376=1,O376&lt;=$G$13),1,0)</x:f>
        <x:v>0</x:v>
      </x:c>
      <x:c r="T376" s="10" t="n">
        <x:f>EOMONTH(J376-'Сводка'!$B$11,-1)</x:f>
        <x:v>46203</x:v>
      </x:c>
      <x:c r="U376" s="4" t="n">
        <x:f>MATCH(J376,'Сводка'!$R$3:$R$397,0)</x:f>
        <x:v>387</x:v>
      </x:c>
      <x:c r="V376" s="4" t="n">
        <x:f>MATCH(J376-'Сводка'!$B$11,'Сводка'!$R$3:$R$397,0)</x:f>
        <x:v>386</x:v>
      </x:c>
      <x:c r="W376" s="4" t="n">
        <x:f>MATCH(T376,$J$388:$J$400,0)</x:f>
        <x:v>13</x:v>
      </x:c>
      <x:c r="X376" s="3"/>
      <x:c r="Y376" s="3"/>
      <x:c r="Z376" s="3"/>
    </x:row>
    <x:row r="377" ht="15" customHeight="1">
      <x:c r="A377" s="3"/>
      <x:c r="B377" s="3"/>
      <x:c r="C377" s="3"/>
      <x:c r="D377" s="3"/>
      <x:c r="E377" s="3"/>
      <x:c r="F377" s="3"/>
      <x:c r="G377" s="3"/>
      <x:c r="H377" s="3"/>
      <x:c r="I377" s="3"/>
      <x:c r="J377" s="10" t="n">
        <x:v>46228</x:v>
      </x:c>
      <x:c r="K377" s="8" t="n">
        <x:f>INDEX('Сводка'!$S$3:$S$397,U377)</x:f>
        <x:v>350</x:v>
      </x:c>
      <x:c r="L377" s="8" t="n">
        <x:f>INDEX('Сводка'!$S$3:$S$397,V377)</x:f>
        <x:v>340</x:v>
      </x:c>
      <x:c r="M377" s="8" t="n">
        <x:f>INDEX($K$388:$N$400,W377,1)+INDEX($K$388:$N$400,W377,2)*(2*(J377-$T$405)/(T377-$T$405)-1)^1+INDEX($K$388:$N$400,W377,3)*(2*(J377-$T$405)/(T377-$T$405)-1)^2+INDEX($K$388:$N$400,W377,4)*(2*(J377-$T$405)/(T377-$T$405)-1)^3</x:f>
        <x:v>93.74507695606535</x:v>
      </x:c>
      <x:c r="N377" s="8" t="n">
        <x:f>K377-M377</x:f>
        <x:v>256.25492304393464</x:v>
      </x:c>
      <x:c r="O377" s="8" t="n">
        <x:f>ABS(N377)</x:f>
        <x:v>256.25492304393464</x:v>
      </x:c>
      <x:c r="P377" s="8" t="n">
        <x:f>N377^2</x:f>
        <x:v>65666.58558425287</x:v>
      </x:c>
      <x:c r="Q377" s="8" t="n">
        <x:f>K377-L377</x:f>
        <x:v>10</x:v>
      </x:c>
      <x:c r="R377" s="9" t="n">
        <x:f>IF(AND(INDEX('Сводка'!$T$3:$T$397,U377)=0,INDEX('Сводка'!$T$3:$T$397,V377)=0),1,0)</x:f>
        <x:v>1</x:v>
      </x:c>
      <x:c r="S377" s="9" t="n">
        <x:f>IF(AND(R377=1,O377&lt;=$G$13),1,0)</x:f>
        <x:v>0</x:v>
      </x:c>
      <x:c r="T377" s="10" t="n">
        <x:f>EOMONTH(J377-'Сводка'!$B$11,-1)</x:f>
        <x:v>46203</x:v>
      </x:c>
      <x:c r="U377" s="4" t="n">
        <x:f>MATCH(J377,'Сводка'!$R$3:$R$397,0)</x:f>
        <x:v>388</x:v>
      </x:c>
      <x:c r="V377" s="4" t="n">
        <x:f>MATCH(J377-'Сводка'!$B$11,'Сводка'!$R$3:$R$397,0)</x:f>
        <x:v>387</x:v>
      </x:c>
      <x:c r="W377" s="4" t="n">
        <x:f>MATCH(T377,$J$388:$J$400,0)</x:f>
        <x:v>13</x:v>
      </x:c>
      <x:c r="X377" s="3"/>
      <x:c r="Y377" s="3"/>
      <x:c r="Z377" s="3"/>
    </x:row>
    <x:row r="378" ht="15" customHeight="1">
      <x:c r="A378" s="3"/>
      <x:c r="B378" s="3"/>
      <x:c r="C378" s="3"/>
      <x:c r="D378" s="3"/>
      <x:c r="E378" s="3"/>
      <x:c r="F378" s="3"/>
      <x:c r="G378" s="3"/>
      <x:c r="H378" s="3"/>
      <x:c r="I378" s="3"/>
      <x:c r="J378" s="10" t="n">
        <x:v>46229</x:v>
      </x:c>
      <x:c r="K378" s="8" t="n">
        <x:f>INDEX('Сводка'!$S$3:$S$397,U378)</x:f>
        <x:v>361</x:v>
      </x:c>
      <x:c r="L378" s="8" t="n">
        <x:f>INDEX('Сводка'!$S$3:$S$397,V378)</x:f>
        <x:v>350</x:v>
      </x:c>
      <x:c r="M378" s="8" t="n">
        <x:f>INDEX($K$388:$N$400,W378,1)+INDEX($K$388:$N$400,W378,2)*(2*(J378-$T$405)/(T378-$T$405)-1)^1+INDEX($K$388:$N$400,W378,3)*(2*(J378-$T$405)/(T378-$T$405)-1)^2+INDEX($K$388:$N$400,W378,4)*(2*(J378-$T$405)/(T378-$T$405)-1)^3</x:f>
        <x:v>93.70695768582908</x:v>
      </x:c>
      <x:c r="N378" s="8" t="n">
        <x:f>K378-M378</x:f>
        <x:v>267.2930423141709</x:v>
      </x:c>
      <x:c r="O378" s="8" t="n">
        <x:f>ABS(N378)</x:f>
        <x:v>267.2930423141709</x:v>
      </x:c>
      <x:c r="P378" s="8" t="n">
        <x:f>N378^2</x:f>
        <x:v>71445.57046956517</x:v>
      </x:c>
      <x:c r="Q378" s="8" t="n">
        <x:f>K378-L378</x:f>
        <x:v>11</x:v>
      </x:c>
      <x:c r="R378" s="9" t="n">
        <x:f>IF(AND(INDEX('Сводка'!$T$3:$T$397,U378)=0,INDEX('Сводка'!$T$3:$T$397,V378)=0),1,0)</x:f>
        <x:v>1</x:v>
      </x:c>
      <x:c r="S378" s="9" t="n">
        <x:f>IF(AND(R378=1,O378&lt;=$G$13),1,0)</x:f>
        <x:v>0</x:v>
      </x:c>
      <x:c r="T378" s="10" t="n">
        <x:f>EOMONTH(J378-'Сводка'!$B$11,-1)</x:f>
        <x:v>46203</x:v>
      </x:c>
      <x:c r="U378" s="4" t="n">
        <x:f>MATCH(J378,'Сводка'!$R$3:$R$397,0)</x:f>
        <x:v>389</x:v>
      </x:c>
      <x:c r="V378" s="4" t="n">
        <x:f>MATCH(J378-'Сводка'!$B$11,'Сводка'!$R$3:$R$397,0)</x:f>
        <x:v>388</x:v>
      </x:c>
      <x:c r="W378" s="4" t="n">
        <x:f>MATCH(T378,$J$388:$J$400,0)</x:f>
        <x:v>13</x:v>
      </x:c>
      <x:c r="X378" s="3"/>
      <x:c r="Y378" s="3"/>
      <x:c r="Z378" s="3"/>
    </x:row>
    <x:row r="379" ht="15" customHeight="1">
      <x:c r="A379" s="3"/>
      <x:c r="B379" s="3"/>
      <x:c r="C379" s="3"/>
      <x:c r="D379" s="3"/>
      <x:c r="E379" s="3"/>
      <x:c r="F379" s="3"/>
      <x:c r="G379" s="3"/>
      <x:c r="H379" s="3"/>
      <x:c r="I379" s="3"/>
      <x:c r="J379" s="10" t="n">
        <x:v>46230</x:v>
      </x:c>
      <x:c r="K379" s="8" t="n">
        <x:f>INDEX('Сводка'!$S$3:$S$397,U379)</x:f>
        <x:v>369</x:v>
      </x:c>
      <x:c r="L379" s="8" t="n">
        <x:f>INDEX('Сводка'!$S$3:$S$397,V379)</x:f>
        <x:v>361</x:v>
      </x:c>
      <x:c r="M379" s="8" t="n">
        <x:f>INDEX($K$388:$N$400,W379,1)+INDEX($K$388:$N$400,W379,2)*(2*(J379-$T$405)/(T379-$T$405)-1)^1+INDEX($K$388:$N$400,W379,3)*(2*(J379-$T$405)/(T379-$T$405)-1)^2+INDEX($K$388:$N$400,W379,4)*(2*(J379-$T$405)/(T379-$T$405)-1)^3</x:f>
        <x:v>93.66881630375465</x:v>
      </x:c>
      <x:c r="N379" s="8" t="n">
        <x:f>K379-M379</x:f>
        <x:v>275.3311836962454</x:v>
      </x:c>
      <x:c r="O379" s="8" t="n">
        <x:f>ABS(N379)</x:f>
        <x:v>275.3311836962454</x:v>
      </x:c>
      <x:c r="P379" s="8" t="n">
        <x:f>N379^2</x:f>
        <x:v>75807.26071557561</x:v>
      </x:c>
      <x:c r="Q379" s="8" t="n">
        <x:f>K379-L379</x:f>
        <x:v>8</x:v>
      </x:c>
      <x:c r="R379" s="9" t="n">
        <x:f>IF(AND(INDEX('Сводка'!$T$3:$T$397,U379)=0,INDEX('Сводка'!$T$3:$T$397,V379)=0),1,0)</x:f>
        <x:v>1</x:v>
      </x:c>
      <x:c r="S379" s="9" t="n">
        <x:f>IF(AND(R379=1,O379&lt;=$G$13),1,0)</x:f>
        <x:v>0</x:v>
      </x:c>
      <x:c r="T379" s="10" t="n">
        <x:f>EOMONTH(J379-'Сводка'!$B$11,-1)</x:f>
        <x:v>46203</x:v>
      </x:c>
      <x:c r="U379" s="4" t="n">
        <x:f>MATCH(J379,'Сводка'!$R$3:$R$397,0)</x:f>
        <x:v>390</x:v>
      </x:c>
      <x:c r="V379" s="4" t="n">
        <x:f>MATCH(J379-'Сводка'!$B$11,'Сводка'!$R$3:$R$397,0)</x:f>
        <x:v>389</x:v>
      </x:c>
      <x:c r="W379" s="4" t="n">
        <x:f>MATCH(T379,$J$388:$J$400,0)</x:f>
        <x:v>13</x:v>
      </x:c>
      <x:c r="X379" s="3"/>
      <x:c r="Y379" s="3"/>
      <x:c r="Z379" s="3"/>
    </x:row>
    <x:row r="380" ht="15" customHeight="1">
      <x:c r="A380" s="3"/>
      <x:c r="B380" s="3"/>
      <x:c r="C380" s="3"/>
      <x:c r="D380" s="3"/>
      <x:c r="E380" s="3"/>
      <x:c r="F380" s="3"/>
      <x:c r="G380" s="3"/>
      <x:c r="H380" s="3"/>
      <x:c r="I380" s="3"/>
      <x:c r="J380" s="10" t="n">
        <x:v>46231</x:v>
      </x:c>
      <x:c r="K380" s="8" t="n">
        <x:f>INDEX('Сводка'!$S$3:$S$397,U380)</x:f>
        <x:v>377</x:v>
      </x:c>
      <x:c r="L380" s="8" t="n">
        <x:f>INDEX('Сводка'!$S$3:$S$397,V380)</x:f>
        <x:v>369</x:v>
      </x:c>
      <x:c r="M380" s="8" t="n">
        <x:f>INDEX($K$388:$N$400,W380,1)+INDEX($K$388:$N$400,W380,2)*(2*(J380-$T$405)/(T380-$T$405)-1)^1+INDEX($K$388:$N$400,W380,3)*(2*(J380-$T$405)/(T380-$T$405)-1)^2+INDEX($K$388:$N$400,W380,4)*(2*(J380-$T$405)/(T380-$T$405)-1)^3</x:f>
        <x:v>93.6306528065117</x:v>
      </x:c>
      <x:c r="N380" s="8" t="n">
        <x:f>K380-M380</x:f>
        <x:v>283.3693471934883</x:v>
      </x:c>
      <x:c r="O380" s="8" t="n">
        <x:f>ABS(N380)</x:f>
        <x:v>283.3693471934883</x:v>
      </x:c>
      <x:c r="P380" s="8" t="n">
        <x:f>N380^2</x:f>
        <x:v>80298.18692886371</x:v>
      </x:c>
      <x:c r="Q380" s="8" t="n">
        <x:f>K380-L380</x:f>
        <x:v>8</x:v>
      </x:c>
      <x:c r="R380" s="9" t="n">
        <x:f>IF(AND(INDEX('Сводка'!$T$3:$T$397,U380)=0,INDEX('Сводка'!$T$3:$T$397,V380)=0),1,0)</x:f>
        <x:v>1</x:v>
      </x:c>
      <x:c r="S380" s="9" t="n">
        <x:f>IF(AND(R380=1,O380&lt;=$G$13),1,0)</x:f>
        <x:v>0</x:v>
      </x:c>
      <x:c r="T380" s="10" t="n">
        <x:f>EOMONTH(J380-'Сводка'!$B$11,-1)</x:f>
        <x:v>46203</x:v>
      </x:c>
      <x:c r="U380" s="4" t="n">
        <x:f>MATCH(J380,'Сводка'!$R$3:$R$397,0)</x:f>
        <x:v>391</x:v>
      </x:c>
      <x:c r="V380" s="4" t="n">
        <x:f>MATCH(J380-'Сводка'!$B$11,'Сводка'!$R$3:$R$397,0)</x:f>
        <x:v>390</x:v>
      </x:c>
      <x:c r="W380" s="4" t="n">
        <x:f>MATCH(T380,$J$388:$J$400,0)</x:f>
        <x:v>13</x:v>
      </x:c>
      <x:c r="X380" s="3"/>
      <x:c r="Y380" s="3"/>
      <x:c r="Z380" s="3"/>
    </x:row>
    <x:row r="381" ht="15" customHeight="1">
      <x:c r="A381" s="3"/>
      <x:c r="B381" s="3"/>
      <x:c r="C381" s="3"/>
      <x:c r="D381" s="3"/>
      <x:c r="E381" s="3"/>
      <x:c r="F381" s="3"/>
      <x:c r="G381" s="3"/>
      <x:c r="H381" s="3"/>
      <x:c r="I381" s="3"/>
      <x:c r="J381" s="10" t="n">
        <x:v>46232</x:v>
      </x:c>
      <x:c r="K381" s="8" t="n">
        <x:f>INDEX('Сводка'!$S$3:$S$397,U381)</x:f>
        <x:v>385</x:v>
      </x:c>
      <x:c r="L381" s="8" t="n">
        <x:f>INDEX('Сводка'!$S$3:$S$397,V381)</x:f>
        <x:v>377</x:v>
      </x:c>
      <x:c r="M381" s="8" t="n">
        <x:f>INDEX($K$388:$N$400,W381,1)+INDEX($K$388:$N$400,W381,2)*(2*(J381-$T$405)/(T381-$T$405)-1)^1+INDEX($K$388:$N$400,W381,3)*(2*(J381-$T$405)/(T381-$T$405)-1)^2+INDEX($K$388:$N$400,W381,4)*(2*(J381-$T$405)/(T381-$T$405)-1)^3</x:f>
        <x:v>93.59246719077022</x:v>
      </x:c>
      <x:c r="N381" s="8" t="n">
        <x:f>K381-M381</x:f>
        <x:v>291.4075328092298</x:v>
      </x:c>
      <x:c r="O381" s="8" t="n">
        <x:f>ABS(N381)</x:f>
        <x:v>291.4075328092298</x:v>
      </x:c>
      <x:c r="P381" s="8" t="n">
        <x:f>N381^2</x:f>
        <x:v>84918.35017796233</x:v>
      </x:c>
      <x:c r="Q381" s="8" t="n">
        <x:f>K381-L381</x:f>
        <x:v>8</x:v>
      </x:c>
      <x:c r="R381" s="9" t="n">
        <x:f>IF(AND(INDEX('Сводка'!$T$3:$T$397,U381)=0,INDEX('Сводка'!$T$3:$T$397,V381)=0),1,0)</x:f>
        <x:v>1</x:v>
      </x:c>
      <x:c r="S381" s="9" t="n">
        <x:f>IF(AND(R381=1,O381&lt;=$G$13),1,0)</x:f>
        <x:v>0</x:v>
      </x:c>
      <x:c r="T381" s="10" t="n">
        <x:f>EOMONTH(J381-'Сводка'!$B$11,-1)</x:f>
        <x:v>46203</x:v>
      </x:c>
      <x:c r="U381" s="4" t="n">
        <x:f>MATCH(J381,'Сводка'!$R$3:$R$397,0)</x:f>
        <x:v>392</x:v>
      </x:c>
      <x:c r="V381" s="4" t="n">
        <x:f>MATCH(J381-'Сводка'!$B$11,'Сводка'!$R$3:$R$397,0)</x:f>
        <x:v>391</x:v>
      </x:c>
      <x:c r="W381" s="4" t="n">
        <x:f>MATCH(T381,$J$388:$J$400,0)</x:f>
        <x:v>13</x:v>
      </x:c>
      <x:c r="X381" s="3"/>
      <x:c r="Y381" s="3"/>
      <x:c r="Z381" s="3"/>
    </x:row>
    <x:row r="382" ht="15" customHeight="1">
      <x:c r="A382" s="3"/>
      <x:c r="B382" s="3"/>
      <x:c r="C382" s="3"/>
      <x:c r="D382" s="3"/>
      <x:c r="E382" s="3"/>
      <x:c r="F382" s="3"/>
      <x:c r="G382" s="3"/>
      <x:c r="H382" s="3"/>
      <x:c r="I382" s="3"/>
      <x:c r="J382" s="10" t="n">
        <x:v>46233</x:v>
      </x:c>
      <x:c r="K382" s="8" t="n">
        <x:f>INDEX('Сводка'!$S$3:$S$397,U382)</x:f>
        <x:v>389</x:v>
      </x:c>
      <x:c r="L382" s="8" t="n">
        <x:f>INDEX('Сводка'!$S$3:$S$397,V382)</x:f>
        <x:v>385</x:v>
      </x:c>
      <x:c r="M382" s="8" t="n">
        <x:f>INDEX($K$388:$N$400,W382,1)+INDEX($K$388:$N$400,W382,2)*(2*(J382-$T$405)/(T382-$T$405)-1)^1+INDEX($K$388:$N$400,W382,3)*(2*(J382-$T$405)/(T382-$T$405)-1)^2+INDEX($K$388:$N$400,W382,4)*(2*(J382-$T$405)/(T382-$T$405)-1)^3</x:f>
        <x:v>93.55425945319985</x:v>
      </x:c>
      <x:c r="N382" s="8" t="n">
        <x:f>K382-M382</x:f>
        <x:v>295.44574054680015</x:v>
      </x:c>
      <x:c r="O382" s="8" t="n">
        <x:f>ABS(N382)</x:f>
        <x:v>295.44574054680015</x:v>
      </x:c>
      <x:c r="P382" s="8" t="n">
        <x:f>N382^2</x:f>
        <x:v>87288.18560724716</x:v>
      </x:c>
      <x:c r="Q382" s="8" t="n">
        <x:f>K382-L382</x:f>
        <x:v>4</x:v>
      </x:c>
      <x:c r="R382" s="9" t="n">
        <x:f>IF(AND(INDEX('Сводка'!$T$3:$T$397,U382)=0,INDEX('Сводка'!$T$3:$T$397,V382)=0),1,0)</x:f>
        <x:v>1</x:v>
      </x:c>
      <x:c r="S382" s="9" t="n">
        <x:f>IF(AND(R382=1,O382&lt;=$G$13),1,0)</x:f>
        <x:v>0</x:v>
      </x:c>
      <x:c r="T382" s="10" t="n">
        <x:f>EOMONTH(J382-'Сводка'!$B$11,-1)</x:f>
        <x:v>46203</x:v>
      </x:c>
      <x:c r="U382" s="4" t="n">
        <x:f>MATCH(J382,'Сводка'!$R$3:$R$397,0)</x:f>
        <x:v>393</x:v>
      </x:c>
      <x:c r="V382" s="4" t="n">
        <x:f>MATCH(J382-'Сводка'!$B$11,'Сводка'!$R$3:$R$397,0)</x:f>
        <x:v>392</x:v>
      </x:c>
      <x:c r="W382" s="4" t="n">
        <x:f>MATCH(T382,$J$388:$J$400,0)</x:f>
        <x:v>13</x:v>
      </x:c>
      <x:c r="X382" s="3"/>
      <x:c r="Y382" s="3"/>
      <x:c r="Z382" s="3"/>
    </x:row>
    <x:row r="383" ht="15" customHeight="1">
      <x:c r="A383" s="3"/>
      <x:c r="B383" s="3"/>
      <x:c r="C383" s="3"/>
      <x:c r="D383" s="3"/>
      <x:c r="E383" s="3"/>
      <x:c r="F383" s="3"/>
      <x:c r="G383" s="3"/>
      <x:c r="H383" s="3"/>
      <x:c r="I383" s="3"/>
      <x:c r="J383" s="10" t="n">
        <x:v>46234</x:v>
      </x:c>
      <x:c r="K383" s="8" t="n">
        <x:f>INDEX('Сводка'!$S$3:$S$397,U383)</x:f>
        <x:v>399</x:v>
      </x:c>
      <x:c r="L383" s="8" t="n">
        <x:f>INDEX('Сводка'!$S$3:$S$397,V383)</x:f>
        <x:v>389</x:v>
      </x:c>
      <x:c r="M383" s="8" t="n">
        <x:f>INDEX($K$388:$N$400,W383,1)+INDEX($K$388:$N$400,W383,2)*(2*(J383-$T$405)/(T383-$T$405)-1)^1+INDEX($K$388:$N$400,W383,3)*(2*(J383-$T$405)/(T383-$T$405)-1)^2+INDEX($K$388:$N$400,W383,4)*(2*(J383-$T$405)/(T383-$T$405)-1)^3</x:f>
        <x:v>93.51602959047042</x:v>
      </x:c>
      <x:c r="N383" s="8" t="n">
        <x:f>K383-M383</x:f>
        <x:v>305.48397040952955</x:v>
      </x:c>
      <x:c r="O383" s="8" t="n">
        <x:f>ABS(N383)</x:f>
        <x:v>305.48397040952955</x:v>
      </x:c>
      <x:c r="P383" s="8" t="n">
        <x:f>N383^2</x:f>
        <x:v>93320.45617717033</x:v>
      </x:c>
      <x:c r="Q383" s="8" t="n">
        <x:f>K383-L383</x:f>
        <x:v>10</x:v>
      </x:c>
      <x:c r="R383" s="9" t="n">
        <x:f>IF(AND(INDEX('Сводка'!$T$3:$T$397,U383)=0,INDEX('Сводка'!$T$3:$T$397,V383)=0),1,0)</x:f>
        <x:v>1</x:v>
      </x:c>
      <x:c r="S383" s="9" t="n">
        <x:f>IF(AND(R383=1,O383&lt;=$G$13),1,0)</x:f>
        <x:v>0</x:v>
      </x:c>
      <x:c r="T383" s="10" t="n">
        <x:f>EOMONTH(J383-'Сводка'!$B$11,-1)</x:f>
        <x:v>46203</x:v>
      </x:c>
      <x:c r="U383" s="4" t="n">
        <x:f>MATCH(J383,'Сводка'!$R$3:$R$397,0)</x:f>
        <x:v>394</x:v>
      </x:c>
      <x:c r="V383" s="4" t="n">
        <x:f>MATCH(J383-'Сводка'!$B$11,'Сводка'!$R$3:$R$397,0)</x:f>
        <x:v>393</x:v>
      </x:c>
      <x:c r="W383" s="4" t="n">
        <x:f>MATCH(T383,$J$388:$J$400,0)</x:f>
        <x:v>13</x:v>
      </x:c>
      <x:c r="X383" s="3"/>
      <x:c r="Y383" s="3"/>
      <x:c r="Z383" s="3"/>
    </x:row>
    <x:row r="384" ht="15" customHeight="1">
      <x:c r="A384" s="3"/>
      <x:c r="B384" s="3"/>
      <x:c r="C384" s="3"/>
      <x:c r="D384" s="3"/>
      <x:c r="E384" s="3"/>
      <x:c r="F384" s="3"/>
      <x:c r="G384" s="3"/>
      <x:c r="H384" s="3"/>
      <x:c r="I384" s="3"/>
      <x:c r="J384" s="10" t="n">
        <x:v>46235</x:v>
      </x:c>
      <x:c r="K384" s="8" t="n">
        <x:f>INDEX('Сводка'!$S$3:$S$397,U384)</x:f>
        <x:v>405</x:v>
      </x:c>
      <x:c r="L384" s="8" t="n">
        <x:f>INDEX('Сводка'!$S$3:$S$397,V384)</x:f>
        <x:v>399</x:v>
      </x:c>
      <x:c r="M384" s="8" t="n">
        <x:f>INDEX($K$388:$N$400,W384,1)+INDEX($K$388:$N$400,W384,2)*(2*(J384-$T$405)/(T384-$T$405)-1)^1+INDEX($K$388:$N$400,W384,3)*(2*(J384-$T$405)/(T384-$T$405)-1)^2+INDEX($K$388:$N$400,W384,4)*(2*(J384-$T$405)/(T384-$T$405)-1)^3</x:f>
        <x:v>93.4777775992519</x:v>
      </x:c>
      <x:c r="N384" s="8" t="n">
        <x:f>K384-M384</x:f>
        <x:v>311.5222224007481</x:v>
      </x:c>
      <x:c r="O384" s="8" t="n">
        <x:f>ABS(N384)</x:f>
        <x:v>311.5222224007481</x:v>
      </x:c>
      <x:c r="P384" s="8" t="n">
        <x:f>N384^2</x:f>
        <x:v>97046.09504950115</x:v>
      </x:c>
      <x:c r="Q384" s="8" t="n">
        <x:f>K384-L384</x:f>
        <x:v>6</x:v>
      </x:c>
      <x:c r="R384" s="9" t="n">
        <x:f>IF(AND(INDEX('Сводка'!$T$3:$T$397,U384)=0,INDEX('Сводка'!$T$3:$T$397,V384)=0),1,0)</x:f>
        <x:v>1</x:v>
      </x:c>
      <x:c r="S384" s="9" t="n">
        <x:f>IF(AND(R384=1,O384&lt;=$G$13),1,0)</x:f>
        <x:v>0</x:v>
      </x:c>
      <x:c r="T384" s="10" t="n">
        <x:f>EOMONTH(J384-'Сводка'!$B$11,-1)</x:f>
        <x:v>46203</x:v>
      </x:c>
      <x:c r="U384" s="4" t="n">
        <x:f>MATCH(J384,'Сводка'!$R$3:$R$397,0)</x:f>
        <x:v>395</x:v>
      </x:c>
      <x:c r="V384" s="4" t="n">
        <x:f>MATCH(J384-'Сводка'!$B$11,'Сводка'!$R$3:$R$397,0)</x:f>
        <x:v>394</x:v>
      </x:c>
      <x:c r="W384" s="4" t="n">
        <x:f>MATCH(T384,$J$388:$J$400,0)</x:f>
        <x:v>13</x:v>
      </x:c>
      <x:c r="X384" s="3"/>
      <x:c r="Y384" s="3"/>
      <x:c r="Z384" s="3"/>
    </x:row>
    <x:row r="385" ht="15" customHeight="1">
      <x:c r="A385" s="3"/>
      <x:c r="B385" s="3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  <x:c r="N385" s="3"/>
      <x:c r="O385" s="3"/>
      <x:c r="P385" s="3"/>
      <x:c r="Q385" s="3"/>
      <x:c r="R385" s="3"/>
      <x:c r="S385" s="3"/>
      <x:c r="T385" s="3"/>
      <x:c r="U385" s="3"/>
      <x:c r="V385" s="3"/>
      <x:c r="W385" s="3"/>
      <x:c r="X385" s="3"/>
      <x:c r="Y385" s="3"/>
      <x:c r="Z385" s="3"/>
    </x:row>
    <x:row r="386" ht="15" customHeight="1">
      <x:c r="A386" s="3"/>
      <x:c r="B386" s="3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  <x:c r="N386" s="3"/>
      <x:c r="O386" s="3"/>
      <x:c r="P386" s="3"/>
      <x:c r="Q386" s="3"/>
      <x:c r="R386" s="3"/>
      <x:c r="S386" s="3"/>
      <x:c r="T386" s="3"/>
      <x:c r="U386" s="3"/>
      <x:c r="V386" s="3"/>
      <x:c r="W386" s="3"/>
      <x:c r="X386" s="3"/>
      <x:c r="Y386" s="3"/>
      <x:c r="Z386" s="3"/>
    </x:row>
    <x:row r="387" ht="30" customHeight="1">
      <x:c r="A387" s="3"/>
      <x:c r="B387" s="3"/>
      <x:c r="C387" s="3"/>
      <x:c r="D387" s="3"/>
      <x:c r="E387" s="3"/>
      <x:c r="F387" s="3"/>
      <x:c r="G387" s="3"/>
      <x:c r="H387" s="3"/>
      <x:c r="I387" s="3"/>
      <x:c r="J387" s="14" t="str">
        <x:v>Обучение до</x:v>
      </x:c>
      <x:c r="K387" s="14" t="str">
        <x:v>a0/a</x:v>
      </x:c>
      <x:c r="L387" s="14" t="str">
        <x:v>a1/b</x:v>
      </x:c>
      <x:c r="M387" s="14" t="str">
        <x:v>a2</x:v>
      </x:c>
      <x:c r="N387" s="14" t="str">
        <x:v>a3</x:v>
      </x:c>
      <x:c r="O387" s="14" t="str">
        <x:v>c1</x:v>
      </x:c>
      <x:c r="P387" s="14" t="str">
        <x:v>c2</x:v>
      </x:c>
      <x:c r="Q387" s="14" t="str">
        <x:v>c3</x:v>
      </x:c>
      <x:c r="R387" s="14" t="str">
        <x:v>c4</x:v>
      </x:c>
      <x:c r="S387" s="14" t="str">
        <x:v>c5</x:v>
      </x:c>
      <x:c r="T387" s="14" t="str">
        <x:v>c6</x:v>
      </x:c>
      <x:c r="U387" s="14" t="str">
        <x:v>c7</x:v>
      </x:c>
      <x:c r="V387" s="14" t="str">
        <x:v>c8</x:v>
      </x:c>
      <x:c r="W387" s="14" t="str">
        <x:v>c9</x:v>
      </x:c>
      <x:c r="X387" s="14" t="str">
        <x:v>c10</x:v>
      </x:c>
      <x:c r="Y387" s="14" t="str">
        <x:v>c11</x:v>
      </x:c>
      <x:c r="Z387" s="14" t="str">
        <x:v>c12</x:v>
      </x:c>
    </x:row>
    <x:row r="388" ht="15" customHeight="1">
      <x:c r="A388" s="3"/>
      <x:c r="B388" s="3"/>
      <x:c r="C388" s="3"/>
      <x:c r="D388" s="3"/>
      <x:c r="E388" s="3"/>
      <x:c r="F388" s="3"/>
      <x:c r="G388" s="3"/>
      <x:c r="H388" s="3"/>
      <x:c r="I388" s="3"/>
      <x:c r="J388" s="7" t="n">
        <x:v>45838</x:v>
      </x:c>
      <x:c r="K388" s="3" t="n">
        <x:v>84.15858412821204</x:v>
      </x:c>
      <x:c r="L388" s="3" t="n">
        <x:v>108.17004674963243</x:v>
      </x:c>
      <x:c r="M388" s="3" t="n">
        <x:v>-47.55386431982429</x:v>
      </x:c>
      <x:c r="N388" s="3" t="n">
        <x:v>-9.920098033621404</x:v>
      </x:c>
      <x:c r="O388" s="3" t="n">
        <x:v>0</x:v>
      </x:c>
      <x:c r="P388" s="3" t="n">
        <x:v>0</x:v>
      </x:c>
      <x:c r="Q388" s="3" t="n">
        <x:v>0</x:v>
      </x:c>
      <x:c r="R388" s="3" t="n">
        <x:v>0</x:v>
      </x:c>
      <x:c r="S388" s="3" t="n">
        <x:v>0</x:v>
      </x:c>
      <x:c r="T388" s="3" t="n">
        <x:v>0</x:v>
      </x:c>
      <x:c r="U388" s="3" t="n">
        <x:v>0</x:v>
      </x:c>
      <x:c r="V388" s="3" t="n">
        <x:v>0</x:v>
      </x:c>
      <x:c r="W388" s="3" t="n">
        <x:v>0</x:v>
      </x:c>
      <x:c r="X388" s="3" t="n">
        <x:v>0</x:v>
      </x:c>
      <x:c r="Y388" s="3" t="n">
        <x:v>0</x:v>
      </x:c>
      <x:c r="Z388" s="3" t="n">
        <x:v>0</x:v>
      </x:c>
    </x:row>
    <x:row r="389" ht="15" customHeight="1">
      <x:c r="A389" s="3"/>
      <x:c r="B389" s="3"/>
      <x:c r="C389" s="3"/>
      <x:c r="D389" s="3"/>
      <x:c r="E389" s="3"/>
      <x:c r="F389" s="3"/>
      <x:c r="G389" s="3"/>
      <x:c r="H389" s="3"/>
      <x:c r="I389" s="3"/>
      <x:c r="J389" s="7" t="n">
        <x:v>45869</x:v>
      </x:c>
      <x:c r="K389" s="3" t="n">
        <x:v>84.240464056092</x:v>
      </x:c>
      <x:c r="L389" s="3" t="n">
        <x:v>106.74130368307272</x:v>
      </x:c>
      <x:c r="M389" s="3" t="n">
        <x:v>-46.365811795652114</x:v>
      </x:c>
      <x:c r="N389" s="3" t="n">
        <x:v>-6.417409616001169</x:v>
      </x:c>
      <x:c r="O389" s="3" t="n">
        <x:v>0</x:v>
      </x:c>
      <x:c r="P389" s="3" t="n">
        <x:v>0</x:v>
      </x:c>
      <x:c r="Q389" s="3" t="n">
        <x:v>0</x:v>
      </x:c>
      <x:c r="R389" s="3" t="n">
        <x:v>0</x:v>
      </x:c>
      <x:c r="S389" s="3" t="n">
        <x:v>0</x:v>
      </x:c>
      <x:c r="T389" s="3" t="n">
        <x:v>0</x:v>
      </x:c>
      <x:c r="U389" s="3" t="n">
        <x:v>0</x:v>
      </x:c>
      <x:c r="V389" s="3" t="n">
        <x:v>0</x:v>
      </x:c>
      <x:c r="W389" s="3" t="n">
        <x:v>0</x:v>
      </x:c>
      <x:c r="X389" s="3" t="n">
        <x:v>0</x:v>
      </x:c>
      <x:c r="Y389" s="3" t="n">
        <x:v>0</x:v>
      </x:c>
      <x:c r="Z389" s="3" t="n">
        <x:v>0</x:v>
      </x:c>
    </x:row>
    <x:row r="390" ht="15" customHeight="1">
      <x:c r="A390" s="3"/>
      <x:c r="B390" s="3"/>
      <x:c r="C390" s="3"/>
      <x:c r="D390" s="3"/>
      <x:c r="E390" s="3"/>
      <x:c r="F390" s="3"/>
      <x:c r="G390" s="3"/>
      <x:c r="H390" s="3"/>
      <x:c r="I390" s="3"/>
      <x:c r="J390" s="7" t="n">
        <x:v>45900</x:v>
      </x:c>
      <x:c r="K390" s="3" t="n">
        <x:v>83.90515207786285</x:v>
      </x:c>
      <x:c r="L390" s="3" t="n">
        <x:v>103.34815702113872</x:v>
      </x:c>
      <x:c r="M390" s="3" t="n">
        <x:v>-42.94839640765088</x:v>
      </x:c>
      <x:c r="N390" s="3" t="n">
        <x:v>1.934408694107528</x:v>
      </x:c>
      <x:c r="O390" s="3" t="n">
        <x:v>0</x:v>
      </x:c>
      <x:c r="P390" s="3" t="n">
        <x:v>0</x:v>
      </x:c>
      <x:c r="Q390" s="3" t="n">
        <x:v>0</x:v>
      </x:c>
      <x:c r="R390" s="3" t="n">
        <x:v>0</x:v>
      </x:c>
      <x:c r="S390" s="3" t="n">
        <x:v>0</x:v>
      </x:c>
      <x:c r="T390" s="3" t="n">
        <x:v>0</x:v>
      </x:c>
      <x:c r="U390" s="3" t="n">
        <x:v>0</x:v>
      </x:c>
      <x:c r="V390" s="3" t="n">
        <x:v>0</x:v>
      </x:c>
      <x:c r="W390" s="3" t="n">
        <x:v>0</x:v>
      </x:c>
      <x:c r="X390" s="3" t="n">
        <x:v>0</x:v>
      </x:c>
      <x:c r="Y390" s="3" t="n">
        <x:v>0</x:v>
      </x:c>
      <x:c r="Z390" s="3" t="n">
        <x:v>0</x:v>
      </x:c>
    </x:row>
    <x:row r="391" ht="15" customHeight="1">
      <x:c r="A391" s="3"/>
      <x:c r="B391" s="3"/>
      <x:c r="C391" s="3"/>
      <x:c r="D391" s="3"/>
      <x:c r="E391" s="3"/>
      <x:c r="F391" s="3"/>
      <x:c r="G391" s="3"/>
      <x:c r="H391" s="3"/>
      <x:c r="I391" s="3"/>
      <x:c r="J391" s="7" t="n">
        <x:v>45930</x:v>
      </x:c>
      <x:c r="K391" s="3" t="n">
        <x:v>83.75593355894637</x:v>
      </x:c>
      <x:c r="L391" s="3" t="n">
        <x:v>100.97085711638317</x:v>
      </x:c>
      <x:c r="M391" s="3" t="n">
        <x:v>-40.53609095089741</x:v>
      </x:c>
      <x:c r="N391" s="3" t="n">
        <x:v>7.902362993001775</x:v>
      </x:c>
      <x:c r="O391" s="3" t="n">
        <x:v>0</x:v>
      </x:c>
      <x:c r="P391" s="3" t="n">
        <x:v>0</x:v>
      </x:c>
      <x:c r="Q391" s="3" t="n">
        <x:v>0</x:v>
      </x:c>
      <x:c r="R391" s="3" t="n">
        <x:v>0</x:v>
      </x:c>
      <x:c r="S391" s="3" t="n">
        <x:v>0</x:v>
      </x:c>
      <x:c r="T391" s="3" t="n">
        <x:v>0</x:v>
      </x:c>
      <x:c r="U391" s="3" t="n">
        <x:v>0</x:v>
      </x:c>
      <x:c r="V391" s="3" t="n">
        <x:v>0</x:v>
      </x:c>
      <x:c r="W391" s="3" t="n">
        <x:v>0</x:v>
      </x:c>
      <x:c r="X391" s="3" t="n">
        <x:v>0</x:v>
      </x:c>
      <x:c r="Y391" s="3" t="n">
        <x:v>0</x:v>
      </x:c>
      <x:c r="Z391" s="3" t="n">
        <x:v>0</x:v>
      </x:c>
    </x:row>
    <x:row r="392" ht="15" customHeight="1">
      <x:c r="A392" s="3"/>
      <x:c r="B392" s="3"/>
      <x:c r="C392" s="3"/>
      <x:c r="D392" s="3"/>
      <x:c r="E392" s="3"/>
      <x:c r="F392" s="3"/>
      <x:c r="G392" s="3"/>
      <x:c r="H392" s="3"/>
      <x:c r="I392" s="3"/>
      <x:c r="J392" s="7" t="n">
        <x:v>45961</x:v>
      </x:c>
      <x:c r="K392" s="3" t="n">
        <x:v>84.37838543556762</x:v>
      </x:c>
      <x:c r="L392" s="3" t="n">
        <x:v>102.31633865290956</x:v>
      </x:c>
      <x:c r="M392" s="3" t="n">
        <x:v>-42.1179326980543</x:v>
      </x:c>
      <x:c r="N392" s="3" t="n">
        <x:v>4.904817898238473</x:v>
      </x:c>
      <x:c r="O392" s="3" t="n">
        <x:v>0</x:v>
      </x:c>
      <x:c r="P392" s="3" t="n">
        <x:v>0</x:v>
      </x:c>
      <x:c r="Q392" s="3" t="n">
        <x:v>0</x:v>
      </x:c>
      <x:c r="R392" s="3" t="n">
        <x:v>0</x:v>
      </x:c>
      <x:c r="S392" s="3" t="n">
        <x:v>0</x:v>
      </x:c>
      <x:c r="T392" s="3" t="n">
        <x:v>0</x:v>
      </x:c>
      <x:c r="U392" s="3" t="n">
        <x:v>0</x:v>
      </x:c>
      <x:c r="V392" s="3" t="n">
        <x:v>0</x:v>
      </x:c>
      <x:c r="W392" s="3" t="n">
        <x:v>0</x:v>
      </x:c>
      <x:c r="X392" s="3" t="n">
        <x:v>0</x:v>
      </x:c>
      <x:c r="Y392" s="3" t="n">
        <x:v>0</x:v>
      </x:c>
      <x:c r="Z392" s="3" t="n">
        <x:v>0</x:v>
      </x:c>
    </x:row>
    <x:row r="393" ht="15" customHeight="1">
      <x:c r="A393" s="3"/>
      <x:c r="B393" s="3"/>
      <x:c r="C393" s="3"/>
      <x:c r="D393" s="3"/>
      <x:c r="E393" s="3"/>
      <x:c r="F393" s="3"/>
      <x:c r="G393" s="3"/>
      <x:c r="H393" s="3"/>
      <x:c r="I393" s="3"/>
      <x:c r="J393" s="7" t="n">
        <x:v>45991</x:v>
      </x:c>
      <x:c r="K393" s="3" t="n">
        <x:v>85.88774849036088</x:v>
      </x:c>
      <x:c r="L393" s="3" t="n">
        <x:v>107.93886228153485</x:v>
      </x:c>
      <x:c r="M393" s="3" t="n">
        <x:v>-48.485104202747316</x:v>
      </x:c>
      <x:c r="N393" s="3" t="n">
        <x:v>-8.60376715884474</x:v>
      </x:c>
      <x:c r="O393" s="3" t="n">
        <x:v>0</x:v>
      </x:c>
      <x:c r="P393" s="3" t="n">
        <x:v>0</x:v>
      </x:c>
      <x:c r="Q393" s="3" t="n">
        <x:v>0</x:v>
      </x:c>
      <x:c r="R393" s="3" t="n">
        <x:v>0</x:v>
      </x:c>
      <x:c r="S393" s="3" t="n">
        <x:v>0</x:v>
      </x:c>
      <x:c r="T393" s="3" t="n">
        <x:v>0</x:v>
      </x:c>
      <x:c r="U393" s="3" t="n">
        <x:v>0</x:v>
      </x:c>
      <x:c r="V393" s="3" t="n">
        <x:v>0</x:v>
      </x:c>
      <x:c r="W393" s="3" t="n">
        <x:v>0</x:v>
      </x:c>
      <x:c r="X393" s="3" t="n">
        <x:v>0</x:v>
      </x:c>
      <x:c r="Y393" s="3" t="n">
        <x:v>0</x:v>
      </x:c>
      <x:c r="Z393" s="3" t="n">
        <x:v>0</x:v>
      </x:c>
    </x:row>
    <x:row r="394" ht="15" customHeight="1">
      <x:c r="A394" s="3"/>
      <x:c r="B394" s="3"/>
      <x:c r="C394" s="3"/>
      <x:c r="D394" s="3"/>
      <x:c r="E394" s="3"/>
      <x:c r="F394" s="3"/>
      <x:c r="G394" s="3"/>
      <x:c r="H394" s="3"/>
      <x:c r="I394" s="3"/>
      <x:c r="J394" s="7" t="n">
        <x:v>46022</x:v>
      </x:c>
      <x:c r="K394" s="3" t="n">
        <x:v>87.00740998094572</x:v>
      </x:c>
      <x:c r="L394" s="3" t="n">
        <x:v>111.52152345219761</x:v>
      </x:c>
      <x:c r="M394" s="3" t="n">
        <x:v>-52.82103029776439</x:v>
      </x:c>
      <x:c r="N394" s="3" t="n">
        <x:v>-17.33260622936254</x:v>
      </x:c>
      <x:c r="O394" s="3" t="n">
        <x:v>0</x:v>
      </x:c>
      <x:c r="P394" s="3" t="n">
        <x:v>0</x:v>
      </x:c>
      <x:c r="Q394" s="3" t="n">
        <x:v>0</x:v>
      </x:c>
      <x:c r="R394" s="3" t="n">
        <x:v>0</x:v>
      </x:c>
      <x:c r="S394" s="3" t="n">
        <x:v>0</x:v>
      </x:c>
      <x:c r="T394" s="3" t="n">
        <x:v>0</x:v>
      </x:c>
      <x:c r="U394" s="3" t="n">
        <x:v>0</x:v>
      </x:c>
      <x:c r="V394" s="3" t="n">
        <x:v>0</x:v>
      </x:c>
      <x:c r="W394" s="3" t="n">
        <x:v>0</x:v>
      </x:c>
      <x:c r="X394" s="3" t="n">
        <x:v>0</x:v>
      </x:c>
      <x:c r="Y394" s="3" t="n">
        <x:v>0</x:v>
      </x:c>
      <x:c r="Z394" s="3" t="n">
        <x:v>0</x:v>
      </x:c>
    </x:row>
    <x:row r="395" ht="15" customHeight="1">
      <x:c r="A395" s="3"/>
      <x:c r="B395" s="3"/>
      <x:c r="C395" s="3"/>
      <x:c r="D395" s="3"/>
      <x:c r="E395" s="3"/>
      <x:c r="F395" s="3"/>
      <x:c r="G395" s="3"/>
      <x:c r="H395" s="3"/>
      <x:c r="I395" s="3"/>
      <x:c r="J395" s="7" t="n">
        <x:v>46053</x:v>
      </x:c>
      <x:c r="K395" s="3" t="n">
        <x:v>88.20603473071873</x:v>
      </x:c>
      <x:c r="L395" s="3" t="n">
        <x:v>115.41718001101691</x:v>
      </x:c>
      <x:c r="M395" s="3" t="n">
        <x:v>-57.63033312917335</x:v>
      </x:c>
      <x:c r="N395" s="3" t="n">
        <x:v>-26.94823745677468</x:v>
      </x:c>
      <x:c r="O395" s="3" t="n">
        <x:v>0</x:v>
      </x:c>
      <x:c r="P395" s="3" t="n">
        <x:v>0</x:v>
      </x:c>
      <x:c r="Q395" s="3" t="n">
        <x:v>0</x:v>
      </x:c>
      <x:c r="R395" s="3" t="n">
        <x:v>0</x:v>
      </x:c>
      <x:c r="S395" s="3" t="n">
        <x:v>0</x:v>
      </x:c>
      <x:c r="T395" s="3" t="n">
        <x:v>0</x:v>
      </x:c>
      <x:c r="U395" s="3" t="n">
        <x:v>0</x:v>
      </x:c>
      <x:c r="V395" s="3" t="n">
        <x:v>0</x:v>
      </x:c>
      <x:c r="W395" s="3" t="n">
        <x:v>0</x:v>
      </x:c>
      <x:c r="X395" s="3" t="n">
        <x:v>0</x:v>
      </x:c>
      <x:c r="Y395" s="3" t="n">
        <x:v>0</x:v>
      </x:c>
      <x:c r="Z395" s="3" t="n">
        <x:v>0</x:v>
      </x:c>
    </x:row>
    <x:row r="396" ht="15" customHeight="1">
      <x:c r="A396" s="3"/>
      <x:c r="B396" s="3"/>
      <x:c r="C396" s="3"/>
      <x:c r="D396" s="3"/>
      <x:c r="E396" s="3"/>
      <x:c r="F396" s="3"/>
      <x:c r="G396" s="3"/>
      <x:c r="H396" s="3"/>
      <x:c r="I396" s="3"/>
      <x:c r="J396" s="7" t="n">
        <x:v>46081</x:v>
      </x:c>
      <x:c r="K396" s="3" t="n">
        <x:v>89.3451894825446</x:v>
      </x:c>
      <x:c r="L396" s="3" t="n">
        <x:v>119.14160755984787</x:v>
      </x:c>
      <x:c r="M396" s="3" t="n">
        <x:v>-62.3281281884855</x:v>
      </x:c>
      <x:c r="N396" s="3" t="n">
        <x:v>-36.25742945173619</x:v>
      </x:c>
      <x:c r="O396" s="3" t="n">
        <x:v>0</x:v>
      </x:c>
      <x:c r="P396" s="3" t="n">
        <x:v>0</x:v>
      </x:c>
      <x:c r="Q396" s="3" t="n">
        <x:v>0</x:v>
      </x:c>
      <x:c r="R396" s="3" t="n">
        <x:v>0</x:v>
      </x:c>
      <x:c r="S396" s="3" t="n">
        <x:v>0</x:v>
      </x:c>
      <x:c r="T396" s="3" t="n">
        <x:v>0</x:v>
      </x:c>
      <x:c r="U396" s="3" t="n">
        <x:v>0</x:v>
      </x:c>
      <x:c r="V396" s="3" t="n">
        <x:v>0</x:v>
      </x:c>
      <x:c r="W396" s="3" t="n">
        <x:v>0</x:v>
      </x:c>
      <x:c r="X396" s="3" t="n">
        <x:v>0</x:v>
      </x:c>
      <x:c r="Y396" s="3" t="n">
        <x:v>0</x:v>
      </x:c>
      <x:c r="Z396" s="3" t="n">
        <x:v>0</x:v>
      </x:c>
    </x:row>
    <x:row r="397" ht="15" customHeight="1">
      <x:c r="A397" s="3"/>
      <x:c r="B397" s="3"/>
      <x:c r="C397" s="3"/>
      <x:c r="D397" s="3"/>
      <x:c r="E397" s="3"/>
      <x:c r="F397" s="3"/>
      <x:c r="G397" s="3"/>
      <x:c r="H397" s="3"/>
      <x:c r="I397" s="3"/>
      <x:c r="J397" s="7" t="n">
        <x:v>46112</x:v>
      </x:c>
      <x:c r="K397" s="3" t="n">
        <x:v>90.69936207516729</x:v>
      </x:c>
      <x:c r="L397" s="3" t="n">
        <x:v>123.63675813929754</x:v>
      </x:c>
      <x:c r="M397" s="3" t="n">
        <x:v>-68.08403915129277</x:v>
      </x:c>
      <x:c r="N397" s="3" t="n">
        <x:v>-47.610240757837936</x:v>
      </x:c>
      <x:c r="O397" s="3" t="n">
        <x:v>0</x:v>
      </x:c>
      <x:c r="P397" s="3" t="n">
        <x:v>0</x:v>
      </x:c>
      <x:c r="Q397" s="3" t="n">
        <x:v>0</x:v>
      </x:c>
      <x:c r="R397" s="3" t="n">
        <x:v>0</x:v>
      </x:c>
      <x:c r="S397" s="3" t="n">
        <x:v>0</x:v>
      </x:c>
      <x:c r="T397" s="3" t="n">
        <x:v>0</x:v>
      </x:c>
      <x:c r="U397" s="3" t="n">
        <x:v>0</x:v>
      </x:c>
      <x:c r="V397" s="3" t="n">
        <x:v>0</x:v>
      </x:c>
      <x:c r="W397" s="3" t="n">
        <x:v>0</x:v>
      </x:c>
      <x:c r="X397" s="3" t="n">
        <x:v>0</x:v>
      </x:c>
      <x:c r="Y397" s="3" t="n">
        <x:v>0</x:v>
      </x:c>
      <x:c r="Z397" s="3" t="n">
        <x:v>0</x:v>
      </x:c>
    </x:row>
    <x:row r="398" ht="15" customHeight="1">
      <x:c r="A398" s="3"/>
      <x:c r="B398" s="3"/>
      <x:c r="C398" s="3"/>
      <x:c r="D398" s="3"/>
      <x:c r="E398" s="3"/>
      <x:c r="F398" s="3"/>
      <x:c r="G398" s="3"/>
      <x:c r="H398" s="3"/>
      <x:c r="I398" s="3"/>
      <x:c r="J398" s="7" t="n">
        <x:v>46142</x:v>
      </x:c>
      <x:c r="K398" s="3" t="n">
        <x:v>91.46012909118987</x:v>
      </x:c>
      <x:c r="L398" s="3" t="n">
        <x:v>125.24226258739242</x:v>
      </x:c>
      <x:c r="M398" s="3" t="n">
        <x:v>-70.83853786308636</x:v>
      </x:c>
      <x:c r="N398" s="3" t="n">
        <x:v>-52.107148012522515</x:v>
      </x:c>
      <x:c r="O398" s="3" t="n">
        <x:v>0</x:v>
      </x:c>
      <x:c r="P398" s="3" t="n">
        <x:v>0</x:v>
      </x:c>
      <x:c r="Q398" s="3" t="n">
        <x:v>0</x:v>
      </x:c>
      <x:c r="R398" s="3" t="n">
        <x:v>0</x:v>
      </x:c>
      <x:c r="S398" s="3" t="n">
        <x:v>0</x:v>
      </x:c>
      <x:c r="T398" s="3" t="n">
        <x:v>0</x:v>
      </x:c>
      <x:c r="U398" s="3" t="n">
        <x:v>0</x:v>
      </x:c>
      <x:c r="V398" s="3" t="n">
        <x:v>0</x:v>
      </x:c>
      <x:c r="W398" s="3" t="n">
        <x:v>0</x:v>
      </x:c>
      <x:c r="X398" s="3" t="n">
        <x:v>0</x:v>
      </x:c>
      <x:c r="Y398" s="3" t="n">
        <x:v>0</x:v>
      </x:c>
      <x:c r="Z398" s="3" t="n">
        <x:v>0</x:v>
      </x:c>
    </x:row>
    <x:row r="399" ht="15" customHeight="1">
      <x:c r="A399" s="3"/>
      <x:c r="B399" s="3"/>
      <x:c r="C399" s="3"/>
      <x:c r="D399" s="3"/>
      <x:c r="E399" s="3"/>
      <x:c r="F399" s="3"/>
      <x:c r="G399" s="3"/>
      <x:c r="H399" s="3"/>
      <x:c r="I399" s="3"/>
      <x:c r="J399" s="7" t="n">
        <x:v>46173</x:v>
      </x:c>
      <x:c r="K399" s="3" t="n">
        <x:v>91.78413667684919</x:v>
      </x:c>
      <x:c r="L399" s="3" t="n">
        <x:v>124.63867878610013</x:v>
      </x:c>
      <x:c r="M399" s="3" t="n">
        <x:v>-71.29471949213745</x:v>
      </x:c>
      <x:c r="N399" s="3" t="n">
        <x:v>-51.341113844605225</x:v>
      </x:c>
      <x:c r="O399" s="3" t="n">
        <x:v>0</x:v>
      </x:c>
      <x:c r="P399" s="3" t="n">
        <x:v>0</x:v>
      </x:c>
      <x:c r="Q399" s="3" t="n">
        <x:v>0</x:v>
      </x:c>
      <x:c r="R399" s="3" t="n">
        <x:v>0</x:v>
      </x:c>
      <x:c r="S399" s="3" t="n">
        <x:v>0</x:v>
      </x:c>
      <x:c r="T399" s="3" t="n">
        <x:v>0</x:v>
      </x:c>
      <x:c r="U399" s="3" t="n">
        <x:v>0</x:v>
      </x:c>
      <x:c r="V399" s="3" t="n">
        <x:v>0</x:v>
      </x:c>
      <x:c r="W399" s="3" t="n">
        <x:v>0</x:v>
      </x:c>
      <x:c r="X399" s="3" t="n">
        <x:v>0</x:v>
      </x:c>
      <x:c r="Y399" s="3" t="n">
        <x:v>0</x:v>
      </x:c>
      <x:c r="Z399" s="3" t="n">
        <x:v>0</x:v>
      </x:c>
    </x:row>
    <x:row r="400" ht="15" customHeight="1">
      <x:c r="A400" s="3"/>
      <x:c r="B400" s="3"/>
      <x:c r="C400" s="3"/>
      <x:c r="D400" s="3"/>
      <x:c r="E400" s="3"/>
      <x:c r="F400" s="3"/>
      <x:c r="G400" s="3"/>
      <x:c r="H400" s="3"/>
      <x:c r="I400" s="3"/>
      <x:c r="J400" s="7" t="n">
        <x:v>46203</x:v>
      </x:c>
      <x:c r="K400" s="3" t="n">
        <x:v>92.01599355405364</x:v>
      </x:c>
      <x:c r="L400" s="3" t="n">
        <x:v>123.66785365703431</x:v>
      </x:c>
      <x:c r="M400" s="3" t="n">
        <x:v>-71.3206229852219</x:v>
      </x:c>
      <x:c r="N400" s="3" t="n">
        <x:v>-49.67234212051733</x:v>
      </x:c>
      <x:c r="O400" s="3" t="n">
        <x:v>0</x:v>
      </x:c>
      <x:c r="P400" s="3" t="n">
        <x:v>0</x:v>
      </x:c>
      <x:c r="Q400" s="3" t="n">
        <x:v>0</x:v>
      </x:c>
      <x:c r="R400" s="3" t="n">
        <x:v>0</x:v>
      </x:c>
      <x:c r="S400" s="3" t="n">
        <x:v>0</x:v>
      </x:c>
      <x:c r="T400" s="3" t="n">
        <x:v>0</x:v>
      </x:c>
      <x:c r="U400" s="3" t="n">
        <x:v>0</x:v>
      </x:c>
      <x:c r="V400" s="3" t="n">
        <x:v>0</x:v>
      </x:c>
      <x:c r="W400" s="3" t="n">
        <x:v>0</x:v>
      </x:c>
      <x:c r="X400" s="3" t="n">
        <x:v>0</x:v>
      </x:c>
      <x:c r="Y400" s="3" t="n">
        <x:v>0</x:v>
      </x:c>
      <x:c r="Z400" s="3" t="n">
        <x:v>0</x:v>
      </x:c>
    </x:row>
    <x:row r="401" ht="15" customHeight="1">
      <x:c r="A401" s="3"/>
      <x:c r="B401" s="3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  <x:c r="N401" s="3"/>
      <x:c r="O401" s="3"/>
      <x:c r="P401" s="3"/>
      <x:c r="Q401" s="3"/>
      <x:c r="R401" s="3"/>
      <x:c r="S401" s="3"/>
      <x:c r="T401" s="3"/>
      <x:c r="U401" s="3"/>
      <x:c r="V401" s="3"/>
      <x:c r="W401" s="3"/>
      <x:c r="X401" s="3"/>
      <x:c r="Y401" s="3"/>
      <x:c r="Z401" s="3"/>
    </x:row>
    <x:row r="402" ht="15" customHeight="1">
      <x:c r="A402" s="3"/>
      <x:c r="B402" s="3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  <x:c r="N402" s="3"/>
      <x:c r="O402" s="3"/>
      <x:c r="P402" s="3"/>
      <x:c r="Q402" s="3"/>
      <x:c r="R402" s="3"/>
      <x:c r="S402" s="3"/>
      <x:c r="T402" s="3"/>
      <x:c r="U402" s="3"/>
      <x:c r="V402" s="3"/>
      <x:c r="W402" s="3"/>
      <x:c r="X402" s="3"/>
      <x:c r="Y402" s="3"/>
      <x:c r="Z402" s="3"/>
    </x:row>
    <x:row r="403" ht="15" customHeight="1">
      <x:c r="A403" s="3"/>
      <x:c r="B403" s="3"/>
      <x:c r="C403" s="3"/>
      <x:c r="D403" s="3"/>
      <x:c r="E403" s="3"/>
      <x:c r="F403" s="3"/>
      <x:c r="G403" s="3"/>
      <x:c r="H403" s="3"/>
      <x:c r="I403" s="3"/>
      <x:c r="J403" s="3" t="str">
        <x:v>n</x:v>
      </x:c>
      <x:c r="K403" s="3" t="n">
        <x:f>G11</x:f>
        <x:v>355</x:v>
      </x:c>
      <x:c r="L403" s="3"/>
      <x:c r="M403" s="3"/>
      <x:c r="N403" s="3"/>
      <x:c r="O403" s="3"/>
      <x:c r="P403" s="3"/>
      <x:c r="Q403" s="3"/>
      <x:c r="R403" s="3"/>
      <x:c r="S403" s="3" t="str">
        <x:v>s остатков</x:v>
      </x:c>
      <x:c r="T403" s="3" t="n">
        <x:v>161.80794779962352</x:v>
      </x:c>
      <x:c r="U403" s="3"/>
      <x:c r="V403" s="3"/>
      <x:c r="W403" s="3"/>
      <x:c r="X403" s="3"/>
      <x:c r="Y403" s="3"/>
      <x:c r="Z403" s="3"/>
    </x:row>
    <x:row r="404" ht="15" customHeight="1">
      <x:c r="A404" s="3"/>
      <x:c r="B404" s="3"/>
      <x:c r="C404" s="3"/>
      <x:c r="D404" s="3"/>
      <x:c r="E404" s="3"/>
      <x:c r="F404" s="3"/>
      <x:c r="G404" s="3"/>
      <x:c r="H404" s="3"/>
      <x:c r="I404" s="3"/>
      <x:c r="J404" s="3" t="str">
        <x:v>ΣH</x:v>
      </x:c>
      <x:c r="K404" s="3" t="n">
        <x:f>SUMPRODUCT($R$20:$R$384,$K$20:$K$384)</x:f>
        <x:v>28150</x:v>
      </x:c>
      <x:c r="L404" s="3"/>
      <x:c r="M404" s="3"/>
      <x:c r="N404" s="3"/>
      <x:c r="O404" s="3"/>
      <x:c r="P404" s="3"/>
      <x:c r="Q404" s="3"/>
      <x:c r="R404" s="3"/>
      <x:c r="S404" s="3" t="str">
        <x:v>t95</x:v>
      </x:c>
      <x:c r="T404" s="3" t="n">
        <x:v>1.960240157256416</x:v>
      </x:c>
      <x:c r="U404" s="3"/>
      <x:c r="V404" s="3"/>
      <x:c r="W404" s="3"/>
      <x:c r="X404" s="3"/>
      <x:c r="Y404" s="3"/>
      <x:c r="Z404" s="3"/>
    </x:row>
    <x:row r="405" ht="15" customHeight="1">
      <x:c r="A405" s="3"/>
      <x:c r="B405" s="3"/>
      <x:c r="C405" s="3"/>
      <x:c r="D405" s="3"/>
      <x:c r="E405" s="3"/>
      <x:c r="F405" s="3"/>
      <x:c r="G405" s="3"/>
      <x:c r="H405" s="3"/>
      <x:c r="I405" s="3"/>
      <x:c r="J405" s="3" t="str">
        <x:v>SST</x:v>
      </x:c>
      <x:c r="K405" s="3" t="n">
        <x:f>SUMPRODUCT($R$20:$R$384,$K$20:$K$384,$K$20:$K$384)-K404^2/G11</x:f>
        <x:v>6276929.943661972</x:v>
      </x:c>
      <x:c r="L405" s="3"/>
      <x:c r="M405" s="3"/>
      <x:c r="N405" s="3"/>
      <x:c r="O405" s="3"/>
      <x:c r="P405" s="3"/>
      <x:c r="Q405" s="3"/>
      <x:c r="R405" s="3"/>
      <x:c r="S405" s="3" t="str">
        <x:v>Начало ряда</x:v>
      </x:c>
      <x:c r="T405" s="7" t="n">
        <x:v>37257</x:v>
      </x:c>
      <x:c r="U405" s="3"/>
      <x:c r="V405" s="3"/>
      <x:c r="W405" s="3"/>
      <x:c r="X405" s="3"/>
      <x:c r="Y405" s="3"/>
      <x:c r="Z405" s="3"/>
    </x:row>
    <x:row r="406" ht="15" customHeight="1">
      <x:c r="A406" s="3"/>
      <x:c r="B406" s="3"/>
      <x:c r="C406" s="3"/>
      <x:c r="D406" s="3"/>
      <x:c r="E406" s="3"/>
      <x:c r="F406" s="3"/>
      <x:c r="G406" s="3"/>
      <x:c r="H406" s="3"/>
      <x:c r="I406" s="3"/>
      <x:c r="J406" s="3" t="str">
        <x:v>ΣΔ</x:v>
      </x:c>
      <x:c r="K406" s="3" t="n">
        <x:f>SUMPRODUCT($R$20:$R$384,$Q$20:$Q$384)</x:f>
        <x:v>137</x:v>
      </x:c>
      <x:c r="L406" s="3"/>
      <x:c r="M406" s="3"/>
      <x:c r="N406" s="3"/>
      <x:c r="O406" s="3"/>
      <x:c r="P406" s="3"/>
      <x:c r="Q406" s="3"/>
      <x:c r="R406" s="3"/>
      <x:c r="S406" s="3" t="str">
        <x:v>Длина ряда</x:v>
      </x:c>
      <x:c r="T406" s="3" t="n">
        <x:v>8978</x:v>
      </x:c>
      <x:c r="U406" s="3"/>
      <x:c r="V406" s="3"/>
      <x:c r="W406" s="3"/>
      <x:c r="X406" s="3"/>
      <x:c r="Y406" s="3"/>
      <x:c r="Z406" s="3"/>
    </x:row>
    <x:row r="407" ht="15" customHeight="1">
      <x:c r="A407" s="3"/>
      <x:c r="B407" s="3"/>
      <x:c r="C407" s="3"/>
      <x:c r="D407" s="3"/>
      <x:c r="E407" s="3"/>
      <x:c r="F407" s="3"/>
      <x:c r="G407" s="3"/>
      <x:c r="H407" s="3"/>
      <x:c r="I407" s="3"/>
      <x:c r="J407" s="3" t="str">
        <x:v>SSΔ</x:v>
      </x:c>
      <x:c r="K407" s="3" t="n">
        <x:f>SUMPRODUCT($R$20:$R$384,$Q$20:$Q$384,$Q$20:$Q$384)-K406^2/G11</x:f>
        <x:v>42404.12957746479</x:v>
      </x:c>
      <x:c r="L407" s="3"/>
      <x:c r="M407" s="3"/>
      <x:c r="N407" s="3"/>
      <x:c r="O407" s="3"/>
      <x:c r="P407" s="3"/>
      <x:c r="Q407" s="3"/>
      <x:c r="R407" s="3"/>
      <x:c r="S407" s="3"/>
      <x:c r="T407" s="3"/>
      <x:c r="U407" s="3"/>
      <x:c r="V407" s="3"/>
      <x:c r="W407" s="3"/>
      <x:c r="X407" s="3"/>
      <x:c r="Y407" s="3"/>
      <x:c r="Z407" s="3"/>
    </x:row>
    <x:row r="408" ht="15" customHeight="1">
      <x:c r="A408" s="3"/>
      <x:c r="B408" s="3"/>
      <x:c r="C408" s="3"/>
      <x:c r="D408" s="3"/>
      <x:c r="E408" s="3"/>
      <x:c r="F408" s="3"/>
      <x:c r="G408" s="3"/>
      <x:c r="H408" s="3"/>
      <x:c r="I408" s="3"/>
      <x:c r="J408" s="3" t="str">
        <x:v>SSE</x:v>
      </x:c>
      <x:c r="K408" s="3" t="n">
        <x:f>SUMPRODUCT($R$20:$R$384,$P$20:$P$384)</x:f>
        <x:v>7230061.23246908</x:v>
      </x:c>
      <x:c r="L408" s="3"/>
      <x:c r="M408" s="3"/>
      <x:c r="N408" s="3"/>
      <x:c r="O408" s="3"/>
      <x:c r="P408" s="3"/>
      <x:c r="Q408" s="3"/>
      <x:c r="R408" s="3"/>
      <x:c r="S408" s="3" t="str">
        <x:v>Cov базовых коэффициентов</x:v>
      </x:c>
      <x:c r="T408" s="3"/>
      <x:c r="U408" s="3"/>
      <x:c r="V408" s="3"/>
      <x:c r="W408" s="3"/>
      <x:c r="X408" s="3"/>
      <x:c r="Y408" s="3"/>
      <x:c r="Z408" s="3"/>
    </x:row>
    <x:row r="409" ht="15" customHeight="1">
      <x:c r="A409" s="3"/>
      <x:c r="B409" s="3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  <x:c r="N409" s="3"/>
      <x:c r="O409" s="3"/>
      <x:c r="P409" s="3"/>
      <x:c r="Q409" s="3"/>
      <x:c r="R409" s="3"/>
      <x:c r="S409" s="3" t="n">
        <x:v>6.641172015291707</x:v>
      </x:c>
      <x:c r="T409" s="3" t="n">
        <x:v>0.3077857504621434</x:v>
      </x:c>
      <x:c r="U409" s="3" t="n">
        <x:v>-11.016073840611138</x:v>
      </x:c>
      <x:c r="V409" s="3" t="n">
        <x:v>-0.36295791607157857</x:v>
      </x:c>
      <x:c r="W409" s="3"/>
      <x:c r="X409" s="3"/>
      <x:c r="Y409" s="3"/>
      <x:c r="Z409" s="3"/>
    </x:row>
    <x:row r="410" ht="15" customHeight="1">
      <x:c r="A410" s="3"/>
      <x:c r="B410" s="3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  <x:c r="N410" s="3"/>
      <x:c r="O410" s="3"/>
      <x:c r="P410" s="3"/>
      <x:c r="Q410" s="3"/>
      <x:c r="R410" s="3"/>
      <x:c r="S410" s="3" t="n">
        <x:v>0.3077857504621435</x:v>
      </x:c>
      <x:c r="T410" s="3" t="n">
        <x:v>57.21349711323539</x:v>
      </x:c>
      <x:c r="U410" s="3" t="n">
        <x:v>0.19174521873785152</x:v>
      </x:c>
      <x:c r="V410" s="3" t="n">
        <x:v>-79.41087522339326</x:v>
      </x:c>
      <x:c r="W410" s="3"/>
      <x:c r="X410" s="3"/>
      <x:c r="Y410" s="3"/>
      <x:c r="Z410" s="3"/>
    </x:row>
    <x:row r="411" ht="15" customHeight="1">
      <x:c r="A411" s="3"/>
      <x:c r="B411" s="3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  <x:c r="N411" s="3"/>
      <x:c r="O411" s="3"/>
      <x:c r="P411" s="3"/>
      <x:c r="Q411" s="3"/>
      <x:c r="R411" s="3"/>
      <x:c r="S411" s="3" t="n">
        <x:v>-11.016073840611138</x:v>
      </x:c>
      <x:c r="T411" s="3" t="n">
        <x:v>0.19174521873785155</x:v>
      </x:c>
      <x:c r="U411" s="3" t="n">
        <x:v>33.790939114553744</x:v>
      </x:c>
      <x:c r="V411" s="3" t="n">
        <x:v>0.04862501101232617</x:v>
      </x:c>
      <x:c r="W411" s="3"/>
      <x:c r="X411" s="3"/>
      <x:c r="Y411" s="3"/>
      <x:c r="Z411" s="3"/>
    </x:row>
    <x:row r="412" ht="15" customHeight="1">
      <x:c r="A412" s="3"/>
      <x:c r="B412" s="3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  <x:c r="N412" s="3"/>
      <x:c r="O412" s="3"/>
      <x:c r="P412" s="3"/>
      <x:c r="Q412" s="3"/>
      <x:c r="R412" s="3"/>
      <x:c r="S412" s="3" t="n">
        <x:v>-0.3629579160715788</x:v>
      </x:c>
      <x:c r="T412" s="3" t="n">
        <x:v>-79.41087522339329</x:v>
      </x:c>
      <x:c r="U412" s="3" t="n">
        <x:v>0.04862501101232617</x:v>
      </x:c>
      <x:c r="V412" s="3" t="n">
        <x:v>131.7534611492627</x:v>
      </x:c>
      <x:c r="W412" s="3"/>
      <x:c r="X412" s="3"/>
      <x:c r="Y412" s="3"/>
      <x:c r="Z412" s="3"/>
    </x:row>
    <x:row r="413" ht="15" customHeight="1">
      <x:c r="A413" s="3"/>
      <x:c r="B413" s="3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  <x:c r="N413" s="3"/>
      <x:c r="O413" s="3"/>
      <x:c r="P413" s="3"/>
      <x:c r="Q413" s="3"/>
      <x:c r="R413" s="3"/>
      <x:c r="S413" s="3"/>
      <x:c r="T413" s="3"/>
      <x:c r="U413" s="3"/>
      <x:c r="V413" s="3"/>
      <x:c r="W413" s="3"/>
      <x:c r="X413" s="3"/>
      <x:c r="Y413" s="3"/>
      <x:c r="Z413" s="3"/>
    </x:row>
    <x:row r="414" ht="15" customHeight="1">
      <x:c r="A414" s="3"/>
      <x:c r="B414" s="3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  <x:c r="N414" s="3"/>
      <x:c r="O414" s="3"/>
      <x:c r="P414" s="3"/>
      <x:c r="Q414" s="3"/>
      <x:c r="R414" s="3"/>
      <x:c r="S414" s="3"/>
      <x:c r="T414" s="3"/>
      <x:c r="U414" s="3"/>
      <x:c r="V414" s="3"/>
      <x:c r="W414" s="3"/>
      <x:c r="X414" s="3"/>
      <x:c r="Y414" s="3"/>
      <x:c r="Z414" s="3"/>
    </x:row>
    <x:row r="415" ht="30" customHeight="1">
      <x:c r="A415" s="3"/>
      <x:c r="B415" s="3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  <x:c r="N415" s="3"/>
      <x:c r="O415" s="3"/>
      <x:c r="P415" s="3"/>
      <x:c r="Q415" s="3"/>
      <x:c r="R415" s="3"/>
      <x:c r="S415" s="14" t="str">
        <x:v>Cov a0,cₘ</x:v>
      </x:c>
      <x:c r="T415" s="14" t="str">
        <x:v>Cov a1,cₘ</x:v>
      </x:c>
      <x:c r="U415" s="14" t="str">
        <x:v>Cov a2,cₘ</x:v>
      </x:c>
      <x:c r="V415" s="14" t="str">
        <x:v>Cov a3,cₘ</x:v>
      </x:c>
      <x:c r="W415" s="14" t="str">
        <x:v>Var cₘ</x:v>
      </x:c>
      <x:c r="X415" s="3"/>
      <x:c r="Y415" s="3"/>
      <x:c r="Z415" s="3"/>
    </x:row>
    <x:row r="416" ht="15" customHeight="1">
      <x:c r="A416" s="3"/>
      <x:c r="B416" s="3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  <x:c r="N416" s="3"/>
      <x:c r="O416" s="3"/>
      <x:c r="P416" s="3"/>
      <x:c r="Q416" s="3"/>
      <x:c r="R416" s="3"/>
      <x:c r="S416" s="3" t="n">
        <x:v>0</x:v>
      </x:c>
      <x:c r="T416" s="3" t="n">
        <x:v>0</x:v>
      </x:c>
      <x:c r="U416" s="3" t="n">
        <x:v>0</x:v>
      </x:c>
      <x:c r="V416" s="3" t="n">
        <x:v>0</x:v>
      </x:c>
      <x:c r="W416" s="3" t="n">
        <x:v>0</x:v>
      </x:c>
      <x:c r="X416" s="3"/>
      <x:c r="Y416" s="3"/>
      <x:c r="Z416" s="3"/>
    </x:row>
    <x:row r="417" ht="15" customHeight="1">
      <x:c r="A417" s="3"/>
      <x:c r="B417" s="3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  <x:c r="N417" s="3"/>
      <x:c r="O417" s="3"/>
      <x:c r="P417" s="3"/>
      <x:c r="Q417" s="3"/>
      <x:c r="R417" s="3"/>
      <x:c r="S417" s="3" t="n">
        <x:v>0</x:v>
      </x:c>
      <x:c r="T417" s="3" t="n">
        <x:v>0</x:v>
      </x:c>
      <x:c r="U417" s="3" t="n">
        <x:v>0</x:v>
      </x:c>
      <x:c r="V417" s="3" t="n">
        <x:v>0</x:v>
      </x:c>
      <x:c r="W417" s="3" t="n">
        <x:v>0</x:v>
      </x:c>
      <x:c r="X417" s="3"/>
      <x:c r="Y417" s="3"/>
      <x:c r="Z417" s="3"/>
    </x:row>
    <x:row r="418" ht="15" customHeight="1">
      <x:c r="A418" s="3"/>
      <x:c r="B418" s="3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  <x:c r="N418" s="3"/>
      <x:c r="O418" s="3"/>
      <x:c r="P418" s="3"/>
      <x:c r="Q418" s="3"/>
      <x:c r="R418" s="3"/>
      <x:c r="S418" s="3" t="n">
        <x:v>0</x:v>
      </x:c>
      <x:c r="T418" s="3" t="n">
        <x:v>0</x:v>
      </x:c>
      <x:c r="U418" s="3" t="n">
        <x:v>0</x:v>
      </x:c>
      <x:c r="V418" s="3" t="n">
        <x:v>0</x:v>
      </x:c>
      <x:c r="W418" s="3" t="n">
        <x:v>0</x:v>
      </x:c>
      <x:c r="X418" s="3"/>
      <x:c r="Y418" s="3"/>
      <x:c r="Z418" s="3"/>
    </x:row>
    <x:row r="419" ht="15" customHeight="1">
      <x:c r="A419" s="3"/>
      <x:c r="B419" s="3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  <x:c r="N419" s="3"/>
      <x:c r="O419" s="3"/>
      <x:c r="P419" s="3"/>
      <x:c r="Q419" s="3"/>
      <x:c r="R419" s="3"/>
      <x:c r="S419" s="3" t="n">
        <x:v>0</x:v>
      </x:c>
      <x:c r="T419" s="3" t="n">
        <x:v>0</x:v>
      </x:c>
      <x:c r="U419" s="3" t="n">
        <x:v>0</x:v>
      </x:c>
      <x:c r="V419" s="3" t="n">
        <x:v>0</x:v>
      </x:c>
      <x:c r="W419" s="3" t="n">
        <x:v>0</x:v>
      </x:c>
      <x:c r="X419" s="3"/>
      <x:c r="Y419" s="3"/>
      <x:c r="Z419" s="3"/>
    </x:row>
    <x:row r="420" ht="15" customHeight="1">
      <x:c r="A420" s="3"/>
      <x:c r="B420" s="3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  <x:c r="N420" s="3"/>
      <x:c r="O420" s="3"/>
      <x:c r="P420" s="3"/>
      <x:c r="Q420" s="3"/>
      <x:c r="R420" s="3"/>
      <x:c r="S420" s="3" t="n">
        <x:v>0</x:v>
      </x:c>
      <x:c r="T420" s="3" t="n">
        <x:v>0</x:v>
      </x:c>
      <x:c r="U420" s="3" t="n">
        <x:v>0</x:v>
      </x:c>
      <x:c r="V420" s="3" t="n">
        <x:v>0</x:v>
      </x:c>
      <x:c r="W420" s="3" t="n">
        <x:v>0</x:v>
      </x:c>
      <x:c r="X420" s="3"/>
      <x:c r="Y420" s="3"/>
      <x:c r="Z420" s="3"/>
    </x:row>
    <x:row r="421" ht="15" customHeight="1">
      <x:c r="A421" s="3"/>
      <x:c r="B421" s="3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  <x:c r="N421" s="3"/>
      <x:c r="O421" s="3"/>
      <x:c r="P421" s="3"/>
      <x:c r="Q421" s="3"/>
      <x:c r="R421" s="3"/>
      <x:c r="S421" s="3" t="n">
        <x:v>0</x:v>
      </x:c>
      <x:c r="T421" s="3" t="n">
        <x:v>0</x:v>
      </x:c>
      <x:c r="U421" s="3" t="n">
        <x:v>0</x:v>
      </x:c>
      <x:c r="V421" s="3" t="n">
        <x:v>0</x:v>
      </x:c>
      <x:c r="W421" s="3" t="n">
        <x:v>0</x:v>
      </x:c>
      <x:c r="X421" s="3"/>
      <x:c r="Y421" s="3"/>
      <x:c r="Z421" s="3"/>
    </x:row>
    <x:row r="422" ht="15" customHeight="1">
      <x:c r="A422" s="3"/>
      <x:c r="B422" s="3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  <x:c r="N422" s="3"/>
      <x:c r="O422" s="3"/>
      <x:c r="P422" s="3"/>
      <x:c r="Q422" s="3"/>
      <x:c r="R422" s="3"/>
      <x:c r="S422" s="3" t="n">
        <x:v>0</x:v>
      </x:c>
      <x:c r="T422" s="3" t="n">
        <x:v>0</x:v>
      </x:c>
      <x:c r="U422" s="3" t="n">
        <x:v>0</x:v>
      </x:c>
      <x:c r="V422" s="3" t="n">
        <x:v>0</x:v>
      </x:c>
      <x:c r="W422" s="3" t="n">
        <x:v>0</x:v>
      </x:c>
      <x:c r="X422" s="3"/>
      <x:c r="Y422" s="3"/>
      <x:c r="Z422" s="3"/>
    </x:row>
    <x:row r="423" ht="15" customHeight="1">
      <x:c r="A423" s="3"/>
      <x:c r="B423" s="3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  <x:c r="N423" s="3"/>
      <x:c r="O423" s="3"/>
      <x:c r="P423" s="3"/>
      <x:c r="Q423" s="3"/>
      <x:c r="R423" s="3"/>
      <x:c r="S423" s="3" t="n">
        <x:v>0</x:v>
      </x:c>
      <x:c r="T423" s="3" t="n">
        <x:v>0</x:v>
      </x:c>
      <x:c r="U423" s="3" t="n">
        <x:v>0</x:v>
      </x:c>
      <x:c r="V423" s="3" t="n">
        <x:v>0</x:v>
      </x:c>
      <x:c r="W423" s="3" t="n">
        <x:v>0</x:v>
      </x:c>
      <x:c r="X423" s="3"/>
      <x:c r="Y423" s="3"/>
      <x:c r="Z423" s="3"/>
    </x:row>
    <x:row r="424" ht="15" customHeight="1">
      <x:c r="A424" s="3"/>
      <x:c r="B424" s="3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  <x:c r="N424" s="3"/>
      <x:c r="O424" s="3"/>
      <x:c r="P424" s="3"/>
      <x:c r="Q424" s="3"/>
      <x:c r="R424" s="3"/>
      <x:c r="S424" s="3" t="n">
        <x:v>0</x:v>
      </x:c>
      <x:c r="T424" s="3" t="n">
        <x:v>0</x:v>
      </x:c>
      <x:c r="U424" s="3" t="n">
        <x:v>0</x:v>
      </x:c>
      <x:c r="V424" s="3" t="n">
        <x:v>0</x:v>
      </x:c>
      <x:c r="W424" s="3" t="n">
        <x:v>0</x:v>
      </x:c>
      <x:c r="X424" s="3"/>
      <x:c r="Y424" s="3"/>
      <x:c r="Z424" s="3"/>
    </x:row>
    <x:row r="425" ht="15" customHeight="1">
      <x:c r="A425" s="3"/>
      <x:c r="B425" s="3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  <x:c r="N425" s="3"/>
      <x:c r="O425" s="3"/>
      <x:c r="P425" s="3"/>
      <x:c r="Q425" s="3"/>
      <x:c r="R425" s="3"/>
      <x:c r="S425" s="3" t="n">
        <x:v>0</x:v>
      </x:c>
      <x:c r="T425" s="3" t="n">
        <x:v>0</x:v>
      </x:c>
      <x:c r="U425" s="3" t="n">
        <x:v>0</x:v>
      </x:c>
      <x:c r="V425" s="3" t="n">
        <x:v>0</x:v>
      </x:c>
      <x:c r="W425" s="3" t="n">
        <x:v>0</x:v>
      </x:c>
      <x:c r="X425" s="3"/>
      <x:c r="Y425" s="3"/>
      <x:c r="Z425" s="3"/>
    </x:row>
    <x:row r="426" ht="15" customHeight="1">
      <x:c r="A426" s="3"/>
      <x:c r="B426" s="3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  <x:c r="N426" s="3"/>
      <x:c r="O426" s="3"/>
      <x:c r="P426" s="3"/>
      <x:c r="Q426" s="3"/>
      <x:c r="R426" s="3"/>
      <x:c r="S426" s="3" t="n">
        <x:v>0</x:v>
      </x:c>
      <x:c r="T426" s="3" t="n">
        <x:v>0</x:v>
      </x:c>
      <x:c r="U426" s="3" t="n">
        <x:v>0</x:v>
      </x:c>
      <x:c r="V426" s="3" t="n">
        <x:v>0</x:v>
      </x:c>
      <x:c r="W426" s="3" t="n">
        <x:v>0</x:v>
      </x:c>
      <x:c r="X426" s="3"/>
      <x:c r="Y426" s="3"/>
      <x:c r="Z426" s="3"/>
    </x:row>
    <x:row r="427" ht="15" customHeight="1">
      <x:c r="A427" s="3"/>
      <x:c r="B427" s="3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  <x:c r="N427" s="3"/>
      <x:c r="O427" s="3"/>
      <x:c r="P427" s="3"/>
      <x:c r="Q427" s="3"/>
      <x:c r="R427" s="3"/>
      <x:c r="S427" s="3" t="n">
        <x:v>0</x:v>
      </x:c>
      <x:c r="T427" s="3" t="n">
        <x:v>0</x:v>
      </x:c>
      <x:c r="U427" s="3" t="n">
        <x:v>0</x:v>
      </x:c>
      <x:c r="V427" s="3" t="n">
        <x:v>0</x:v>
      </x:c>
      <x:c r="W427" s="3" t="n">
        <x:v>0</x:v>
      </x:c>
      <x:c r="X427" s="3"/>
      <x:c r="Y427" s="3"/>
      <x:c r="Z427" s="3"/>
    </x:row>
  </x:sheetData>
  <x:pageMargins left="0.7" right="0.7" top="0.75" bottom="0.75" header="0.3" footer="0.3"/>
  <x:drawing xmlns:r="http://schemas.openxmlformats.org/officeDocument/2006/relationships" r:id="Rb672b926b7a5463a"/>
</x:worksheet>
</file>

<file path=xl/worksheets/sheet4.xml><?xml version="1.0" encoding="utf-8"?>
<x:worksheet xmlns:x="http://schemas.openxmlformats.org/spreadsheetml/2006/main">
  <x:sheetPr>
    <x:tabColor rgb="FFFFFFFF"/>
  </x:sheetPr>
  <x:sheetViews>
    <x:sheetView showGridLines="1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6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15" customHeight="1">
      <x:c r="A1" s="3" t="str">
        <x:v>Степенная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15" customHeight="1">
      <x:c r="A2" s="3" t="str">
        <x:v>H=a·x^b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30" customHeight="1">
      <x:c r="A3" s="14" t="str">
        <x:v>Коэф.</x:v>
      </x:c>
      <x:c r="B3" s="14" t="str">
        <x:v>Оценка</x:v>
      </x:c>
      <x:c r="C3" s="14" t="str">
        <x:v>SE</x:v>
      </x:c>
      <x:c r="D3" s="3"/>
      <x:c r="E3" s="3"/>
      <x:c r="F3" s="14" t="str">
        <x:v>Показатель</x:v>
      </x:c>
      <x:c r="G3" s="14" t="str">
        <x:v>Значение</x:v>
      </x:c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15" customHeight="1">
      <x:c r="A4" s="8" t="str">
        <x:v>a</x:v>
      </x:c>
      <x:c r="B4" s="16" t="n">
        <x:v>15.691071777861374</x:v>
      </x:c>
      <x:c r="C4" s="16" t="n">
        <x:f>SQRT(S409)</x:f>
        <x:v>1.8303553519251012</x:v>
      </x:c>
      <x:c r="D4" s="3"/>
      <x:c r="E4" s="3"/>
      <x:c r="F4" s="8" t="str">
        <x:v>R² обучения</x:v>
      </x:c>
      <x:c r="G4" s="12" t="n">
        <x:v>0.09478062322935665</x:v>
      </x:c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15" customHeight="1">
      <x:c r="A5" s="8" t="str">
        <x:v>b</x:v>
      </x:c>
      <x:c r="B5" s="16" t="n">
        <x:v>1.0382786315147094</x:v>
      </x:c>
      <x:c r="C5" s="16" t="n">
        <x:f>SQRT(T410)</x:f>
        <x:v>0.06179313603865145</x:v>
      </x:c>
      <x:c r="D5" s="3"/>
      <x:c r="E5" s="3"/>
      <x:c r="F5" s="8" t="str">
        <x:v>MAE, см</x:v>
      </x:c>
      <x:c r="G5" s="8" t="n">
        <x:f>SUMPRODUCT($R$20:$R$384,$O$20:$O$384)/G11</x:f>
        <x:v>134.3914137296108</x:v>
      </x:c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15" customHeight="1">
      <x:c r="A6" s="3"/>
      <x:c r="B6" s="3"/>
      <x:c r="C6" s="3"/>
      <x:c r="D6" s="3"/>
      <x:c r="E6" s="3"/>
      <x:c r="F6" s="8" t="str">
        <x:v>S (RMSE), см</x:v>
      </x:c>
      <x:c r="G6" s="8" t="n">
        <x:f>SQRT(K408/G11)</x:f>
        <x:v>156.75671790276067</x:v>
      </x:c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15" customHeight="1">
      <x:c r="A7" s="3"/>
      <x:c r="B7" s="3"/>
      <x:c r="C7" s="3"/>
      <x:c r="D7" s="3"/>
      <x:c r="E7" s="3"/>
      <x:c r="F7" s="8" t="str">
        <x:v>NSE</x:v>
      </x:c>
      <x:c r="G7" s="12" t="n">
        <x:f>IF(K405=0,"н.д.",1-K408/K405)</x:f>
        <x:v>-0.3897394799702085</x:v>
      </x:c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15" customHeight="1">
      <x:c r="A8" s="3"/>
      <x:c r="B8" s="3"/>
      <x:c r="C8" s="3"/>
      <x:c r="D8" s="3"/>
      <x:c r="E8" s="3"/>
      <x:c r="F8" s="8" t="str">
        <x:v>S/σΔ</x:v>
      </x:c>
      <x:c r="G8" s="12" t="n">
        <x:f>IF(G10=0,"н.д.",G6/G10)</x:f>
        <x:v>14.322661117697649</x:v>
      </x:c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15" customHeight="1">
      <x:c r="A9" s="3"/>
      <x:c r="B9" s="3"/>
      <x:c r="C9" s="3"/>
      <x:c r="D9" s="3"/>
      <x:c r="E9" s="3"/>
      <x:c r="F9" s="8" t="str">
        <x:v>P%</x:v>
      </x:c>
      <x:c r="G9" s="17" t="n">
        <x:f>SUM($S$20:$S$384)/G11</x:f>
        <x:v>0.030985915492957747</x:v>
      </x:c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15" customHeight="1">
      <x:c r="A10" s="3"/>
      <x:c r="B10" s="3"/>
      <x:c r="C10" s="3"/>
      <x:c r="D10" s="3"/>
      <x:c r="E10" s="3"/>
      <x:c r="F10" s="8" t="str">
        <x:v>σΔ, см</x:v>
      </x:c>
      <x:c r="G10" s="8" t="n">
        <x:f>IF(G11&gt;1,SQRT(MAX(0,K407)/(G11-1)),"н.д.")</x:f>
        <x:v>10.944664306067107</x:v>
      </x:c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15" customHeight="1">
      <x:c r="A11" s="3"/>
      <x:c r="B11" s="3"/>
      <x:c r="C11" s="3"/>
      <x:c r="D11" s="3"/>
      <x:c r="E11" s="3"/>
      <x:c r="F11" s="8" t="str">
        <x:v>n проверки</x:v>
      </x:c>
      <x:c r="G11" s="9" t="n">
        <x:f>SUM($R$20:$R$384)</x:f>
        <x:v>355</x:v>
      </x:c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15" customHeight="1">
      <x:c r="A12" s="3"/>
      <x:c r="B12" s="3"/>
      <x:c r="C12" s="3"/>
      <x:c r="D12" s="3"/>
      <x:c r="E12" s="3"/>
      <x:c r="F12" s="8" t="str">
        <x:v>Оценка, суток</x:v>
      </x:c>
      <x:c r="G12" s="9" t="n">
        <x:f>'Сводка'!$B$11</x:f>
        <x:v>1</x:v>
      </x:c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15" customHeight="1">
      <x:c r="A13" s="3"/>
      <x:c r="B13" s="3"/>
      <x:c r="C13" s="3"/>
      <x:c r="D13" s="3"/>
      <x:c r="E13" s="3"/>
      <x:c r="F13" s="8" t="str">
        <x:v>δдоп, см</x:v>
      </x:c>
      <x:c r="G13" s="8" t="n">
        <x:f>'Сводка'!$B$14*G10</x:f>
        <x:v>7.376703742289231</x:v>
      </x:c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15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1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15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15" customHeight="1">
      <x:c r="A17" s="3" t="str">
        <x:v>Прогноз</x:v>
      </x:c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 ht="30" customHeight="1">
      <x:c r="A18" s="15" t="str">
        <x:v>Дата</x:v>
      </x:c>
      <x:c r="B18" s="15" t="str">
        <x:v>x</x:v>
      </x:c>
      <x:c r="C18" s="15" t="str">
        <x:v>u</x:v>
      </x:c>
      <x:c r="D18" s="15" t="str">
        <x:v>Прогноз, см</x:v>
      </x:c>
      <x:c r="E18" s="15" t="str">
        <x:v>SE прогноза</x:v>
      </x:c>
      <x:c r="F18" s="15" t="str">
        <x:v>Нижняя 95%</x:v>
      </x:c>
      <x:c r="G18" s="15" t="str">
        <x:v>Верхняя 95%</x:v>
      </x:c>
      <x:c r="H18" s="15" t="str">
        <x:v>SE среднего</x:v>
      </x:c>
      <x:c r="I18" s="3"/>
      <x:c r="J18" s="3" t="str">
        <x:v>Проверочные прогнозы</x:v>
      </x:c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 ht="30" customHeight="1">
      <x:c r="A19" s="10" t="n">
        <x:f>IF(1&lt;='Сводка'!$B$3,'Сводка'!$B$4+1,"")</x:f>
        <x:v>46236</x:v>
      </x:c>
      <x:c r="B19" s="18" t="n">
        <x:f>IF($A19="","",(A19-$T$405+1)/1000)</x:f>
        <x:v>8.98</x:v>
      </x:c>
      <x:c r="C19" s="18" t="n">
        <x:f>IF($A19="","",2*(A19-$T$405)/$T$406-1)</x:f>
        <x:v>1.000222766763199</x:v>
      </x:c>
      <x:c r="D19" s="8" t="n">
        <x:f>IF($A19="","",$B$4*B19^$B$5)</x:f>
        <x:v>153.25655513229324</x:v>
      </x:c>
      <x:c r="E19" s="8" t="n">
        <x:f>IF($A19="","",SQRT($T$403^2+H19^2))</x:f>
        <x:v>163.77833029948104</x:v>
      </x:c>
      <x:c r="F19" s="8" t="n">
        <x:f>IF($A19="","",D19-$T$404*E19)</x:f>
        <x:v>-167.78829428026617</x:v>
      </x:c>
      <x:c r="G19" s="8" t="n">
        <x:f>IF($A19="","",D19+$T$404*E19)</x:f>
        <x:v>474.30140454485263</x:v>
      </x:c>
      <x:c r="H19" s="8" t="n">
        <x:f>IF($A19="","",SQRT(MAX(0,(B19^$B$5)*$S$409*(B19^$B$5)+(B19^$B$5)*$T$409*($B$4*B19^$B$5*LN(B19))+($B$4*B19^$B$5*LN(B19))*$S$410*(B19^$B$5)+($B$4*B19^$B$5*LN(B19))*$T$410*($B$4*B19^$B$5*LN(B19)))))</x:f>
        <x:v>4.481648323926394</x:v>
      </x:c>
      <x:c r="I19" s="3"/>
      <x:c r="J19" s="15" t="str">
        <x:v>Дата</x:v>
      </x:c>
      <x:c r="K19" s="15" t="str">
        <x:v>Факт, см</x:v>
      </x:c>
      <x:c r="L19" s="15" t="str">
        <x:v>H начала</x:v>
      </x:c>
      <x:c r="M19" s="15" t="str">
        <x:v>Прогноз, см</x:v>
      </x:c>
      <x:c r="N19" s="15" t="str">
        <x:v>Ошибка</x:v>
      </x:c>
      <x:c r="O19" s="15" t="str">
        <x:v>|Ошибка|</x:v>
      </x:c>
      <x:c r="P19" s="15" t="str">
        <x:v>Ошибка²</x:v>
      </x:c>
      <x:c r="Q19" s="15" t="str">
        <x:v>ΔH</x:v>
      </x:c>
      <x:c r="R19" s="15" t="str">
        <x:v>Вес</x:v>
      </x:c>
      <x:c r="S19" s="15" t="str">
        <x:v>Оправдался</x:v>
      </x:c>
      <x:c r="T19" s="15" t="str">
        <x:v>Обучение до</x:v>
      </x:c>
      <x:c r="U19" s="14" t="str">
        <x:v>i факт</x:v>
      </x:c>
      <x:c r="V19" s="14" t="str">
        <x:v>i начало</x:v>
      </x:c>
      <x:c r="W19" s="14" t="str">
        <x:v>i fit</x:v>
      </x:c>
      <x:c r="X19" s="3"/>
      <x:c r="Y19" s="3"/>
      <x:c r="Z19" s="3"/>
    </x:row>
    <x:row r="20" ht="15" customHeight="1">
      <x:c r="A20" s="10" t="n">
        <x:f>IF(2&lt;='Сводка'!$B$3,'Сводка'!$B$4+2,"")</x:f>
        <x:v>46237</x:v>
      </x:c>
      <x:c r="B20" s="18" t="n">
        <x:f>IF($A20="","",(A20-$T$405+1)/1000)</x:f>
        <x:v>8.981</x:v>
      </x:c>
      <x:c r="C20" s="18" t="n">
        <x:f>IF($A20="","",2*(A20-$T$405)/$T$406-1)</x:f>
        <x:v>1.0004455335263978</x:v>
      </x:c>
      <x:c r="D20" s="8" t="n">
        <x:f>IF($A20="","",$B$4*B20^$B$5)</x:f>
        <x:v>153.27427488123138</x:v>
      </x:c>
      <x:c r="E20" s="8" t="n">
        <x:f>IF($A20="","",SQRT($T$403^2+H20^2))</x:f>
        <x:v>163.77836502269082</x:v>
      </x:c>
      <x:c r="F20" s="8" t="n">
        <x:f>IF($A20="","",D20-$T$404*E20)</x:f>
        <x:v>-167.770642597156</x:v>
      </x:c>
      <x:c r="G20" s="8" t="n">
        <x:f>IF($A20="","",D20+$T$404*E20)</x:f>
        <x:v>474.3191923596188</x:v>
      </x:c>
      <x:c r="H20" s="8" t="n">
        <x:f>IF($A20="","",SQRT(MAX(0,(B20^$B$5)*$S$409*(B20^$B$5)+(B20^$B$5)*$T$409*($B$4*B20^$B$5*LN(B20))+($B$4*B20^$B$5*LN(B20))*$S$410*(B20^$B$5)+($B$4*B20^$B$5*LN(B20))*$T$410*($B$4*B20^$B$5*LN(B20)))))</x:f>
        <x:v>4.482917076993404</x:v>
      </x:c>
      <x:c r="I20" s="3"/>
      <x:c r="J20" s="10" t="n">
        <x:v>45871</x:v>
      </x:c>
      <x:c r="K20" s="8" t="n">
        <x:f>INDEX('Сводка'!$S$3:$S$397,U20)</x:f>
        <x:v>211</x:v>
      </x:c>
      <x:c r="L20" s="8" t="n">
        <x:f>INDEX('Сводка'!$S$3:$S$397,V20)</x:f>
        <x:v>193</x:v>
      </x:c>
      <x:c r="M20" s="8" t="n">
        <x:f>INDEX($K$388:$N$400,W20,1)*((J20-$T$405+1)/1000)^INDEX($K$388:$N$400,W20,2)</x:f>
        <x:v>166.01220573129416</x:v>
      </x:c>
      <x:c r="N20" s="8" t="n">
        <x:f>K20-M20</x:f>
        <x:v>44.98779426870584</x:v>
      </x:c>
      <x:c r="O20" s="8" t="n">
        <x:f>ABS(N20)</x:f>
        <x:v>44.98779426870584</x:v>
      </x:c>
      <x:c r="P20" s="8" t="n">
        <x:f>N20^2</x:f>
        <x:v>2023.901633163402</x:v>
      </x:c>
      <x:c r="Q20" s="8" t="n">
        <x:f>K20-L20</x:f>
        <x:v>18</x:v>
      </x:c>
      <x:c r="R20" s="9" t="n">
        <x:f>IF(AND(INDEX('Сводка'!$T$3:$T$397,U20)=0,INDEX('Сводка'!$T$3:$T$397,V20)=0),1,0)</x:f>
        <x:v>1</x:v>
      </x:c>
      <x:c r="S20" s="9" t="n">
        <x:f>IF(AND(R20=1,O20&lt;=$G$13),1,0)</x:f>
        <x:v>0</x:v>
      </x:c>
      <x:c r="T20" s="10" t="n">
        <x:f>EOMONTH(J20-'Сводка'!$B$11,-1)</x:f>
        <x:v>45869</x:v>
      </x:c>
      <x:c r="U20" s="4" t="n">
        <x:f>MATCH(J20,'Сводка'!$R$3:$R$397,0)</x:f>
        <x:v>31</x:v>
      </x:c>
      <x:c r="V20" s="4" t="n">
        <x:f>MATCH(J20-'Сводка'!$B$11,'Сводка'!$R$3:$R$397,0)</x:f>
        <x:v>30</x:v>
      </x:c>
      <x:c r="W20" s="4" t="n">
        <x:f>MATCH(T20,$J$388:$J$400,0)</x:f>
        <x:v>2</x:v>
      </x:c>
      <x:c r="X20" s="3"/>
      <x:c r="Y20" s="3"/>
      <x:c r="Z20" s="3"/>
    </x:row>
    <x:row r="21" ht="15" customHeight="1">
      <x:c r="A21" s="10" t="n">
        <x:f>IF(3&lt;='Сводка'!$B$3,'Сводка'!$B$4+3,"")</x:f>
        <x:v>46238</x:v>
      </x:c>
      <x:c r="B21" s="18" t="n">
        <x:f>IF($A21="","",(A21-$T$405+1)/1000)</x:f>
        <x:v>8.982</x:v>
      </x:c>
      <x:c r="C21" s="18" t="n">
        <x:f>IF($A21="","",2*(A21-$T$405)/$T$406-1)</x:f>
        <x:v>1.0006683002895969</x:v>
      </x:c>
      <x:c r="D21" s="8" t="n">
        <x:f>IF($A21="","",$B$4*B21^$B$5)</x:f>
        <x:v>153.2919947056944</x:v>
      </x:c>
      <x:c r="E21" s="8" t="n">
        <x:f>IF($A21="","",SQRT($T$403^2+H21^2))</x:f>
        <x:v>163.77839976159754</x:v>
      </x:c>
      <x:c r="F21" s="8" t="n">
        <x:f>IF($A21="","",D21-$T$404*E21)</x:f>
        <x:v>-167.7529908692907</x:v>
      </x:c>
      <x:c r="G21" s="8" t="n">
        <x:f>IF($A21="","",D21+$T$404*E21)</x:f>
        <x:v>474.33698028067954</x:v>
      </x:c>
      <x:c r="H21" s="8" t="n">
        <x:f>IF($A21="","",SQRT(MAX(0,(B21^$B$5)*$S$409*(B21^$B$5)+(B21^$B$5)*$T$409*($B$4*B21^$B$5*LN(B21))+($B$4*B21^$B$5*LN(B21))*$S$410*(B21^$B$5)+($B$4*B21^$B$5*LN(B21))*$T$410*($B$4*B21^$B$5*LN(B21)))))</x:f>
        <x:v>4.4841860446573</x:v>
      </x:c>
      <x:c r="I21" s="3"/>
      <x:c r="J21" s="10" t="n">
        <x:v>45872</x:v>
      </x:c>
      <x:c r="K21" s="8" t="n">
        <x:f>INDEX('Сводка'!$S$3:$S$397,U21)</x:f>
        <x:v>229</x:v>
      </x:c>
      <x:c r="L21" s="8" t="n">
        <x:f>INDEX('Сводка'!$S$3:$S$397,V21)</x:f>
        <x:v>211</x:v>
      </x:c>
      <x:c r="M21" s="8" t="n">
        <x:f>INDEX($K$388:$N$400,W21,1)*((J21-$T$405+1)/1000)^INDEX($K$388:$N$400,W21,2)</x:f>
        <x:v>166.03539591388346</x:v>
      </x:c>
      <x:c r="N21" s="8" t="n">
        <x:f>K21-M21</x:f>
        <x:v>62.96460408611654</x:v>
      </x:c>
      <x:c r="O21" s="8" t="n">
        <x:f>ABS(N21)</x:f>
        <x:v>62.96460408611654</x:v>
      </x:c>
      <x:c r="P21" s="8" t="n">
        <x:f>N21^2</x:f>
        <x:v>3964.5413677214033</x:v>
      </x:c>
      <x:c r="Q21" s="8" t="n">
        <x:f>K21-L21</x:f>
        <x:v>18</x:v>
      </x:c>
      <x:c r="R21" s="9" t="n">
        <x:f>IF(AND(INDEX('Сводка'!$T$3:$T$397,U21)=0,INDEX('Сводка'!$T$3:$T$397,V21)=0),1,0)</x:f>
        <x:v>1</x:v>
      </x:c>
      <x:c r="S21" s="9" t="n">
        <x:f>IF(AND(R21=1,O21&lt;=$G$13),1,0)</x:f>
        <x:v>0</x:v>
      </x:c>
      <x:c r="T21" s="10" t="n">
        <x:f>EOMONTH(J21-'Сводка'!$B$11,-1)</x:f>
        <x:v>45869</x:v>
      </x:c>
      <x:c r="U21" s="4" t="n">
        <x:f>MATCH(J21,'Сводка'!$R$3:$R$397,0)</x:f>
        <x:v>32</x:v>
      </x:c>
      <x:c r="V21" s="4" t="n">
        <x:f>MATCH(J21-'Сводка'!$B$11,'Сводка'!$R$3:$R$397,0)</x:f>
        <x:v>31</x:v>
      </x:c>
      <x:c r="W21" s="4" t="n">
        <x:f>MATCH(T21,$J$388:$J$400,0)</x:f>
        <x:v>2</x:v>
      </x:c>
      <x:c r="X21" s="3"/>
      <x:c r="Y21" s="3"/>
      <x:c r="Z21" s="3"/>
    </x:row>
    <x:row r="22" ht="15" customHeight="1">
      <x:c r="A22" s="10" t="n">
        <x:f>IF(4&lt;='Сводка'!$B$3,'Сводка'!$B$4+4,"")</x:f>
        <x:v>46239</x:v>
      </x:c>
      <x:c r="B22" s="18" t="n">
        <x:f>IF($A22="","",(A22-$T$405+1)/1000)</x:f>
        <x:v>8.983</x:v>
      </x:c>
      <x:c r="C22" s="18" t="n">
        <x:f>IF($A22="","",2*(A22-$T$405)/$T$406-1)</x:f>
        <x:v>1.0008910670527955</x:v>
      </x:c>
      <x:c r="D22" s="8" t="n">
        <x:f>IF($A22="","",$B$4*B22^$B$5)</x:f>
        <x:v>153.3097146056743</x:v>
      </x:c>
      <x:c r="E22" s="8" t="n">
        <x:f>IF($A22="","",SQRT($T$403^2+H22^2))</x:f>
        <x:v>163.7784345162043</x:v>
      </x:c>
      <x:c r="F22" s="8" t="n">
        <x:f>IF($A22="","",D22-$T$404*E22)</x:f>
        <x:v>-167.7353390966844</x:v>
      </x:c>
      <x:c r="G22" s="8" t="n">
        <x:f>IF($A22="","",D22+$T$404*E22)</x:f>
        <x:v>474.354768308033</x:v>
      </x:c>
      <x:c r="H22" s="8" t="n">
        <x:f>IF($A22="","",SQRT(MAX(0,(B22^$B$5)*$S$409*(B22^$B$5)+(B22^$B$5)*$T$409*($B$4*B22^$B$5*LN(B22))+($B$4*B22^$B$5*LN(B22))*$S$410*(B22^$B$5)+($B$4*B22^$B$5*LN(B22))*$T$410*($B$4*B22^$B$5*LN(B22)))))</x:f>
        <x:v>4.485455226848675</x:v>
      </x:c>
      <x:c r="I22" s="3"/>
      <x:c r="J22" s="10" t="n">
        <x:v>45873</x:v>
      </x:c>
      <x:c r="K22" s="8" t="n">
        <x:f>INDEX('Сводка'!$S$3:$S$397,U22)</x:f>
        <x:v>243</x:v>
      </x:c>
      <x:c r="L22" s="8" t="n">
        <x:f>INDEX('Сводка'!$S$3:$S$397,V22)</x:f>
        <x:v>229</x:v>
      </x:c>
      <x:c r="M22" s="8" t="n">
        <x:f>INDEX($K$388:$N$400,W22,1)*((J22-$T$405+1)/1000)^INDEX($K$388:$N$400,W22,2)</x:f>
        <x:v>166.05858664396757</x:v>
      </x:c>
      <x:c r="N22" s="8" t="n">
        <x:f>K22-M22</x:f>
        <x:v>76.94141335603243</x:v>
      </x:c>
      <x:c r="O22" s="8" t="n">
        <x:f>ABS(N22)</x:f>
        <x:v>76.94141335603243</x:v>
      </x:c>
      <x:c r="P22" s="8" t="n">
        <x:f>N22^2</x:f>
        <x:v>5919.981089223846</x:v>
      </x:c>
      <x:c r="Q22" s="8" t="n">
        <x:f>K22-L22</x:f>
        <x:v>14</x:v>
      </x:c>
      <x:c r="R22" s="9" t="n">
        <x:f>IF(AND(INDEX('Сводка'!$T$3:$T$397,U22)=0,INDEX('Сводка'!$T$3:$T$397,V22)=0),1,0)</x:f>
        <x:v>1</x:v>
      </x:c>
      <x:c r="S22" s="9" t="n">
        <x:f>IF(AND(R22=1,O22&lt;=$G$13),1,0)</x:f>
        <x:v>0</x:v>
      </x:c>
      <x:c r="T22" s="10" t="n">
        <x:f>EOMONTH(J22-'Сводка'!$B$11,-1)</x:f>
        <x:v>45869</x:v>
      </x:c>
      <x:c r="U22" s="4" t="n">
        <x:f>MATCH(J22,'Сводка'!$R$3:$R$397,0)</x:f>
        <x:v>33</x:v>
      </x:c>
      <x:c r="V22" s="4" t="n">
        <x:f>MATCH(J22-'Сводка'!$B$11,'Сводка'!$R$3:$R$397,0)</x:f>
        <x:v>32</x:v>
      </x:c>
      <x:c r="W22" s="4" t="n">
        <x:f>MATCH(T22,$J$388:$J$400,0)</x:f>
        <x:v>2</x:v>
      </x:c>
      <x:c r="X22" s="3"/>
      <x:c r="Y22" s="3"/>
      <x:c r="Z22" s="3"/>
    </x:row>
    <x:row r="23" ht="15" customHeight="1">
      <x:c r="A23" s="10" t="n">
        <x:f>IF(5&lt;='Сводка'!$B$3,'Сводка'!$B$4+5,"")</x:f>
        <x:v>46240</x:v>
      </x:c>
      <x:c r="B23" s="18" t="n">
        <x:f>IF($A23="","",(A23-$T$405+1)/1000)</x:f>
        <x:v>8.984</x:v>
      </x:c>
      <x:c r="C23" s="18" t="n">
        <x:f>IF($A23="","",2*(A23-$T$405)/$T$406-1)</x:f>
        <x:v>1.0011138338159946</x:v>
      </x:c>
      <x:c r="D23" s="8" t="n">
        <x:f>IF($A23="","",$B$4*B23^$B$5)</x:f>
        <x:v>153.3274345811629</x:v>
      </x:c>
      <x:c r="E23" s="8" t="n">
        <x:f>IF($A23="","",SQRT($T$403^2+H23^2))</x:f>
        <x:v>163.77846928651417</x:v>
      </x:c>
      <x:c r="F23" s="8" t="n">
        <x:f>IF($A23="","",D23-$T$404*E23)</x:f>
        <x:v>-167.71768727935125</x:v>
      </x:c>
      <x:c r="G23" s="8" t="n">
        <x:f>IF($A23="","",D23+$T$404*E23)</x:f>
        <x:v>474.37255644167703</x:v>
      </x:c>
      <x:c r="H23" s="8" t="n">
        <x:f>IF($A23="","",SQRT(MAX(0,(B23^$B$5)*$S$409*(B23^$B$5)+(B23^$B$5)*$T$409*($B$4*B23^$B$5*LN(B23))+($B$4*B23^$B$5*LN(B23))*$S$410*(B23^$B$5)+($B$4*B23^$B$5*LN(B23))*$T$410*($B$4*B23^$B$5*LN(B23)))))</x:f>
        <x:v>4.486724623498137</x:v>
      </x:c>
      <x:c r="I23" s="3"/>
      <x:c r="J23" s="10" t="n">
        <x:v>45874</x:v>
      </x:c>
      <x:c r="K23" s="8" t="n">
        <x:f>INDEX('Сводка'!$S$3:$S$397,U23)</x:f>
        <x:v>249</x:v>
      </x:c>
      <x:c r="L23" s="8" t="n">
        <x:f>INDEX('Сводка'!$S$3:$S$397,V23)</x:f>
        <x:v>243</x:v>
      </x:c>
      <x:c r="M23" s="8" t="n">
        <x:f>INDEX($K$388:$N$400,W23,1)*((J23-$T$405+1)/1000)^INDEX($K$388:$N$400,W23,2)</x:f>
        <x:v>166.08177792149579</x:v>
      </x:c>
      <x:c r="N23" s="8" t="n">
        <x:f>K23-M23</x:f>
        <x:v>82.91822207850421</x:v>
      </x:c>
      <x:c r="O23" s="8" t="n">
        <x:f>ABS(N23)</x:f>
        <x:v>82.91822207850421</x:v>
      </x:c>
      <x:c r="P23" s="8" t="n">
        <x:f>N23^2</x:f>
        <x:v>6875.431552660144</x:v>
      </x:c>
      <x:c r="Q23" s="8" t="n">
        <x:f>K23-L23</x:f>
        <x:v>6</x:v>
      </x:c>
      <x:c r="R23" s="9" t="n">
        <x:f>IF(AND(INDEX('Сводка'!$T$3:$T$397,U23)=0,INDEX('Сводка'!$T$3:$T$397,V23)=0),1,0)</x:f>
        <x:v>1</x:v>
      </x:c>
      <x:c r="S23" s="9" t="n">
        <x:f>IF(AND(R23=1,O23&lt;=$G$13),1,0)</x:f>
        <x:v>0</x:v>
      </x:c>
      <x:c r="T23" s="10" t="n">
        <x:f>EOMONTH(J23-'Сводка'!$B$11,-1)</x:f>
        <x:v>45869</x:v>
      </x:c>
      <x:c r="U23" s="4" t="n">
        <x:f>MATCH(J23,'Сводка'!$R$3:$R$397,0)</x:f>
        <x:v>34</x:v>
      </x:c>
      <x:c r="V23" s="4" t="n">
        <x:f>MATCH(J23-'Сводка'!$B$11,'Сводка'!$R$3:$R$397,0)</x:f>
        <x:v>33</x:v>
      </x:c>
      <x:c r="W23" s="4" t="n">
        <x:f>MATCH(T23,$J$388:$J$400,0)</x:f>
        <x:v>2</x:v>
      </x:c>
      <x:c r="X23" s="3"/>
      <x:c r="Y23" s="3"/>
      <x:c r="Z23" s="3"/>
    </x:row>
    <x:row r="24" ht="15" customHeight="1">
      <x:c r="A24" s="10" t="n">
        <x:f>IF(6&lt;='Сводка'!$B$3,'Сводка'!$B$4+6,"")</x:f>
        <x:v>46241</x:v>
      </x:c>
      <x:c r="B24" s="18" t="n">
        <x:f>IF($A24="","",(A24-$T$405+1)/1000)</x:f>
        <x:v>8.985</x:v>
      </x:c>
      <x:c r="C24" s="18" t="n">
        <x:f>IF($A24="","",2*(A24-$T$405)/$T$406-1)</x:f>
        <x:v>1.0013366005791937</x:v>
      </x:c>
      <x:c r="D24" s="8" t="n">
        <x:f>IF($A24="","",$B$4*B24^$B$5)</x:f>
        <x:v>153.34515463215212</x:v>
      </x:c>
      <x:c r="E24" s="8" t="n">
        <x:f>IF($A24="","",SQRT($T$403^2+H24^2))</x:f>
        <x:v>163.77850407253018</x:v>
      </x:c>
      <x:c r="F24" s="8" t="n">
        <x:f>IF($A24="","",D24-$T$404*E24)</x:f>
        <x:v>-167.7000354173053</x:v>
      </x:c>
      <x:c r="G24" s="8" t="n">
        <x:f>IF($A24="","",D24+$T$404*E24)</x:f>
        <x:v>474.3903446816095</x:v>
      </x:c>
      <x:c r="H24" s="8" t="n">
        <x:f>IF($A24="","",SQRT(MAX(0,(B24^$B$5)*$S$409*(B24^$B$5)+(B24^$B$5)*$T$409*($B$4*B24^$B$5*LN(B24))+($B$4*B24^$B$5*LN(B24))*$S$410*(B24^$B$5)+($B$4*B24^$B$5*LN(B24))*$T$410*($B$4*B24^$B$5*LN(B24)))))</x:f>
        <x:v>4.487994234536424</x:v>
      </x:c>
      <x:c r="I24" s="3"/>
      <x:c r="J24" s="10" t="n">
        <x:v>45875</x:v>
      </x:c>
      <x:c r="K24" s="8" t="n">
        <x:f>INDEX('Сводка'!$S$3:$S$397,U24)</x:f>
        <x:v>253</x:v>
      </x:c>
      <x:c r="L24" s="8" t="n">
        <x:f>INDEX('Сводка'!$S$3:$S$397,V24)</x:f>
        <x:v>249</x:v>
      </x:c>
      <x:c r="M24" s="8" t="n">
        <x:f>INDEX($K$388:$N$400,W24,1)*((J24-$T$405+1)/1000)^INDEX($K$388:$N$400,W24,2)</x:f>
        <x:v>166.10496974641757</x:v>
      </x:c>
      <x:c r="N24" s="8" t="n">
        <x:f>K24-M24</x:f>
        <x:v>86.89503025358243</x:v>
      </x:c>
      <x:c r="O24" s="8" t="n">
        <x:f>ABS(N24)</x:f>
        <x:v>86.89503025358243</x:v>
      </x:c>
      <x:c r="P24" s="8" t="n">
        <x:f>N24^2</x:f>
        <x:v>7550.746282771006</x:v>
      </x:c>
      <x:c r="Q24" s="8" t="n">
        <x:f>K24-L24</x:f>
        <x:v>4</x:v>
      </x:c>
      <x:c r="R24" s="9" t="n">
        <x:f>IF(AND(INDEX('Сводка'!$T$3:$T$397,U24)=0,INDEX('Сводка'!$T$3:$T$397,V24)=0),1,0)</x:f>
        <x:v>1</x:v>
      </x:c>
      <x:c r="S24" s="9" t="n">
        <x:f>IF(AND(R24=1,O24&lt;=$G$13),1,0)</x:f>
        <x:v>0</x:v>
      </x:c>
      <x:c r="T24" s="10" t="n">
        <x:f>EOMONTH(J24-'Сводка'!$B$11,-1)</x:f>
        <x:v>45869</x:v>
      </x:c>
      <x:c r="U24" s="4" t="n">
        <x:f>MATCH(J24,'Сводка'!$R$3:$R$397,0)</x:f>
        <x:v>35</x:v>
      </x:c>
      <x:c r="V24" s="4" t="n">
        <x:f>MATCH(J24-'Сводка'!$B$11,'Сводка'!$R$3:$R$397,0)</x:f>
        <x:v>34</x:v>
      </x:c>
      <x:c r="W24" s="4" t="n">
        <x:f>MATCH(T24,$J$388:$J$400,0)</x:f>
        <x:v>2</x:v>
      </x:c>
      <x:c r="X24" s="3"/>
      <x:c r="Y24" s="3"/>
      <x:c r="Z24" s="3"/>
    </x:row>
    <x:row r="25" ht="15" customHeight="1">
      <x:c r="A25" s="10" t="n">
        <x:f>IF(7&lt;='Сводка'!$B$3,'Сводка'!$B$4+7,"")</x:f>
        <x:v>46242</x:v>
      </x:c>
      <x:c r="B25" s="18" t="n">
        <x:f>IF($A25="","",(A25-$T$405+1)/1000)</x:f>
        <x:v>8.986</x:v>
      </x:c>
      <x:c r="C25" s="18" t="n">
        <x:f>IF($A25="","",2*(A25-$T$405)/$T$406-1)</x:f>
        <x:v>1.0015593673423924</x:v>
      </x:c>
      <x:c r="D25" s="8" t="n">
        <x:f>IF($A25="","",$B$4*B25^$B$5)</x:f>
        <x:v>153.36287475863395</x:v>
      </x:c>
      <x:c r="E25" s="8" t="n">
        <x:f>IF($A25="","",SQRT($T$403^2+H25^2))</x:f>
        <x:v>163.77853887425547</x:v>
      </x:c>
      <x:c r="F25" s="8" t="n">
        <x:f>IF($A25="","",D25-$T$404*E25)</x:f>
        <x:v>-167.68238351056067</x:v>
      </x:c>
      <x:c r="G25" s="8" t="n">
        <x:f>IF($A25="","",D25+$T$404*E25)</x:f>
        <x:v>474.40813302782857</x:v>
      </x:c>
      <x:c r="H25" s="8" t="n">
        <x:f>IF($A25="","",SQRT(MAX(0,(B25^$B$5)*$S$409*(B25^$B$5)+(B25^$B$5)*$T$409*($B$4*B25^$B$5*LN(B25))+($B$4*B25^$B$5*LN(B25))*$S$410*(B25^$B$5)+($B$4*B25^$B$5*LN(B25))*$T$410*($B$4*B25^$B$5*LN(B25)))))</x:f>
        <x:v>4.489264059894225</x:v>
      </x:c>
      <x:c r="I25" s="3"/>
      <x:c r="J25" s="10" t="n">
        <x:v>45876</x:v>
      </x:c>
      <x:c r="K25" s="8" t="n">
        <x:f>INDEX('Сводка'!$S$3:$S$397,U25)</x:f>
        <x:v>259</x:v>
      </x:c>
      <x:c r="L25" s="8" t="n">
        <x:f>INDEX('Сводка'!$S$3:$S$397,V25)</x:f>
        <x:v>253</x:v>
      </x:c>
      <x:c r="M25" s="8" t="n">
        <x:f>INDEX($K$388:$N$400,W25,1)*((J25-$T$405+1)/1000)^INDEX($K$388:$N$400,W25,2)</x:f>
        <x:v>166.1281621186823</x:v>
      </x:c>
      <x:c r="N25" s="8" t="n">
        <x:f>K25-M25</x:f>
        <x:v>92.8718378813177</x:v>
      </x:c>
      <x:c r="O25" s="8" t="n">
        <x:f>ABS(N25)</x:f>
        <x:v>92.8718378813177</x:v>
      </x:c>
      <x:c r="P25" s="8" t="n">
        <x:f>N25^2</x:f>
        <x:v>8625.178271453758</x:v>
      </x:c>
      <x:c r="Q25" s="8" t="n">
        <x:f>K25-L25</x:f>
        <x:v>6</x:v>
      </x:c>
      <x:c r="R25" s="9" t="n">
        <x:f>IF(AND(INDEX('Сводка'!$T$3:$T$397,U25)=0,INDEX('Сводка'!$T$3:$T$397,V25)=0),1,0)</x:f>
        <x:v>1</x:v>
      </x:c>
      <x:c r="S25" s="9" t="n">
        <x:f>IF(AND(R25=1,O25&lt;=$G$13),1,0)</x:f>
        <x:v>0</x:v>
      </x:c>
      <x:c r="T25" s="10" t="n">
        <x:f>EOMONTH(J25-'Сводка'!$B$11,-1)</x:f>
        <x:v>45869</x:v>
      </x:c>
      <x:c r="U25" s="4" t="n">
        <x:f>MATCH(J25,'Сводка'!$R$3:$R$397,0)</x:f>
        <x:v>36</x:v>
      </x:c>
      <x:c r="V25" s="4" t="n">
        <x:f>MATCH(J25-'Сводка'!$B$11,'Сводка'!$R$3:$R$397,0)</x:f>
        <x:v>35</x:v>
      </x:c>
      <x:c r="W25" s="4" t="n">
        <x:f>MATCH(T25,$J$388:$J$400,0)</x:f>
        <x:v>2</x:v>
      </x:c>
      <x:c r="X25" s="3"/>
      <x:c r="Y25" s="3"/>
      <x:c r="Z25" s="3"/>
    </x:row>
    <x:row r="26" ht="15" customHeight="1">
      <x:c r="A26" s="10" t="n">
        <x:f>IF(8&lt;='Сводка'!$B$3,'Сводка'!$B$4+8,"")</x:f>
        <x:v>46243</x:v>
      </x:c>
      <x:c r="B26" s="18" t="n">
        <x:f>IF($A26="","",(A26-$T$405+1)/1000)</x:f>
        <x:v>8.987</x:v>
      </x:c>
      <x:c r="C26" s="18" t="n">
        <x:f>IF($A26="","",2*(A26-$T$405)/$T$406-1)</x:f>
        <x:v>1.0017821341055915</x:v>
      </x:c>
      <x:c r="D26" s="8" t="n">
        <x:f>IF($A26="","",$B$4*B26^$B$5)</x:f>
        <x:v>153.38059496060023</x:v>
      </x:c>
      <x:c r="E26" s="8" t="n">
        <x:f>IF($A26="","",SQRT($T$403^2+H26^2))</x:f>
        <x:v>163.7785736916931</x:v>
      </x:c>
      <x:c r="F26" s="8" t="n">
        <x:f>IF($A26="","",D26-$T$404*E26)</x:f>
        <x:v>-167.66473155913158</x:v>
      </x:c>
      <x:c r="G26" s="8" t="n">
        <x:f>IF($A26="","",D26+$T$404*E26)</x:f>
        <x:v>474.425921480332</x:v>
      </x:c>
      <x:c r="H26" s="8" t="n">
        <x:f>IF($A26="","",SQRT(MAX(0,(B26^$B$5)*$S$409*(B26^$B$5)+(B26^$B$5)*$T$409*($B$4*B26^$B$5*LN(B26))+($B$4*B26^$B$5*LN(B26))*$S$410*(B26^$B$5)+($B$4*B26^$B$5*LN(B26))*$T$410*($B$4*B26^$B$5*LN(B26)))))</x:f>
        <x:v>4.490534099502319</x:v>
      </x:c>
      <x:c r="I26" s="3"/>
      <x:c r="J26" s="10" t="n">
        <x:v>45877</x:v>
      </x:c>
      <x:c r="K26" s="8" t="n">
        <x:f>INDEX('Сводка'!$S$3:$S$397,U26)</x:f>
        <x:v>265</x:v>
      </x:c>
      <x:c r="L26" s="8" t="n">
        <x:f>INDEX('Сводка'!$S$3:$S$397,V26)</x:f>
        <x:v>259</x:v>
      </x:c>
      <x:c r="M26" s="8" t="n">
        <x:f>INDEX($K$388:$N$400,W26,1)*((J26-$T$405+1)/1000)^INDEX($K$388:$N$400,W26,2)</x:f>
        <x:v>166.15135503823942</x:v>
      </x:c>
      <x:c r="N26" s="8" t="n">
        <x:f>K26-M26</x:f>
        <x:v>98.84864496176058</x:v>
      </x:c>
      <x:c r="O26" s="8" t="n">
        <x:f>ABS(N26)</x:f>
        <x:v>98.84864496176058</x:v>
      </x:c>
      <x:c r="P26" s="8" t="n">
        <x:f>N26^2</x:f>
        <x:v>9771.054610776197</x:v>
      </x:c>
      <x:c r="Q26" s="8" t="n">
        <x:f>K26-L26</x:f>
        <x:v>6</x:v>
      </x:c>
      <x:c r="R26" s="9" t="n">
        <x:f>IF(AND(INDEX('Сводка'!$T$3:$T$397,U26)=0,INDEX('Сводка'!$T$3:$T$397,V26)=0),1,0)</x:f>
        <x:v>1</x:v>
      </x:c>
      <x:c r="S26" s="9" t="n">
        <x:f>IF(AND(R26=1,O26&lt;=$G$13),1,0)</x:f>
        <x:v>0</x:v>
      </x:c>
      <x:c r="T26" s="10" t="n">
        <x:f>EOMONTH(J26-'Сводка'!$B$11,-1)</x:f>
        <x:v>45869</x:v>
      </x:c>
      <x:c r="U26" s="4" t="n">
        <x:f>MATCH(J26,'Сводка'!$R$3:$R$397,0)</x:f>
        <x:v>37</x:v>
      </x:c>
      <x:c r="V26" s="4" t="n">
        <x:f>MATCH(J26-'Сводка'!$B$11,'Сводка'!$R$3:$R$397,0)</x:f>
        <x:v>36</x:v>
      </x:c>
      <x:c r="W26" s="4" t="n">
        <x:f>MATCH(T26,$J$388:$J$400,0)</x:f>
        <x:v>2</x:v>
      </x:c>
      <x:c r="X26" s="3"/>
      <x:c r="Y26" s="3"/>
      <x:c r="Z26" s="3"/>
    </x:row>
    <x:row r="27" ht="15" customHeight="1">
      <x:c r="A27" s="10" t="n">
        <x:f>IF(9&lt;='Сводка'!$B$3,'Сводка'!$B$4+9,"")</x:f>
        <x:v>46244</x:v>
      </x:c>
      <x:c r="B27" s="18" t="n">
        <x:f>IF($A27="","",(A27-$T$405+1)/1000)</x:f>
        <x:v>8.988</x:v>
      </x:c>
      <x:c r="C27" s="18" t="n">
        <x:f>IF($A27="","",2*(A27-$T$405)/$T$406-1)</x:f>
        <x:v>1.0020049008687906</x:v>
      </x:c>
      <x:c r="D27" s="8" t="n">
        <x:f>IF($A27="","",$B$4*B27^$B$5)</x:f>
        <x:v>153.39831523804298</x:v>
      </x:c>
      <x:c r="E27" s="8" t="n">
        <x:f>IF($A27="","",SQRT($T$403^2+H27^2))</x:f>
        <x:v>163.77860852484613</x:v>
      </x:c>
      <x:c r="F27" s="8" t="n">
        <x:f>IF($A27="","",D27-$T$404*E27)</x:f>
        <x:v>-167.64707956303198</x:v>
      </x:c>
      <x:c r="G27" s="8" t="n">
        <x:f>IF($A27="","",D27+$T$404*E27)</x:f>
        <x:v>474.44371003911795</x:v>
      </x:c>
      <x:c r="H27" s="8" t="n">
        <x:f>IF($A27="","",SQRT(MAX(0,(B27^$B$5)*$S$409*(B27^$B$5)+(B27^$B$5)*$T$409*($B$4*B27^$B$5*LN(B27))+($B$4*B27^$B$5*LN(B27))*$S$410*(B27^$B$5)+($B$4*B27^$B$5*LN(B27))*$T$410*($B$4*B27^$B$5*LN(B27)))))</x:f>
        <x:v>4.491804353291514</x:v>
      </x:c>
      <x:c r="I27" s="3"/>
      <x:c r="J27" s="10" t="n">
        <x:v>45878</x:v>
      </x:c>
      <x:c r="K27" s="8" t="n">
        <x:f>INDEX('Сводка'!$S$3:$S$397,U27)</x:f>
        <x:v>276</x:v>
      </x:c>
      <x:c r="L27" s="8" t="n">
        <x:f>INDEX('Сводка'!$S$3:$S$397,V27)</x:f>
        <x:v>265</x:v>
      </x:c>
      <x:c r="M27" s="8" t="n">
        <x:f>INDEX($K$388:$N$400,W27,1)*((J27-$T$405+1)/1000)^INDEX($K$388:$N$400,W27,2)</x:f>
        <x:v>166.1745485050383</x:v>
      </x:c>
      <x:c r="N27" s="8" t="n">
        <x:f>K27-M27</x:f>
        <x:v>109.8254514949617</x:v>
      </x:c>
      <x:c r="O27" s="8" t="n">
        <x:f>ABS(N27)</x:f>
        <x:v>109.8254514949617</x:v>
      </x:c>
      <x:c r="P27" s="8" t="n">
        <x:f>N27^2</x:f>
        <x:v>12061.629796072184</x:v>
      </x:c>
      <x:c r="Q27" s="8" t="n">
        <x:f>K27-L27</x:f>
        <x:v>11</x:v>
      </x:c>
      <x:c r="R27" s="9" t="n">
        <x:f>IF(AND(INDEX('Сводка'!$T$3:$T$397,U27)=0,INDEX('Сводка'!$T$3:$T$397,V27)=0),1,0)</x:f>
        <x:v>1</x:v>
      </x:c>
      <x:c r="S27" s="9" t="n">
        <x:f>IF(AND(R27=1,O27&lt;=$G$13),1,0)</x:f>
        <x:v>0</x:v>
      </x:c>
      <x:c r="T27" s="10" t="n">
        <x:f>EOMONTH(J27-'Сводка'!$B$11,-1)</x:f>
        <x:v>45869</x:v>
      </x:c>
      <x:c r="U27" s="4" t="n">
        <x:f>MATCH(J27,'Сводка'!$R$3:$R$397,0)</x:f>
        <x:v>38</x:v>
      </x:c>
      <x:c r="V27" s="4" t="n">
        <x:f>MATCH(J27-'Сводка'!$B$11,'Сводка'!$R$3:$R$397,0)</x:f>
        <x:v>37</x:v>
      </x:c>
      <x:c r="W27" s="4" t="n">
        <x:f>MATCH(T27,$J$388:$J$400,0)</x:f>
        <x:v>2</x:v>
      </x:c>
      <x:c r="X27" s="3"/>
      <x:c r="Y27" s="3"/>
      <x:c r="Z27" s="3"/>
    </x:row>
    <x:row r="28" ht="15" customHeight="1">
      <x:c r="A28" s="10" t="n">
        <x:f>IF(10&lt;='Сводка'!$B$3,'Сводка'!$B$4+10,"")</x:f>
        <x:v>46245</x:v>
      </x:c>
      <x:c r="B28" s="18" t="n">
        <x:f>IF($A28="","",(A28-$T$405+1)/1000)</x:f>
        <x:v>8.989</x:v>
      </x:c>
      <x:c r="C28" s="18" t="n">
        <x:f>IF($A28="","",2*(A28-$T$405)/$T$406-1)</x:f>
        <x:v>1.0022276676319892</x:v>
      </x:c>
      <x:c r="D28" s="8" t="n">
        <x:f>IF($A28="","",$B$4*B28^$B$5)</x:f>
        <x:v>153.41603559095407</x:v>
      </x:c>
      <x:c r="E28" s="8" t="n">
        <x:f>IF($A28="","",SQRT($T$403^2+H28^2))</x:f>
        <x:v>163.77864337371767</x:v>
      </x:c>
      <x:c r="F28" s="8" t="n">
        <x:f>IF($A28="","",D28-$T$404*E28)</x:f>
        <x:v>-167.62942752227607</x:v>
      </x:c>
      <x:c r="G28" s="8" t="n">
        <x:f>IF($A28="","",D28+$T$404*E28)</x:f>
        <x:v>474.46149870418424</x:v>
      </x:c>
      <x:c r="H28" s="8" t="n">
        <x:f>IF($A28="","",SQRT(MAX(0,(B28^$B$5)*$S$409*(B28^$B$5)+(B28^$B$5)*$T$409*($B$4*B28^$B$5*LN(B28))+($B$4*B28^$B$5*LN(B28))*$S$410*(B28^$B$5)+($B$4*B28^$B$5*LN(B28))*$T$410*($B$4*B28^$B$5*LN(B28)))))</x:f>
        <x:v>4.4930748211927165</x:v>
      </x:c>
      <x:c r="I28" s="3"/>
      <x:c r="J28" s="10" t="n">
        <x:v>45879</x:v>
      </x:c>
      <x:c r="K28" s="8" t="n">
        <x:f>INDEX('Сводка'!$S$3:$S$397,U28)</x:f>
        <x:v>290</x:v>
      </x:c>
      <x:c r="L28" s="8" t="n">
        <x:f>INDEX('Сводка'!$S$3:$S$397,V28)</x:f>
        <x:v>276</x:v>
      </x:c>
      <x:c r="M28" s="8" t="n">
        <x:f>INDEX($K$388:$N$400,W28,1)*((J28-$T$405+1)/1000)^INDEX($K$388:$N$400,W28,2)</x:f>
        <x:v>166.19774251902848</x:v>
      </x:c>
      <x:c r="N28" s="8" t="n">
        <x:f>K28-M28</x:f>
        <x:v>123.80225748097152</x:v>
      </x:c>
      <x:c r="O28" s="8" t="n">
        <x:f>ABS(N28)</x:f>
        <x:v>123.80225748097152</x:v>
      </x:c>
      <x:c r="P28" s="8" t="n">
        <x:f>N28^2</x:f>
        <x:v>15326.998957384769</x:v>
      </x:c>
      <x:c r="Q28" s="8" t="n">
        <x:f>K28-L28</x:f>
        <x:v>14</x:v>
      </x:c>
      <x:c r="R28" s="9" t="n">
        <x:f>IF(AND(INDEX('Сводка'!$T$3:$T$397,U28)=0,INDEX('Сводка'!$T$3:$T$397,V28)=0),1,0)</x:f>
        <x:v>1</x:v>
      </x:c>
      <x:c r="S28" s="9" t="n">
        <x:f>IF(AND(R28=1,O28&lt;=$G$13),1,0)</x:f>
        <x:v>0</x:v>
      </x:c>
      <x:c r="T28" s="10" t="n">
        <x:f>EOMONTH(J28-'Сводка'!$B$11,-1)</x:f>
        <x:v>45869</x:v>
      </x:c>
      <x:c r="U28" s="4" t="n">
        <x:f>MATCH(J28,'Сводка'!$R$3:$R$397,0)</x:f>
        <x:v>39</x:v>
      </x:c>
      <x:c r="V28" s="4" t="n">
        <x:f>MATCH(J28-'Сводка'!$B$11,'Сводка'!$R$3:$R$397,0)</x:f>
        <x:v>38</x:v>
      </x:c>
      <x:c r="W28" s="4" t="n">
        <x:f>MATCH(T28,$J$388:$J$400,0)</x:f>
        <x:v>2</x:v>
      </x:c>
      <x:c r="X28" s="3"/>
      <x:c r="Y28" s="3"/>
      <x:c r="Z28" s="3"/>
    </x:row>
    <x:row r="29" ht="15" customHeight="1">
      <x:c r="A29" s="10" t="n">
        <x:f>IF(11&lt;='Сводка'!$B$3,'Сводка'!$B$4+11,"")</x:f>
        <x:v>46246</x:v>
      </x:c>
      <x:c r="B29" s="18" t="n">
        <x:f>IF($A29="","",(A29-$T$405+1)/1000)</x:f>
        <x:v>8.99</x:v>
      </x:c>
      <x:c r="C29" s="18" t="n">
        <x:f>IF($A29="","",2*(A29-$T$405)/$T$406-1)</x:f>
        <x:v>1.0024504343951883</x:v>
      </x:c>
      <x:c r="D29" s="8" t="n">
        <x:f>IF($A29="","",$B$4*B29^$B$5)</x:f>
        <x:v>153.4337560193254</x:v>
      </x:c>
      <x:c r="E29" s="8" t="n">
        <x:f>IF($A29="","",SQRT($T$403^2+H29^2))</x:f>
        <x:v>163.77867823831073</x:v>
      </x:c>
      <x:c r="F29" s="8" t="n">
        <x:f>IF($A29="","",D29-$T$404*E29)</x:f>
        <x:v>-167.61177543687788</x:v>
      </x:c>
      <x:c r="G29" s="8" t="n">
        <x:f>IF($A29="","",D29+$T$404*E29)</x:f>
        <x:v>474.4792874755286</x:v>
      </x:c>
      <x:c r="H29" s="8" t="n">
        <x:f>IF($A29="","",SQRT(MAX(0,(B29^$B$5)*$S$409*(B29^$B$5)+(B29^$B$5)*$T$409*($B$4*B29^$B$5*LN(B29))+($B$4*B29^$B$5*LN(B29))*$S$410*(B29^$B$5)+($B$4*B29^$B$5*LN(B29))*$T$410*($B$4*B29^$B$5*LN(B29)))))</x:f>
        <x:v>4.494345503136781</x:v>
      </x:c>
      <x:c r="I29" s="3"/>
      <x:c r="J29" s="10" t="n">
        <x:v>45880</x:v>
      </x:c>
      <x:c r="K29" s="8" t="n">
        <x:f>INDEX('Сводка'!$S$3:$S$397,U29)</x:f>
        <x:v>303</x:v>
      </x:c>
      <x:c r="L29" s="8" t="n">
        <x:f>INDEX('Сводка'!$S$3:$S$397,V29)</x:f>
        <x:v>290</x:v>
      </x:c>
      <x:c r="M29" s="8" t="n">
        <x:f>INDEX($K$388:$N$400,W29,1)*((J29-$T$405+1)/1000)^INDEX($K$388:$N$400,W29,2)</x:f>
        <x:v>166.22093708015933</x:v>
      </x:c>
      <x:c r="N29" s="8" t="n">
        <x:f>K29-M29</x:f>
        <x:v>136.77906291984067</x:v>
      </x:c>
      <x:c r="O29" s="8" t="n">
        <x:f>ABS(N29)</x:f>
        <x:v>136.77906291984067</x:v>
      </x:c>
      <x:c r="P29" s="8" t="n">
        <x:f>N29^2</x:f>
        <x:v>18708.512053229733</x:v>
      </x:c>
      <x:c r="Q29" s="8" t="n">
        <x:f>K29-L29</x:f>
        <x:v>13</x:v>
      </x:c>
      <x:c r="R29" s="9" t="n">
        <x:f>IF(AND(INDEX('Сводка'!$T$3:$T$397,U29)=0,INDEX('Сводка'!$T$3:$T$397,V29)=0),1,0)</x:f>
        <x:v>1</x:v>
      </x:c>
      <x:c r="S29" s="9" t="n">
        <x:f>IF(AND(R29=1,O29&lt;=$G$13),1,0)</x:f>
        <x:v>0</x:v>
      </x:c>
      <x:c r="T29" s="10" t="n">
        <x:f>EOMONTH(J29-'Сводка'!$B$11,-1)</x:f>
        <x:v>45869</x:v>
      </x:c>
      <x:c r="U29" s="4" t="n">
        <x:f>MATCH(J29,'Сводка'!$R$3:$R$397,0)</x:f>
        <x:v>40</x:v>
      </x:c>
      <x:c r="V29" s="4" t="n">
        <x:f>MATCH(J29-'Сводка'!$B$11,'Сводка'!$R$3:$R$397,0)</x:f>
        <x:v>39</x:v>
      </x:c>
      <x:c r="W29" s="4" t="n">
        <x:f>MATCH(T29,$J$388:$J$400,0)</x:f>
        <x:v>2</x:v>
      </x:c>
      <x:c r="X29" s="3"/>
      <x:c r="Y29" s="3"/>
      <x:c r="Z29" s="3"/>
    </x:row>
    <x:row r="30" ht="15" customHeight="1">
      <x:c r="A30" s="10" t="n">
        <x:f>IF(12&lt;='Сводка'!$B$3,'Сводка'!$B$4+12,"")</x:f>
        <x:v>46247</x:v>
      </x:c>
      <x:c r="B30" s="18" t="n">
        <x:f>IF($A30="","",(A30-$T$405+1)/1000)</x:f>
        <x:v>8.991</x:v>
      </x:c>
      <x:c r="C30" s="18" t="n">
        <x:f>IF($A30="","",2*(A30-$T$405)/$T$406-1)</x:f>
        <x:v>1.002673201158387</x:v>
      </x:c>
      <x:c r="D30" s="8" t="n">
        <x:f>IF($A30="","",$B$4*B30^$B$5)</x:f>
        <x:v>153.45147652314887</x:v>
      </x:c>
      <x:c r="E30" s="8" t="n">
        <x:f>IF($A30="","",SQRT($T$403^2+H30^2))</x:f>
        <x:v>163.77871311862847</x:v>
      </x:c>
      <x:c r="F30" s="8" t="n">
        <x:f>IF($A30="","",D30-$T$404*E30)</x:f>
        <x:v>-167.5941233068517</x:v>
      </x:c>
      <x:c r="G30" s="8" t="n">
        <x:f>IF($A30="","",D30+$T$404*E30)</x:f>
        <x:v>474.49707635314945</x:v>
      </x:c>
      <x:c r="H30" s="8" t="n">
        <x:f>IF($A30="","",SQRT(MAX(0,(B30^$B$5)*$S$409*(B30^$B$5)+(B30^$B$5)*$T$409*($B$4*B30^$B$5*LN(B30))+($B$4*B30^$B$5*LN(B30))*$S$410*(B30^$B$5)+($B$4*B30^$B$5*LN(B30))*$T$410*($B$4*B30^$B$5*LN(B30)))))</x:f>
        <x:v>4.495616399054655</x:v>
      </x:c>
      <x:c r="I30" s="3"/>
      <x:c r="J30" s="10" t="n">
        <x:v>45881</x:v>
      </x:c>
      <x:c r="K30" s="8" t="n">
        <x:f>INDEX('Сводка'!$S$3:$S$397,U30)</x:f>
        <x:v>315</x:v>
      </x:c>
      <x:c r="L30" s="8" t="n">
        <x:f>INDEX('Сводка'!$S$3:$S$397,V30)</x:f>
        <x:v>303</x:v>
      </x:c>
      <x:c r="M30" s="8" t="n">
        <x:f>INDEX($K$388:$N$400,W30,1)*((J30-$T$405+1)/1000)^INDEX($K$388:$N$400,W30,2)</x:f>
        <x:v>166.24413218838032</x:v>
      </x:c>
      <x:c r="N30" s="8" t="n">
        <x:f>K30-M30</x:f>
        <x:v>148.75586781161968</x:v>
      </x:c>
      <x:c r="O30" s="8" t="n">
        <x:f>ABS(N30)</x:f>
        <x:v>148.75586781161968</x:v>
      </x:c>
      <x:c r="P30" s="8" t="n">
        <x:f>N30^2</x:f>
        <x:v>22128.30820838807</x:v>
      </x:c>
      <x:c r="Q30" s="8" t="n">
        <x:f>K30-L30</x:f>
        <x:v>12</x:v>
      </x:c>
      <x:c r="R30" s="9" t="n">
        <x:f>IF(AND(INDEX('Сводка'!$T$3:$T$397,U30)=0,INDEX('Сводка'!$T$3:$T$397,V30)=0),1,0)</x:f>
        <x:v>1</x:v>
      </x:c>
      <x:c r="S30" s="9" t="n">
        <x:f>IF(AND(R30=1,O30&lt;=$G$13),1,0)</x:f>
        <x:v>0</x:v>
      </x:c>
      <x:c r="T30" s="10" t="n">
        <x:f>EOMONTH(J30-'Сводка'!$B$11,-1)</x:f>
        <x:v>45869</x:v>
      </x:c>
      <x:c r="U30" s="4" t="n">
        <x:f>MATCH(J30,'Сводка'!$R$3:$R$397,0)</x:f>
        <x:v>41</x:v>
      </x:c>
      <x:c r="V30" s="4" t="n">
        <x:f>MATCH(J30-'Сводка'!$B$11,'Сводка'!$R$3:$R$397,0)</x:f>
        <x:v>40</x:v>
      </x:c>
      <x:c r="W30" s="4" t="n">
        <x:f>MATCH(T30,$J$388:$J$400,0)</x:f>
        <x:v>2</x:v>
      </x:c>
      <x:c r="X30" s="3"/>
      <x:c r="Y30" s="3"/>
      <x:c r="Z30" s="3"/>
    </x:row>
    <x:row r="31" ht="15" customHeight="1">
      <x:c r="A31" s="10" t="n">
        <x:f>IF(13&lt;='Сводка'!$B$3,'Сводка'!$B$4+13,"")</x:f>
        <x:v>46248</x:v>
      </x:c>
      <x:c r="B31" s="18" t="n">
        <x:f>IF($A31="","",(A31-$T$405+1)/1000)</x:f>
        <x:v>8.992</x:v>
      </x:c>
      <x:c r="C31" s="18" t="n">
        <x:f>IF($A31="","",2*(A31-$T$405)/$T$406-1)</x:f>
        <x:v>1.002895967921586</x:v>
      </x:c>
      <x:c r="D31" s="8" t="n">
        <x:f>IF($A31="","",$B$4*B31^$B$5)</x:f>
        <x:v>153.46919710241653</x:v>
      </x:c>
      <x:c r="E31" s="8" t="n">
        <x:f>IF($A31="","",SQRT($T$403^2+H31^2))</x:f>
        <x:v>163.7787480146739</x:v>
      </x:c>
      <x:c r="F31" s="8" t="n">
        <x:f>IF($A31="","",D31-$T$404*E31)</x:f>
        <x:v>-167.57647113221137</x:v>
      </x:c>
      <x:c r="G31" s="8" t="n">
        <x:f>IF($A31="","",D31+$T$404*E31)</x:f>
        <x:v>474.5148653370444</x:v>
      </x:c>
      <x:c r="H31" s="8" t="n">
        <x:f>IF($A31="","",SQRT(MAX(0,(B31^$B$5)*$S$409*(B31^$B$5)+(B31^$B$5)*$T$409*($B$4*B31^$B$5*LN(B31))+($B$4*B31^$B$5*LN(B31))*$S$410*(B31^$B$5)+($B$4*B31^$B$5*LN(B31))*$T$410*($B$4*B31^$B$5*LN(B31)))))</x:f>
        <x:v>4.496887508877358</x:v>
      </x:c>
      <x:c r="I31" s="3"/>
      <x:c r="J31" s="10" t="n">
        <x:v>45882</x:v>
      </x:c>
      <x:c r="K31" s="8" t="n">
        <x:f>INDEX('Сводка'!$S$3:$S$397,U31)</x:f>
        <x:v>323</x:v>
      </x:c>
      <x:c r="L31" s="8" t="n">
        <x:f>INDEX('Сводка'!$S$3:$S$397,V31)</x:f>
        <x:v>315</x:v>
      </x:c>
      <x:c r="M31" s="8" t="n">
        <x:f>INDEX($K$388:$N$400,W31,1)*((J31-$T$405+1)/1000)^INDEX($K$388:$N$400,W31,2)</x:f>
        <x:v>166.26732784364094</x:v>
      </x:c>
      <x:c r="N31" s="8" t="n">
        <x:f>K31-M31</x:f>
        <x:v>156.73267215635906</x:v>
      </x:c>
      <x:c r="O31" s="8" t="n">
        <x:f>ABS(N31)</x:f>
        <x:v>156.73267215635906</x:v>
      </x:c>
      <x:c r="P31" s="8" t="n">
        <x:f>N31^2</x:f>
        <x:v>24565.13052127273</x:v>
      </x:c>
      <x:c r="Q31" s="8" t="n">
        <x:f>K31-L31</x:f>
        <x:v>8</x:v>
      </x:c>
      <x:c r="R31" s="9" t="n">
        <x:f>IF(AND(INDEX('Сводка'!$T$3:$T$397,U31)=0,INDEX('Сводка'!$T$3:$T$397,V31)=0),1,0)</x:f>
        <x:v>1</x:v>
      </x:c>
      <x:c r="S31" s="9" t="n">
        <x:f>IF(AND(R31=1,O31&lt;=$G$13),1,0)</x:f>
        <x:v>0</x:v>
      </x:c>
      <x:c r="T31" s="10" t="n">
        <x:f>EOMONTH(J31-'Сводка'!$B$11,-1)</x:f>
        <x:v>45869</x:v>
      </x:c>
      <x:c r="U31" s="4" t="n">
        <x:f>MATCH(J31,'Сводка'!$R$3:$R$397,0)</x:f>
        <x:v>42</x:v>
      </x:c>
      <x:c r="V31" s="4" t="n">
        <x:f>MATCH(J31-'Сводка'!$B$11,'Сводка'!$R$3:$R$397,0)</x:f>
        <x:v>41</x:v>
      </x:c>
      <x:c r="W31" s="4" t="n">
        <x:f>MATCH(T31,$J$388:$J$400,0)</x:f>
        <x:v>2</x:v>
      </x:c>
      <x:c r="X31" s="3"/>
      <x:c r="Y31" s="3"/>
      <x:c r="Z31" s="3"/>
    </x:row>
    <x:row r="32" ht="15" customHeight="1">
      <x:c r="A32" s="10" t="n">
        <x:f>IF(14&lt;='Сводка'!$B$3,'Сводка'!$B$4+14,"")</x:f>
        <x:v>46249</x:v>
      </x:c>
      <x:c r="B32" s="18" t="n">
        <x:f>IF($A32="","",(A32-$T$405+1)/1000)</x:f>
        <x:v>8.993</x:v>
      </x:c>
      <x:c r="C32" s="18" t="n">
        <x:f>IF($A32="","",2*(A32-$T$405)/$T$406-1)</x:f>
        <x:v>1.0031187346847852</x:v>
      </x:c>
      <x:c r="D32" s="8" t="n">
        <x:f>IF($A32="","",$B$4*B32^$B$5)</x:f>
        <x:v>153.4869177571202</x:v>
      </x:c>
      <x:c r="E32" s="8" t="n">
        <x:f>IF($A32="","",SQRT($T$403^2+H32^2))</x:f>
        <x:v>163.77878292645013</x:v>
      </x:c>
      <x:c r="F32" s="8" t="n">
        <x:f>IF($A32="","",D32-$T$404*E32)</x:f>
        <x:v>-167.5588189129712</x:v>
      </x:c>
      <x:c r="G32" s="8" t="n">
        <x:f>IF($A32="","",D32+$T$404*E32)</x:f>
        <x:v>474.5326544272116</x:v>
      </x:c>
      <x:c r="H32" s="8" t="n">
        <x:f>IF($A32="","",SQRT(MAX(0,(B32^$B$5)*$S$409*(B32^$B$5)+(B32^$B$5)*$T$409*($B$4*B32^$B$5*LN(B32))+($B$4*B32^$B$5*LN(B32))*$S$410*(B32^$B$5)+($B$4*B32^$B$5*LN(B32))*$T$410*($B$4*B32^$B$5*LN(B32)))))</x:f>
        <x:v>4.49815883253591</x:v>
      </x:c>
      <x:c r="I32" s="3"/>
      <x:c r="J32" s="10" t="n">
        <x:v>45883</x:v>
      </x:c>
      <x:c r="K32" s="8" t="n">
        <x:f>INDEX('Сводка'!$S$3:$S$397,U32)</x:f>
        <x:v>327</x:v>
      </x:c>
      <x:c r="L32" s="8" t="n">
        <x:f>INDEX('Сводка'!$S$3:$S$397,V32)</x:f>
        <x:v>323</x:v>
      </x:c>
      <x:c r="M32" s="8" t="n">
        <x:f>INDEX($K$388:$N$400,W32,1)*((J32-$T$405+1)/1000)^INDEX($K$388:$N$400,W32,2)</x:f>
        <x:v>166.2905240458907</x:v>
      </x:c>
      <x:c r="N32" s="8" t="n">
        <x:f>K32-M32</x:f>
        <x:v>160.7094759541093</x:v>
      </x:c>
      <x:c r="O32" s="8" t="n">
        <x:f>ABS(N32)</x:f>
        <x:v>160.7094759541093</x:v>
      </x:c>
      <x:c r="P32" s="8" t="n">
        <x:f>N32^2</x:f>
        <x:v>25827.53566144444</x:v>
      </x:c>
      <x:c r="Q32" s="8" t="n">
        <x:f>K32-L32</x:f>
        <x:v>4</x:v>
      </x:c>
      <x:c r="R32" s="9" t="n">
        <x:f>IF(AND(INDEX('Сводка'!$T$3:$T$397,U32)=0,INDEX('Сводка'!$T$3:$T$397,V32)=0),1,0)</x:f>
        <x:v>1</x:v>
      </x:c>
      <x:c r="S32" s="9" t="n">
        <x:f>IF(AND(R32=1,O32&lt;=$G$13),1,0)</x:f>
        <x:v>0</x:v>
      </x:c>
      <x:c r="T32" s="10" t="n">
        <x:f>EOMONTH(J32-'Сводка'!$B$11,-1)</x:f>
        <x:v>45869</x:v>
      </x:c>
      <x:c r="U32" s="4" t="n">
        <x:f>MATCH(J32,'Сводка'!$R$3:$R$397,0)</x:f>
        <x:v>43</x:v>
      </x:c>
      <x:c r="V32" s="4" t="n">
        <x:f>MATCH(J32-'Сводка'!$B$11,'Сводка'!$R$3:$R$397,0)</x:f>
        <x:v>42</x:v>
      </x:c>
      <x:c r="W32" s="4" t="n">
        <x:f>MATCH(T32,$J$388:$J$400,0)</x:f>
        <x:v>2</x:v>
      </x:c>
      <x:c r="X32" s="3"/>
      <x:c r="Y32" s="3"/>
      <x:c r="Z32" s="3"/>
    </x:row>
    <x:row r="33" ht="15" customHeight="1">
      <x:c r="A33" s="10" t="n">
        <x:f>IF(15&lt;='Сводка'!$B$3,'Сводка'!$B$4+15,"")</x:f>
        <x:v>46250</x:v>
      </x:c>
      <x:c r="B33" s="18" t="n">
        <x:f>IF($A33="","",(A33-$T$405+1)/1000)</x:f>
        <x:v>8.994</x:v>
      </x:c>
      <x:c r="C33" s="18" t="n">
        <x:f>IF($A33="","",2*(A33-$T$405)/$T$406-1)</x:f>
        <x:v>1.0033415014479838</x:v>
      </x:c>
      <x:c r="D33" s="8" t="n">
        <x:f>IF($A33="","",$B$4*B33^$B$5)</x:f>
        <x:v>153.5046384872519</x:v>
      </x:c>
      <x:c r="E33" s="8" t="n">
        <x:f>IF($A33="","",SQRT($T$403^2+H33^2))</x:f>
        <x:v>163.77881785396025</x:v>
      </x:c>
      <x:c r="F33" s="8" t="n">
        <x:f>IF($A33="","",D33-$T$404*E33)</x:f>
        <x:v>-167.54116664914517</x:v>
      </x:c>
      <x:c r="G33" s="8" t="n">
        <x:f>IF($A33="","",D33+$T$404*E33)</x:f>
        <x:v>474.55044362364896</x:v>
      </x:c>
      <x:c r="H33" s="8" t="n">
        <x:f>IF($A33="","",SQRT(MAX(0,(B33^$B$5)*$S$409*(B33^$B$5)+(B33^$B$5)*$T$409*($B$4*B33^$B$5*LN(B33))+($B$4*B33^$B$5*LN(B33))*$S$410*(B33^$B$5)+($B$4*B33^$B$5*LN(B33))*$T$410*($B$4*B33^$B$5*LN(B33)))))</x:f>
        <x:v>4.499430369961386</x:v>
      </x:c>
      <x:c r="I33" s="3"/>
      <x:c r="J33" s="10" t="n">
        <x:v>45884</x:v>
      </x:c>
      <x:c r="K33" s="8" t="n">
        <x:f>INDEX('Сводка'!$S$3:$S$397,U33)</x:f>
        <x:v>329</x:v>
      </x:c>
      <x:c r="L33" s="8" t="n">
        <x:f>INDEX('Сводка'!$S$3:$S$397,V33)</x:f>
        <x:v>327</x:v>
      </x:c>
      <x:c r="M33" s="8" t="n">
        <x:f>INDEX($K$388:$N$400,W33,1)*((J33-$T$405+1)/1000)^INDEX($K$388:$N$400,W33,2)</x:f>
        <x:v>166.313720795079</x:v>
      </x:c>
      <x:c r="N33" s="8" t="n">
        <x:f>K33-M33</x:f>
        <x:v>162.686279204921</x:v>
      </x:c>
      <x:c r="O33" s="8" t="n">
        <x:f>ABS(N33)</x:f>
        <x:v>162.686279204921</x:v>
      </x:c>
      <x:c r="P33" s="8" t="n">
        <x:f>N33^2</x:f>
        <x:v>26466.82544154151</x:v>
      </x:c>
      <x:c r="Q33" s="8" t="n">
        <x:f>K33-L33</x:f>
        <x:v>2</x:v>
      </x:c>
      <x:c r="R33" s="9" t="n">
        <x:f>IF(AND(INDEX('Сводка'!$T$3:$T$397,U33)=0,INDEX('Сводка'!$T$3:$T$397,V33)=0),1,0)</x:f>
        <x:v>1</x:v>
      </x:c>
      <x:c r="S33" s="9" t="n">
        <x:f>IF(AND(R33=1,O33&lt;=$G$13),1,0)</x:f>
        <x:v>0</x:v>
      </x:c>
      <x:c r="T33" s="10" t="n">
        <x:f>EOMONTH(J33-'Сводка'!$B$11,-1)</x:f>
        <x:v>45869</x:v>
      </x:c>
      <x:c r="U33" s="4" t="n">
        <x:f>MATCH(J33,'Сводка'!$R$3:$R$397,0)</x:f>
        <x:v>44</x:v>
      </x:c>
      <x:c r="V33" s="4" t="n">
        <x:f>MATCH(J33-'Сводка'!$B$11,'Сводка'!$R$3:$R$397,0)</x:f>
        <x:v>43</x:v>
      </x:c>
      <x:c r="W33" s="4" t="n">
        <x:f>MATCH(T33,$J$388:$J$400,0)</x:f>
        <x:v>2</x:v>
      </x:c>
      <x:c r="X33" s="3"/>
      <x:c r="Y33" s="3"/>
      <x:c r="Z33" s="3"/>
    </x:row>
    <x:row r="34" ht="15" customHeight="1">
      <x:c r="A34" s="10" t="n">
        <x:f>IF(16&lt;='Сводка'!$B$3,'Сводка'!$B$4+16,"")</x:f>
        <x:v>46251</x:v>
      </x:c>
      <x:c r="B34" s="18" t="n">
        <x:f>IF($A34="","",(A34-$T$405+1)/1000)</x:f>
        <x:v>8.995</x:v>
      </x:c>
      <x:c r="C34" s="18" t="n">
        <x:f>IF($A34="","",2*(A34-$T$405)/$T$406-1)</x:f>
        <x:v>1.003564268211183</x:v>
      </x:c>
      <x:c r="D34" s="8" t="n">
        <x:f>IF($A34="","",$B$4*B34^$B$5)</x:f>
        <x:v>153.52235929280346</x:v>
      </x:c>
      <x:c r="E34" s="8" t="n">
        <x:f>IF($A34="","",SQRT($T$403^2+H34^2))</x:f>
        <x:v>163.7788527972073</x:v>
      </x:c>
      <x:c r="F34" s="8" t="n">
        <x:f>IF($A34="","",D34-$T$404*E34)</x:f>
        <x:v>-167.52351434074745</x:v>
      </x:c>
      <x:c r="G34" s="8" t="n">
        <x:f>IF($A34="","",D34+$T$404*E34)</x:f>
        <x:v>474.56823292635437</x:v>
      </x:c>
      <x:c r="H34" s="8" t="n">
        <x:f>IF($A34="","",SQRT(MAX(0,(B34^$B$5)*$S$409*(B34^$B$5)+(B34^$B$5)*$T$409*($B$4*B34^$B$5*LN(B34))+($B$4*B34^$B$5*LN(B34))*$S$410*(B34^$B$5)+($B$4*B34^$B$5*LN(B34))*$T$410*($B$4*B34^$B$5*LN(B34)))))</x:f>
        <x:v>4.500702121084925</x:v>
      </x:c>
      <x:c r="I34" s="3"/>
      <x:c r="J34" s="10" t="n">
        <x:v>45885</x:v>
      </x:c>
      <x:c r="K34" s="8" t="n">
        <x:f>INDEX('Сводка'!$S$3:$S$397,U34)</x:f>
        <x:v>329</x:v>
      </x:c>
      <x:c r="L34" s="8" t="n">
        <x:f>INDEX('Сводка'!$S$3:$S$397,V34)</x:f>
        <x:v>329</x:v>
      </x:c>
      <x:c r="M34" s="8" t="n">
        <x:f>INDEX($K$388:$N$400,W34,1)*((J34-$T$405+1)/1000)^INDEX($K$388:$N$400,W34,2)</x:f>
        <x:v>166.33691809115544</x:v>
      </x:c>
      <x:c r="N34" s="8" t="n">
        <x:f>K34-M34</x:f>
        <x:v>162.66308190884456</x:v>
      </x:c>
      <x:c r="O34" s="8" t="n">
        <x:f>ABS(N34)</x:f>
        <x:v>162.66308190884456</x:v>
      </x:c>
      <x:c r="P34" s="8" t="n">
        <x:f>N34^2</x:f>
        <x:v>26459.278216083476</x:v>
      </x:c>
      <x:c r="Q34" s="8" t="n">
        <x:f>K34-L34</x:f>
        <x:v>0</x:v>
      </x:c>
      <x:c r="R34" s="9" t="n">
        <x:f>IF(AND(INDEX('Сводка'!$T$3:$T$397,U34)=0,INDEX('Сводка'!$T$3:$T$397,V34)=0),1,0)</x:f>
        <x:v>1</x:v>
      </x:c>
      <x:c r="S34" s="9" t="n">
        <x:f>IF(AND(R34=1,O34&lt;=$G$13),1,0)</x:f>
        <x:v>0</x:v>
      </x:c>
      <x:c r="T34" s="10" t="n">
        <x:f>EOMONTH(J34-'Сводка'!$B$11,-1)</x:f>
        <x:v>45869</x:v>
      </x:c>
      <x:c r="U34" s="4" t="n">
        <x:f>MATCH(J34,'Сводка'!$R$3:$R$397,0)</x:f>
        <x:v>45</x:v>
      </x:c>
      <x:c r="V34" s="4" t="n">
        <x:f>MATCH(J34-'Сводка'!$B$11,'Сводка'!$R$3:$R$397,0)</x:f>
        <x:v>44</x:v>
      </x:c>
      <x:c r="W34" s="4" t="n">
        <x:f>MATCH(T34,$J$388:$J$400,0)</x:f>
        <x:v>2</x:v>
      </x:c>
      <x:c r="X34" s="3"/>
      <x:c r="Y34" s="3"/>
      <x:c r="Z34" s="3"/>
    </x:row>
    <x:row r="35" ht="15" customHeight="1">
      <x:c r="A35" s="10" t="n">
        <x:f>IF(17&lt;='Сводка'!$B$3,'Сводка'!$B$4+17,"")</x:f>
        <x:v>46252</x:v>
      </x:c>
      <x:c r="B35" s="18" t="n">
        <x:f>IF($A35="","",(A35-$T$405+1)/1000)</x:f>
        <x:v>8.996</x:v>
      </x:c>
      <x:c r="C35" s="18" t="n">
        <x:f>IF($A35="","",2*(A35-$T$405)/$T$406-1)</x:f>
        <x:v>1.003787034974382</x:v>
      </x:c>
      <x:c r="D35" s="8" t="n">
        <x:f>IF($A35="","",$B$4*B35^$B$5)</x:f>
        <x:v>153.5400801737669</x:v>
      </x:c>
      <x:c r="E35" s="8" t="n">
        <x:f>IF($A35="","",SQRT($T$403^2+H35^2))</x:f>
        <x:v>163.77888775619437</x:v>
      </x:c>
      <x:c r="F35" s="8" t="n">
        <x:f>IF($A35="","",D35-$T$404*E35)</x:f>
        <x:v>-167.50586198779206</x:v>
      </x:c>
      <x:c r="G35" s="8" t="n">
        <x:f>IF($A35="","",D35+$T$404*E35)</x:f>
        <x:v>474.5860223353259</x:v>
      </x:c>
      <x:c r="H35" s="8" t="n">
        <x:f>IF($A35="","",SQRT(MAX(0,(B35^$B$5)*$S$409*(B35^$B$5)+(B35^$B$5)*$T$409*($B$4*B35^$B$5*LN(B35))+($B$4*B35^$B$5*LN(B35))*$S$410*(B35^$B$5)+($B$4*B35^$B$5*LN(B35))*$T$410*($B$4*B35^$B$5*LN(B35)))))</x:f>
        <x:v>4.50197408583768</x:v>
      </x:c>
      <x:c r="I35" s="3"/>
      <x:c r="J35" s="10" t="n">
        <x:v>45886</x:v>
      </x:c>
      <x:c r="K35" s="8" t="n">
        <x:f>INDEX('Сводка'!$S$3:$S$397,U35)</x:f>
        <x:v>325</x:v>
      </x:c>
      <x:c r="L35" s="8" t="n">
        <x:f>INDEX('Сводка'!$S$3:$S$397,V35)</x:f>
        <x:v>329</x:v>
      </x:c>
      <x:c r="M35" s="8" t="n">
        <x:f>INDEX($K$388:$N$400,W35,1)*((J35-$T$405+1)/1000)^INDEX($K$388:$N$400,W35,2)</x:f>
        <x:v>166.36011593406954</x:v>
      </x:c>
      <x:c r="N35" s="8" t="n">
        <x:f>K35-M35</x:f>
        <x:v>158.63988406593046</x:v>
      </x:c>
      <x:c r="O35" s="8" t="n">
        <x:f>ABS(N35)</x:f>
        <x:v>158.63988406593046</x:v>
      </x:c>
      <x:c r="P35" s="8" t="n">
        <x:f>N35^2</x:f>
        <x:v>25166.612816451856</x:v>
      </x:c>
      <x:c r="Q35" s="8" t="n">
        <x:f>K35-L35</x:f>
        <x:v>-4</x:v>
      </x:c>
      <x:c r="R35" s="9" t="n">
        <x:f>IF(AND(INDEX('Сводка'!$T$3:$T$397,U35)=0,INDEX('Сводка'!$T$3:$T$397,V35)=0),1,0)</x:f>
        <x:v>1</x:v>
      </x:c>
      <x:c r="S35" s="9" t="n">
        <x:f>IF(AND(R35=1,O35&lt;=$G$13),1,0)</x:f>
        <x:v>0</x:v>
      </x:c>
      <x:c r="T35" s="10" t="n">
        <x:f>EOMONTH(J35-'Сводка'!$B$11,-1)</x:f>
        <x:v>45869</x:v>
      </x:c>
      <x:c r="U35" s="4" t="n">
        <x:f>MATCH(J35,'Сводка'!$R$3:$R$397,0)</x:f>
        <x:v>46</x:v>
      </x:c>
      <x:c r="V35" s="4" t="n">
        <x:f>MATCH(J35-'Сводка'!$B$11,'Сводка'!$R$3:$R$397,0)</x:f>
        <x:v>45</x:v>
      </x:c>
      <x:c r="W35" s="4" t="n">
        <x:f>MATCH(T35,$J$388:$J$400,0)</x:f>
        <x:v>2</x:v>
      </x:c>
      <x:c r="X35" s="3"/>
      <x:c r="Y35" s="3"/>
      <x:c r="Z35" s="3"/>
    </x:row>
    <x:row r="36" ht="15" customHeight="1">
      <x:c r="A36" s="10" t="n">
        <x:f>IF(18&lt;='Сводка'!$B$3,'Сводка'!$B$4+18,"")</x:f>
        <x:v>46253</x:v>
      </x:c>
      <x:c r="B36" s="18" t="n">
        <x:f>IF($A36="","",(A36-$T$405+1)/1000)</x:f>
        <x:v>8.997</x:v>
      </x:c>
      <x:c r="C36" s="18" t="n">
        <x:f>IF($A36="","",2*(A36-$T$405)/$T$406-1)</x:f>
        <x:v>1.0040098017375807</x:v>
      </x:c>
      <x:c r="D36" s="8" t="n">
        <x:f>IF($A36="","",$B$4*B36^$B$5)</x:f>
        <x:v>153.55780113013412</x:v>
      </x:c>
      <x:c r="E36" s="8" t="n">
        <x:f>IF($A36="","",SQRT($T$403^2+H36^2))</x:f>
        <x:v>163.7789227309245</x:v>
      </x:c>
      <x:c r="F36" s="8" t="n">
        <x:f>IF($A36="","",D36-$T$404*E36)</x:f>
        <x:v>-167.48820959029308</x:v>
      </x:c>
      <x:c r="G36" s="8" t="n">
        <x:f>IF($A36="","",D36+$T$404*E36)</x:f>
        <x:v>474.6038118505613</x:v>
      </x:c>
      <x:c r="H36" s="8" t="n">
        <x:f>IF($A36="","",SQRT(MAX(0,(B36^$B$5)*$S$409*(B36^$B$5)+(B36^$B$5)*$T$409*($B$4*B36^$B$5*LN(B36))+($B$4*B36^$B$5*LN(B36))*$S$410*(B36^$B$5)+($B$4*B36^$B$5*LN(B36))*$T$410*($B$4*B36^$B$5*LN(B36)))))</x:f>
        <x:v>4.503246264150864</x:v>
      </x:c>
      <x:c r="I36" s="3"/>
      <x:c r="J36" s="10" t="n">
        <x:v>45887</x:v>
      </x:c>
      <x:c r="K36" s="8" t="n">
        <x:f>INDEX('Сводка'!$S$3:$S$397,U36)</x:f>
        <x:v>320</x:v>
      </x:c>
      <x:c r="L36" s="8" t="n">
        <x:f>INDEX('Сводка'!$S$3:$S$397,V36)</x:f>
        <x:v>325</x:v>
      </x:c>
      <x:c r="M36" s="8" t="n">
        <x:f>INDEX($K$388:$N$400,W36,1)*((J36-$T$405+1)/1000)^INDEX($K$388:$N$400,W36,2)</x:f>
        <x:v>166.3833143237707</x:v>
      </x:c>
      <x:c r="N36" s="8" t="n">
        <x:f>K36-M36</x:f>
        <x:v>153.6166856762293</x:v>
      </x:c>
      <x:c r="O36" s="8" t="n">
        <x:f>ABS(N36)</x:f>
        <x:v>153.6166856762293</x:v>
      </x:c>
      <x:c r="P36" s="8" t="n">
        <x:f>N36^2</x:f>
        <x:v>23598.086118149437</x:v>
      </x:c>
      <x:c r="Q36" s="8" t="n">
        <x:f>K36-L36</x:f>
        <x:v>-5</x:v>
      </x:c>
      <x:c r="R36" s="9" t="n">
        <x:f>IF(AND(INDEX('Сводка'!$T$3:$T$397,U36)=0,INDEX('Сводка'!$T$3:$T$397,V36)=0),1,0)</x:f>
        <x:v>1</x:v>
      </x:c>
      <x:c r="S36" s="9" t="n">
        <x:f>IF(AND(R36=1,O36&lt;=$G$13),1,0)</x:f>
        <x:v>0</x:v>
      </x:c>
      <x:c r="T36" s="10" t="n">
        <x:f>EOMONTH(J36-'Сводка'!$B$11,-1)</x:f>
        <x:v>45869</x:v>
      </x:c>
      <x:c r="U36" s="4" t="n">
        <x:f>MATCH(J36,'Сводка'!$R$3:$R$397,0)</x:f>
        <x:v>47</x:v>
      </x:c>
      <x:c r="V36" s="4" t="n">
        <x:f>MATCH(J36-'Сводка'!$B$11,'Сводка'!$R$3:$R$397,0)</x:f>
        <x:v>46</x:v>
      </x:c>
      <x:c r="W36" s="4" t="n">
        <x:f>MATCH(T36,$J$388:$J$400,0)</x:f>
        <x:v>2</x:v>
      </x:c>
      <x:c r="X36" s="3"/>
      <x:c r="Y36" s="3"/>
      <x:c r="Z36" s="3"/>
    </x:row>
    <x:row r="37" ht="15" customHeight="1">
      <x:c r="A37" s="10" t="n">
        <x:f>IF(19&lt;='Сводка'!$B$3,'Сводка'!$B$4+19,"")</x:f>
        <x:v>46254</x:v>
      </x:c>
      <x:c r="B37" s="18" t="n">
        <x:f>IF($A37="","",(A37-$T$405+1)/1000)</x:f>
        <x:v>8.998</x:v>
      </x:c>
      <x:c r="C37" s="18" t="n">
        <x:f>IF($A37="","",2*(A37-$T$405)/$T$406-1)</x:f>
        <x:v>1.0042325685007798</x:v>
      </x:c>
      <x:c r="D37" s="8" t="n">
        <x:f>IF($A37="","",$B$4*B37^$B$5)</x:f>
        <x:v>153.5755221618971</x:v>
      </x:c>
      <x:c r="E37" s="8" t="n">
        <x:f>IF($A37="","",SQRT($T$403^2+H37^2))</x:f>
        <x:v>163.77895772140084</x:v>
      </x:c>
      <x:c r="F37" s="8" t="n">
        <x:f>IF($A37="","",D37-$T$404*E37)</x:f>
        <x:v>-167.4705571482647</x:v>
      </x:c>
      <x:c r="G37" s="8" t="n">
        <x:f>IF($A37="","",D37+$T$404*E37)</x:f>
        <x:v>474.62160147205896</x:v>
      </x:c>
      <x:c r="H37" s="8" t="n">
        <x:f>IF($A37="","",SQRT(MAX(0,(B37^$B$5)*$S$409*(B37^$B$5)+(B37^$B$5)*$T$409*($B$4*B37^$B$5*LN(B37))+($B$4*B37^$B$5*LN(B37))*$S$410*(B37^$B$5)+($B$4*B37^$B$5*LN(B37))*$T$410*($B$4*B37^$B$5*LN(B37)))))</x:f>
        <x:v>4.504518655955724</x:v>
      </x:c>
      <x:c r="I37" s="3"/>
      <x:c r="J37" s="10" t="n">
        <x:v>45888</x:v>
      </x:c>
      <x:c r="K37" s="8" t="n">
        <x:f>INDEX('Сводка'!$S$3:$S$397,U37)</x:f>
        <x:v>309</x:v>
      </x:c>
      <x:c r="L37" s="8" t="n">
        <x:f>INDEX('Сводка'!$S$3:$S$397,V37)</x:f>
        <x:v>320</x:v>
      </x:c>
      <x:c r="M37" s="8" t="n">
        <x:f>INDEX($K$388:$N$400,W37,1)*((J37-$T$405+1)/1000)^INDEX($K$388:$N$400,W37,2)</x:f>
        <x:v>166.40651326020856</x:v>
      </x:c>
      <x:c r="N37" s="8" t="n">
        <x:f>K37-M37</x:f>
        <x:v>142.59348673979144</x:v>
      </x:c>
      <x:c r="O37" s="8" t="n">
        <x:f>ABS(N37)</x:f>
        <x:v>142.59348673979144</x:v>
      </x:c>
      <x:c r="P37" s="8" t="n">
        <x:f>N37^2</x:f>
        <x:v>20332.90246061108</x:v>
      </x:c>
      <x:c r="Q37" s="8" t="n">
        <x:f>K37-L37</x:f>
        <x:v>-11</x:v>
      </x:c>
      <x:c r="R37" s="9" t="n">
        <x:f>IF(AND(INDEX('Сводка'!$T$3:$T$397,U37)=0,INDEX('Сводка'!$T$3:$T$397,V37)=0),1,0)</x:f>
        <x:v>1</x:v>
      </x:c>
      <x:c r="S37" s="9" t="n">
        <x:f>IF(AND(R37=1,O37&lt;=$G$13),1,0)</x:f>
        <x:v>0</x:v>
      </x:c>
      <x:c r="T37" s="10" t="n">
        <x:f>EOMONTH(J37-'Сводка'!$B$11,-1)</x:f>
        <x:v>45869</x:v>
      </x:c>
      <x:c r="U37" s="4" t="n">
        <x:f>MATCH(J37,'Сводка'!$R$3:$R$397,0)</x:f>
        <x:v>48</x:v>
      </x:c>
      <x:c r="V37" s="4" t="n">
        <x:f>MATCH(J37-'Сводка'!$B$11,'Сводка'!$R$3:$R$397,0)</x:f>
        <x:v>47</x:v>
      </x:c>
      <x:c r="W37" s="4" t="n">
        <x:f>MATCH(T37,$J$388:$J$400,0)</x:f>
        <x:v>2</x:v>
      </x:c>
      <x:c r="X37" s="3"/>
      <x:c r="Y37" s="3"/>
      <x:c r="Z37" s="3"/>
    </x:row>
    <x:row r="38" ht="15" customHeight="1">
      <x:c r="A38" s="10" t="n">
        <x:f>IF(20&lt;='Сводка'!$B$3,'Сводка'!$B$4+20,"")</x:f>
        <x:v>46255</x:v>
      </x:c>
      <x:c r="B38" s="18" t="n">
        <x:f>IF($A38="","",(A38-$T$405+1)/1000)</x:f>
        <x:v>8.999</x:v>
      </x:c>
      <x:c r="C38" s="18" t="n">
        <x:f>IF($A38="","",2*(A38-$T$405)/$T$406-1)</x:f>
        <x:v>1.0044553352639785</x:v>
      </x:c>
      <x:c r="D38" s="8" t="n">
        <x:f>IF($A38="","",$B$4*B38^$B$5)</x:f>
        <x:v>153.59324326904778</x:v>
      </x:c>
      <x:c r="E38" s="8" t="n">
        <x:f>IF($A38="","",SQRT($T$403^2+H38^2))</x:f>
        <x:v>163.77899272762645</x:v>
      </x:c>
      <x:c r="F38" s="8" t="n">
        <x:f>IF($A38="","",D38-$T$404*E38)</x:f>
        <x:v>-167.45290466172094</x:v>
      </x:c>
      <x:c r="G38" s="8" t="n">
        <x:f>IF($A38="","",D38+$T$404*E38)</x:f>
        <x:v>474.6393911998165</x:v>
      </x:c>
      <x:c r="H38" s="8" t="n">
        <x:f>IF($A38="","",SQRT(MAX(0,(B38^$B$5)*$S$409*(B38^$B$5)+(B38^$B$5)*$T$409*($B$4*B38^$B$5*LN(B38))+($B$4*B38^$B$5*LN(B38))*$S$410*(B38^$B$5)+($B$4*B38^$B$5*LN(B38))*$T$410*($B$4*B38^$B$5*LN(B38)))))</x:f>
        <x:v>4.505791261183565</x:v>
      </x:c>
      <x:c r="I38" s="3"/>
      <x:c r="J38" s="10" t="n">
        <x:v>45889</x:v>
      </x:c>
      <x:c r="K38" s="8" t="n">
        <x:f>INDEX('Сводка'!$S$3:$S$397,U38)</x:f>
        <x:v>296</x:v>
      </x:c>
      <x:c r="L38" s="8" t="n">
        <x:f>INDEX('Сводка'!$S$3:$S$397,V38)</x:f>
        <x:v>309</x:v>
      </x:c>
      <x:c r="M38" s="8" t="n">
        <x:f>INDEX($K$388:$N$400,W38,1)*((J38-$T$405+1)/1000)^INDEX($K$388:$N$400,W38,2)</x:f>
        <x:v>166.4297127433326</x:v>
      </x:c>
      <x:c r="N38" s="8" t="n">
        <x:f>K38-M38</x:f>
        <x:v>129.5702872566674</x:v>
      </x:c>
      <x:c r="O38" s="8" t="n">
        <x:f>ABS(N38)</x:f>
        <x:v>129.5702872566674</x:v>
      </x:c>
      <x:c r="P38" s="8" t="n">
        <x:f>N38^2</x:f>
        <x:v>16788.459339775305</x:v>
      </x:c>
      <x:c r="Q38" s="8" t="n">
        <x:f>K38-L38</x:f>
        <x:v>-13</x:v>
      </x:c>
      <x:c r="R38" s="9" t="n">
        <x:f>IF(AND(INDEX('Сводка'!$T$3:$T$397,U38)=0,INDEX('Сводка'!$T$3:$T$397,V38)=0),1,0)</x:f>
        <x:v>1</x:v>
      </x:c>
      <x:c r="S38" s="9" t="n">
        <x:f>IF(AND(R38=1,O38&lt;=$G$13),1,0)</x:f>
        <x:v>0</x:v>
      </x:c>
      <x:c r="T38" s="10" t="n">
        <x:f>EOMONTH(J38-'Сводка'!$B$11,-1)</x:f>
        <x:v>45869</x:v>
      </x:c>
      <x:c r="U38" s="4" t="n">
        <x:f>MATCH(J38,'Сводка'!$R$3:$R$397,0)</x:f>
        <x:v>49</x:v>
      </x:c>
      <x:c r="V38" s="4" t="n">
        <x:f>MATCH(J38-'Сводка'!$B$11,'Сводка'!$R$3:$R$397,0)</x:f>
        <x:v>48</x:v>
      </x:c>
      <x:c r="W38" s="4" t="n">
        <x:f>MATCH(T38,$J$388:$J$400,0)</x:f>
        <x:v>2</x:v>
      </x:c>
      <x:c r="X38" s="3"/>
      <x:c r="Y38" s="3"/>
      <x:c r="Z38" s="3"/>
    </x:row>
    <x:row r="39" ht="15" customHeight="1">
      <x:c r="A39" s="10" t="n">
        <x:f>IF(21&lt;='Сводка'!$B$3,'Сводка'!$B$4+21,"")</x:f>
        <x:v>46256</x:v>
      </x:c>
      <x:c r="B39" s="18" t="n">
        <x:f>IF($A39="","",(A39-$T$405+1)/1000)</x:f>
        <x:v>9</x:v>
      </x:c>
      <x:c r="C39" s="18" t="n">
        <x:f>IF($A39="","",2*(A39-$T$405)/$T$406-1)</x:f>
        <x:v>1.0046781020271776</x:v>
      </x:c>
      <x:c r="D39" s="8" t="n">
        <x:f>IF($A39="","",$B$4*B39^$B$5)</x:f>
        <x:v>153.610964451578</x:v>
      </x:c>
      <x:c r="E39" s="8" t="n">
        <x:f>IF($A39="","",SQRT($T$403^2+H39^2))</x:f>
        <x:v>163.77902774960435</x:v>
      </x:c>
      <x:c r="F39" s="8" t="n">
        <x:f>IF($A39="","",D39-$T$404*E39)</x:f>
        <x:v>-167.43525213067596</x:v>
      </x:c>
      <x:c r="G39" s="8" t="n">
        <x:f>IF($A39="","",D39+$T$404*E39)</x:f>
        <x:v>474.657181033832</x:v>
      </x:c>
      <x:c r="H39" s="8" t="n">
        <x:f>IF($A39="","",SQRT(MAX(0,(B39^$B$5)*$S$409*(B39^$B$5)+(B39^$B$5)*$T$409*($B$4*B39^$B$5*LN(B39))+($B$4*B39^$B$5*LN(B39))*$S$410*(B39^$B$5)+($B$4*B39^$B$5*LN(B39))*$T$410*($B$4*B39^$B$5*LN(B39)))))</x:f>
        <x:v>4.507064079765726</x:v>
      </x:c>
      <x:c r="I39" s="3"/>
      <x:c r="J39" s="10" t="n">
        <x:v>45890</x:v>
      </x:c>
      <x:c r="K39" s="8" t="n">
        <x:f>INDEX('Сводка'!$S$3:$S$397,U39)</x:f>
        <x:v>282</x:v>
      </x:c>
      <x:c r="L39" s="8" t="n">
        <x:f>INDEX('Сводка'!$S$3:$S$397,V39)</x:f>
        <x:v>296</x:v>
      </x:c>
      <x:c r="M39" s="8" t="n">
        <x:f>INDEX($K$388:$N$400,W39,1)*((J39-$T$405+1)/1000)^INDEX($K$388:$N$400,W39,2)</x:f>
        <x:v>166.4529127730925</x:v>
      </x:c>
      <x:c r="N39" s="8" t="n">
        <x:f>K39-M39</x:f>
        <x:v>115.54708722690751</x:v>
      </x:c>
      <x:c r="O39" s="8" t="n">
        <x:f>ABS(N39)</x:f>
        <x:v>115.54708722690751</x:v>
      </x:c>
      <x:c r="P39" s="8" t="n">
        <x:f>N39^2</x:f>
        <x:v>13351.129366622572</x:v>
      </x:c>
      <x:c r="Q39" s="8" t="n">
        <x:f>K39-L39</x:f>
        <x:v>-14</x:v>
      </x:c>
      <x:c r="R39" s="9" t="n">
        <x:f>IF(AND(INDEX('Сводка'!$T$3:$T$397,U39)=0,INDEX('Сводка'!$T$3:$T$397,V39)=0),1,0)</x:f>
        <x:v>1</x:v>
      </x:c>
      <x:c r="S39" s="9" t="n">
        <x:f>IF(AND(R39=1,O39&lt;=$G$13),1,0)</x:f>
        <x:v>0</x:v>
      </x:c>
      <x:c r="T39" s="10" t="n">
        <x:f>EOMONTH(J39-'Сводка'!$B$11,-1)</x:f>
        <x:v>45869</x:v>
      </x:c>
      <x:c r="U39" s="4" t="n">
        <x:f>MATCH(J39,'Сводка'!$R$3:$R$397,0)</x:f>
        <x:v>50</x:v>
      </x:c>
      <x:c r="V39" s="4" t="n">
        <x:f>MATCH(J39-'Сводка'!$B$11,'Сводка'!$R$3:$R$397,0)</x:f>
        <x:v>49</x:v>
      </x:c>
      <x:c r="W39" s="4" t="n">
        <x:f>MATCH(T39,$J$388:$J$400,0)</x:f>
        <x:v>2</x:v>
      </x:c>
      <x:c r="X39" s="3"/>
      <x:c r="Y39" s="3"/>
      <x:c r="Z39" s="3"/>
    </x:row>
    <x:row r="40" ht="15" customHeight="1">
      <x:c r="A40" s="10" t="n">
        <x:f>IF(22&lt;='Сводка'!$B$3,'Сводка'!$B$4+22,"")</x:f>
        <x:v>46257</x:v>
      </x:c>
      <x:c r="B40" s="18" t="n">
        <x:f>IF($A40="","",(A40-$T$405+1)/1000)</x:f>
        <x:v>9.001</x:v>
      </x:c>
      <x:c r="C40" s="18" t="n">
        <x:f>IF($A40="","",2*(A40-$T$405)/$T$406-1)</x:f>
        <x:v>1.0049008687903767</x:v>
      </x:c>
      <x:c r="D40" s="8" t="n">
        <x:f>IF($A40="","",$B$4*B40^$B$5)</x:f>
        <x:v>153.62868570947984</x:v>
      </x:c>
      <x:c r="E40" s="8" t="n">
        <x:f>IF($A40="","",SQRT($T$403^2+H40^2))</x:f>
        <x:v>163.77906278733764</x:v>
      </x:c>
      <x:c r="F40" s="8" t="n">
        <x:f>IF($A40="","",D40-$T$404*E40)</x:f>
        <x:v>-167.41759955514368</x:v>
      </x:c>
      <x:c r="G40" s="8" t="n">
        <x:f>IF($A40="","",D40+$T$404*E40)</x:f>
        <x:v>474.67497097410336</x:v>
      </x:c>
      <x:c r="H40" s="8" t="n">
        <x:f>IF($A40="","",SQRT(MAX(0,(B40^$B$5)*$S$409*(B40^$B$5)+(B40^$B$5)*$T$409*($B$4*B40^$B$5*LN(B40))+($B$4*B40^$B$5*LN(B40))*$S$410*(B40^$B$5)+($B$4*B40^$B$5*LN(B40))*$T$410*($B$4*B40^$B$5*LN(B40)))))</x:f>
        <x:v>4.508337111633593</x:v>
      </x:c>
      <x:c r="I40" s="3"/>
      <x:c r="J40" s="10" t="n">
        <x:v>45891</x:v>
      </x:c>
      <x:c r="K40" s="8" t="n">
        <x:f>INDEX('Сводка'!$S$3:$S$397,U40)</x:f>
        <x:v>270</x:v>
      </x:c>
      <x:c r="L40" s="8" t="n">
        <x:f>INDEX('Сводка'!$S$3:$S$397,V40)</x:f>
        <x:v>282</x:v>
      </x:c>
      <x:c r="M40" s="8" t="n">
        <x:f>INDEX($K$388:$N$400,W40,1)*((J40-$T$405+1)/1000)^INDEX($K$388:$N$400,W40,2)</x:f>
        <x:v>166.47611334943767</x:v>
      </x:c>
      <x:c r="N40" s="8" t="n">
        <x:f>K40-M40</x:f>
        <x:v>103.52388665056233</x:v>
      </x:c>
      <x:c r="O40" s="8" t="n">
        <x:f>ABS(N40)</x:f>
        <x:v>103.52388665056233</x:v>
      </x:c>
      <x:c r="P40" s="8" t="n">
        <x:f>N40^2</x:f>
        <x:v>10717.195107238478</x:v>
      </x:c>
      <x:c r="Q40" s="8" t="n">
        <x:f>K40-L40</x:f>
        <x:v>-12</x:v>
      </x:c>
      <x:c r="R40" s="9" t="n">
        <x:f>IF(AND(INDEX('Сводка'!$T$3:$T$397,U40)=0,INDEX('Сводка'!$T$3:$T$397,V40)=0),1,0)</x:f>
        <x:v>1</x:v>
      </x:c>
      <x:c r="S40" s="9" t="n">
        <x:f>IF(AND(R40=1,O40&lt;=$G$13),1,0)</x:f>
        <x:v>0</x:v>
      </x:c>
      <x:c r="T40" s="10" t="n">
        <x:f>EOMONTH(J40-'Сводка'!$B$11,-1)</x:f>
        <x:v>45869</x:v>
      </x:c>
      <x:c r="U40" s="4" t="n">
        <x:f>MATCH(J40,'Сводка'!$R$3:$R$397,0)</x:f>
        <x:v>51</x:v>
      </x:c>
      <x:c r="V40" s="4" t="n">
        <x:f>MATCH(J40-'Сводка'!$B$11,'Сводка'!$R$3:$R$397,0)</x:f>
        <x:v>50</x:v>
      </x:c>
      <x:c r="W40" s="4" t="n">
        <x:f>MATCH(T40,$J$388:$J$400,0)</x:f>
        <x:v>2</x:v>
      </x:c>
      <x:c r="X40" s="3"/>
      <x:c r="Y40" s="3"/>
      <x:c r="Z40" s="3"/>
    </x:row>
    <x:row r="41" ht="15" customHeight="1">
      <x:c r="A41" s="10" t="n">
        <x:f>IF(23&lt;='Сводка'!$B$3,'Сводка'!$B$4+23,"")</x:f>
        <x:v>46258</x:v>
      </x:c>
      <x:c r="B41" s="18" t="n">
        <x:f>IF($A41="","",(A41-$T$405+1)/1000)</x:f>
        <x:v>9.002</x:v>
      </x:c>
      <x:c r="C41" s="18" t="n">
        <x:f>IF($A41="","",2*(A41-$T$405)/$T$406-1)</x:f>
        <x:v>1.0051236355535753</x:v>
      </x:c>
      <x:c r="D41" s="8" t="n">
        <x:f>IF($A41="","",$B$4*B41^$B$5)</x:f>
        <x:v>153.64640704274518</x:v>
      </x:c>
      <x:c r="E41" s="8" t="n">
        <x:f>IF($A41="","",SQRT($T$403^2+H41^2))</x:f>
        <x:v>163.77909784082942</x:v>
      </x:c>
      <x:c r="F41" s="8" t="n">
        <x:f>IF($A41="","",D41-$T$404*E41)</x:f>
        <x:v>-167.3999469351383</x:v>
      </x:c>
      <x:c r="G41" s="8" t="n">
        <x:f>IF($A41="","",D41+$T$404*E41)</x:f>
        <x:v>474.69276102062867</x:v>
      </x:c>
      <x:c r="H41" s="8" t="n">
        <x:f>IF($A41="","",SQRT(MAX(0,(B41^$B$5)*$S$409*(B41^$B$5)+(B41^$B$5)*$T$409*($B$4*B41^$B$5*LN(B41))+($B$4*B41^$B$5*LN(B41))*$S$410*(B41^$B$5)+($B$4*B41^$B$5*LN(B41))*$T$410*($B$4*B41^$B$5*LN(B41)))))</x:f>
        <x:v>4.509610356718583</x:v>
      </x:c>
      <x:c r="I41" s="3"/>
      <x:c r="J41" s="10" t="n">
        <x:v>45892</x:v>
      </x:c>
      <x:c r="K41" s="8" t="n">
        <x:f>INDEX('Сводка'!$S$3:$S$397,U41)</x:f>
        <x:v>255</x:v>
      </x:c>
      <x:c r="L41" s="8" t="n">
        <x:f>INDEX('Сводка'!$S$3:$S$397,V41)</x:f>
        <x:v>270</x:v>
      </x:c>
      <x:c r="M41" s="8" t="n">
        <x:f>INDEX($K$388:$N$400,W41,1)*((J41-$T$405+1)/1000)^INDEX($K$388:$N$400,W41,2)</x:f>
        <x:v>166.49931447231776</x:v>
      </x:c>
      <x:c r="N41" s="8" t="n">
        <x:f>K41-M41</x:f>
        <x:v>88.50068552768224</x:v>
      </x:c>
      <x:c r="O41" s="8" t="n">
        <x:f>ABS(N41)</x:f>
        <x:v>88.50068552768224</x:v>
      </x:c>
      <x:c r="P41" s="8" t="n">
        <x:f>N41^2</x:f>
        <x:v>7832.371338869704</x:v>
      </x:c>
      <x:c r="Q41" s="8" t="n">
        <x:f>K41-L41</x:f>
        <x:v>-15</x:v>
      </x:c>
      <x:c r="R41" s="9" t="n">
        <x:f>IF(AND(INDEX('Сводка'!$T$3:$T$397,U41)=0,INDEX('Сводка'!$T$3:$T$397,V41)=0),1,0)</x:f>
        <x:v>1</x:v>
      </x:c>
      <x:c r="S41" s="9" t="n">
        <x:f>IF(AND(R41=1,O41&lt;=$G$13),1,0)</x:f>
        <x:v>0</x:v>
      </x:c>
      <x:c r="T41" s="10" t="n">
        <x:f>EOMONTH(J41-'Сводка'!$B$11,-1)</x:f>
        <x:v>45869</x:v>
      </x:c>
      <x:c r="U41" s="4" t="n">
        <x:f>MATCH(J41,'Сводка'!$R$3:$R$397,0)</x:f>
        <x:v>52</x:v>
      </x:c>
      <x:c r="V41" s="4" t="n">
        <x:f>MATCH(J41-'Сводка'!$B$11,'Сводка'!$R$3:$R$397,0)</x:f>
        <x:v>51</x:v>
      </x:c>
      <x:c r="W41" s="4" t="n">
        <x:f>MATCH(T41,$J$388:$J$400,0)</x:f>
        <x:v>2</x:v>
      </x:c>
      <x:c r="X41" s="3"/>
      <x:c r="Y41" s="3"/>
      <x:c r="Z41" s="3"/>
    </x:row>
    <x:row r="42" ht="15" customHeight="1">
      <x:c r="A42" s="10" t="n">
        <x:f>IF(24&lt;='Сводка'!$B$3,'Сводка'!$B$4+24,"")</x:f>
        <x:v>46259</x:v>
      </x:c>
      <x:c r="B42" s="18" t="n">
        <x:f>IF($A42="","",(A42-$T$405+1)/1000)</x:f>
        <x:v>9.003</x:v>
      </x:c>
      <x:c r="C42" s="18" t="n">
        <x:f>IF($A42="","",2*(A42-$T$405)/$T$406-1)</x:f>
        <x:v>1.0053464023167744</x:v>
      </x:c>
      <x:c r="D42" s="8" t="n">
        <x:f>IF($A42="","",$B$4*B42^$B$5)</x:f>
        <x:v>153.66412845136594</x:v>
      </x:c>
      <x:c r="E42" s="8" t="n">
        <x:f>IF($A42="","",SQRT($T$403^2+H42^2))</x:f>
        <x:v>163.77913291008275</x:v>
      </x:c>
      <x:c r="F42" s="8" t="n">
        <x:f>IF($A42="","",D42-$T$404*E42)</x:f>
        <x:v>-167.38229427067395</x:v>
      </x:c>
      <x:c r="G42" s="8" t="n">
        <x:f>IF($A42="","",D42+$T$404*E42)</x:f>
        <x:v>474.71055117340586</x:v>
      </x:c>
      <x:c r="H42" s="8" t="n">
        <x:f>IF($A42="","",SQRT(MAX(0,(B42^$B$5)*$S$409*(B42^$B$5)+(B42^$B$5)*$T$409*($B$4*B42^$B$5*LN(B42))+($B$4*B42^$B$5*LN(B42))*$S$410*(B42^$B$5)+($B$4*B42^$B$5*LN(B42))*$T$410*($B$4*B42^$B$5*LN(B42)))))</x:f>
        <x:v>4.510883814952168</x:v>
      </x:c>
      <x:c r="I42" s="3"/>
      <x:c r="J42" s="10" t="n">
        <x:v>45893</x:v>
      </x:c>
      <x:c r="K42" s="8" t="n">
        <x:f>INDEX('Сводка'!$S$3:$S$397,U42)</x:f>
        <x:v>245</x:v>
      </x:c>
      <x:c r="L42" s="8" t="n">
        <x:f>INDEX('Сводка'!$S$3:$S$397,V42)</x:f>
        <x:v>255</x:v>
      </x:c>
      <x:c r="M42" s="8" t="n">
        <x:f>INDEX($K$388:$N$400,W42,1)*((J42-$T$405+1)/1000)^INDEX($K$388:$N$400,W42,2)</x:f>
        <x:v>166.52251614168242</x:v>
      </x:c>
      <x:c r="N42" s="8" t="n">
        <x:f>K42-M42</x:f>
        <x:v>78.47748385831758</x:v>
      </x:c>
      <x:c r="O42" s="8" t="n">
        <x:f>ABS(N42)</x:f>
        <x:v>78.47748385831758</x:v>
      </x:c>
      <x:c r="P42" s="8" t="n">
        <x:f>N42^2</x:f>
        <x:v>6158.715472732497</x:v>
      </x:c>
      <x:c r="Q42" s="8" t="n">
        <x:f>K42-L42</x:f>
        <x:v>-10</x:v>
      </x:c>
      <x:c r="R42" s="9" t="n">
        <x:f>IF(AND(INDEX('Сводка'!$T$3:$T$397,U42)=0,INDEX('Сводка'!$T$3:$T$397,V42)=0),1,0)</x:f>
        <x:v>1</x:v>
      </x:c>
      <x:c r="S42" s="9" t="n">
        <x:f>IF(AND(R42=1,O42&lt;=$G$13),1,0)</x:f>
        <x:v>0</x:v>
      </x:c>
      <x:c r="T42" s="10" t="n">
        <x:f>EOMONTH(J42-'Сводка'!$B$11,-1)</x:f>
        <x:v>45869</x:v>
      </x:c>
      <x:c r="U42" s="4" t="n">
        <x:f>MATCH(J42,'Сводка'!$R$3:$R$397,0)</x:f>
        <x:v>53</x:v>
      </x:c>
      <x:c r="V42" s="4" t="n">
        <x:f>MATCH(J42-'Сводка'!$B$11,'Сводка'!$R$3:$R$397,0)</x:f>
        <x:v>52</x:v>
      </x:c>
      <x:c r="W42" s="4" t="n">
        <x:f>MATCH(T42,$J$388:$J$400,0)</x:f>
        <x:v>2</x:v>
      </x:c>
      <x:c r="X42" s="3"/>
      <x:c r="Y42" s="3"/>
      <x:c r="Z42" s="3"/>
    </x:row>
    <x:row r="43" ht="15" customHeight="1">
      <x:c r="A43" s="10" t="n">
        <x:f>IF(25&lt;='Сводка'!$B$3,'Сводка'!$B$4+25,"")</x:f>
        <x:v>46260</x:v>
      </x:c>
      <x:c r="B43" s="18" t="n">
        <x:f>IF($A43="","",(A43-$T$405+1)/1000)</x:f>
        <x:v>9.004</x:v>
      </x:c>
      <x:c r="C43" s="18" t="n">
        <x:f>IF($A43="","",2*(A43-$T$405)/$T$406-1)</x:f>
        <x:v>1.005569169079973</x:v>
      </x:c>
      <x:c r="D43" s="8" t="n">
        <x:f>IF($A43="","",$B$4*B43^$B$5)</x:f>
        <x:v>153.68184993533413</x:v>
      </x:c>
      <x:c r="E43" s="8" t="n">
        <x:f>IF($A43="","",SQRT($T$403^2+H43^2))</x:f>
        <x:v>163.77916799510072</x:v>
      </x:c>
      <x:c r="F43" s="8" t="n">
        <x:f>IF($A43="","",D43-$T$404*E43)</x:f>
        <x:v>-167.3646415617647</x:v>
      </x:c>
      <x:c r="G43" s="8" t="n">
        <x:f>IF($A43="","",D43+$T$404*E43)</x:f>
        <x:v>474.72834143243296</x:v>
      </x:c>
      <x:c r="H43" s="8" t="n">
        <x:f>IF($A43="","",SQRT(MAX(0,(B43^$B$5)*$S$409*(B43^$B$5)+(B43^$B$5)*$T$409*($B$4*B43^$B$5*LN(B43))+($B$4*B43^$B$5*LN(B43))*$S$410*(B43^$B$5)+($B$4*B43^$B$5*LN(B43))*$T$410*($B$4*B43^$B$5*LN(B43)))))</x:f>
        <x:v>4.512157486265847</x:v>
      </x:c>
      <x:c r="I43" s="3"/>
      <x:c r="J43" s="10" t="n">
        <x:v>45894</x:v>
      </x:c>
      <x:c r="K43" s="8" t="n">
        <x:f>INDEX('Сводка'!$S$3:$S$397,U43)</x:f>
        <x:v>235</x:v>
      </x:c>
      <x:c r="L43" s="8" t="n">
        <x:f>INDEX('Сводка'!$S$3:$S$397,V43)</x:f>
        <x:v>245</x:v>
      </x:c>
      <x:c r="M43" s="8" t="n">
        <x:f>INDEX($K$388:$N$400,W43,1)*((J43-$T$405+1)/1000)^INDEX($K$388:$N$400,W43,2)</x:f>
        <x:v>166.5457183574811</x:v>
      </x:c>
      <x:c r="N43" s="8" t="n">
        <x:f>K43-M43</x:f>
        <x:v>68.45428164251891</x:v>
      </x:c>
      <x:c r="O43" s="8" t="n">
        <x:f>ABS(N43)</x:f>
        <x:v>68.45428164251891</x:v>
      </x:c>
      <x:c r="P43" s="8" t="n">
        <x:f>N43^2</x:f>
        <x:v>4685.988675193301</x:v>
      </x:c>
      <x:c r="Q43" s="8" t="n">
        <x:f>K43-L43</x:f>
        <x:v>-10</x:v>
      </x:c>
      <x:c r="R43" s="9" t="n">
        <x:f>IF(AND(INDEX('Сводка'!$T$3:$T$397,U43)=0,INDEX('Сводка'!$T$3:$T$397,V43)=0),1,0)</x:f>
        <x:v>1</x:v>
      </x:c>
      <x:c r="S43" s="9" t="n">
        <x:f>IF(AND(R43=1,O43&lt;=$G$13),1,0)</x:f>
        <x:v>0</x:v>
      </x:c>
      <x:c r="T43" s="10" t="n">
        <x:f>EOMONTH(J43-'Сводка'!$B$11,-1)</x:f>
        <x:v>45869</x:v>
      </x:c>
      <x:c r="U43" s="4" t="n">
        <x:f>MATCH(J43,'Сводка'!$R$3:$R$397,0)</x:f>
        <x:v>54</x:v>
      </x:c>
      <x:c r="V43" s="4" t="n">
        <x:f>MATCH(J43-'Сводка'!$B$11,'Сводка'!$R$3:$R$397,0)</x:f>
        <x:v>53</x:v>
      </x:c>
      <x:c r="W43" s="4" t="n">
        <x:f>MATCH(T43,$J$388:$J$400,0)</x:f>
        <x:v>2</x:v>
      </x:c>
      <x:c r="X43" s="3"/>
      <x:c r="Y43" s="3"/>
      <x:c r="Z43" s="3"/>
    </x:row>
    <x:row r="44" ht="15" customHeight="1">
      <x:c r="A44" s="10" t="n">
        <x:f>IF(26&lt;='Сводка'!$B$3,'Сводка'!$B$4+26,"")</x:f>
        <x:v>46261</x:v>
      </x:c>
      <x:c r="B44" s="18" t="n">
        <x:f>IF($A44="","",(A44-$T$405+1)/1000)</x:f>
        <x:v>9.005</x:v>
      </x:c>
      <x:c r="C44" s="18" t="n">
        <x:f>IF($A44="","",2*(A44-$T$405)/$T$406-1)</x:f>
        <x:v>1.0057919358431722</x:v>
      </x:c>
      <x:c r="D44" s="8" t="n">
        <x:f>IF($A44="","",$B$4*B44^$B$5)</x:f>
        <x:v>153.69957149464173</x:v>
      </x:c>
      <x:c r="E44" s="8" t="n">
        <x:f>IF($A44="","",SQRT($T$403^2+H44^2))</x:f>
        <x:v>163.77920309588637</x:v>
      </x:c>
      <x:c r="F44" s="8" t="n">
        <x:f>IF($A44="","",D44-$T$404*E44)</x:f>
        <x:v>-167.3469888084244</x:v>
      </x:c>
      <x:c r="G44" s="8" t="n">
        <x:f>IF($A44="","",D44+$T$404*E44)</x:f>
        <x:v>474.7461317977079</x:v>
      </x:c>
      <x:c r="H44" s="8" t="n">
        <x:f>IF($A44="","",SQRT(MAX(0,(B44^$B$5)*$S$409*(B44^$B$5)+(B44^$B$5)*$T$409*($B$4*B44^$B$5*LN(B44))+($B$4*B44^$B$5*LN(B44))*$S$410*(B44^$B$5)+($B$4*B44^$B$5*LN(B44))*$T$410*($B$4*B44^$B$5*LN(B44)))))</x:f>
        <x:v>4.5134313705912135</x:v>
      </x:c>
      <x:c r="I44" s="3"/>
      <x:c r="J44" s="10" t="n">
        <x:v>45895</x:v>
      </x:c>
      <x:c r="K44" s="8" t="n">
        <x:f>INDEX('Сводка'!$S$3:$S$397,U44)</x:f>
        <x:v>227</x:v>
      </x:c>
      <x:c r="L44" s="8" t="n">
        <x:f>INDEX('Сводка'!$S$3:$S$397,V44)</x:f>
        <x:v>235</x:v>
      </x:c>
      <x:c r="M44" s="8" t="n">
        <x:f>INDEX($K$388:$N$400,W44,1)*((J44-$T$405+1)/1000)^INDEX($K$388:$N$400,W44,2)</x:f>
        <x:v>166.5689211196635</x:v>
      </x:c>
      <x:c r="N44" s="8" t="n">
        <x:f>K44-M44</x:f>
        <x:v>60.431078880336514</x:v>
      </x:c>
      <x:c r="O44" s="8" t="n">
        <x:f>ABS(N44)</x:f>
        <x:v>60.431078880336514</x:v>
      </x:c>
      <x:c r="P44" s="8" t="n">
        <x:f>N44^2</x:f>
        <x:v>3651.915294641454</x:v>
      </x:c>
      <x:c r="Q44" s="8" t="n">
        <x:f>K44-L44</x:f>
        <x:v>-8</x:v>
      </x:c>
      <x:c r="R44" s="9" t="n">
        <x:f>IF(AND(INDEX('Сводка'!$T$3:$T$397,U44)=0,INDEX('Сводка'!$T$3:$T$397,V44)=0),1,0)</x:f>
        <x:v>1</x:v>
      </x:c>
      <x:c r="S44" s="9" t="n">
        <x:f>IF(AND(R44=1,O44&lt;=$G$13),1,0)</x:f>
        <x:v>0</x:v>
      </x:c>
      <x:c r="T44" s="10" t="n">
        <x:f>EOMONTH(J44-'Сводка'!$B$11,-1)</x:f>
        <x:v>45869</x:v>
      </x:c>
      <x:c r="U44" s="4" t="n">
        <x:f>MATCH(J44,'Сводка'!$R$3:$R$397,0)</x:f>
        <x:v>55</x:v>
      </x:c>
      <x:c r="V44" s="4" t="n">
        <x:f>MATCH(J44-'Сводка'!$B$11,'Сводка'!$R$3:$R$397,0)</x:f>
        <x:v>54</x:v>
      </x:c>
      <x:c r="W44" s="4" t="n">
        <x:f>MATCH(T44,$J$388:$J$400,0)</x:f>
        <x:v>2</x:v>
      </x:c>
      <x:c r="X44" s="3"/>
      <x:c r="Y44" s="3"/>
      <x:c r="Z44" s="3"/>
    </x:row>
    <x:row r="45" ht="15" customHeight="1">
      <x:c r="A45" s="10" t="n">
        <x:f>IF(27&lt;='Сводка'!$B$3,'Сводка'!$B$4+27,"")</x:f>
        <x:v>46262</x:v>
      </x:c>
      <x:c r="B45" s="18" t="n">
        <x:f>IF($A45="","",(A45-$T$405+1)/1000)</x:f>
        <x:v>9.006</x:v>
      </x:c>
      <x:c r="C45" s="18" t="n">
        <x:f>IF($A45="","",2*(A45-$T$405)/$T$406-1)</x:f>
        <x:v>1.0060147026063713</x:v>
      </x:c>
      <x:c r="D45" s="8" t="n">
        <x:f>IF($A45="","",$B$4*B45^$B$5)</x:f>
        <x:v>153.7172931292806</x:v>
      </x:c>
      <x:c r="E45" s="8" t="n">
        <x:f>IF($A45="","",SQRT($T$403^2+H45^2))</x:f>
        <x:v>163.77923821244278</x:v>
      </x:c>
      <x:c r="F45" s="8" t="n">
        <x:f>IF($A45="","",D45-$T$404*E45)</x:f>
        <x:v>-167.32933601066733</x:v>
      </x:c>
      <x:c r="G45" s="8" t="n">
        <x:f>IF($A45="","",D45+$T$404*E45)</x:f>
        <x:v>474.7639222692285</x:v>
      </x:c>
      <x:c r="H45" s="8" t="n">
        <x:f>IF($A45="","",SQRT(MAX(0,(B45^$B$5)*$S$409*(B45^$B$5)+(B45^$B$5)*$T$409*($B$4*B45^$B$5*LN(B45))+($B$4*B45^$B$5*LN(B45))*$S$410*(B45^$B$5)+($B$4*B45^$B$5*LN(B45))*$T$410*($B$4*B45^$B$5*LN(B45)))))</x:f>
        <x:v>4.5147054678598595</x:v>
      </x:c>
      <x:c r="I45" s="3"/>
      <x:c r="J45" s="10" t="n">
        <x:v>45896</x:v>
      </x:c>
      <x:c r="K45" s="8" t="n">
        <x:f>INDEX('Сводка'!$S$3:$S$397,U45)</x:f>
        <x:v>226</x:v>
      </x:c>
      <x:c r="L45" s="8" t="n">
        <x:f>INDEX('Сводка'!$S$3:$S$397,V45)</x:f>
        <x:v>227</x:v>
      </x:c>
      <x:c r="M45" s="8" t="n">
        <x:f>INDEX($K$388:$N$400,W45,1)*((J45-$T$405+1)/1000)^INDEX($K$388:$N$400,W45,2)</x:f>
        <x:v>166.5921244281793</x:v>
      </x:c>
      <x:c r="N45" s="8" t="n">
        <x:f>K45-M45</x:f>
        <x:v>59.40787557182071</x:v>
      </x:c>
      <x:c r="O45" s="8" t="n">
        <x:f>ABS(N45)</x:f>
        <x:v>59.40787557182071</x:v>
      </x:c>
      <x:c r="P45" s="8" t="n">
        <x:f>N45^2</x:f>
        <x:v>3529.295679956932</x:v>
      </x:c>
      <x:c r="Q45" s="8" t="n">
        <x:f>K45-L45</x:f>
        <x:v>-1</x:v>
      </x:c>
      <x:c r="R45" s="9" t="n">
        <x:f>IF(AND(INDEX('Сводка'!$T$3:$T$397,U45)=0,INDEX('Сводка'!$T$3:$T$397,V45)=0),1,0)</x:f>
        <x:v>1</x:v>
      </x:c>
      <x:c r="S45" s="9" t="n">
        <x:f>IF(AND(R45=1,O45&lt;=$G$13),1,0)</x:f>
        <x:v>0</x:v>
      </x:c>
      <x:c r="T45" s="10" t="n">
        <x:f>EOMONTH(J45-'Сводка'!$B$11,-1)</x:f>
        <x:v>45869</x:v>
      </x:c>
      <x:c r="U45" s="4" t="n">
        <x:f>MATCH(J45,'Сводка'!$R$3:$R$397,0)</x:f>
        <x:v>56</x:v>
      </x:c>
      <x:c r="V45" s="4" t="n">
        <x:f>MATCH(J45-'Сводка'!$B$11,'Сводка'!$R$3:$R$397,0)</x:f>
        <x:v>55</x:v>
      </x:c>
      <x:c r="W45" s="4" t="n">
        <x:f>MATCH(T45,$J$388:$J$400,0)</x:f>
        <x:v>2</x:v>
      </x:c>
      <x:c r="X45" s="3"/>
      <x:c r="Y45" s="3"/>
      <x:c r="Z45" s="3"/>
    </x:row>
    <x:row r="46" ht="15" customHeight="1">
      <x:c r="A46" s="10" t="n">
        <x:f>IF(28&lt;='Сводка'!$B$3,'Сводка'!$B$4+28,"")</x:f>
        <x:v>46263</x:v>
      </x:c>
      <x:c r="B46" s="18" t="n">
        <x:f>IF($A46="","",(A46-$T$405+1)/1000)</x:f>
        <x:v>9.007</x:v>
      </x:c>
      <x:c r="C46" s="18" t="n">
        <x:f>IF($A46="","",2*(A46-$T$405)/$T$406-1)</x:f>
        <x:v>1.00623746936957</x:v>
      </x:c>
      <x:c r="D46" s="8" t="n">
        <x:f>IF($A46="","",$B$4*B46^$B$5)</x:f>
        <x:v>153.7350148392427</x:v>
      </x:c>
      <x:c r="E46" s="8" t="n">
        <x:f>IF($A46="","",SQRT($T$403^2+H46^2))</x:f>
        <x:v>163.77927334477306</x:v>
      </x:c>
      <x:c r="F46" s="8" t="n">
        <x:f>IF($A46="","",D46-$T$404*E46)</x:f>
        <x:v>-167.3116831685076</x:v>
      </x:c>
      <x:c r="G46" s="8" t="n">
        <x:f>IF($A46="","",D46+$T$404*E46)</x:f>
        <x:v>474.781712846993</x:v>
      </x:c>
      <x:c r="H46" s="8" t="n">
        <x:f>IF($A46="","",SQRT(MAX(0,(B46^$B$5)*$S$409*(B46^$B$5)+(B46^$B$5)*$T$409*($B$4*B46^$B$5*LN(B46))+($B$4*B46^$B$5*LN(B46))*$S$410*(B46^$B$5)+($B$4*B46^$B$5*LN(B46))*$T$410*($B$4*B46^$B$5*LN(B46)))))</x:f>
        <x:v>4.515979778003407</x:v>
      </x:c>
      <x:c r="I46" s="3"/>
      <x:c r="J46" s="10" t="n">
        <x:v>45897</x:v>
      </x:c>
      <x:c r="K46" s="8" t="n">
        <x:f>INDEX('Сводка'!$S$3:$S$397,U46)</x:f>
        <x:v>229</x:v>
      </x:c>
      <x:c r="L46" s="8" t="n">
        <x:f>INDEX('Сводка'!$S$3:$S$397,V46)</x:f>
        <x:v>226</x:v>
      </x:c>
      <x:c r="M46" s="8" t="n">
        <x:f>INDEX($K$388:$N$400,W46,1)*((J46-$T$405+1)/1000)^INDEX($K$388:$N$400,W46,2)</x:f>
        <x:v>166.61532828297797</x:v>
      </x:c>
      <x:c r="N46" s="8" t="n">
        <x:f>K46-M46</x:f>
        <x:v>62.38467171702203</x:v>
      </x:c>
      <x:c r="O46" s="8" t="n">
        <x:f>ABS(N46)</x:f>
        <x:v>62.38467171702203</x:v>
      </x:c>
      <x:c r="P46" s="8" t="n">
        <x:f>N46^2</x:f>
        <x:v>3891.8472652406085</x:v>
      </x:c>
      <x:c r="Q46" s="8" t="n">
        <x:f>K46-L46</x:f>
        <x:v>3</x:v>
      </x:c>
      <x:c r="R46" s="9" t="n">
        <x:f>IF(AND(INDEX('Сводка'!$T$3:$T$397,U46)=0,INDEX('Сводка'!$T$3:$T$397,V46)=0),1,0)</x:f>
        <x:v>1</x:v>
      </x:c>
      <x:c r="S46" s="9" t="n">
        <x:f>IF(AND(R46=1,O46&lt;=$G$13),1,0)</x:f>
        <x:v>0</x:v>
      </x:c>
      <x:c r="T46" s="10" t="n">
        <x:f>EOMONTH(J46-'Сводка'!$B$11,-1)</x:f>
        <x:v>45869</x:v>
      </x:c>
      <x:c r="U46" s="4" t="n">
        <x:f>MATCH(J46,'Сводка'!$R$3:$R$397,0)</x:f>
        <x:v>57</x:v>
      </x:c>
      <x:c r="V46" s="4" t="n">
        <x:f>MATCH(J46-'Сводка'!$B$11,'Сводка'!$R$3:$R$397,0)</x:f>
        <x:v>56</x:v>
      </x:c>
      <x:c r="W46" s="4" t="n">
        <x:f>MATCH(T46,$J$388:$J$400,0)</x:f>
        <x:v>2</x:v>
      </x:c>
      <x:c r="X46" s="3"/>
      <x:c r="Y46" s="3"/>
      <x:c r="Z46" s="3"/>
    </x:row>
    <x:row r="47" ht="15" customHeight="1">
      <x:c r="A47" s="10" t="n">
        <x:f>IF(29&lt;='Сводка'!$B$3,'Сводка'!$B$4+29,"")</x:f>
        <x:v>46264</x:v>
      </x:c>
      <x:c r="B47" s="18" t="n">
        <x:f>IF($A47="","",(A47-$T$405+1)/1000)</x:f>
        <x:v>9.008</x:v>
      </x:c>
      <x:c r="C47" s="18" t="n">
        <x:f>IF($A47="","",2*(A47-$T$405)/$T$406-1)</x:f>
        <x:v>1.006460236132769</x:v>
      </x:c>
      <x:c r="D47" s="8" t="n">
        <x:f>IF($A47="","",$B$4*B47^$B$5)</x:f>
        <x:v>153.75273662452005</x:v>
      </x:c>
      <x:c r="E47" s="8" t="n">
        <x:f>IF($A47="","",SQRT($T$403^2+H47^2))</x:f>
        <x:v>163.77930849288026</x:v>
      </x:c>
      <x:c r="F47" s="8" t="n">
        <x:f>IF($A47="","",D47-$T$404*E47)</x:f>
        <x:v>-167.29403028195915</x:v>
      </x:c>
      <x:c r="G47" s="8" t="n">
        <x:f>IF($A47="","",D47+$T$404*E47)</x:f>
        <x:v>474.79950353099923</x:v>
      </x:c>
      <x:c r="H47" s="8" t="n">
        <x:f>IF($A47="","",SQRT(MAX(0,(B47^$B$5)*$S$409*(B47^$B$5)+(B47^$B$5)*$T$409*($B$4*B47^$B$5*LN(B47))+($B$4*B47^$B$5*LN(B47))*$S$410*(B47^$B$5)+($B$4*B47^$B$5*LN(B47))*$T$410*($B$4*B47^$B$5*LN(B47)))))</x:f>
        <x:v>4.517254300953559</x:v>
      </x:c>
      <x:c r="I47" s="3"/>
      <x:c r="J47" s="10" t="n">
        <x:v>45898</x:v>
      </x:c>
      <x:c r="K47" s="8" t="n">
        <x:f>INDEX('Сводка'!$S$3:$S$397,U47)</x:f>
        <x:v>233</x:v>
      </x:c>
      <x:c r="L47" s="8" t="n">
        <x:f>INDEX('Сводка'!$S$3:$S$397,V47)</x:f>
        <x:v>229</x:v>
      </x:c>
      <x:c r="M47" s="8" t="n">
        <x:f>INDEX($K$388:$N$400,W47,1)*((J47-$T$405+1)/1000)^INDEX($K$388:$N$400,W47,2)</x:f>
        <x:v>166.63853268400922</x:v>
      </x:c>
      <x:c r="N47" s="8" t="n">
        <x:f>K47-M47</x:f>
        <x:v>66.36146731599078</x:v>
      </x:c>
      <x:c r="O47" s="8" t="n">
        <x:f>ABS(N47)</x:f>
        <x:v>66.36146731599078</x:v>
      </x:c>
      <x:c r="P47" s="8" t="n">
        <x:f>N47^2</x:f>
        <x:v>4403.844344331313</x:v>
      </x:c>
      <x:c r="Q47" s="8" t="n">
        <x:f>K47-L47</x:f>
        <x:v>4</x:v>
      </x:c>
      <x:c r="R47" s="9" t="n">
        <x:f>IF(AND(INDEX('Сводка'!$T$3:$T$397,U47)=0,INDEX('Сводка'!$T$3:$T$397,V47)=0),1,0)</x:f>
        <x:v>1</x:v>
      </x:c>
      <x:c r="S47" s="9" t="n">
        <x:f>IF(AND(R47=1,O47&lt;=$G$13),1,0)</x:f>
        <x:v>0</x:v>
      </x:c>
      <x:c r="T47" s="10" t="n">
        <x:f>EOMONTH(J47-'Сводка'!$B$11,-1)</x:f>
        <x:v>45869</x:v>
      </x:c>
      <x:c r="U47" s="4" t="n">
        <x:f>MATCH(J47,'Сводка'!$R$3:$R$397,0)</x:f>
        <x:v>58</x:v>
      </x:c>
      <x:c r="V47" s="4" t="n">
        <x:f>MATCH(J47-'Сводка'!$B$11,'Сводка'!$R$3:$R$397,0)</x:f>
        <x:v>57</x:v>
      </x:c>
      <x:c r="W47" s="4" t="n">
        <x:f>MATCH(T47,$J$388:$J$400,0)</x:f>
        <x:v>2</x:v>
      </x:c>
      <x:c r="X47" s="3"/>
      <x:c r="Y47" s="3"/>
      <x:c r="Z47" s="3"/>
    </x:row>
    <x:row r="48" ht="15" customHeight="1">
      <x:c r="A48" s="10" t="n">
        <x:f>IF(30&lt;='Сводка'!$B$3,'Сводка'!$B$4+30,"")</x:f>
        <x:v>46265</x:v>
      </x:c>
      <x:c r="B48" s="18" t="n">
        <x:f>IF($A48="","",(A48-$T$405+1)/1000)</x:f>
        <x:v>9.009</x:v>
      </x:c>
      <x:c r="C48" s="18" t="n">
        <x:f>IF($A48="","",2*(A48-$T$405)/$T$406-1)</x:f>
        <x:v>1.0066830028959681</x:v>
      </x:c>
      <x:c r="D48" s="8" t="n">
        <x:f>IF($A48="","",$B$4*B48^$B$5)</x:f>
        <x:v>153.77045848510463</x:v>
      </x:c>
      <x:c r="E48" s="8" t="n">
        <x:f>IF($A48="","",SQRT($T$403^2+H48^2))</x:f>
        <x:v>163.77934365676745</x:v>
      </x:c>
      <x:c r="F48" s="8" t="n">
        <x:f>IF($A48="","",D48-$T$404*E48)</x:f>
        <x:v>-167.27637735103607</x:v>
      </x:c>
      <x:c r="G48" s="8" t="n">
        <x:f>IF($A48="","",D48+$T$404*E48)</x:f>
        <x:v>474.8172943212453</x:v>
      </x:c>
      <x:c r="H48" s="8" t="n">
        <x:f>IF($A48="","",SQRT(MAX(0,(B48^$B$5)*$S$409*(B48^$B$5)+(B48^$B$5)*$T$409*($B$4*B48^$B$5*LN(B48))+($B$4*B48^$B$5*LN(B48))*$S$410*(B48^$B$5)+($B$4*B48^$B$5*LN(B48))*$T$410*($B$4*B48^$B$5*LN(B48)))))</x:f>
        <x:v>4.51852903664203</x:v>
      </x:c>
      <x:c r="I48" s="3"/>
      <x:c r="J48" s="10" t="n">
        <x:v>45899</x:v>
      </x:c>
      <x:c r="K48" s="8" t="n">
        <x:f>INDEX('Сводка'!$S$3:$S$397,U48)</x:f>
        <x:v>238</x:v>
      </x:c>
      <x:c r="L48" s="8" t="n">
        <x:f>INDEX('Сводка'!$S$3:$S$397,V48)</x:f>
        <x:v>233</x:v>
      </x:c>
      <x:c r="M48" s="8" t="n">
        <x:f>INDEX($K$388:$N$400,W48,1)*((J48-$T$405+1)/1000)^INDEX($K$388:$N$400,W48,2)</x:f>
        <x:v>166.6617376312228</x:v>
      </x:c>
      <x:c r="N48" s="8" t="n">
        <x:f>K48-M48</x:f>
        <x:v>71.33826236877721</x:v>
      </x:c>
      <x:c r="O48" s="8" t="n">
        <x:f>ABS(N48)</x:f>
        <x:v>71.33826236877721</x:v>
      </x:c>
      <x:c r="P48" s="8" t="n">
        <x:f>N48^2</x:f>
        <x:v>5089.1476777964945</x:v>
      </x:c>
      <x:c r="Q48" s="8" t="n">
        <x:f>K48-L48</x:f>
        <x:v>5</x:v>
      </x:c>
      <x:c r="R48" s="9" t="n">
        <x:f>IF(AND(INDEX('Сводка'!$T$3:$T$397,U48)=0,INDEX('Сводка'!$T$3:$T$397,V48)=0),1,0)</x:f>
        <x:v>1</x:v>
      </x:c>
      <x:c r="S48" s="9" t="n">
        <x:f>IF(AND(R48=1,O48&lt;=$G$13),1,0)</x:f>
        <x:v>0</x:v>
      </x:c>
      <x:c r="T48" s="10" t="n">
        <x:f>EOMONTH(J48-'Сводка'!$B$11,-1)</x:f>
        <x:v>45869</x:v>
      </x:c>
      <x:c r="U48" s="4" t="n">
        <x:f>MATCH(J48,'Сводка'!$R$3:$R$397,0)</x:f>
        <x:v>59</x:v>
      </x:c>
      <x:c r="V48" s="4" t="n">
        <x:f>MATCH(J48-'Сводка'!$B$11,'Сводка'!$R$3:$R$397,0)</x:f>
        <x:v>58</x:v>
      </x:c>
      <x:c r="W48" s="4" t="n">
        <x:f>MATCH(T48,$J$388:$J$400,0)</x:f>
        <x:v>2</x:v>
      </x:c>
      <x:c r="X48" s="3"/>
      <x:c r="Y48" s="3"/>
      <x:c r="Z48" s="3"/>
    </x:row>
    <x:row r="49" ht="15" customHeight="1">
      <x:c r="A49" s="7" t="str">
        <x:f>IF(31&lt;='Сводка'!$B$3,'Сводка'!$B$4+31,"")</x:f>
      </x:c>
      <x:c r="B49" s="19" t="str">
        <x:f>IF($A49="","",(A49-$T$405+1)/1000)</x:f>
      </x:c>
      <x:c r="C49" s="19" t="str">
        <x:f>IF($A49="","",2*(A49-$T$405)/$T$406-1)</x:f>
      </x:c>
      <x:c r="D49" s="3" t="str">
        <x:f>IF($A49="","",$B$4*B49^$B$5)</x:f>
      </x:c>
      <x:c r="E49" s="3" t="str">
        <x:f>IF($A49="","",SQRT($T$403^2+H49^2))</x:f>
      </x:c>
      <x:c r="F49" s="3" t="str">
        <x:f>IF($A49="","",D49-$T$404*E49)</x:f>
      </x:c>
      <x:c r="G49" s="3" t="str">
        <x:f>IF($A49="","",D49+$T$404*E49)</x:f>
      </x:c>
      <x:c r="H49" s="3" t="str">
        <x:f>IF($A49="","",SQRT(MAX(0,(B49^$B$5)*$S$409*(B49^$B$5)+(B49^$B$5)*$T$409*($B$4*B49^$B$5*LN(B49))+($B$4*B49^$B$5*LN(B49))*$S$410*(B49^$B$5)+($B$4*B49^$B$5*LN(B49))*$T$410*($B$4*B49^$B$5*LN(B49)))))</x:f>
      </x:c>
      <x:c r="I49" s="3"/>
      <x:c r="J49" s="10" t="n">
        <x:v>45900</x:v>
      </x:c>
      <x:c r="K49" s="8" t="n">
        <x:f>INDEX('Сводка'!$S$3:$S$397,U49)</x:f>
        <x:v>238</x:v>
      </x:c>
      <x:c r="L49" s="8" t="n">
        <x:f>INDEX('Сводка'!$S$3:$S$397,V49)</x:f>
        <x:v>238</x:v>
      </x:c>
      <x:c r="M49" s="8" t="n">
        <x:f>INDEX($K$388:$N$400,W49,1)*((J49-$T$405+1)/1000)^INDEX($K$388:$N$400,W49,2)</x:f>
        <x:v>166.6849431245682</x:v>
      </x:c>
      <x:c r="N49" s="8" t="n">
        <x:f>K49-M49</x:f>
        <x:v>71.3150568754318</x:v>
      </x:c>
      <x:c r="O49" s="8" t="n">
        <x:f>ABS(N49)</x:f>
        <x:v>71.3150568754318</x:v>
      </x:c>
      <x:c r="P49" s="8" t="n">
        <x:f>N49^2</x:f>
        <x:v>5085.837337146071</x:v>
      </x:c>
      <x:c r="Q49" s="8" t="n">
        <x:f>K49-L49</x:f>
        <x:v>0</x:v>
      </x:c>
      <x:c r="R49" s="9" t="n">
        <x:f>IF(AND(INDEX('Сводка'!$T$3:$T$397,U49)=0,INDEX('Сводка'!$T$3:$T$397,V49)=0),1,0)</x:f>
        <x:v>1</x:v>
      </x:c>
      <x:c r="S49" s="9" t="n">
        <x:f>IF(AND(R49=1,O49&lt;=$G$13),1,0)</x:f>
        <x:v>0</x:v>
      </x:c>
      <x:c r="T49" s="10" t="n">
        <x:f>EOMONTH(J49-'Сводка'!$B$11,-1)</x:f>
        <x:v>45869</x:v>
      </x:c>
      <x:c r="U49" s="4" t="n">
        <x:f>MATCH(J49,'Сводка'!$R$3:$R$397,0)</x:f>
        <x:v>60</x:v>
      </x:c>
      <x:c r="V49" s="4" t="n">
        <x:f>MATCH(J49-'Сводка'!$B$11,'Сводка'!$R$3:$R$397,0)</x:f>
        <x:v>59</x:v>
      </x:c>
      <x:c r="W49" s="4" t="n">
        <x:f>MATCH(T49,$J$388:$J$400,0)</x:f>
        <x:v>2</x:v>
      </x:c>
      <x:c r="X49" s="3"/>
      <x:c r="Y49" s="3"/>
      <x:c r="Z49" s="3"/>
    </x:row>
    <x:row r="50" ht="15" customHeight="1">
      <x:c r="A50" s="7" t="str">
        <x:f>IF(32&lt;='Сводка'!$B$3,'Сводка'!$B$4+32,"")</x:f>
      </x:c>
      <x:c r="B50" s="19" t="str">
        <x:f>IF($A50="","",(A50-$T$405+1)/1000)</x:f>
      </x:c>
      <x:c r="C50" s="19" t="str">
        <x:f>IF($A50="","",2*(A50-$T$405)/$T$406-1)</x:f>
      </x:c>
      <x:c r="D50" s="3" t="str">
        <x:f>IF($A50="","",$B$4*B50^$B$5)</x:f>
      </x:c>
      <x:c r="E50" s="3" t="str">
        <x:f>IF($A50="","",SQRT($T$403^2+H50^2))</x:f>
      </x:c>
      <x:c r="F50" s="3" t="str">
        <x:f>IF($A50="","",D50-$T$404*E50)</x:f>
      </x:c>
      <x:c r="G50" s="3" t="str">
        <x:f>IF($A50="","",D50+$T$404*E50)</x:f>
      </x:c>
      <x:c r="H50" s="3" t="str">
        <x:f>IF($A50="","",SQRT(MAX(0,(B50^$B$5)*$S$409*(B50^$B$5)+(B50^$B$5)*$T$409*($B$4*B50^$B$5*LN(B50))+($B$4*B50^$B$5*LN(B50))*$S$410*(B50^$B$5)+($B$4*B50^$B$5*LN(B50))*$T$410*($B$4*B50^$B$5*LN(B50)))))</x:f>
      </x:c>
      <x:c r="I50" s="3"/>
      <x:c r="J50" s="10" t="n">
        <x:v>45901</x:v>
      </x:c>
      <x:c r="K50" s="8" t="n">
        <x:f>INDEX('Сводка'!$S$3:$S$397,U50)</x:f>
        <x:v>238</x:v>
      </x:c>
      <x:c r="L50" s="8" t="n">
        <x:f>INDEX('Сводка'!$S$3:$S$397,V50)</x:f>
        <x:v>238</x:v>
      </x:c>
      <x:c r="M50" s="8" t="n">
        <x:f>INDEX($K$388:$N$400,W50,1)*((J50-$T$405+1)/1000)^INDEX($K$388:$N$400,W50,2)</x:f>
        <x:v>166.70814916399522</x:v>
      </x:c>
      <x:c r="N50" s="8" t="n">
        <x:f>K50-M50</x:f>
        <x:v>71.29185083600478</x:v>
      </x:c>
      <x:c r="O50" s="8" t="n">
        <x:f>ABS(N50)</x:f>
        <x:v>71.29185083600478</x:v>
      </x:c>
      <x:c r="P50" s="8" t="n">
        <x:f>N50^2</x:f>
        <x:v>5082.527995623156</x:v>
      </x:c>
      <x:c r="Q50" s="8" t="n">
        <x:f>K50-L50</x:f>
        <x:v>0</x:v>
      </x:c>
      <x:c r="R50" s="9" t="n">
        <x:f>IF(AND(INDEX('Сводка'!$T$3:$T$397,U50)=0,INDEX('Сводка'!$T$3:$T$397,V50)=0),1,0)</x:f>
        <x:v>1</x:v>
      </x:c>
      <x:c r="S50" s="9" t="n">
        <x:f>IF(AND(R50=1,O50&lt;=$G$13),1,0)</x:f>
        <x:v>0</x:v>
      </x:c>
      <x:c r="T50" s="10" t="n">
        <x:f>EOMONTH(J50-'Сводка'!$B$11,-1)</x:f>
        <x:v>45869</x:v>
      </x:c>
      <x:c r="U50" s="4" t="n">
        <x:f>MATCH(J50,'Сводка'!$R$3:$R$397,0)</x:f>
        <x:v>61</x:v>
      </x:c>
      <x:c r="V50" s="4" t="n">
        <x:f>MATCH(J50-'Сводка'!$B$11,'Сводка'!$R$3:$R$397,0)</x:f>
        <x:v>60</x:v>
      </x:c>
      <x:c r="W50" s="4" t="n">
        <x:f>MATCH(T50,$J$388:$J$400,0)</x:f>
        <x:v>2</x:v>
      </x:c>
      <x:c r="X50" s="3"/>
      <x:c r="Y50" s="3"/>
      <x:c r="Z50" s="3"/>
    </x:row>
    <x:row r="51" ht="15" customHeight="1">
      <x:c r="A51" s="7" t="str">
        <x:f>IF(33&lt;='Сводка'!$B$3,'Сводка'!$B$4+33,"")</x:f>
      </x:c>
      <x:c r="B51" s="19" t="str">
        <x:f>IF($A51="","",(A51-$T$405+1)/1000)</x:f>
      </x:c>
      <x:c r="C51" s="19" t="str">
        <x:f>IF($A51="","",2*(A51-$T$405)/$T$406-1)</x:f>
      </x:c>
      <x:c r="D51" s="3" t="str">
        <x:f>IF($A51="","",$B$4*B51^$B$5)</x:f>
      </x:c>
      <x:c r="E51" s="3" t="str">
        <x:f>IF($A51="","",SQRT($T$403^2+H51^2))</x:f>
      </x:c>
      <x:c r="F51" s="3" t="str">
        <x:f>IF($A51="","",D51-$T$404*E51)</x:f>
      </x:c>
      <x:c r="G51" s="3" t="str">
        <x:f>IF($A51="","",D51+$T$404*E51)</x:f>
      </x:c>
      <x:c r="H51" s="3" t="str">
        <x:f>IF($A51="","",SQRT(MAX(0,(B51^$B$5)*$S$409*(B51^$B$5)+(B51^$B$5)*$T$409*($B$4*B51^$B$5*LN(B51))+($B$4*B51^$B$5*LN(B51))*$S$410*(B51^$B$5)+($B$4*B51^$B$5*LN(B51))*$T$410*($B$4*B51^$B$5*LN(B51)))))</x:f>
      </x:c>
      <x:c r="I51" s="3"/>
      <x:c r="J51" s="10" t="n">
        <x:v>45902</x:v>
      </x:c>
      <x:c r="K51" s="8" t="n">
        <x:f>INDEX('Сводка'!$S$3:$S$397,U51)</x:f>
        <x:v>233</x:v>
      </x:c>
      <x:c r="L51" s="8" t="n">
        <x:f>INDEX('Сводка'!$S$3:$S$397,V51)</x:f>
        <x:v>238</x:v>
      </x:c>
      <x:c r="M51" s="8" t="n">
        <x:f>INDEX($K$388:$N$400,W51,1)*((J51-$T$405+1)/1000)^INDEX($K$388:$N$400,W51,2)</x:f>
        <x:v>169.156524118974</x:v>
      </x:c>
      <x:c r="N51" s="8" t="n">
        <x:f>K51-M51</x:f>
        <x:v>63.843475881025995</x:v>
      </x:c>
      <x:c r="O51" s="8" t="n">
        <x:f>ABS(N51)</x:f>
        <x:v>63.843475881025995</x:v>
      </x:c>
      <x:c r="P51" s="8" t="n">
        <x:f>N51^2</x:f>
        <x:v>4075.989412571148</x:v>
      </x:c>
      <x:c r="Q51" s="8" t="n">
        <x:f>K51-L51</x:f>
        <x:v>-5</x:v>
      </x:c>
      <x:c r="R51" s="9" t="n">
        <x:f>IF(AND(INDEX('Сводка'!$T$3:$T$397,U51)=0,INDEX('Сводка'!$T$3:$T$397,V51)=0),1,0)</x:f>
        <x:v>1</x:v>
      </x:c>
      <x:c r="S51" s="9" t="n">
        <x:f>IF(AND(R51=1,O51&lt;=$G$13),1,0)</x:f>
        <x:v>0</x:v>
      </x:c>
      <x:c r="T51" s="10" t="n">
        <x:f>EOMONTH(J51-'Сводка'!$B$11,-1)</x:f>
        <x:v>45900</x:v>
      </x:c>
      <x:c r="U51" s="4" t="n">
        <x:f>MATCH(J51,'Сводка'!$R$3:$R$397,0)</x:f>
        <x:v>62</x:v>
      </x:c>
      <x:c r="V51" s="4" t="n">
        <x:f>MATCH(J51-'Сводка'!$B$11,'Сводка'!$R$3:$R$397,0)</x:f>
        <x:v>61</x:v>
      </x:c>
      <x:c r="W51" s="4" t="n">
        <x:f>MATCH(T51,$J$388:$J$400,0)</x:f>
        <x:v>3</x:v>
      </x:c>
      <x:c r="X51" s="3"/>
      <x:c r="Y51" s="3"/>
      <x:c r="Z51" s="3"/>
    </x:row>
    <x:row r="52" ht="15" customHeight="1">
      <x:c r="A52" s="7" t="str">
        <x:f>IF(34&lt;='Сводка'!$B$3,'Сводка'!$B$4+34,"")</x:f>
      </x:c>
      <x:c r="B52" s="19" t="str">
        <x:f>IF($A52="","",(A52-$T$405+1)/1000)</x:f>
      </x:c>
      <x:c r="C52" s="19" t="str">
        <x:f>IF($A52="","",2*(A52-$T$405)/$T$406-1)</x:f>
      </x:c>
      <x:c r="D52" s="3" t="str">
        <x:f>IF($A52="","",$B$4*B52^$B$5)</x:f>
      </x:c>
      <x:c r="E52" s="3" t="str">
        <x:f>IF($A52="","",SQRT($T$403^2+H52^2))</x:f>
      </x:c>
      <x:c r="F52" s="3" t="str">
        <x:f>IF($A52="","",D52-$T$404*E52)</x:f>
      </x:c>
      <x:c r="G52" s="3" t="str">
        <x:f>IF($A52="","",D52+$T$404*E52)</x:f>
      </x:c>
      <x:c r="H52" s="3" t="str">
        <x:f>IF($A52="","",SQRT(MAX(0,(B52^$B$5)*$S$409*(B52^$B$5)+(B52^$B$5)*$T$409*($B$4*B52^$B$5*LN(B52))+($B$4*B52^$B$5*LN(B52))*$S$410*(B52^$B$5)+($B$4*B52^$B$5*LN(B52))*$T$410*($B$4*B52^$B$5*LN(B52)))))</x:f>
      </x:c>
      <x:c r="I52" s="3"/>
      <x:c r="J52" s="10" t="n">
        <x:v>45903</x:v>
      </x:c>
      <x:c r="K52" s="8" t="n">
        <x:f>INDEX('Сводка'!$S$3:$S$397,U52)</x:f>
        <x:v>228</x:v>
      </x:c>
      <x:c r="L52" s="8" t="n">
        <x:f>INDEX('Сводка'!$S$3:$S$397,V52)</x:f>
        <x:v>233</x:v>
      </x:c>
      <x:c r="M52" s="8" t="n">
        <x:f>INDEX($K$388:$N$400,W52,1)*((J52-$T$405+1)/1000)^INDEX($K$388:$N$400,W52,2)</x:f>
        <x:v>169.18047040055794</x:v>
      </x:c>
      <x:c r="N52" s="8" t="n">
        <x:f>K52-M52</x:f>
        <x:v>58.81952959944206</x:v>
      </x:c>
      <x:c r="O52" s="8" t="n">
        <x:f>ABS(N52)</x:f>
        <x:v>58.81952959944206</x:v>
      </x:c>
      <x:c r="P52" s="8" t="n">
        <x:f>N52^2</x:f>
        <x:v>3459.737062299641</x:v>
      </x:c>
      <x:c r="Q52" s="8" t="n">
        <x:f>K52-L52</x:f>
        <x:v>-5</x:v>
      </x:c>
      <x:c r="R52" s="9" t="n">
        <x:f>IF(AND(INDEX('Сводка'!$T$3:$T$397,U52)=0,INDEX('Сводка'!$T$3:$T$397,V52)=0),1,0)</x:f>
        <x:v>1</x:v>
      </x:c>
      <x:c r="S52" s="9" t="n">
        <x:f>IF(AND(R52=1,O52&lt;=$G$13),1,0)</x:f>
        <x:v>0</x:v>
      </x:c>
      <x:c r="T52" s="10" t="n">
        <x:f>EOMONTH(J52-'Сводка'!$B$11,-1)</x:f>
        <x:v>45900</x:v>
      </x:c>
      <x:c r="U52" s="4" t="n">
        <x:f>MATCH(J52,'Сводка'!$R$3:$R$397,0)</x:f>
        <x:v>63</x:v>
      </x:c>
      <x:c r="V52" s="4" t="n">
        <x:f>MATCH(J52-'Сводка'!$B$11,'Сводка'!$R$3:$R$397,0)</x:f>
        <x:v>62</x:v>
      </x:c>
      <x:c r="W52" s="4" t="n">
        <x:f>MATCH(T52,$J$388:$J$400,0)</x:f>
        <x:v>3</x:v>
      </x:c>
      <x:c r="X52" s="3"/>
      <x:c r="Y52" s="3"/>
      <x:c r="Z52" s="3"/>
    </x:row>
    <x:row r="53" ht="15" customHeight="1">
      <x:c r="A53" s="7" t="str">
        <x:f>IF(35&lt;='Сводка'!$B$3,'Сводка'!$B$4+35,"")</x:f>
      </x:c>
      <x:c r="B53" s="19" t="str">
        <x:f>IF($A53="","",(A53-$T$405+1)/1000)</x:f>
      </x:c>
      <x:c r="C53" s="19" t="str">
        <x:f>IF($A53="","",2*(A53-$T$405)/$T$406-1)</x:f>
      </x:c>
      <x:c r="D53" s="3" t="str">
        <x:f>IF($A53="","",$B$4*B53^$B$5)</x:f>
      </x:c>
      <x:c r="E53" s="3" t="str">
        <x:f>IF($A53="","",SQRT($T$403^2+H53^2))</x:f>
      </x:c>
      <x:c r="F53" s="3" t="str">
        <x:f>IF($A53="","",D53-$T$404*E53)</x:f>
      </x:c>
      <x:c r="G53" s="3" t="str">
        <x:f>IF($A53="","",D53+$T$404*E53)</x:f>
      </x:c>
      <x:c r="H53" s="3" t="str">
        <x:f>IF($A53="","",SQRT(MAX(0,(B53^$B$5)*$S$409*(B53^$B$5)+(B53^$B$5)*$T$409*($B$4*B53^$B$5*LN(B53))+($B$4*B53^$B$5*LN(B53))*$S$410*(B53^$B$5)+($B$4*B53^$B$5*LN(B53))*$T$410*($B$4*B53^$B$5*LN(B53)))))</x:f>
      </x:c>
      <x:c r="I53" s="3"/>
      <x:c r="J53" s="10" t="n">
        <x:v>45904</x:v>
      </x:c>
      <x:c r="K53" s="8" t="n">
        <x:f>INDEX('Сводка'!$S$3:$S$397,U53)</x:f>
        <x:v>226</x:v>
      </x:c>
      <x:c r="L53" s="8" t="n">
        <x:f>INDEX('Сводка'!$S$3:$S$397,V53)</x:f>
        <x:v>228</x:v>
      </x:c>
      <x:c r="M53" s="8" t="n">
        <x:f>INDEX($K$388:$N$400,W53,1)*((J53-$T$405+1)/1000)^INDEX($K$388:$N$400,W53,2)</x:f>
        <x:v>169.2044173023014</x:v>
      </x:c>
      <x:c r="N53" s="8" t="n">
        <x:f>K53-M53</x:f>
        <x:v>56.79558269769859</x:v>
      </x:c>
      <x:c r="O53" s="8" t="n">
        <x:f>ABS(N53)</x:f>
        <x:v>56.79558269769859</x:v>
      </x:c>
      <x:c r="P53" s="8" t="n">
        <x:f>N53^2</x:f>
        <x:v>3225.73821397112</x:v>
      </x:c>
      <x:c r="Q53" s="8" t="n">
        <x:f>K53-L53</x:f>
        <x:v>-2</x:v>
      </x:c>
      <x:c r="R53" s="9" t="n">
        <x:f>IF(AND(INDEX('Сводка'!$T$3:$T$397,U53)=0,INDEX('Сводка'!$T$3:$T$397,V53)=0),1,0)</x:f>
        <x:v>1</x:v>
      </x:c>
      <x:c r="S53" s="9" t="n">
        <x:f>IF(AND(R53=1,O53&lt;=$G$13),1,0)</x:f>
        <x:v>0</x:v>
      </x:c>
      <x:c r="T53" s="10" t="n">
        <x:f>EOMONTH(J53-'Сводка'!$B$11,-1)</x:f>
        <x:v>45900</x:v>
      </x:c>
      <x:c r="U53" s="4" t="n">
        <x:f>MATCH(J53,'Сводка'!$R$3:$R$397,0)</x:f>
        <x:v>64</x:v>
      </x:c>
      <x:c r="V53" s="4" t="n">
        <x:f>MATCH(J53-'Сводка'!$B$11,'Сводка'!$R$3:$R$397,0)</x:f>
        <x:v>63</x:v>
      </x:c>
      <x:c r="W53" s="4" t="n">
        <x:f>MATCH(T53,$J$388:$J$400,0)</x:f>
        <x:v>3</x:v>
      </x:c>
      <x:c r="X53" s="3"/>
      <x:c r="Y53" s="3"/>
      <x:c r="Z53" s="3"/>
    </x:row>
    <x:row r="54" ht="15" customHeight="1">
      <x:c r="A54" s="7" t="str">
        <x:f>IF(36&lt;='Сводка'!$B$3,'Сводка'!$B$4+36,"")</x:f>
      </x:c>
      <x:c r="B54" s="19" t="str">
        <x:f>IF($A54="","",(A54-$T$405+1)/1000)</x:f>
      </x:c>
      <x:c r="C54" s="19" t="str">
        <x:f>IF($A54="","",2*(A54-$T$405)/$T$406-1)</x:f>
      </x:c>
      <x:c r="D54" s="3" t="str">
        <x:f>IF($A54="","",$B$4*B54^$B$5)</x:f>
      </x:c>
      <x:c r="E54" s="3" t="str">
        <x:f>IF($A54="","",SQRT($T$403^2+H54^2))</x:f>
      </x:c>
      <x:c r="F54" s="3" t="str">
        <x:f>IF($A54="","",D54-$T$404*E54)</x:f>
      </x:c>
      <x:c r="G54" s="3" t="str">
        <x:f>IF($A54="","",D54+$T$404*E54)</x:f>
      </x:c>
      <x:c r="H54" s="3" t="str">
        <x:f>IF($A54="","",SQRT(MAX(0,(B54^$B$5)*$S$409*(B54^$B$5)+(B54^$B$5)*$T$409*($B$4*B54^$B$5*LN(B54))+($B$4*B54^$B$5*LN(B54))*$S$410*(B54^$B$5)+($B$4*B54^$B$5*LN(B54))*$T$410*($B$4*B54^$B$5*LN(B54)))))</x:f>
      </x:c>
      <x:c r="I54" s="3"/>
      <x:c r="J54" s="10" t="n">
        <x:v>45905</x:v>
      </x:c>
      <x:c r="K54" s="8" t="n">
        <x:f>INDEX('Сводка'!$S$3:$S$397,U54)</x:f>
        <x:v>226</x:v>
      </x:c>
      <x:c r="L54" s="8" t="n">
        <x:f>INDEX('Сводка'!$S$3:$S$397,V54)</x:f>
        <x:v>226</x:v>
      </x:c>
      <x:c r="M54" s="8" t="n">
        <x:f>INDEX($K$388:$N$400,W54,1)*((J54-$T$405+1)/1000)^INDEX($K$388:$N$400,W54,2)</x:f>
        <x:v>169.2283648241487</x:v>
      </x:c>
      <x:c r="N54" s="8" t="n">
        <x:f>K54-M54</x:f>
        <x:v>56.77163517585129</x:v>
      </x:c>
      <x:c r="O54" s="8" t="n">
        <x:f>ABS(N54)</x:f>
        <x:v>56.77163517585129</x:v>
      </x:c>
      <x:c r="P54" s="8" t="n">
        <x:f>N54^2</x:f>
        <x:v>3223.018560539955</x:v>
      </x:c>
      <x:c r="Q54" s="8" t="n">
        <x:f>K54-L54</x:f>
        <x:v>0</x:v>
      </x:c>
      <x:c r="R54" s="9" t="n">
        <x:f>IF(AND(INDEX('Сводка'!$T$3:$T$397,U54)=0,INDEX('Сводка'!$T$3:$T$397,V54)=0),1,0)</x:f>
        <x:v>1</x:v>
      </x:c>
      <x:c r="S54" s="9" t="n">
        <x:f>IF(AND(R54=1,O54&lt;=$G$13),1,0)</x:f>
        <x:v>0</x:v>
      </x:c>
      <x:c r="T54" s="10" t="n">
        <x:f>EOMONTH(J54-'Сводка'!$B$11,-1)</x:f>
        <x:v>45900</x:v>
      </x:c>
      <x:c r="U54" s="4" t="n">
        <x:f>MATCH(J54,'Сводка'!$R$3:$R$397,0)</x:f>
        <x:v>65</x:v>
      </x:c>
      <x:c r="V54" s="4" t="n">
        <x:f>MATCH(J54-'Сводка'!$B$11,'Сводка'!$R$3:$R$397,0)</x:f>
        <x:v>64</x:v>
      </x:c>
      <x:c r="W54" s="4" t="n">
        <x:f>MATCH(T54,$J$388:$J$400,0)</x:f>
        <x:v>3</x:v>
      </x:c>
      <x:c r="X54" s="3"/>
      <x:c r="Y54" s="3"/>
      <x:c r="Z54" s="3"/>
    </x:row>
    <x:row r="55" ht="15" customHeight="1">
      <x:c r="A55" s="7" t="str">
        <x:f>IF(37&lt;='Сводка'!$B$3,'Сводка'!$B$4+37,"")</x:f>
      </x:c>
      <x:c r="B55" s="19" t="str">
        <x:f>IF($A55="","",(A55-$T$405+1)/1000)</x:f>
      </x:c>
      <x:c r="C55" s="19" t="str">
        <x:f>IF($A55="","",2*(A55-$T$405)/$T$406-1)</x:f>
      </x:c>
      <x:c r="D55" s="3" t="str">
        <x:f>IF($A55="","",$B$4*B55^$B$5)</x:f>
      </x:c>
      <x:c r="E55" s="3" t="str">
        <x:f>IF($A55="","",SQRT($T$403^2+H55^2))</x:f>
      </x:c>
      <x:c r="F55" s="3" t="str">
        <x:f>IF($A55="","",D55-$T$404*E55)</x:f>
      </x:c>
      <x:c r="G55" s="3" t="str">
        <x:f>IF($A55="","",D55+$T$404*E55)</x:f>
      </x:c>
      <x:c r="H55" s="3" t="str">
        <x:f>IF($A55="","",SQRT(MAX(0,(B55^$B$5)*$S$409*(B55^$B$5)+(B55^$B$5)*$T$409*($B$4*B55^$B$5*LN(B55))+($B$4*B55^$B$5*LN(B55))*$S$410*(B55^$B$5)+($B$4*B55^$B$5*LN(B55))*$T$410*($B$4*B55^$B$5*LN(B55)))))</x:f>
      </x:c>
      <x:c r="I55" s="3"/>
      <x:c r="J55" s="10" t="n">
        <x:v>45906</x:v>
      </x:c>
      <x:c r="K55" s="8" t="n">
        <x:f>INDEX('Сводка'!$S$3:$S$397,U55)</x:f>
        <x:v>226</x:v>
      </x:c>
      <x:c r="L55" s="8" t="n">
        <x:f>INDEX('Сводка'!$S$3:$S$397,V55)</x:f>
        <x:v>226</x:v>
      </x:c>
      <x:c r="M55" s="8" t="n">
        <x:f>INDEX($K$388:$N$400,W55,1)*((J55-$T$405+1)/1000)^INDEX($K$388:$N$400,W55,2)</x:f>
        <x:v>169.25231296604434</x:v>
      </x:c>
      <x:c r="N55" s="8" t="n">
        <x:f>K55-M55</x:f>
        <x:v>56.74768703395566</x:v>
      </x:c>
      <x:c r="O55" s="8" t="n">
        <x:f>ABS(N55)</x:f>
        <x:v>56.74768703395566</x:v>
      </x:c>
      <x:c r="P55" s="8" t="n">
        <x:f>N55^2</x:f>
        <x:v>3220.299983703779</x:v>
      </x:c>
      <x:c r="Q55" s="8" t="n">
        <x:f>K55-L55</x:f>
        <x:v>0</x:v>
      </x:c>
      <x:c r="R55" s="9" t="n">
        <x:f>IF(AND(INDEX('Сводка'!$T$3:$T$397,U55)=0,INDEX('Сводка'!$T$3:$T$397,V55)=0),1,0)</x:f>
        <x:v>1</x:v>
      </x:c>
      <x:c r="S55" s="9" t="n">
        <x:f>IF(AND(R55=1,O55&lt;=$G$13),1,0)</x:f>
        <x:v>0</x:v>
      </x:c>
      <x:c r="T55" s="10" t="n">
        <x:f>EOMONTH(J55-'Сводка'!$B$11,-1)</x:f>
        <x:v>45900</x:v>
      </x:c>
      <x:c r="U55" s="4" t="n">
        <x:f>MATCH(J55,'Сводка'!$R$3:$R$397,0)</x:f>
        <x:v>66</x:v>
      </x:c>
      <x:c r="V55" s="4" t="n">
        <x:f>MATCH(J55-'Сводка'!$B$11,'Сводка'!$R$3:$R$397,0)</x:f>
        <x:v>65</x:v>
      </x:c>
      <x:c r="W55" s="4" t="n">
        <x:f>MATCH(T55,$J$388:$J$400,0)</x:f>
        <x:v>3</x:v>
      </x:c>
      <x:c r="X55" s="3"/>
      <x:c r="Y55" s="3"/>
      <x:c r="Z55" s="3"/>
    </x:row>
    <x:row r="56" ht="15" customHeight="1">
      <x:c r="A56" s="7" t="str">
        <x:f>IF(38&lt;='Сводка'!$B$3,'Сводка'!$B$4+38,"")</x:f>
      </x:c>
      <x:c r="B56" s="19" t="str">
        <x:f>IF($A56="","",(A56-$T$405+1)/1000)</x:f>
      </x:c>
      <x:c r="C56" s="19" t="str">
        <x:f>IF($A56="","",2*(A56-$T$405)/$T$406-1)</x:f>
      </x:c>
      <x:c r="D56" s="3" t="str">
        <x:f>IF($A56="","",$B$4*B56^$B$5)</x:f>
      </x:c>
      <x:c r="E56" s="3" t="str">
        <x:f>IF($A56="","",SQRT($T$403^2+H56^2))</x:f>
      </x:c>
      <x:c r="F56" s="3" t="str">
        <x:f>IF($A56="","",D56-$T$404*E56)</x:f>
      </x:c>
      <x:c r="G56" s="3" t="str">
        <x:f>IF($A56="","",D56+$T$404*E56)</x:f>
      </x:c>
      <x:c r="H56" s="3" t="str">
        <x:f>IF($A56="","",SQRT(MAX(0,(B56^$B$5)*$S$409*(B56^$B$5)+(B56^$B$5)*$T$409*($B$4*B56^$B$5*LN(B56))+($B$4*B56^$B$5*LN(B56))*$S$410*(B56^$B$5)+($B$4*B56^$B$5*LN(B56))*$T$410*($B$4*B56^$B$5*LN(B56)))))</x:f>
      </x:c>
      <x:c r="I56" s="3"/>
      <x:c r="J56" s="10" t="n">
        <x:v>45907</x:v>
      </x:c>
      <x:c r="K56" s="8" t="n">
        <x:f>INDEX('Сводка'!$S$3:$S$397,U56)</x:f>
        <x:v>226</x:v>
      </x:c>
      <x:c r="L56" s="8" t="n">
        <x:f>INDEX('Сводка'!$S$3:$S$397,V56)</x:f>
        <x:v>226</x:v>
      </x:c>
      <x:c r="M56" s="8" t="n">
        <x:f>INDEX($K$388:$N$400,W56,1)*((J56-$T$405+1)/1000)^INDEX($K$388:$N$400,W56,2)</x:f>
        <x:v>169.27626172793254</x:v>
      </x:c>
      <x:c r="N56" s="8" t="n">
        <x:f>K56-M56</x:f>
        <x:v>56.723738272067465</x:v>
      </x:c>
      <x:c r="O56" s="8" t="n">
        <x:f>ABS(N56)</x:f>
        <x:v>56.723738272067465</x:v>
      </x:c>
      <x:c r="P56" s="8" t="n">
        <x:f>N56^2</x:f>
        <x:v>3217.582483558011</x:v>
      </x:c>
      <x:c r="Q56" s="8" t="n">
        <x:f>K56-L56</x:f>
        <x:v>0</x:v>
      </x:c>
      <x:c r="R56" s="9" t="n">
        <x:f>IF(AND(INDEX('Сводка'!$T$3:$T$397,U56)=0,INDEX('Сводка'!$T$3:$T$397,V56)=0),1,0)</x:f>
        <x:v>1</x:v>
      </x:c>
      <x:c r="S56" s="9" t="n">
        <x:f>IF(AND(R56=1,O56&lt;=$G$13),1,0)</x:f>
        <x:v>0</x:v>
      </x:c>
      <x:c r="T56" s="10" t="n">
        <x:f>EOMONTH(J56-'Сводка'!$B$11,-1)</x:f>
        <x:v>45900</x:v>
      </x:c>
      <x:c r="U56" s="4" t="n">
        <x:f>MATCH(J56,'Сводка'!$R$3:$R$397,0)</x:f>
        <x:v>67</x:v>
      </x:c>
      <x:c r="V56" s="4" t="n">
        <x:f>MATCH(J56-'Сводка'!$B$11,'Сводка'!$R$3:$R$397,0)</x:f>
        <x:v>66</x:v>
      </x:c>
      <x:c r="W56" s="4" t="n">
        <x:f>MATCH(T56,$J$388:$J$400,0)</x:f>
        <x:v>3</x:v>
      </x:c>
      <x:c r="X56" s="3"/>
      <x:c r="Y56" s="3"/>
      <x:c r="Z56" s="3"/>
    </x:row>
    <x:row r="57" ht="15" customHeight="1">
      <x:c r="A57" s="7" t="str">
        <x:f>IF(39&lt;='Сводка'!$B$3,'Сводка'!$B$4+39,"")</x:f>
      </x:c>
      <x:c r="B57" s="19" t="str">
        <x:f>IF($A57="","",(A57-$T$405+1)/1000)</x:f>
      </x:c>
      <x:c r="C57" s="19" t="str">
        <x:f>IF($A57="","",2*(A57-$T$405)/$T$406-1)</x:f>
      </x:c>
      <x:c r="D57" s="3" t="str">
        <x:f>IF($A57="","",$B$4*B57^$B$5)</x:f>
      </x:c>
      <x:c r="E57" s="3" t="str">
        <x:f>IF($A57="","",SQRT($T$403^2+H57^2))</x:f>
      </x:c>
      <x:c r="F57" s="3" t="str">
        <x:f>IF($A57="","",D57-$T$404*E57)</x:f>
      </x:c>
      <x:c r="G57" s="3" t="str">
        <x:f>IF($A57="","",D57+$T$404*E57)</x:f>
      </x:c>
      <x:c r="H57" s="3" t="str">
        <x:f>IF($A57="","",SQRT(MAX(0,(B57^$B$5)*$S$409*(B57^$B$5)+(B57^$B$5)*$T$409*($B$4*B57^$B$5*LN(B57))+($B$4*B57^$B$5*LN(B57))*$S$410*(B57^$B$5)+($B$4*B57^$B$5*LN(B57))*$T$410*($B$4*B57^$B$5*LN(B57)))))</x:f>
      </x:c>
      <x:c r="I57" s="3"/>
      <x:c r="J57" s="10" t="n">
        <x:v>45908</x:v>
      </x:c>
      <x:c r="K57" s="8" t="n">
        <x:f>INDEX('Сводка'!$S$3:$S$397,U57)</x:f>
        <x:v>222</x:v>
      </x:c>
      <x:c r="L57" s="8" t="n">
        <x:f>INDEX('Сводка'!$S$3:$S$397,V57)</x:f>
        <x:v>226</x:v>
      </x:c>
      <x:c r="M57" s="8" t="n">
        <x:f>INDEX($K$388:$N$400,W57,1)*((J57-$T$405+1)/1000)^INDEX($K$388:$N$400,W57,2)</x:f>
        <x:v>169.30021110975773</x:v>
      </x:c>
      <x:c r="N57" s="8" t="n">
        <x:f>K57-M57</x:f>
        <x:v>52.699788890242274</x:v>
      </x:c>
      <x:c r="O57" s="8" t="n">
        <x:f>ABS(N57)</x:f>
        <x:v>52.699788890242274</x:v>
      </x:c>
      <x:c r="P57" s="8" t="n">
        <x:f>N57^2</x:f>
        <x:v>2777.267749076103</x:v>
      </x:c>
      <x:c r="Q57" s="8" t="n">
        <x:f>K57-L57</x:f>
        <x:v>-4</x:v>
      </x:c>
      <x:c r="R57" s="9" t="n">
        <x:f>IF(AND(INDEX('Сводка'!$T$3:$T$397,U57)=0,INDEX('Сводка'!$T$3:$T$397,V57)=0),1,0)</x:f>
        <x:v>1</x:v>
      </x:c>
      <x:c r="S57" s="9" t="n">
        <x:f>IF(AND(R57=1,O57&lt;=$G$13),1,0)</x:f>
        <x:v>0</x:v>
      </x:c>
      <x:c r="T57" s="10" t="n">
        <x:f>EOMONTH(J57-'Сводка'!$B$11,-1)</x:f>
        <x:v>45900</x:v>
      </x:c>
      <x:c r="U57" s="4" t="n">
        <x:f>MATCH(J57,'Сводка'!$R$3:$R$397,0)</x:f>
        <x:v>68</x:v>
      </x:c>
      <x:c r="V57" s="4" t="n">
        <x:f>MATCH(J57-'Сводка'!$B$11,'Сводка'!$R$3:$R$397,0)</x:f>
        <x:v>67</x:v>
      </x:c>
      <x:c r="W57" s="4" t="n">
        <x:f>MATCH(T57,$J$388:$J$400,0)</x:f>
        <x:v>3</x:v>
      </x:c>
      <x:c r="X57" s="3"/>
      <x:c r="Y57" s="3"/>
      <x:c r="Z57" s="3"/>
    </x:row>
    <x:row r="58" ht="15" customHeight="1">
      <x:c r="A58" s="7" t="str">
        <x:f>IF(40&lt;='Сводка'!$B$3,'Сводка'!$B$4+40,"")</x:f>
      </x:c>
      <x:c r="B58" s="19" t="str">
        <x:f>IF($A58="","",(A58-$T$405+1)/1000)</x:f>
      </x:c>
      <x:c r="C58" s="19" t="str">
        <x:f>IF($A58="","",2*(A58-$T$405)/$T$406-1)</x:f>
      </x:c>
      <x:c r="D58" s="3" t="str">
        <x:f>IF($A58="","",$B$4*B58^$B$5)</x:f>
      </x:c>
      <x:c r="E58" s="3" t="str">
        <x:f>IF($A58="","",SQRT($T$403^2+H58^2))</x:f>
      </x:c>
      <x:c r="F58" s="3" t="str">
        <x:f>IF($A58="","",D58-$T$404*E58)</x:f>
      </x:c>
      <x:c r="G58" s="3" t="str">
        <x:f>IF($A58="","",D58+$T$404*E58)</x:f>
      </x:c>
      <x:c r="H58" s="3" t="str">
        <x:f>IF($A58="","",SQRT(MAX(0,(B58^$B$5)*$S$409*(B58^$B$5)+(B58^$B$5)*$T$409*($B$4*B58^$B$5*LN(B58))+($B$4*B58^$B$5*LN(B58))*$S$410*(B58^$B$5)+($B$4*B58^$B$5*LN(B58))*$T$410*($B$4*B58^$B$5*LN(B58)))))</x:f>
      </x:c>
      <x:c r="I58" s="3"/>
      <x:c r="J58" s="10" t="n">
        <x:v>45909</x:v>
      </x:c>
      <x:c r="K58" s="8" t="n">
        <x:f>INDEX('Сводка'!$S$3:$S$397,U58)</x:f>
        <x:v>218</x:v>
      </x:c>
      <x:c r="L58" s="8" t="n">
        <x:f>INDEX('Сводка'!$S$3:$S$397,V58)</x:f>
        <x:v>222</x:v>
      </x:c>
      <x:c r="M58" s="8" t="n">
        <x:f>INDEX($K$388:$N$400,W58,1)*((J58-$T$405+1)/1000)^INDEX($K$388:$N$400,W58,2)</x:f>
        <x:v>169.32416111146432</x:v>
      </x:c>
      <x:c r="N58" s="8" t="n">
        <x:f>K58-M58</x:f>
        <x:v>48.67583888853568</x:v>
      </x:c>
      <x:c r="O58" s="8" t="n">
        <x:f>ABS(N58)</x:f>
        <x:v>48.67583888853568</x:v>
      </x:c>
      <x:c r="P58" s="8" t="n">
        <x:f>N58^2</x:f>
        <x:v>2369.3372915026825</x:v>
      </x:c>
      <x:c r="Q58" s="8" t="n">
        <x:f>K58-L58</x:f>
        <x:v>-4</x:v>
      </x:c>
      <x:c r="R58" s="9" t="n">
        <x:f>IF(AND(INDEX('Сводка'!$T$3:$T$397,U58)=0,INDEX('Сводка'!$T$3:$T$397,V58)=0),1,0)</x:f>
        <x:v>1</x:v>
      </x:c>
      <x:c r="S58" s="9" t="n">
        <x:f>IF(AND(R58=1,O58&lt;=$G$13),1,0)</x:f>
        <x:v>0</x:v>
      </x:c>
      <x:c r="T58" s="10" t="n">
        <x:f>EOMONTH(J58-'Сводка'!$B$11,-1)</x:f>
        <x:v>45900</x:v>
      </x:c>
      <x:c r="U58" s="4" t="n">
        <x:f>MATCH(J58,'Сводка'!$R$3:$R$397,0)</x:f>
        <x:v>69</x:v>
      </x:c>
      <x:c r="V58" s="4" t="n">
        <x:f>MATCH(J58-'Сводка'!$B$11,'Сводка'!$R$3:$R$397,0)</x:f>
        <x:v>68</x:v>
      </x:c>
      <x:c r="W58" s="4" t="n">
        <x:f>MATCH(T58,$J$388:$J$400,0)</x:f>
        <x:v>3</x:v>
      </x:c>
      <x:c r="X58" s="3"/>
      <x:c r="Y58" s="3"/>
      <x:c r="Z58" s="3"/>
    </x:row>
    <x:row r="59" ht="15" customHeight="1">
      <x:c r="A59" s="7" t="str">
        <x:f>IF(41&lt;='Сводка'!$B$3,'Сводка'!$B$4+41,"")</x:f>
      </x:c>
      <x:c r="B59" s="19" t="str">
        <x:f>IF($A59="","",(A59-$T$405+1)/1000)</x:f>
      </x:c>
      <x:c r="C59" s="19" t="str">
        <x:f>IF($A59="","",2*(A59-$T$405)/$T$406-1)</x:f>
      </x:c>
      <x:c r="D59" s="3" t="str">
        <x:f>IF($A59="","",$B$4*B59^$B$5)</x:f>
      </x:c>
      <x:c r="E59" s="3" t="str">
        <x:f>IF($A59="","",SQRT($T$403^2+H59^2))</x:f>
      </x:c>
      <x:c r="F59" s="3" t="str">
        <x:f>IF($A59="","",D59-$T$404*E59)</x:f>
      </x:c>
      <x:c r="G59" s="3" t="str">
        <x:f>IF($A59="","",D59+$T$404*E59)</x:f>
      </x:c>
      <x:c r="H59" s="3" t="str">
        <x:f>IF($A59="","",SQRT(MAX(0,(B59^$B$5)*$S$409*(B59^$B$5)+(B59^$B$5)*$T$409*($B$4*B59^$B$5*LN(B59))+($B$4*B59^$B$5*LN(B59))*$S$410*(B59^$B$5)+($B$4*B59^$B$5*LN(B59))*$T$410*($B$4*B59^$B$5*LN(B59)))))</x:f>
      </x:c>
      <x:c r="I59" s="3"/>
      <x:c r="J59" s="10" t="n">
        <x:v>45910</x:v>
      </x:c>
      <x:c r="K59" s="8" t="n">
        <x:f>INDEX('Сводка'!$S$3:$S$397,U59)</x:f>
        <x:v>209</x:v>
      </x:c>
      <x:c r="L59" s="8" t="n">
        <x:f>INDEX('Сводка'!$S$3:$S$397,V59)</x:f>
        <x:v>218</x:v>
      </x:c>
      <x:c r="M59" s="8" t="n">
        <x:f>INDEX($K$388:$N$400,W59,1)*((J59-$T$405+1)/1000)^INDEX($K$388:$N$400,W59,2)</x:f>
        <x:v>169.3481117329967</x:v>
      </x:c>
      <x:c r="N59" s="8" t="n">
        <x:f>K59-M59</x:f>
        <x:v>39.6518882670033</x:v>
      </x:c>
      <x:c r="O59" s="8" t="n">
        <x:f>ABS(N59)</x:f>
        <x:v>39.6518882670033</x:v>
      </x:c>
      <x:c r="P59" s="8" t="n">
        <x:f>N59^2</x:f>
        <x:v>1572.272243138914</x:v>
      </x:c>
      <x:c r="Q59" s="8" t="n">
        <x:f>K59-L59</x:f>
        <x:v>-9</x:v>
      </x:c>
      <x:c r="R59" s="9" t="n">
        <x:f>IF(AND(INDEX('Сводка'!$T$3:$T$397,U59)=0,INDEX('Сводка'!$T$3:$T$397,V59)=0),1,0)</x:f>
        <x:v>1</x:v>
      </x:c>
      <x:c r="S59" s="9" t="n">
        <x:f>IF(AND(R59=1,O59&lt;=$G$13),1,0)</x:f>
        <x:v>0</x:v>
      </x:c>
      <x:c r="T59" s="10" t="n">
        <x:f>EOMONTH(J59-'Сводка'!$B$11,-1)</x:f>
        <x:v>45900</x:v>
      </x:c>
      <x:c r="U59" s="4" t="n">
        <x:f>MATCH(J59,'Сводка'!$R$3:$R$397,0)</x:f>
        <x:v>70</x:v>
      </x:c>
      <x:c r="V59" s="4" t="n">
        <x:f>MATCH(J59-'Сводка'!$B$11,'Сводка'!$R$3:$R$397,0)</x:f>
        <x:v>69</x:v>
      </x:c>
      <x:c r="W59" s="4" t="n">
        <x:f>MATCH(T59,$J$388:$J$400,0)</x:f>
        <x:v>3</x:v>
      </x:c>
      <x:c r="X59" s="3"/>
      <x:c r="Y59" s="3"/>
      <x:c r="Z59" s="3"/>
    </x:row>
    <x:row r="60" ht="15" customHeight="1">
      <x:c r="A60" s="7" t="str">
        <x:f>IF(42&lt;='Сводка'!$B$3,'Сводка'!$B$4+42,"")</x:f>
      </x:c>
      <x:c r="B60" s="19" t="str">
        <x:f>IF($A60="","",(A60-$T$405+1)/1000)</x:f>
      </x:c>
      <x:c r="C60" s="19" t="str">
        <x:f>IF($A60="","",2*(A60-$T$405)/$T$406-1)</x:f>
      </x:c>
      <x:c r="D60" s="3" t="str">
        <x:f>IF($A60="","",$B$4*B60^$B$5)</x:f>
      </x:c>
      <x:c r="E60" s="3" t="str">
        <x:f>IF($A60="","",SQRT($T$403^2+H60^2))</x:f>
      </x:c>
      <x:c r="F60" s="3" t="str">
        <x:f>IF($A60="","",D60-$T$404*E60)</x:f>
      </x:c>
      <x:c r="G60" s="3" t="str">
        <x:f>IF($A60="","",D60+$T$404*E60)</x:f>
      </x:c>
      <x:c r="H60" s="3" t="str">
        <x:f>IF($A60="","",SQRT(MAX(0,(B60^$B$5)*$S$409*(B60^$B$5)+(B60^$B$5)*$T$409*($B$4*B60^$B$5*LN(B60))+($B$4*B60^$B$5*LN(B60))*$S$410*(B60^$B$5)+($B$4*B60^$B$5*LN(B60))*$T$410*($B$4*B60^$B$5*LN(B60)))))</x:f>
      </x:c>
      <x:c r="I60" s="3"/>
      <x:c r="J60" s="10" t="n">
        <x:v>45911</x:v>
      </x:c>
      <x:c r="K60" s="8" t="n">
        <x:f>INDEX('Сводка'!$S$3:$S$397,U60)</x:f>
        <x:v>207</x:v>
      </x:c>
      <x:c r="L60" s="8" t="n">
        <x:f>INDEX('Сводка'!$S$3:$S$397,V60)</x:f>
        <x:v>209</x:v>
      </x:c>
      <x:c r="M60" s="8" t="n">
        <x:f>INDEX($K$388:$N$400,W60,1)*((J60-$T$405+1)/1000)^INDEX($K$388:$N$400,W60,2)</x:f>
        <x:v>169.37206297429927</x:v>
      </x:c>
      <x:c r="N60" s="8" t="n">
        <x:f>K60-M60</x:f>
        <x:v>37.62793702570073</x:v>
      </x:c>
      <x:c r="O60" s="8" t="n">
        <x:f>ABS(N60)</x:f>
        <x:v>37.62793702570073</x:v>
      </x:c>
      <x:c r="P60" s="8" t="n">
        <x:f>N60^2</x:f>
        <x:v>1415.8616448101</x:v>
      </x:c>
      <x:c r="Q60" s="8" t="n">
        <x:f>K60-L60</x:f>
        <x:v>-2</x:v>
      </x:c>
      <x:c r="R60" s="9" t="n">
        <x:f>IF(AND(INDEX('Сводка'!$T$3:$T$397,U60)=0,INDEX('Сводка'!$T$3:$T$397,V60)=0),1,0)</x:f>
        <x:v>1</x:v>
      </x:c>
      <x:c r="S60" s="9" t="n">
        <x:f>IF(AND(R60=1,O60&lt;=$G$13),1,0)</x:f>
        <x:v>0</x:v>
      </x:c>
      <x:c r="T60" s="10" t="n">
        <x:f>EOMONTH(J60-'Сводка'!$B$11,-1)</x:f>
        <x:v>45900</x:v>
      </x:c>
      <x:c r="U60" s="4" t="n">
        <x:f>MATCH(J60,'Сводка'!$R$3:$R$397,0)</x:f>
        <x:v>71</x:v>
      </x:c>
      <x:c r="V60" s="4" t="n">
        <x:f>MATCH(J60-'Сводка'!$B$11,'Сводка'!$R$3:$R$397,0)</x:f>
        <x:v>70</x:v>
      </x:c>
      <x:c r="W60" s="4" t="n">
        <x:f>MATCH(T60,$J$388:$J$400,0)</x:f>
        <x:v>3</x:v>
      </x:c>
      <x:c r="X60" s="3"/>
      <x:c r="Y60" s="3"/>
      <x:c r="Z60" s="3"/>
    </x:row>
    <x:row r="61" ht="15" customHeight="1">
      <x:c r="A61" s="7" t="str">
        <x:f>IF(43&lt;='Сводка'!$B$3,'Сводка'!$B$4+43,"")</x:f>
      </x:c>
      <x:c r="B61" s="19" t="str">
        <x:f>IF($A61="","",(A61-$T$405+1)/1000)</x:f>
      </x:c>
      <x:c r="C61" s="19" t="str">
        <x:f>IF($A61="","",2*(A61-$T$405)/$T$406-1)</x:f>
      </x:c>
      <x:c r="D61" s="3" t="str">
        <x:f>IF($A61="","",$B$4*B61^$B$5)</x:f>
      </x:c>
      <x:c r="E61" s="3" t="str">
        <x:f>IF($A61="","",SQRT($T$403^2+H61^2))</x:f>
      </x:c>
      <x:c r="F61" s="3" t="str">
        <x:f>IF($A61="","",D61-$T$404*E61)</x:f>
      </x:c>
      <x:c r="G61" s="3" t="str">
        <x:f>IF($A61="","",D61+$T$404*E61)</x:f>
      </x:c>
      <x:c r="H61" s="3" t="str">
        <x:f>IF($A61="","",SQRT(MAX(0,(B61^$B$5)*$S$409*(B61^$B$5)+(B61^$B$5)*$T$409*($B$4*B61^$B$5*LN(B61))+($B$4*B61^$B$5*LN(B61))*$S$410*(B61^$B$5)+($B$4*B61^$B$5*LN(B61))*$T$410*($B$4*B61^$B$5*LN(B61)))))</x:f>
      </x:c>
      <x:c r="I61" s="3"/>
      <x:c r="J61" s="10" t="n">
        <x:v>45912</x:v>
      </x:c>
      <x:c r="K61" s="8" t="n">
        <x:f>INDEX('Сводка'!$S$3:$S$397,U61)</x:f>
        <x:v>204</x:v>
      </x:c>
      <x:c r="L61" s="8" t="n">
        <x:f>INDEX('Сводка'!$S$3:$S$397,V61)</x:f>
        <x:v>207</x:v>
      </x:c>
      <x:c r="M61" s="8" t="n">
        <x:f>INDEX($K$388:$N$400,W61,1)*((J61-$T$405+1)/1000)^INDEX($K$388:$N$400,W61,2)</x:f>
        <x:v>169.39601483531652</x:v>
      </x:c>
      <x:c r="N61" s="8" t="n">
        <x:f>K61-M61</x:f>
        <x:v>34.60398516468348</x:v>
      </x:c>
      <x:c r="O61" s="8" t="n">
        <x:f>ABS(N61)</x:f>
        <x:v>34.60398516468348</x:v>
      </x:c>
      <x:c r="P61" s="8" t="n">
        <x:f>N61^2</x:f>
        <x:v>1197.4357892776343</x:v>
      </x:c>
      <x:c r="Q61" s="8" t="n">
        <x:f>K61-L61</x:f>
        <x:v>-3</x:v>
      </x:c>
      <x:c r="R61" s="9" t="n">
        <x:f>IF(AND(INDEX('Сводка'!$T$3:$T$397,U61)=0,INDEX('Сводка'!$T$3:$T$397,V61)=0),1,0)</x:f>
        <x:v>1</x:v>
      </x:c>
      <x:c r="S61" s="9" t="n">
        <x:f>IF(AND(R61=1,O61&lt;=$G$13),1,0)</x:f>
        <x:v>0</x:v>
      </x:c>
      <x:c r="T61" s="10" t="n">
        <x:f>EOMONTH(J61-'Сводка'!$B$11,-1)</x:f>
        <x:v>45900</x:v>
      </x:c>
      <x:c r="U61" s="4" t="n">
        <x:f>MATCH(J61,'Сводка'!$R$3:$R$397,0)</x:f>
        <x:v>72</x:v>
      </x:c>
      <x:c r="V61" s="4" t="n">
        <x:f>MATCH(J61-'Сводка'!$B$11,'Сводка'!$R$3:$R$397,0)</x:f>
        <x:v>71</x:v>
      </x:c>
      <x:c r="W61" s="4" t="n">
        <x:f>MATCH(T61,$J$388:$J$400,0)</x:f>
        <x:v>3</x:v>
      </x:c>
      <x:c r="X61" s="3"/>
      <x:c r="Y61" s="3"/>
      <x:c r="Z61" s="3"/>
    </x:row>
    <x:row r="62" ht="15" customHeight="1">
      <x:c r="A62" s="7" t="str">
        <x:f>IF(44&lt;='Сводка'!$B$3,'Сводка'!$B$4+44,"")</x:f>
      </x:c>
      <x:c r="B62" s="19" t="str">
        <x:f>IF($A62="","",(A62-$T$405+1)/1000)</x:f>
      </x:c>
      <x:c r="C62" s="19" t="str">
        <x:f>IF($A62="","",2*(A62-$T$405)/$T$406-1)</x:f>
      </x:c>
      <x:c r="D62" s="3" t="str">
        <x:f>IF($A62="","",$B$4*B62^$B$5)</x:f>
      </x:c>
      <x:c r="E62" s="3" t="str">
        <x:f>IF($A62="","",SQRT($T$403^2+H62^2))</x:f>
      </x:c>
      <x:c r="F62" s="3" t="str">
        <x:f>IF($A62="","",D62-$T$404*E62)</x:f>
      </x:c>
      <x:c r="G62" s="3" t="str">
        <x:f>IF($A62="","",D62+$T$404*E62)</x:f>
      </x:c>
      <x:c r="H62" s="3" t="str">
        <x:f>IF($A62="","",SQRT(MAX(0,(B62^$B$5)*$S$409*(B62^$B$5)+(B62^$B$5)*$T$409*($B$4*B62^$B$5*LN(B62))+($B$4*B62^$B$5*LN(B62))*$S$410*(B62^$B$5)+($B$4*B62^$B$5*LN(B62))*$T$410*($B$4*B62^$B$5*LN(B62)))))</x:f>
      </x:c>
      <x:c r="I62" s="3"/>
      <x:c r="J62" s="10" t="n">
        <x:v>45913</x:v>
      </x:c>
      <x:c r="K62" s="8" t="n">
        <x:f>INDEX('Сводка'!$S$3:$S$397,U62)</x:f>
        <x:v>201</x:v>
      </x:c>
      <x:c r="L62" s="8" t="n">
        <x:f>INDEX('Сводка'!$S$3:$S$397,V62)</x:f>
        <x:v>204</x:v>
      </x:c>
      <x:c r="M62" s="8" t="n">
        <x:f>INDEX($K$388:$N$400,W62,1)*((J62-$T$405+1)/1000)^INDEX($K$388:$N$400,W62,2)</x:f>
        <x:v>169.41996731599278</x:v>
      </x:c>
      <x:c r="N62" s="8" t="n">
        <x:f>K62-M62</x:f>
        <x:v>31.58003268400722</x:v>
      </x:c>
      <x:c r="O62" s="8" t="n">
        <x:f>ABS(N62)</x:f>
        <x:v>31.58003268400722</x:v>
      </x:c>
      <x:c r="P62" s="8" t="n">
        <x:f>N62^2</x:f>
        <x:v>997.2984643229644</x:v>
      </x:c>
      <x:c r="Q62" s="8" t="n">
        <x:f>K62-L62</x:f>
        <x:v>-3</x:v>
      </x:c>
      <x:c r="R62" s="9" t="n">
        <x:f>IF(AND(INDEX('Сводка'!$T$3:$T$397,U62)=0,INDEX('Сводка'!$T$3:$T$397,V62)=0),1,0)</x:f>
        <x:v>1</x:v>
      </x:c>
      <x:c r="S62" s="9" t="n">
        <x:f>IF(AND(R62=1,O62&lt;=$G$13),1,0)</x:f>
        <x:v>0</x:v>
      </x:c>
      <x:c r="T62" s="10" t="n">
        <x:f>EOMONTH(J62-'Сводка'!$B$11,-1)</x:f>
        <x:v>45900</x:v>
      </x:c>
      <x:c r="U62" s="4" t="n">
        <x:f>MATCH(J62,'Сводка'!$R$3:$R$397,0)</x:f>
        <x:v>73</x:v>
      </x:c>
      <x:c r="V62" s="4" t="n">
        <x:f>MATCH(J62-'Сводка'!$B$11,'Сводка'!$R$3:$R$397,0)</x:f>
        <x:v>72</x:v>
      </x:c>
      <x:c r="W62" s="4" t="n">
        <x:f>MATCH(T62,$J$388:$J$400,0)</x:f>
        <x:v>3</x:v>
      </x:c>
      <x:c r="X62" s="3"/>
      <x:c r="Y62" s="3"/>
      <x:c r="Z62" s="3"/>
    </x:row>
    <x:row r="63" ht="15" customHeight="1">
      <x:c r="A63" s="7" t="str">
        <x:f>IF(45&lt;='Сводка'!$B$3,'Сводка'!$B$4+45,"")</x:f>
      </x:c>
      <x:c r="B63" s="19" t="str">
        <x:f>IF($A63="","",(A63-$T$405+1)/1000)</x:f>
      </x:c>
      <x:c r="C63" s="19" t="str">
        <x:f>IF($A63="","",2*(A63-$T$405)/$T$406-1)</x:f>
      </x:c>
      <x:c r="D63" s="3" t="str">
        <x:f>IF($A63="","",$B$4*B63^$B$5)</x:f>
      </x:c>
      <x:c r="E63" s="3" t="str">
        <x:f>IF($A63="","",SQRT($T$403^2+H63^2))</x:f>
      </x:c>
      <x:c r="F63" s="3" t="str">
        <x:f>IF($A63="","",D63-$T$404*E63)</x:f>
      </x:c>
      <x:c r="G63" s="3" t="str">
        <x:f>IF($A63="","",D63+$T$404*E63)</x:f>
      </x:c>
      <x:c r="H63" s="3" t="str">
        <x:f>IF($A63="","",SQRT(MAX(0,(B63^$B$5)*$S$409*(B63^$B$5)+(B63^$B$5)*$T$409*($B$4*B63^$B$5*LN(B63))+($B$4*B63^$B$5*LN(B63))*$S$410*(B63^$B$5)+($B$4*B63^$B$5*LN(B63))*$T$410*($B$4*B63^$B$5*LN(B63)))))</x:f>
      </x:c>
      <x:c r="I63" s="3"/>
      <x:c r="J63" s="10" t="n">
        <x:v>45914</x:v>
      </x:c>
      <x:c r="K63" s="8" t="n">
        <x:f>INDEX('Сводка'!$S$3:$S$397,U63)</x:f>
        <x:v>202</x:v>
      </x:c>
      <x:c r="L63" s="8" t="n">
        <x:f>INDEX('Сводка'!$S$3:$S$397,V63)</x:f>
        <x:v>201</x:v>
      </x:c>
      <x:c r="M63" s="8" t="n">
        <x:f>INDEX($K$388:$N$400,W63,1)*((J63-$T$405+1)/1000)^INDEX($K$388:$N$400,W63,2)</x:f>
        <x:v>169.44392041627256</x:v>
      </x:c>
      <x:c r="N63" s="8" t="n">
        <x:f>K63-M63</x:f>
        <x:v>32.55607958372744</x:v>
      </x:c>
      <x:c r="O63" s="8" t="n">
        <x:f>ABS(N63)</x:f>
        <x:v>32.55607958372744</x:v>
      </x:c>
      <x:c r="P63" s="8" t="n">
        <x:f>N63^2</x:f>
        <x:v>1059.8983178619944</x:v>
      </x:c>
      <x:c r="Q63" s="8" t="n">
        <x:f>K63-L63</x:f>
        <x:v>1</x:v>
      </x:c>
      <x:c r="R63" s="9" t="n">
        <x:f>IF(AND(INDEX('Сводка'!$T$3:$T$397,U63)=0,INDEX('Сводка'!$T$3:$T$397,V63)=0),1,0)</x:f>
        <x:v>1</x:v>
      </x:c>
      <x:c r="S63" s="9" t="n">
        <x:f>IF(AND(R63=1,O63&lt;=$G$13),1,0)</x:f>
        <x:v>0</x:v>
      </x:c>
      <x:c r="T63" s="10" t="n">
        <x:f>EOMONTH(J63-'Сводка'!$B$11,-1)</x:f>
        <x:v>45900</x:v>
      </x:c>
      <x:c r="U63" s="4" t="n">
        <x:f>MATCH(J63,'Сводка'!$R$3:$R$397,0)</x:f>
        <x:v>74</x:v>
      </x:c>
      <x:c r="V63" s="4" t="n">
        <x:f>MATCH(J63-'Сводка'!$B$11,'Сводка'!$R$3:$R$397,0)</x:f>
        <x:v>73</x:v>
      </x:c>
      <x:c r="W63" s="4" t="n">
        <x:f>MATCH(T63,$J$388:$J$400,0)</x:f>
        <x:v>3</x:v>
      </x:c>
      <x:c r="X63" s="3"/>
      <x:c r="Y63" s="3"/>
      <x:c r="Z63" s="3"/>
    </x:row>
    <x:row r="64" ht="15" customHeight="1">
      <x:c r="A64" s="7" t="str">
        <x:f>IF(46&lt;='Сводка'!$B$3,'Сводка'!$B$4+46,"")</x:f>
      </x:c>
      <x:c r="B64" s="19" t="str">
        <x:f>IF($A64="","",(A64-$T$405+1)/1000)</x:f>
      </x:c>
      <x:c r="C64" s="19" t="str">
        <x:f>IF($A64="","",2*(A64-$T$405)/$T$406-1)</x:f>
      </x:c>
      <x:c r="D64" s="3" t="str">
        <x:f>IF($A64="","",$B$4*B64^$B$5)</x:f>
      </x:c>
      <x:c r="E64" s="3" t="str">
        <x:f>IF($A64="","",SQRT($T$403^2+H64^2))</x:f>
      </x:c>
      <x:c r="F64" s="3" t="str">
        <x:f>IF($A64="","",D64-$T$404*E64)</x:f>
      </x:c>
      <x:c r="G64" s="3" t="str">
        <x:f>IF($A64="","",D64+$T$404*E64)</x:f>
      </x:c>
      <x:c r="H64" s="3" t="str">
        <x:f>IF($A64="","",SQRT(MAX(0,(B64^$B$5)*$S$409*(B64^$B$5)+(B64^$B$5)*$T$409*($B$4*B64^$B$5*LN(B64))+($B$4*B64^$B$5*LN(B64))*$S$410*(B64^$B$5)+($B$4*B64^$B$5*LN(B64))*$T$410*($B$4*B64^$B$5*LN(B64)))))</x:f>
      </x:c>
      <x:c r="I64" s="3"/>
      <x:c r="J64" s="10" t="n">
        <x:v>45915</x:v>
      </x:c>
      <x:c r="K64" s="8" t="n">
        <x:f>INDEX('Сводка'!$S$3:$S$397,U64)</x:f>
        <x:v>204</x:v>
      </x:c>
      <x:c r="L64" s="8" t="n">
        <x:f>INDEX('Сводка'!$S$3:$S$397,V64)</x:f>
        <x:v>202</x:v>
      </x:c>
      <x:c r="M64" s="8" t="n">
        <x:f>INDEX($K$388:$N$400,W64,1)*((J64-$T$405+1)/1000)^INDEX($K$388:$N$400,W64,2)</x:f>
        <x:v>169.46787413610036</x:v>
      </x:c>
      <x:c r="N64" s="8" t="n">
        <x:f>K64-M64</x:f>
        <x:v>34.53212586389964</x:v>
      </x:c>
      <x:c r="O64" s="8" t="n">
        <x:f>ABS(N64)</x:f>
        <x:v>34.53212586389964</x:v>
      </x:c>
      <x:c r="P64" s="8" t="n">
        <x:f>N64^2</x:f>
        <x:v>1192.4677166802062</x:v>
      </x:c>
      <x:c r="Q64" s="8" t="n">
        <x:f>K64-L64</x:f>
        <x:v>2</x:v>
      </x:c>
      <x:c r="R64" s="9" t="n">
        <x:f>IF(AND(INDEX('Сводка'!$T$3:$T$397,U64)=0,INDEX('Сводка'!$T$3:$T$397,V64)=0),1,0)</x:f>
        <x:v>1</x:v>
      </x:c>
      <x:c r="S64" s="9" t="n">
        <x:f>IF(AND(R64=1,O64&lt;=$G$13),1,0)</x:f>
        <x:v>0</x:v>
      </x:c>
      <x:c r="T64" s="10" t="n">
        <x:f>EOMONTH(J64-'Сводка'!$B$11,-1)</x:f>
        <x:v>45900</x:v>
      </x:c>
      <x:c r="U64" s="4" t="n">
        <x:f>MATCH(J64,'Сводка'!$R$3:$R$397,0)</x:f>
        <x:v>75</x:v>
      </x:c>
      <x:c r="V64" s="4" t="n">
        <x:f>MATCH(J64-'Сводка'!$B$11,'Сводка'!$R$3:$R$397,0)</x:f>
        <x:v>74</x:v>
      </x:c>
      <x:c r="W64" s="4" t="n">
        <x:f>MATCH(T64,$J$388:$J$400,0)</x:f>
        <x:v>3</x:v>
      </x:c>
      <x:c r="X64" s="3"/>
      <x:c r="Y64" s="3"/>
      <x:c r="Z64" s="3"/>
    </x:row>
    <x:row r="65" ht="15" customHeight="1">
      <x:c r="A65" s="7" t="str">
        <x:f>IF(47&lt;='Сводка'!$B$3,'Сводка'!$B$4+47,"")</x:f>
      </x:c>
      <x:c r="B65" s="19" t="str">
        <x:f>IF($A65="","",(A65-$T$405+1)/1000)</x:f>
      </x:c>
      <x:c r="C65" s="19" t="str">
        <x:f>IF($A65="","",2*(A65-$T$405)/$T$406-1)</x:f>
      </x:c>
      <x:c r="D65" s="3" t="str">
        <x:f>IF($A65="","",$B$4*B65^$B$5)</x:f>
      </x:c>
      <x:c r="E65" s="3" t="str">
        <x:f>IF($A65="","",SQRT($T$403^2+H65^2))</x:f>
      </x:c>
      <x:c r="F65" s="3" t="str">
        <x:f>IF($A65="","",D65-$T$404*E65)</x:f>
      </x:c>
      <x:c r="G65" s="3" t="str">
        <x:f>IF($A65="","",D65+$T$404*E65)</x:f>
      </x:c>
      <x:c r="H65" s="3" t="str">
        <x:f>IF($A65="","",SQRT(MAX(0,(B65^$B$5)*$S$409*(B65^$B$5)+(B65^$B$5)*$T$409*($B$4*B65^$B$5*LN(B65))+($B$4*B65^$B$5*LN(B65))*$S$410*(B65^$B$5)+($B$4*B65^$B$5*LN(B65))*$T$410*($B$4*B65^$B$5*LN(B65)))))</x:f>
      </x:c>
      <x:c r="I65" s="3"/>
      <x:c r="J65" s="10" t="n">
        <x:v>45916</x:v>
      </x:c>
      <x:c r="K65" s="8" t="n">
        <x:f>INDEX('Сводка'!$S$3:$S$397,U65)</x:f>
        <x:v>213</x:v>
      </x:c>
      <x:c r="L65" s="8" t="n">
        <x:f>INDEX('Сводка'!$S$3:$S$397,V65)</x:f>
        <x:v>204</x:v>
      </x:c>
      <x:c r="M65" s="8" t="n">
        <x:f>INDEX($K$388:$N$400,W65,1)*((J65-$T$405+1)/1000)^INDEX($K$388:$N$400,W65,2)</x:f>
        <x:v>169.4918284754206</x:v>
      </x:c>
      <x:c r="N65" s="8" t="n">
        <x:f>K65-M65</x:f>
        <x:v>43.50817152457941</x:v>
      </x:c>
      <x:c r="O65" s="8" t="n">
        <x:f>ABS(N65)</x:f>
        <x:v>43.50817152457941</x:v>
      </x:c>
      <x:c r="P65" s="8" t="n">
        <x:f>N65^2</x:f>
        <x:v>1892.9609894122227</x:v>
      </x:c>
      <x:c r="Q65" s="8" t="n">
        <x:f>K65-L65</x:f>
        <x:v>9</x:v>
      </x:c>
      <x:c r="R65" s="9" t="n">
        <x:f>IF(AND(INDEX('Сводка'!$T$3:$T$397,U65)=0,INDEX('Сводка'!$T$3:$T$397,V65)=0),1,0)</x:f>
        <x:v>1</x:v>
      </x:c>
      <x:c r="S65" s="9" t="n">
        <x:f>IF(AND(R65=1,O65&lt;=$G$13),1,0)</x:f>
        <x:v>0</x:v>
      </x:c>
      <x:c r="T65" s="10" t="n">
        <x:f>EOMONTH(J65-'Сводка'!$B$11,-1)</x:f>
        <x:v>45900</x:v>
      </x:c>
      <x:c r="U65" s="4" t="n">
        <x:f>MATCH(J65,'Сводка'!$R$3:$R$397,0)</x:f>
        <x:v>76</x:v>
      </x:c>
      <x:c r="V65" s="4" t="n">
        <x:f>MATCH(J65-'Сводка'!$B$11,'Сводка'!$R$3:$R$397,0)</x:f>
        <x:v>75</x:v>
      </x:c>
      <x:c r="W65" s="4" t="n">
        <x:f>MATCH(T65,$J$388:$J$400,0)</x:f>
        <x:v>3</x:v>
      </x:c>
      <x:c r="X65" s="3"/>
      <x:c r="Y65" s="3"/>
      <x:c r="Z65" s="3"/>
    </x:row>
    <x:row r="66" ht="15" customHeight="1">
      <x:c r="A66" s="7" t="str">
        <x:f>IF(48&lt;='Сводка'!$B$3,'Сводка'!$B$4+48,"")</x:f>
      </x:c>
      <x:c r="B66" s="19" t="str">
        <x:f>IF($A66="","",(A66-$T$405+1)/1000)</x:f>
      </x:c>
      <x:c r="C66" s="19" t="str">
        <x:f>IF($A66="","",2*(A66-$T$405)/$T$406-1)</x:f>
      </x:c>
      <x:c r="D66" s="3" t="str">
        <x:f>IF($A66="","",$B$4*B66^$B$5)</x:f>
      </x:c>
      <x:c r="E66" s="3" t="str">
        <x:f>IF($A66="","",SQRT($T$403^2+H66^2))</x:f>
      </x:c>
      <x:c r="F66" s="3" t="str">
        <x:f>IF($A66="","",D66-$T$404*E66)</x:f>
      </x:c>
      <x:c r="G66" s="3" t="str">
        <x:f>IF($A66="","",D66+$T$404*E66)</x:f>
      </x:c>
      <x:c r="H66" s="3" t="str">
        <x:f>IF($A66="","",SQRT(MAX(0,(B66^$B$5)*$S$409*(B66^$B$5)+(B66^$B$5)*$T$409*($B$4*B66^$B$5*LN(B66))+($B$4*B66^$B$5*LN(B66))*$S$410*(B66^$B$5)+($B$4*B66^$B$5*LN(B66))*$T$410*($B$4*B66^$B$5*LN(B66)))))</x:f>
      </x:c>
      <x:c r="I66" s="3"/>
      <x:c r="J66" s="10" t="n">
        <x:v>45917</x:v>
      </x:c>
      <x:c r="K66" s="8" t="n">
        <x:f>INDEX('Сводка'!$S$3:$S$397,U66)</x:f>
        <x:v>219</x:v>
      </x:c>
      <x:c r="L66" s="8" t="n">
        <x:f>INDEX('Сводка'!$S$3:$S$397,V66)</x:f>
        <x:v>213</x:v>
      </x:c>
      <x:c r="M66" s="8" t="n">
        <x:f>INDEX($K$388:$N$400,W66,1)*((J66-$T$405+1)/1000)^INDEX($K$388:$N$400,W66,2)</x:f>
        <x:v>169.51578343417776</x:v>
      </x:c>
      <x:c r="N66" s="8" t="n">
        <x:f>K66-M66</x:f>
        <x:v>49.48421656582224</x:v>
      </x:c>
      <x:c r="O66" s="8" t="n">
        <x:f>ABS(N66)</x:f>
        <x:v>49.48421656582224</x:v>
      </x:c>
      <x:c r="P66" s="8" t="n">
        <x:f>N66^2</x:f>
        <x:v>2448.687689133196</x:v>
      </x:c>
      <x:c r="Q66" s="8" t="n">
        <x:f>K66-L66</x:f>
        <x:v>6</x:v>
      </x:c>
      <x:c r="R66" s="9" t="n">
        <x:f>IF(AND(INDEX('Сводка'!$T$3:$T$397,U66)=0,INDEX('Сводка'!$T$3:$T$397,V66)=0),1,0)</x:f>
        <x:v>1</x:v>
      </x:c>
      <x:c r="S66" s="9" t="n">
        <x:f>IF(AND(R66=1,O66&lt;=$G$13),1,0)</x:f>
        <x:v>0</x:v>
      </x:c>
      <x:c r="T66" s="10" t="n">
        <x:f>EOMONTH(J66-'Сводка'!$B$11,-1)</x:f>
        <x:v>45900</x:v>
      </x:c>
      <x:c r="U66" s="4" t="n">
        <x:f>MATCH(J66,'Сводка'!$R$3:$R$397,0)</x:f>
        <x:v>77</x:v>
      </x:c>
      <x:c r="V66" s="4" t="n">
        <x:f>MATCH(J66-'Сводка'!$B$11,'Сводка'!$R$3:$R$397,0)</x:f>
        <x:v>76</x:v>
      </x:c>
      <x:c r="W66" s="4" t="n">
        <x:f>MATCH(T66,$J$388:$J$400,0)</x:f>
        <x:v>3</x:v>
      </x:c>
      <x:c r="X66" s="3"/>
      <x:c r="Y66" s="3"/>
      <x:c r="Z66" s="3"/>
    </x:row>
    <x:row r="67" ht="15" customHeight="1">
      <x:c r="A67" s="7" t="str">
        <x:f>IF(49&lt;='Сводка'!$B$3,'Сводка'!$B$4+49,"")</x:f>
      </x:c>
      <x:c r="B67" s="19" t="str">
        <x:f>IF($A67="","",(A67-$T$405+1)/1000)</x:f>
      </x:c>
      <x:c r="C67" s="19" t="str">
        <x:f>IF($A67="","",2*(A67-$T$405)/$T$406-1)</x:f>
      </x:c>
      <x:c r="D67" s="3" t="str">
        <x:f>IF($A67="","",$B$4*B67^$B$5)</x:f>
      </x:c>
      <x:c r="E67" s="3" t="str">
        <x:f>IF($A67="","",SQRT($T$403^2+H67^2))</x:f>
      </x:c>
      <x:c r="F67" s="3" t="str">
        <x:f>IF($A67="","",D67-$T$404*E67)</x:f>
      </x:c>
      <x:c r="G67" s="3" t="str">
        <x:f>IF($A67="","",D67+$T$404*E67)</x:f>
      </x:c>
      <x:c r="H67" s="3" t="str">
        <x:f>IF($A67="","",SQRT(MAX(0,(B67^$B$5)*$S$409*(B67^$B$5)+(B67^$B$5)*$T$409*($B$4*B67^$B$5*LN(B67))+($B$4*B67^$B$5*LN(B67))*$S$410*(B67^$B$5)+($B$4*B67^$B$5*LN(B67))*$T$410*($B$4*B67^$B$5*LN(B67)))))</x:f>
      </x:c>
      <x:c r="I67" s="3"/>
      <x:c r="J67" s="10" t="n">
        <x:v>45918</x:v>
      </x:c>
      <x:c r="K67" s="8" t="n">
        <x:f>INDEX('Сводка'!$S$3:$S$397,U67)</x:f>
        <x:v>227</x:v>
      </x:c>
      <x:c r="L67" s="8" t="n">
        <x:f>INDEX('Сводка'!$S$3:$S$397,V67)</x:f>
        <x:v>219</x:v>
      </x:c>
      <x:c r="M67" s="8" t="n">
        <x:f>INDEX($K$388:$N$400,W67,1)*((J67-$T$405+1)/1000)^INDEX($K$388:$N$400,W67,2)</x:f>
        <x:v>169.5397390123164</x:v>
      </x:c>
      <x:c r="N67" s="8" t="n">
        <x:f>K67-M67</x:f>
        <x:v>57.4602609876836</x:v>
      </x:c>
      <x:c r="O67" s="8" t="n">
        <x:f>ABS(N67)</x:f>
        <x:v>57.4602609876836</x:v>
      </x:c>
      <x:c r="P67" s="8" t="n">
        <x:f>N67^2</x:f>
        <x:v>3301.6815927727134</x:v>
      </x:c>
      <x:c r="Q67" s="8" t="n">
        <x:f>K67-L67</x:f>
        <x:v>8</x:v>
      </x:c>
      <x:c r="R67" s="9" t="n">
        <x:f>IF(AND(INDEX('Сводка'!$T$3:$T$397,U67)=0,INDEX('Сводка'!$T$3:$T$397,V67)=0),1,0)</x:f>
        <x:v>1</x:v>
      </x:c>
      <x:c r="S67" s="9" t="n">
        <x:f>IF(AND(R67=1,O67&lt;=$G$13),1,0)</x:f>
        <x:v>0</x:v>
      </x:c>
      <x:c r="T67" s="10" t="n">
        <x:f>EOMONTH(J67-'Сводка'!$B$11,-1)</x:f>
        <x:v>45900</x:v>
      </x:c>
      <x:c r="U67" s="4" t="n">
        <x:f>MATCH(J67,'Сводка'!$R$3:$R$397,0)</x:f>
        <x:v>78</x:v>
      </x:c>
      <x:c r="V67" s="4" t="n">
        <x:f>MATCH(J67-'Сводка'!$B$11,'Сводка'!$R$3:$R$397,0)</x:f>
        <x:v>77</x:v>
      </x:c>
      <x:c r="W67" s="4" t="n">
        <x:f>MATCH(T67,$J$388:$J$400,0)</x:f>
        <x:v>3</x:v>
      </x:c>
      <x:c r="X67" s="3"/>
      <x:c r="Y67" s="3"/>
      <x:c r="Z67" s="3"/>
    </x:row>
    <x:row r="68" ht="15" customHeight="1">
      <x:c r="A68" s="7" t="str">
        <x:f>IF(50&lt;='Сводка'!$B$3,'Сводка'!$B$4+50,"")</x:f>
      </x:c>
      <x:c r="B68" s="19" t="str">
        <x:f>IF($A68="","",(A68-$T$405+1)/1000)</x:f>
      </x:c>
      <x:c r="C68" s="19" t="str">
        <x:f>IF($A68="","",2*(A68-$T$405)/$T$406-1)</x:f>
      </x:c>
      <x:c r="D68" s="3" t="str">
        <x:f>IF($A68="","",$B$4*B68^$B$5)</x:f>
      </x:c>
      <x:c r="E68" s="3" t="str">
        <x:f>IF($A68="","",SQRT($T$403^2+H68^2))</x:f>
      </x:c>
      <x:c r="F68" s="3" t="str">
        <x:f>IF($A68="","",D68-$T$404*E68)</x:f>
      </x:c>
      <x:c r="G68" s="3" t="str">
        <x:f>IF($A68="","",D68+$T$404*E68)</x:f>
      </x:c>
      <x:c r="H68" s="3" t="str">
        <x:f>IF($A68="","",SQRT(MAX(0,(B68^$B$5)*$S$409*(B68^$B$5)+(B68^$B$5)*$T$409*($B$4*B68^$B$5*LN(B68))+($B$4*B68^$B$5*LN(B68))*$S$410*(B68^$B$5)+($B$4*B68^$B$5*LN(B68))*$T$410*($B$4*B68^$B$5*LN(B68)))))</x:f>
      </x:c>
      <x:c r="I68" s="3"/>
      <x:c r="J68" s="10" t="n">
        <x:v>45919</x:v>
      </x:c>
      <x:c r="K68" s="8" t="n">
        <x:f>INDEX('Сводка'!$S$3:$S$397,U68)</x:f>
        <x:v>241</x:v>
      </x:c>
      <x:c r="L68" s="8" t="n">
        <x:f>INDEX('Сводка'!$S$3:$S$397,V68)</x:f>
        <x:v>227</x:v>
      </x:c>
      <x:c r="M68" s="8" t="n">
        <x:f>INDEX($K$388:$N$400,W68,1)*((J68-$T$405+1)/1000)^INDEX($K$388:$N$400,W68,2)</x:f>
        <x:v>169.56369520978092</x:v>
      </x:c>
      <x:c r="N68" s="8" t="n">
        <x:f>K68-M68</x:f>
        <x:v>71.43630479021908</x:v>
      </x:c>
      <x:c r="O68" s="8" t="n">
        <x:f>ABS(N68)</x:f>
        <x:v>71.43630479021908</x:v>
      </x:c>
      <x:c r="P68" s="8" t="n">
        <x:f>N68^2</x:f>
        <x:v>5103.145642081078</x:v>
      </x:c>
      <x:c r="Q68" s="8" t="n">
        <x:f>K68-L68</x:f>
        <x:v>14</x:v>
      </x:c>
      <x:c r="R68" s="9" t="n">
        <x:f>IF(AND(INDEX('Сводка'!$T$3:$T$397,U68)=0,INDEX('Сводка'!$T$3:$T$397,V68)=0),1,0)</x:f>
        <x:v>1</x:v>
      </x:c>
      <x:c r="S68" s="9" t="n">
        <x:f>IF(AND(R68=1,O68&lt;=$G$13),1,0)</x:f>
        <x:v>0</x:v>
      </x:c>
      <x:c r="T68" s="10" t="n">
        <x:f>EOMONTH(J68-'Сводка'!$B$11,-1)</x:f>
        <x:v>45900</x:v>
      </x:c>
      <x:c r="U68" s="4" t="n">
        <x:f>MATCH(J68,'Сводка'!$R$3:$R$397,0)</x:f>
        <x:v>79</x:v>
      </x:c>
      <x:c r="V68" s="4" t="n">
        <x:f>MATCH(J68-'Сводка'!$B$11,'Сводка'!$R$3:$R$397,0)</x:f>
        <x:v>78</x:v>
      </x:c>
      <x:c r="W68" s="4" t="n">
        <x:f>MATCH(T68,$J$388:$J$400,0)</x:f>
        <x:v>3</x:v>
      </x:c>
      <x:c r="X68" s="3"/>
      <x:c r="Y68" s="3"/>
      <x:c r="Z68" s="3"/>
    </x:row>
    <x:row r="69" ht="15" customHeight="1">
      <x:c r="A69" s="7" t="str">
        <x:f>IF(51&lt;='Сводка'!$B$3,'Сводка'!$B$4+51,"")</x:f>
      </x:c>
      <x:c r="B69" s="19" t="str">
        <x:f>IF($A69="","",(A69-$T$405+1)/1000)</x:f>
      </x:c>
      <x:c r="C69" s="19" t="str">
        <x:f>IF($A69="","",2*(A69-$T$405)/$T$406-1)</x:f>
      </x:c>
      <x:c r="D69" s="3" t="str">
        <x:f>IF($A69="","",$B$4*B69^$B$5)</x:f>
      </x:c>
      <x:c r="E69" s="3" t="str">
        <x:f>IF($A69="","",SQRT($T$403^2+H69^2))</x:f>
      </x:c>
      <x:c r="F69" s="3" t="str">
        <x:f>IF($A69="","",D69-$T$404*E69)</x:f>
      </x:c>
      <x:c r="G69" s="3" t="str">
        <x:f>IF($A69="","",D69+$T$404*E69)</x:f>
      </x:c>
      <x:c r="H69" s="3" t="str">
        <x:f>IF($A69="","",SQRT(MAX(0,(B69^$B$5)*$S$409*(B69^$B$5)+(B69^$B$5)*$T$409*($B$4*B69^$B$5*LN(B69))+($B$4*B69^$B$5*LN(B69))*$S$410*(B69^$B$5)+($B$4*B69^$B$5*LN(B69))*$T$410*($B$4*B69^$B$5*LN(B69)))))</x:f>
      </x:c>
      <x:c r="I69" s="3"/>
      <x:c r="J69" s="10" t="n">
        <x:v>45920</x:v>
      </x:c>
      <x:c r="K69" s="8" t="n">
        <x:f>INDEX('Сводка'!$S$3:$S$397,U69)</x:f>
        <x:v>249</x:v>
      </x:c>
      <x:c r="L69" s="8" t="n">
        <x:f>INDEX('Сводка'!$S$3:$S$397,V69)</x:f>
        <x:v>241</x:v>
      </x:c>
      <x:c r="M69" s="8" t="n">
        <x:f>INDEX($K$388:$N$400,W69,1)*((J69-$T$405+1)/1000)^INDEX($K$388:$N$400,W69,2)</x:f>
        <x:v>169.58765202651588</x:v>
      </x:c>
      <x:c r="N69" s="8" t="n">
        <x:f>K69-M69</x:f>
        <x:v>79.41234797348412</x:v>
      </x:c>
      <x:c r="O69" s="8" t="n">
        <x:f>ABS(N69)</x:f>
        <x:v>79.41234797348412</x:v>
      </x:c>
      <x:c r="P69" s="8" t="n">
        <x:f>N69^2</x:f>
        <x:v>6306.321010661727</x:v>
      </x:c>
      <x:c r="Q69" s="8" t="n">
        <x:f>K69-L69</x:f>
        <x:v>8</x:v>
      </x:c>
      <x:c r="R69" s="9" t="n">
        <x:f>IF(AND(INDEX('Сводка'!$T$3:$T$397,U69)=0,INDEX('Сводка'!$T$3:$T$397,V69)=0),1,0)</x:f>
        <x:v>1</x:v>
      </x:c>
      <x:c r="S69" s="9" t="n">
        <x:f>IF(AND(R69=1,O69&lt;=$G$13),1,0)</x:f>
        <x:v>0</x:v>
      </x:c>
      <x:c r="T69" s="10" t="n">
        <x:f>EOMONTH(J69-'Сводка'!$B$11,-1)</x:f>
        <x:v>45900</x:v>
      </x:c>
      <x:c r="U69" s="4" t="n">
        <x:f>MATCH(J69,'Сводка'!$R$3:$R$397,0)</x:f>
        <x:v>80</x:v>
      </x:c>
      <x:c r="V69" s="4" t="n">
        <x:f>MATCH(J69-'Сводка'!$B$11,'Сводка'!$R$3:$R$397,0)</x:f>
        <x:v>79</x:v>
      </x:c>
      <x:c r="W69" s="4" t="n">
        <x:f>MATCH(T69,$J$388:$J$400,0)</x:f>
        <x:v>3</x:v>
      </x:c>
      <x:c r="X69" s="3"/>
      <x:c r="Y69" s="3"/>
      <x:c r="Z69" s="3"/>
    </x:row>
    <x:row r="70" ht="15" customHeight="1">
      <x:c r="A70" s="7" t="str">
        <x:f>IF(52&lt;='Сводка'!$B$3,'Сводка'!$B$4+52,"")</x:f>
      </x:c>
      <x:c r="B70" s="19" t="str">
        <x:f>IF($A70="","",(A70-$T$405+1)/1000)</x:f>
      </x:c>
      <x:c r="C70" s="19" t="str">
        <x:f>IF($A70="","",2*(A70-$T$405)/$T$406-1)</x:f>
      </x:c>
      <x:c r="D70" s="3" t="str">
        <x:f>IF($A70="","",$B$4*B70^$B$5)</x:f>
      </x:c>
      <x:c r="E70" s="3" t="str">
        <x:f>IF($A70="","",SQRT($T$403^2+H70^2))</x:f>
      </x:c>
      <x:c r="F70" s="3" t="str">
        <x:f>IF($A70="","",D70-$T$404*E70)</x:f>
      </x:c>
      <x:c r="G70" s="3" t="str">
        <x:f>IF($A70="","",D70+$T$404*E70)</x:f>
      </x:c>
      <x:c r="H70" s="3" t="str">
        <x:f>IF($A70="","",SQRT(MAX(0,(B70^$B$5)*$S$409*(B70^$B$5)+(B70^$B$5)*$T$409*($B$4*B70^$B$5*LN(B70))+($B$4*B70^$B$5*LN(B70))*$S$410*(B70^$B$5)+($B$4*B70^$B$5*LN(B70))*$T$410*($B$4*B70^$B$5*LN(B70)))))</x:f>
      </x:c>
      <x:c r="I70" s="3"/>
      <x:c r="J70" s="10" t="n">
        <x:v>45921</x:v>
      </x:c>
      <x:c r="K70" s="8" t="n">
        <x:f>INDEX('Сводка'!$S$3:$S$397,U70)</x:f>
        <x:v>260</x:v>
      </x:c>
      <x:c r="L70" s="8" t="n">
        <x:f>INDEX('Сводка'!$S$3:$S$397,V70)</x:f>
        <x:v>249</x:v>
      </x:c>
      <x:c r="M70" s="8" t="n">
        <x:f>INDEX($K$388:$N$400,W70,1)*((J70-$T$405+1)/1000)^INDEX($K$388:$N$400,W70,2)</x:f>
        <x:v>169.61160946246588</x:v>
      </x:c>
      <x:c r="N70" s="8" t="n">
        <x:f>K70-M70</x:f>
        <x:v>90.38839053753412</x:v>
      </x:c>
      <x:c r="O70" s="8" t="n">
        <x:f>ABS(N70)</x:f>
        <x:v>90.38839053753412</x:v>
      </x:c>
      <x:c r="P70" s="8" t="n">
        <x:f>N70^2</x:f>
        <x:v>8170.061143965788</x:v>
      </x:c>
      <x:c r="Q70" s="8" t="n">
        <x:f>K70-L70</x:f>
        <x:v>11</x:v>
      </x:c>
      <x:c r="R70" s="9" t="n">
        <x:f>IF(AND(INDEX('Сводка'!$T$3:$T$397,U70)=0,INDEX('Сводка'!$T$3:$T$397,V70)=0),1,0)</x:f>
        <x:v>1</x:v>
      </x:c>
      <x:c r="S70" s="9" t="n">
        <x:f>IF(AND(R70=1,O70&lt;=$G$13),1,0)</x:f>
        <x:v>0</x:v>
      </x:c>
      <x:c r="T70" s="10" t="n">
        <x:f>EOMONTH(J70-'Сводка'!$B$11,-1)</x:f>
        <x:v>45900</x:v>
      </x:c>
      <x:c r="U70" s="4" t="n">
        <x:f>MATCH(J70,'Сводка'!$R$3:$R$397,0)</x:f>
        <x:v>81</x:v>
      </x:c>
      <x:c r="V70" s="4" t="n">
        <x:f>MATCH(J70-'Сводка'!$B$11,'Сводка'!$R$3:$R$397,0)</x:f>
        <x:v>80</x:v>
      </x:c>
      <x:c r="W70" s="4" t="n">
        <x:f>MATCH(T70,$J$388:$J$400,0)</x:f>
        <x:v>3</x:v>
      </x:c>
      <x:c r="X70" s="3"/>
      <x:c r="Y70" s="3"/>
      <x:c r="Z70" s="3"/>
    </x:row>
    <x:row r="71" ht="15" customHeight="1">
      <x:c r="A71" s="7" t="str">
        <x:f>IF(53&lt;='Сводка'!$B$3,'Сводка'!$B$4+53,"")</x:f>
      </x:c>
      <x:c r="B71" s="19" t="str">
        <x:f>IF($A71="","",(A71-$T$405+1)/1000)</x:f>
      </x:c>
      <x:c r="C71" s="19" t="str">
        <x:f>IF($A71="","",2*(A71-$T$405)/$T$406-1)</x:f>
      </x:c>
      <x:c r="D71" s="3" t="str">
        <x:f>IF($A71="","",$B$4*B71^$B$5)</x:f>
      </x:c>
      <x:c r="E71" s="3" t="str">
        <x:f>IF($A71="","",SQRT($T$403^2+H71^2))</x:f>
      </x:c>
      <x:c r="F71" s="3" t="str">
        <x:f>IF($A71="","",D71-$T$404*E71)</x:f>
      </x:c>
      <x:c r="G71" s="3" t="str">
        <x:f>IF($A71="","",D71+$T$404*E71)</x:f>
      </x:c>
      <x:c r="H71" s="3" t="str">
        <x:f>IF($A71="","",SQRT(MAX(0,(B71^$B$5)*$S$409*(B71^$B$5)+(B71^$B$5)*$T$409*($B$4*B71^$B$5*LN(B71))+($B$4*B71^$B$5*LN(B71))*$S$410*(B71^$B$5)+($B$4*B71^$B$5*LN(B71))*$T$410*($B$4*B71^$B$5*LN(B71)))))</x:f>
      </x:c>
      <x:c r="I71" s="3"/>
      <x:c r="J71" s="10" t="n">
        <x:v>45922</x:v>
      </x:c>
      <x:c r="K71" s="8" t="n">
        <x:f>INDEX('Сводка'!$S$3:$S$397,U71)</x:f>
        <x:v>272</x:v>
      </x:c>
      <x:c r="L71" s="8" t="n">
        <x:f>INDEX('Сводка'!$S$3:$S$397,V71)</x:f>
        <x:v>260</x:v>
      </x:c>
      <x:c r="M71" s="8" t="n">
        <x:f>INDEX($K$388:$N$400,W71,1)*((J71-$T$405+1)/1000)^INDEX($K$388:$N$400,W71,2)</x:f>
        <x:v>169.6355675175754</x:v>
      </x:c>
      <x:c r="N71" s="8" t="n">
        <x:f>K71-M71</x:f>
        <x:v>102.3644324824246</x:v>
      </x:c>
      <x:c r="O71" s="8" t="n">
        <x:f>ABS(N71)</x:f>
        <x:v>102.3644324824246</x:v>
      </x:c>
      <x:c r="P71" s="8" t="n">
        <x:f>N71^2</x:f>
        <x:v>10478.477037448865</x:v>
      </x:c>
      <x:c r="Q71" s="8" t="n">
        <x:f>K71-L71</x:f>
        <x:v>12</x:v>
      </x:c>
      <x:c r="R71" s="9" t="n">
        <x:f>IF(AND(INDEX('Сводка'!$T$3:$T$397,U71)=0,INDEX('Сводка'!$T$3:$T$397,V71)=0),1,0)</x:f>
        <x:v>1</x:v>
      </x:c>
      <x:c r="S71" s="9" t="n">
        <x:f>IF(AND(R71=1,O71&lt;=$G$13),1,0)</x:f>
        <x:v>0</x:v>
      </x:c>
      <x:c r="T71" s="10" t="n">
        <x:f>EOMONTH(J71-'Сводка'!$B$11,-1)</x:f>
        <x:v>45900</x:v>
      </x:c>
      <x:c r="U71" s="4" t="n">
        <x:f>MATCH(J71,'Сводка'!$R$3:$R$397,0)</x:f>
        <x:v>82</x:v>
      </x:c>
      <x:c r="V71" s="4" t="n">
        <x:f>MATCH(J71-'Сводка'!$B$11,'Сводка'!$R$3:$R$397,0)</x:f>
        <x:v>81</x:v>
      </x:c>
      <x:c r="W71" s="4" t="n">
        <x:f>MATCH(T71,$J$388:$J$400,0)</x:f>
        <x:v>3</x:v>
      </x:c>
      <x:c r="X71" s="3"/>
      <x:c r="Y71" s="3"/>
      <x:c r="Z71" s="3"/>
    </x:row>
    <x:row r="72" ht="15" customHeight="1">
      <x:c r="A72" s="7" t="str">
        <x:f>IF(54&lt;='Сводка'!$B$3,'Сводка'!$B$4+54,"")</x:f>
      </x:c>
      <x:c r="B72" s="19" t="str">
        <x:f>IF($A72="","",(A72-$T$405+1)/1000)</x:f>
      </x:c>
      <x:c r="C72" s="19" t="str">
        <x:f>IF($A72="","",2*(A72-$T$405)/$T$406-1)</x:f>
      </x:c>
      <x:c r="D72" s="3" t="str">
        <x:f>IF($A72="","",$B$4*B72^$B$5)</x:f>
      </x:c>
      <x:c r="E72" s="3" t="str">
        <x:f>IF($A72="","",SQRT($T$403^2+H72^2))</x:f>
      </x:c>
      <x:c r="F72" s="3" t="str">
        <x:f>IF($A72="","",D72-$T$404*E72)</x:f>
      </x:c>
      <x:c r="G72" s="3" t="str">
        <x:f>IF($A72="","",D72+$T$404*E72)</x:f>
      </x:c>
      <x:c r="H72" s="3" t="str">
        <x:f>IF($A72="","",SQRT(MAX(0,(B72^$B$5)*$S$409*(B72^$B$5)+(B72^$B$5)*$T$409*($B$4*B72^$B$5*LN(B72))+($B$4*B72^$B$5*LN(B72))*$S$410*(B72^$B$5)+($B$4*B72^$B$5*LN(B72))*$T$410*($B$4*B72^$B$5*LN(B72)))))</x:f>
      </x:c>
      <x:c r="I72" s="3"/>
      <x:c r="J72" s="10" t="n">
        <x:v>45923</x:v>
      </x:c>
      <x:c r="K72" s="8" t="n">
        <x:f>INDEX('Сводка'!$S$3:$S$397,U72)</x:f>
        <x:v>279</x:v>
      </x:c>
      <x:c r="L72" s="8" t="n">
        <x:f>INDEX('Сводка'!$S$3:$S$397,V72)</x:f>
        <x:v>272</x:v>
      </x:c>
      <x:c r="M72" s="8" t="n">
        <x:f>INDEX($K$388:$N$400,W72,1)*((J72-$T$405+1)/1000)^INDEX($K$388:$N$400,W72,2)</x:f>
        <x:v>169.65952619178898</x:v>
      </x:c>
      <x:c r="N72" s="8" t="n">
        <x:f>K72-M72</x:f>
        <x:v>109.34047380821102</x:v>
      </x:c>
      <x:c r="O72" s="8" t="n">
        <x:f>ABS(N72)</x:f>
        <x:v>109.34047380821102</x:v>
      </x:c>
      <x:c r="P72" s="8" t="n">
        <x:f>N72^2</x:f>
        <x:v>11955.33921260408</x:v>
      </x:c>
      <x:c r="Q72" s="8" t="n">
        <x:f>K72-L72</x:f>
        <x:v>7</x:v>
      </x:c>
      <x:c r="R72" s="9" t="n">
        <x:f>IF(AND(INDEX('Сводка'!$T$3:$T$397,U72)=0,INDEX('Сводка'!$T$3:$T$397,V72)=0),1,0)</x:f>
        <x:v>1</x:v>
      </x:c>
      <x:c r="S72" s="9" t="n">
        <x:f>IF(AND(R72=1,O72&lt;=$G$13),1,0)</x:f>
        <x:v>0</x:v>
      </x:c>
      <x:c r="T72" s="10" t="n">
        <x:f>EOMONTH(J72-'Сводка'!$B$11,-1)</x:f>
        <x:v>45900</x:v>
      </x:c>
      <x:c r="U72" s="4" t="n">
        <x:f>MATCH(J72,'Сводка'!$R$3:$R$397,0)</x:f>
        <x:v>83</x:v>
      </x:c>
      <x:c r="V72" s="4" t="n">
        <x:f>MATCH(J72-'Сводка'!$B$11,'Сводка'!$R$3:$R$397,0)</x:f>
        <x:v>82</x:v>
      </x:c>
      <x:c r="W72" s="4" t="n">
        <x:f>MATCH(T72,$J$388:$J$400,0)</x:f>
        <x:v>3</x:v>
      </x:c>
      <x:c r="X72" s="3"/>
      <x:c r="Y72" s="3"/>
      <x:c r="Z72" s="3"/>
    </x:row>
    <x:row r="73" ht="15" customHeight="1">
      <x:c r="A73" s="7" t="str">
        <x:f>IF(55&lt;='Сводка'!$B$3,'Сводка'!$B$4+55,"")</x:f>
      </x:c>
      <x:c r="B73" s="19" t="str">
        <x:f>IF($A73="","",(A73-$T$405+1)/1000)</x:f>
      </x:c>
      <x:c r="C73" s="19" t="str">
        <x:f>IF($A73="","",2*(A73-$T$405)/$T$406-1)</x:f>
      </x:c>
      <x:c r="D73" s="3" t="str">
        <x:f>IF($A73="","",$B$4*B73^$B$5)</x:f>
      </x:c>
      <x:c r="E73" s="3" t="str">
        <x:f>IF($A73="","",SQRT($T$403^2+H73^2))</x:f>
      </x:c>
      <x:c r="F73" s="3" t="str">
        <x:f>IF($A73="","",D73-$T$404*E73)</x:f>
      </x:c>
      <x:c r="G73" s="3" t="str">
        <x:f>IF($A73="","",D73+$T$404*E73)</x:f>
      </x:c>
      <x:c r="H73" s="3" t="str">
        <x:f>IF($A73="","",SQRT(MAX(0,(B73^$B$5)*$S$409*(B73^$B$5)+(B73^$B$5)*$T$409*($B$4*B73^$B$5*LN(B73))+($B$4*B73^$B$5*LN(B73))*$S$410*(B73^$B$5)+($B$4*B73^$B$5*LN(B73))*$T$410*($B$4*B73^$B$5*LN(B73)))))</x:f>
      </x:c>
      <x:c r="I73" s="3"/>
      <x:c r="J73" s="10" t="n">
        <x:v>45924</x:v>
      </x:c>
      <x:c r="K73" s="8" t="n">
        <x:f>INDEX('Сводка'!$S$3:$S$397,U73)</x:f>
        <x:v>284</x:v>
      </x:c>
      <x:c r="L73" s="8" t="n">
        <x:f>INDEX('Сводка'!$S$3:$S$397,V73)</x:f>
        <x:v>279</x:v>
      </x:c>
      <x:c r="M73" s="8" t="n">
        <x:f>INDEX($K$388:$N$400,W73,1)*((J73-$T$405+1)/1000)^INDEX($K$388:$N$400,W73,2)</x:f>
        <x:v>169.6834854850512</x:v>
      </x:c>
      <x:c r="N73" s="8" t="n">
        <x:f>K73-M73</x:f>
        <x:v>114.3165145149488</x:v>
      </x:c>
      <x:c r="O73" s="8" t="n">
        <x:f>ABS(N73)</x:f>
        <x:v>114.3165145149488</x:v>
      </x:c>
      <x:c r="P73" s="8" t="n">
        <x:f>N73^2</x:f>
        <x:v>13068.265490846501</x:v>
      </x:c>
      <x:c r="Q73" s="8" t="n">
        <x:f>K73-L73</x:f>
        <x:v>5</x:v>
      </x:c>
      <x:c r="R73" s="9" t="n">
        <x:f>IF(AND(INDEX('Сводка'!$T$3:$T$397,U73)=0,INDEX('Сводка'!$T$3:$T$397,V73)=0),1,0)</x:f>
        <x:v>1</x:v>
      </x:c>
      <x:c r="S73" s="9" t="n">
        <x:f>IF(AND(R73=1,O73&lt;=$G$13),1,0)</x:f>
        <x:v>0</x:v>
      </x:c>
      <x:c r="T73" s="10" t="n">
        <x:f>EOMONTH(J73-'Сводка'!$B$11,-1)</x:f>
        <x:v>45900</x:v>
      </x:c>
      <x:c r="U73" s="4" t="n">
        <x:f>MATCH(J73,'Сводка'!$R$3:$R$397,0)</x:f>
        <x:v>84</x:v>
      </x:c>
      <x:c r="V73" s="4" t="n">
        <x:f>MATCH(J73-'Сводка'!$B$11,'Сводка'!$R$3:$R$397,0)</x:f>
        <x:v>83</x:v>
      </x:c>
      <x:c r="W73" s="4" t="n">
        <x:f>MATCH(T73,$J$388:$J$400,0)</x:f>
        <x:v>3</x:v>
      </x:c>
      <x:c r="X73" s="3"/>
      <x:c r="Y73" s="3"/>
      <x:c r="Z73" s="3"/>
    </x:row>
    <x:row r="74" ht="15" customHeight="1">
      <x:c r="A74" s="7" t="str">
        <x:f>IF(56&lt;='Сводка'!$B$3,'Сводка'!$B$4+56,"")</x:f>
      </x:c>
      <x:c r="B74" s="19" t="str">
        <x:f>IF($A74="","",(A74-$T$405+1)/1000)</x:f>
      </x:c>
      <x:c r="C74" s="19" t="str">
        <x:f>IF($A74="","",2*(A74-$T$405)/$T$406-1)</x:f>
      </x:c>
      <x:c r="D74" s="3" t="str">
        <x:f>IF($A74="","",$B$4*B74^$B$5)</x:f>
      </x:c>
      <x:c r="E74" s="3" t="str">
        <x:f>IF($A74="","",SQRT($T$403^2+H74^2))</x:f>
      </x:c>
      <x:c r="F74" s="3" t="str">
        <x:f>IF($A74="","",D74-$T$404*E74)</x:f>
      </x:c>
      <x:c r="G74" s="3" t="str">
        <x:f>IF($A74="","",D74+$T$404*E74)</x:f>
      </x:c>
      <x:c r="H74" s="3" t="str">
        <x:f>IF($A74="","",SQRT(MAX(0,(B74^$B$5)*$S$409*(B74^$B$5)+(B74^$B$5)*$T$409*($B$4*B74^$B$5*LN(B74))+($B$4*B74^$B$5*LN(B74))*$S$410*(B74^$B$5)+($B$4*B74^$B$5*LN(B74))*$T$410*($B$4*B74^$B$5*LN(B74)))))</x:f>
      </x:c>
      <x:c r="I74" s="3"/>
      <x:c r="J74" s="10" t="n">
        <x:v>45925</x:v>
      </x:c>
      <x:c r="K74" s="8" t="n">
        <x:f>INDEX('Сводка'!$S$3:$S$397,U74)</x:f>
        <x:v>288</x:v>
      </x:c>
      <x:c r="L74" s="8" t="n">
        <x:f>INDEX('Сводка'!$S$3:$S$397,V74)</x:f>
        <x:v>284</x:v>
      </x:c>
      <x:c r="M74" s="8" t="n">
        <x:f>INDEX($K$388:$N$400,W74,1)*((J74-$T$405+1)/1000)^INDEX($K$388:$N$400,W74,2)</x:f>
        <x:v>169.70744539730666</x:v>
      </x:c>
      <x:c r="N74" s="8" t="n">
        <x:f>K74-M74</x:f>
        <x:v>118.29255460269334</x:v>
      </x:c>
      <x:c r="O74" s="8" t="n">
        <x:f>ABS(N74)</x:f>
        <x:v>118.29255460269334</x:v>
      </x:c>
      <x:c r="P74" s="8" t="n">
        <x:f>N74^2</x:f>
        <x:v>13993.128474431185</x:v>
      </x:c>
      <x:c r="Q74" s="8" t="n">
        <x:f>K74-L74</x:f>
        <x:v>4</x:v>
      </x:c>
      <x:c r="R74" s="9" t="n">
        <x:f>IF(AND(INDEX('Сводка'!$T$3:$T$397,U74)=0,INDEX('Сводка'!$T$3:$T$397,V74)=0),1,0)</x:f>
        <x:v>1</x:v>
      </x:c>
      <x:c r="S74" s="9" t="n">
        <x:f>IF(AND(R74=1,O74&lt;=$G$13),1,0)</x:f>
        <x:v>0</x:v>
      </x:c>
      <x:c r="T74" s="10" t="n">
        <x:f>EOMONTH(J74-'Сводка'!$B$11,-1)</x:f>
        <x:v>45900</x:v>
      </x:c>
      <x:c r="U74" s="4" t="n">
        <x:f>MATCH(J74,'Сводка'!$R$3:$R$397,0)</x:f>
        <x:v>85</x:v>
      </x:c>
      <x:c r="V74" s="4" t="n">
        <x:f>MATCH(J74-'Сводка'!$B$11,'Сводка'!$R$3:$R$397,0)</x:f>
        <x:v>84</x:v>
      </x:c>
      <x:c r="W74" s="4" t="n">
        <x:f>MATCH(T74,$J$388:$J$400,0)</x:f>
        <x:v>3</x:v>
      </x:c>
      <x:c r="X74" s="3"/>
      <x:c r="Y74" s="3"/>
      <x:c r="Z74" s="3"/>
    </x:row>
    <x:row r="75" ht="15" customHeight="1">
      <x:c r="A75" s="7" t="str">
        <x:f>IF(57&lt;='Сводка'!$B$3,'Сводка'!$B$4+57,"")</x:f>
      </x:c>
      <x:c r="B75" s="19" t="str">
        <x:f>IF($A75="","",(A75-$T$405+1)/1000)</x:f>
      </x:c>
      <x:c r="C75" s="19" t="str">
        <x:f>IF($A75="","",2*(A75-$T$405)/$T$406-1)</x:f>
      </x:c>
      <x:c r="D75" s="3" t="str">
        <x:f>IF($A75="","",$B$4*B75^$B$5)</x:f>
      </x:c>
      <x:c r="E75" s="3" t="str">
        <x:f>IF($A75="","",SQRT($T$403^2+H75^2))</x:f>
      </x:c>
      <x:c r="F75" s="3" t="str">
        <x:f>IF($A75="","",D75-$T$404*E75)</x:f>
      </x:c>
      <x:c r="G75" s="3" t="str">
        <x:f>IF($A75="","",D75+$T$404*E75)</x:f>
      </x:c>
      <x:c r="H75" s="3" t="str">
        <x:f>IF($A75="","",SQRT(MAX(0,(B75^$B$5)*$S$409*(B75^$B$5)+(B75^$B$5)*$T$409*($B$4*B75^$B$5*LN(B75))+($B$4*B75^$B$5*LN(B75))*$S$410*(B75^$B$5)+($B$4*B75^$B$5*LN(B75))*$T$410*($B$4*B75^$B$5*LN(B75)))))</x:f>
      </x:c>
      <x:c r="I75" s="3"/>
      <x:c r="J75" s="10" t="n">
        <x:v>45926</x:v>
      </x:c>
      <x:c r="K75" s="8" t="n">
        <x:f>INDEX('Сводка'!$S$3:$S$397,U75)</x:f>
        <x:v>290</x:v>
      </x:c>
      <x:c r="L75" s="8" t="n">
        <x:f>INDEX('Сводка'!$S$3:$S$397,V75)</x:f>
        <x:v>288</x:v>
      </x:c>
      <x:c r="M75" s="8" t="n">
        <x:f>INDEX($K$388:$N$400,W75,1)*((J75-$T$405+1)/1000)^INDEX($K$388:$N$400,W75,2)</x:f>
        <x:v>169.7314059284999</x:v>
      </x:c>
      <x:c r="N75" s="8" t="n">
        <x:f>K75-M75</x:f>
        <x:v>120.2685940715001</x:v>
      </x:c>
      <x:c r="O75" s="8" t="n">
        <x:f>ABS(N75)</x:f>
        <x:v>120.2685940715001</x:v>
      </x:c>
      <x:c r="P75" s="8" t="n">
        <x:f>N75^2</x:f>
        <x:v>14464.53471993527</x:v>
      </x:c>
      <x:c r="Q75" s="8" t="n">
        <x:f>K75-L75</x:f>
        <x:v>2</x:v>
      </x:c>
      <x:c r="R75" s="9" t="n">
        <x:f>IF(AND(INDEX('Сводка'!$T$3:$T$397,U75)=0,INDEX('Сводка'!$T$3:$T$397,V75)=0),1,0)</x:f>
        <x:v>1</x:v>
      </x:c>
      <x:c r="S75" s="9" t="n">
        <x:f>IF(AND(R75=1,O75&lt;=$G$13),1,0)</x:f>
        <x:v>0</x:v>
      </x:c>
      <x:c r="T75" s="10" t="n">
        <x:f>EOMONTH(J75-'Сводка'!$B$11,-1)</x:f>
        <x:v>45900</x:v>
      </x:c>
      <x:c r="U75" s="4" t="n">
        <x:f>MATCH(J75,'Сводка'!$R$3:$R$397,0)</x:f>
        <x:v>86</x:v>
      </x:c>
      <x:c r="V75" s="4" t="n">
        <x:f>MATCH(J75-'Сводка'!$B$11,'Сводка'!$R$3:$R$397,0)</x:f>
        <x:v>85</x:v>
      </x:c>
      <x:c r="W75" s="4" t="n">
        <x:f>MATCH(T75,$J$388:$J$400,0)</x:f>
        <x:v>3</x:v>
      </x:c>
      <x:c r="X75" s="3"/>
      <x:c r="Y75" s="3"/>
      <x:c r="Z75" s="3"/>
    </x:row>
    <x:row r="76" ht="15" customHeight="1">
      <x:c r="A76" s="7" t="str">
        <x:f>IF(58&lt;='Сводка'!$B$3,'Сводка'!$B$4+58,"")</x:f>
      </x:c>
      <x:c r="B76" s="19" t="str">
        <x:f>IF($A76="","",(A76-$T$405+1)/1000)</x:f>
      </x:c>
      <x:c r="C76" s="19" t="str">
        <x:f>IF($A76="","",2*(A76-$T$405)/$T$406-1)</x:f>
      </x:c>
      <x:c r="D76" s="3" t="str">
        <x:f>IF($A76="","",$B$4*B76^$B$5)</x:f>
      </x:c>
      <x:c r="E76" s="3" t="str">
        <x:f>IF($A76="","",SQRT($T$403^2+H76^2))</x:f>
      </x:c>
      <x:c r="F76" s="3" t="str">
        <x:f>IF($A76="","",D76-$T$404*E76)</x:f>
      </x:c>
      <x:c r="G76" s="3" t="str">
        <x:f>IF($A76="","",D76+$T$404*E76)</x:f>
      </x:c>
      <x:c r="H76" s="3" t="str">
        <x:f>IF($A76="","",SQRT(MAX(0,(B76^$B$5)*$S$409*(B76^$B$5)+(B76^$B$5)*$T$409*($B$4*B76^$B$5*LN(B76))+($B$4*B76^$B$5*LN(B76))*$S$410*(B76^$B$5)+($B$4*B76^$B$5*LN(B76))*$T$410*($B$4*B76^$B$5*LN(B76)))))</x:f>
      </x:c>
      <x:c r="I76" s="3"/>
      <x:c r="J76" s="10" t="n">
        <x:v>45927</x:v>
      </x:c>
      <x:c r="K76" s="8" t="n">
        <x:f>INDEX('Сводка'!$S$3:$S$397,U76)</x:f>
        <x:v>291</x:v>
      </x:c>
      <x:c r="L76" s="8" t="n">
        <x:f>INDEX('Сводка'!$S$3:$S$397,V76)</x:f>
        <x:v>290</x:v>
      </x:c>
      <x:c r="M76" s="8" t="n">
        <x:f>INDEX($K$388:$N$400,W76,1)*((J76-$T$405+1)/1000)^INDEX($K$388:$N$400,W76,2)</x:f>
        <x:v>169.75536707857552</x:v>
      </x:c>
      <x:c r="N76" s="8" t="n">
        <x:f>K76-M76</x:f>
        <x:v>121.24463292142448</x:v>
      </x:c>
      <x:c r="O76" s="8" t="n">
        <x:f>ABS(N76)</x:f>
        <x:v>121.24463292142448</x:v>
      </x:c>
      <x:c r="P76" s="8" t="n">
        <x:f>N76^2</x:f>
        <x:v>14700.261012250969</x:v>
      </x:c>
      <x:c r="Q76" s="8" t="n">
        <x:f>K76-L76</x:f>
        <x:v>1</x:v>
      </x:c>
      <x:c r="R76" s="9" t="n">
        <x:f>IF(AND(INDEX('Сводка'!$T$3:$T$397,U76)=0,INDEX('Сводка'!$T$3:$T$397,V76)=0),1,0)</x:f>
        <x:v>1</x:v>
      </x:c>
      <x:c r="S76" s="9" t="n">
        <x:f>IF(AND(R76=1,O76&lt;=$G$13),1,0)</x:f>
        <x:v>0</x:v>
      </x:c>
      <x:c r="T76" s="10" t="n">
        <x:f>EOMONTH(J76-'Сводка'!$B$11,-1)</x:f>
        <x:v>45900</x:v>
      </x:c>
      <x:c r="U76" s="4" t="n">
        <x:f>MATCH(J76,'Сводка'!$R$3:$R$397,0)</x:f>
        <x:v>87</x:v>
      </x:c>
      <x:c r="V76" s="4" t="n">
        <x:f>MATCH(J76-'Сводка'!$B$11,'Сводка'!$R$3:$R$397,0)</x:f>
        <x:v>86</x:v>
      </x:c>
      <x:c r="W76" s="4" t="n">
        <x:f>MATCH(T76,$J$388:$J$400,0)</x:f>
        <x:v>3</x:v>
      </x:c>
      <x:c r="X76" s="3"/>
      <x:c r="Y76" s="3"/>
      <x:c r="Z76" s="3"/>
    </x:row>
    <x:row r="77" ht="15" customHeight="1">
      <x:c r="A77" s="7" t="str">
        <x:f>IF(59&lt;='Сводка'!$B$3,'Сводка'!$B$4+59,"")</x:f>
      </x:c>
      <x:c r="B77" s="19" t="str">
        <x:f>IF($A77="","",(A77-$T$405+1)/1000)</x:f>
      </x:c>
      <x:c r="C77" s="19" t="str">
        <x:f>IF($A77="","",2*(A77-$T$405)/$T$406-1)</x:f>
      </x:c>
      <x:c r="D77" s="3" t="str">
        <x:f>IF($A77="","",$B$4*B77^$B$5)</x:f>
      </x:c>
      <x:c r="E77" s="3" t="str">
        <x:f>IF($A77="","",SQRT($T$403^2+H77^2))</x:f>
      </x:c>
      <x:c r="F77" s="3" t="str">
        <x:f>IF($A77="","",D77-$T$404*E77)</x:f>
      </x:c>
      <x:c r="G77" s="3" t="str">
        <x:f>IF($A77="","",D77+$T$404*E77)</x:f>
      </x:c>
      <x:c r="H77" s="3" t="str">
        <x:f>IF($A77="","",SQRT(MAX(0,(B77^$B$5)*$S$409*(B77^$B$5)+(B77^$B$5)*$T$409*($B$4*B77^$B$5*LN(B77))+($B$4*B77^$B$5*LN(B77))*$S$410*(B77^$B$5)+($B$4*B77^$B$5*LN(B77))*$T$410*($B$4*B77^$B$5*LN(B77)))))</x:f>
      </x:c>
      <x:c r="I77" s="3"/>
      <x:c r="J77" s="10" t="n">
        <x:v>45928</x:v>
      </x:c>
      <x:c r="K77" s="8" t="n">
        <x:f>INDEX('Сводка'!$S$3:$S$397,U77)</x:f>
        <x:v>290</x:v>
      </x:c>
      <x:c r="L77" s="8" t="n">
        <x:f>INDEX('Сводка'!$S$3:$S$397,V77)</x:f>
        <x:v>291</x:v>
      </x:c>
      <x:c r="M77" s="8" t="n">
        <x:f>INDEX($K$388:$N$400,W77,1)*((J77-$T$405+1)/1000)^INDEX($K$388:$N$400,W77,2)</x:f>
        <x:v>169.77932884747818</x:v>
      </x:c>
      <x:c r="N77" s="8" t="n">
        <x:f>K77-M77</x:f>
        <x:v>120.22067115252182</x:v>
      </x:c>
      <x:c r="O77" s="8" t="n">
        <x:f>ABS(N77)</x:f>
        <x:v>120.22067115252182</x:v>
      </x:c>
      <x:c r="P77" s="8" t="n">
        <x:f>N77^2</x:f>
        <x:v>14453.009772362791</x:v>
      </x:c>
      <x:c r="Q77" s="8" t="n">
        <x:f>K77-L77</x:f>
        <x:v>-1</x:v>
      </x:c>
      <x:c r="R77" s="9" t="n">
        <x:f>IF(AND(INDEX('Сводка'!$T$3:$T$397,U77)=0,INDEX('Сводка'!$T$3:$T$397,V77)=0),1,0)</x:f>
        <x:v>1</x:v>
      </x:c>
      <x:c r="S77" s="9" t="n">
        <x:f>IF(AND(R77=1,O77&lt;=$G$13),1,0)</x:f>
        <x:v>0</x:v>
      </x:c>
      <x:c r="T77" s="10" t="n">
        <x:f>EOMONTH(J77-'Сводка'!$B$11,-1)</x:f>
        <x:v>45900</x:v>
      </x:c>
      <x:c r="U77" s="4" t="n">
        <x:f>MATCH(J77,'Сводка'!$R$3:$R$397,0)</x:f>
        <x:v>88</x:v>
      </x:c>
      <x:c r="V77" s="4" t="n">
        <x:f>MATCH(J77-'Сводка'!$B$11,'Сводка'!$R$3:$R$397,0)</x:f>
        <x:v>87</x:v>
      </x:c>
      <x:c r="W77" s="4" t="n">
        <x:f>MATCH(T77,$J$388:$J$400,0)</x:f>
        <x:v>3</x:v>
      </x:c>
      <x:c r="X77" s="3"/>
      <x:c r="Y77" s="3"/>
      <x:c r="Z77" s="3"/>
    </x:row>
    <x:row r="78" ht="15" customHeight="1">
      <x:c r="A78" s="7" t="str">
        <x:f>IF(60&lt;='Сводка'!$B$3,'Сводка'!$B$4+60,"")</x:f>
      </x:c>
      <x:c r="B78" s="19" t="str">
        <x:f>IF($A78="","",(A78-$T$405+1)/1000)</x:f>
      </x:c>
      <x:c r="C78" s="19" t="str">
        <x:f>IF($A78="","",2*(A78-$T$405)/$T$406-1)</x:f>
      </x:c>
      <x:c r="D78" s="3" t="str">
        <x:f>IF($A78="","",$B$4*B78^$B$5)</x:f>
      </x:c>
      <x:c r="E78" s="3" t="str">
        <x:f>IF($A78="","",SQRT($T$403^2+H78^2))</x:f>
      </x:c>
      <x:c r="F78" s="3" t="str">
        <x:f>IF($A78="","",D78-$T$404*E78)</x:f>
      </x:c>
      <x:c r="G78" s="3" t="str">
        <x:f>IF($A78="","",D78+$T$404*E78)</x:f>
      </x:c>
      <x:c r="H78" s="3" t="str">
        <x:f>IF($A78="","",SQRT(MAX(0,(B78^$B$5)*$S$409*(B78^$B$5)+(B78^$B$5)*$T$409*($B$4*B78^$B$5*LN(B78))+($B$4*B78^$B$5*LN(B78))*$S$410*(B78^$B$5)+($B$4*B78^$B$5*LN(B78))*$T$410*($B$4*B78^$B$5*LN(B78)))))</x:f>
      </x:c>
      <x:c r="I78" s="3"/>
      <x:c r="J78" s="10" t="n">
        <x:v>45929</x:v>
      </x:c>
      <x:c r="K78" s="8" t="n">
        <x:f>INDEX('Сводка'!$S$3:$S$397,U78)</x:f>
        <x:v>290</x:v>
      </x:c>
      <x:c r="L78" s="8" t="n">
        <x:f>INDEX('Сводка'!$S$3:$S$397,V78)</x:f>
        <x:v>290</x:v>
      </x:c>
      <x:c r="M78" s="8" t="n">
        <x:f>INDEX($K$388:$N$400,W78,1)*((J78-$T$405+1)/1000)^INDEX($K$388:$N$400,W78,2)</x:f>
        <x:v>169.80329123515244</x:v>
      </x:c>
      <x:c r="N78" s="8" t="n">
        <x:f>K78-M78</x:f>
        <x:v>120.19670876484756</x:v>
      </x:c>
      <x:c r="O78" s="8" t="n">
        <x:f>ABS(N78)</x:f>
        <x:v>120.19670876484756</x:v>
      </x:c>
      <x:c r="P78" s="8" t="n">
        <x:f>N78^2</x:f>
        <x:v>14447.248797901582</x:v>
      </x:c>
      <x:c r="Q78" s="8" t="n">
        <x:f>K78-L78</x:f>
        <x:v>0</x:v>
      </x:c>
      <x:c r="R78" s="9" t="n">
        <x:f>IF(AND(INDEX('Сводка'!$T$3:$T$397,U78)=0,INDEX('Сводка'!$T$3:$T$397,V78)=0),1,0)</x:f>
        <x:v>1</x:v>
      </x:c>
      <x:c r="S78" s="9" t="n">
        <x:f>IF(AND(R78=1,O78&lt;=$G$13),1,0)</x:f>
        <x:v>0</x:v>
      </x:c>
      <x:c r="T78" s="10" t="n">
        <x:f>EOMONTH(J78-'Сводка'!$B$11,-1)</x:f>
        <x:v>45900</x:v>
      </x:c>
      <x:c r="U78" s="4" t="n">
        <x:f>MATCH(J78,'Сводка'!$R$3:$R$397,0)</x:f>
        <x:v>89</x:v>
      </x:c>
      <x:c r="V78" s="4" t="n">
        <x:f>MATCH(J78-'Сводка'!$B$11,'Сводка'!$R$3:$R$397,0)</x:f>
        <x:v>88</x:v>
      </x:c>
      <x:c r="W78" s="4" t="n">
        <x:f>MATCH(T78,$J$388:$J$400,0)</x:f>
        <x:v>3</x:v>
      </x:c>
      <x:c r="X78" s="3"/>
      <x:c r="Y78" s="3"/>
      <x:c r="Z78" s="3"/>
    </x:row>
    <x:row r="79" ht="15" customHeight="1">
      <x:c r="A79" s="7" t="str">
        <x:f>IF(61&lt;='Сводка'!$B$3,'Сводка'!$B$4+61,"")</x:f>
      </x:c>
      <x:c r="B79" s="19" t="str">
        <x:f>IF($A79="","",(A79-$T$405+1)/1000)</x:f>
      </x:c>
      <x:c r="C79" s="19" t="str">
        <x:f>IF($A79="","",2*(A79-$T$405)/$T$406-1)</x:f>
      </x:c>
      <x:c r="D79" s="3" t="str">
        <x:f>IF($A79="","",$B$4*B79^$B$5)</x:f>
      </x:c>
      <x:c r="E79" s="3" t="str">
        <x:f>IF($A79="","",SQRT($T$403^2+H79^2))</x:f>
      </x:c>
      <x:c r="F79" s="3" t="str">
        <x:f>IF($A79="","",D79-$T$404*E79)</x:f>
      </x:c>
      <x:c r="G79" s="3" t="str">
        <x:f>IF($A79="","",D79+$T$404*E79)</x:f>
      </x:c>
      <x:c r="H79" s="3" t="str">
        <x:f>IF($A79="","",SQRT(MAX(0,(B79^$B$5)*$S$409*(B79^$B$5)+(B79^$B$5)*$T$409*($B$4*B79^$B$5*LN(B79))+($B$4*B79^$B$5*LN(B79))*$S$410*(B79^$B$5)+($B$4*B79^$B$5*LN(B79))*$T$410*($B$4*B79^$B$5*LN(B79)))))</x:f>
      </x:c>
      <x:c r="I79" s="3"/>
      <x:c r="J79" s="10" t="n">
        <x:v>45930</x:v>
      </x:c>
      <x:c r="K79" s="8" t="n">
        <x:f>INDEX('Сводка'!$S$3:$S$397,U79)</x:f>
        <x:v>293</x:v>
      </x:c>
      <x:c r="L79" s="8" t="n">
        <x:f>INDEX('Сводка'!$S$3:$S$397,V79)</x:f>
        <x:v>290</x:v>
      </x:c>
      <x:c r="M79" s="8" t="n">
        <x:f>INDEX($K$388:$N$400,W79,1)*((J79-$T$405+1)/1000)^INDEX($K$388:$N$400,W79,2)</x:f>
        <x:v>169.82725424154296</x:v>
      </x:c>
      <x:c r="N79" s="8" t="n">
        <x:f>K79-M79</x:f>
        <x:v>123.17274575845704</x:v>
      </x:c>
      <x:c r="O79" s="8" t="n">
        <x:f>ABS(N79)</x:f>
        <x:v>123.17274575845704</x:v>
      </x:c>
      <x:c r="P79" s="8" t="n">
        <x:f>N79^2</x:f>
        <x:v>15171.525297677497</x:v>
      </x:c>
      <x:c r="Q79" s="8" t="n">
        <x:f>K79-L79</x:f>
        <x:v>3</x:v>
      </x:c>
      <x:c r="R79" s="9" t="n">
        <x:f>IF(AND(INDEX('Сводка'!$T$3:$T$397,U79)=0,INDEX('Сводка'!$T$3:$T$397,V79)=0),1,0)</x:f>
        <x:v>1</x:v>
      </x:c>
      <x:c r="S79" s="9" t="n">
        <x:f>IF(AND(R79=1,O79&lt;=$G$13),1,0)</x:f>
        <x:v>0</x:v>
      </x:c>
      <x:c r="T79" s="10" t="n">
        <x:f>EOMONTH(J79-'Сводка'!$B$11,-1)</x:f>
        <x:v>45900</x:v>
      </x:c>
      <x:c r="U79" s="4" t="n">
        <x:f>MATCH(J79,'Сводка'!$R$3:$R$397,0)</x:f>
        <x:v>90</x:v>
      </x:c>
      <x:c r="V79" s="4" t="n">
        <x:f>MATCH(J79-'Сводка'!$B$11,'Сводка'!$R$3:$R$397,0)</x:f>
        <x:v>89</x:v>
      </x:c>
      <x:c r="W79" s="4" t="n">
        <x:f>MATCH(T79,$J$388:$J$400,0)</x:f>
        <x:v>3</x:v>
      </x:c>
      <x:c r="X79" s="3"/>
      <x:c r="Y79" s="3"/>
      <x:c r="Z79" s="3"/>
    </x:row>
    <x:row r="80" ht="15" customHeight="1">
      <x:c r="A80" s="7" t="str">
        <x:f>IF(62&lt;='Сводка'!$B$3,'Сводка'!$B$4+62,"")</x:f>
      </x:c>
      <x:c r="B80" s="19" t="str">
        <x:f>IF($A80="","",(A80-$T$405+1)/1000)</x:f>
      </x:c>
      <x:c r="C80" s="19" t="str">
        <x:f>IF($A80="","",2*(A80-$T$405)/$T$406-1)</x:f>
      </x:c>
      <x:c r="D80" s="3" t="str">
        <x:f>IF($A80="","",$B$4*B80^$B$5)</x:f>
      </x:c>
      <x:c r="E80" s="3" t="str">
        <x:f>IF($A80="","",SQRT($T$403^2+H80^2))</x:f>
      </x:c>
      <x:c r="F80" s="3" t="str">
        <x:f>IF($A80="","",D80-$T$404*E80)</x:f>
      </x:c>
      <x:c r="G80" s="3" t="str">
        <x:f>IF($A80="","",D80+$T$404*E80)</x:f>
      </x:c>
      <x:c r="H80" s="3" t="str">
        <x:f>IF($A80="","",SQRT(MAX(0,(B80^$B$5)*$S$409*(B80^$B$5)+(B80^$B$5)*$T$409*($B$4*B80^$B$5*LN(B80))+($B$4*B80^$B$5*LN(B80))*$S$410*(B80^$B$5)+($B$4*B80^$B$5*LN(B80))*$T$410*($B$4*B80^$B$5*LN(B80)))))</x:f>
      </x:c>
      <x:c r="I80" s="3"/>
      <x:c r="J80" s="10" t="n">
        <x:v>45931</x:v>
      </x:c>
      <x:c r="K80" s="8" t="n">
        <x:f>INDEX('Сводка'!$S$3:$S$397,U80)</x:f>
        <x:v>292</x:v>
      </x:c>
      <x:c r="L80" s="8" t="n">
        <x:f>INDEX('Сводка'!$S$3:$S$397,V80)</x:f>
        <x:v>293</x:v>
      </x:c>
      <x:c r="M80" s="8" t="n">
        <x:f>INDEX($K$388:$N$400,W80,1)*((J80-$T$405+1)/1000)^INDEX($K$388:$N$400,W80,2)</x:f>
        <x:v>169.85121786659442</x:v>
      </x:c>
      <x:c r="N80" s="8" t="n">
        <x:f>K80-M80</x:f>
        <x:v>122.14878213340558</x:v>
      </x:c>
      <x:c r="O80" s="8" t="n">
        <x:f>ABS(N80)</x:f>
        <x:v>122.14878213340558</x:v>
      </x:c>
      <x:c r="P80" s="8" t="n">
        <x:f>N80^2</x:f>
        <x:v>14920.324976674181</x:v>
      </x:c>
      <x:c r="Q80" s="8" t="n">
        <x:f>K80-L80</x:f>
        <x:v>-1</x:v>
      </x:c>
      <x:c r="R80" s="9" t="n">
        <x:f>IF(AND(INDEX('Сводка'!$T$3:$T$397,U80)=0,INDEX('Сводка'!$T$3:$T$397,V80)=0),1,0)</x:f>
        <x:v>1</x:v>
      </x:c>
      <x:c r="S80" s="9" t="n">
        <x:f>IF(AND(R80=1,O80&lt;=$G$13),1,0)</x:f>
        <x:v>0</x:v>
      </x:c>
      <x:c r="T80" s="10" t="n">
        <x:f>EOMONTH(J80-'Сводка'!$B$11,-1)</x:f>
        <x:v>45900</x:v>
      </x:c>
      <x:c r="U80" s="4" t="n">
        <x:f>MATCH(J80,'Сводка'!$R$3:$R$397,0)</x:f>
        <x:v>91</x:v>
      </x:c>
      <x:c r="V80" s="4" t="n">
        <x:f>MATCH(J80-'Сводка'!$B$11,'Сводка'!$R$3:$R$397,0)</x:f>
        <x:v>90</x:v>
      </x:c>
      <x:c r="W80" s="4" t="n">
        <x:f>MATCH(T80,$J$388:$J$400,0)</x:f>
        <x:v>3</x:v>
      </x:c>
      <x:c r="X80" s="3"/>
      <x:c r="Y80" s="3"/>
      <x:c r="Z80" s="3"/>
    </x:row>
    <x:row r="81" ht="15" customHeight="1">
      <x:c r="A81" s="7" t="str">
        <x:f>IF(63&lt;='Сводка'!$B$3,'Сводка'!$B$4+63,"")</x:f>
      </x:c>
      <x:c r="B81" s="19" t="str">
        <x:f>IF($A81="","",(A81-$T$405+1)/1000)</x:f>
      </x:c>
      <x:c r="C81" s="19" t="str">
        <x:f>IF($A81="","",2*(A81-$T$405)/$T$406-1)</x:f>
      </x:c>
      <x:c r="D81" s="3" t="str">
        <x:f>IF($A81="","",$B$4*B81^$B$5)</x:f>
      </x:c>
      <x:c r="E81" s="3" t="str">
        <x:f>IF($A81="","",SQRT($T$403^2+H81^2))</x:f>
      </x:c>
      <x:c r="F81" s="3" t="str">
        <x:f>IF($A81="","",D81-$T$404*E81)</x:f>
      </x:c>
      <x:c r="G81" s="3" t="str">
        <x:f>IF($A81="","",D81+$T$404*E81)</x:f>
      </x:c>
      <x:c r="H81" s="3" t="str">
        <x:f>IF($A81="","",SQRT(MAX(0,(B81^$B$5)*$S$409*(B81^$B$5)+(B81^$B$5)*$T$409*($B$4*B81^$B$5*LN(B81))+($B$4*B81^$B$5*LN(B81))*$S$410*(B81^$B$5)+($B$4*B81^$B$5*LN(B81))*$T$410*($B$4*B81^$B$5*LN(B81)))))</x:f>
      </x:c>
      <x:c r="I81" s="3"/>
      <x:c r="J81" s="10" t="n">
        <x:v>45932</x:v>
      </x:c>
      <x:c r="K81" s="8" t="n">
        <x:f>INDEX('Сводка'!$S$3:$S$397,U81)</x:f>
        <x:v>284</x:v>
      </x:c>
      <x:c r="L81" s="8" t="n">
        <x:f>INDEX('Сводка'!$S$3:$S$397,V81)</x:f>
        <x:v>292</x:v>
      </x:c>
      <x:c r="M81" s="8" t="n">
        <x:f>INDEX($K$388:$N$400,W81,1)*((J81-$T$405+1)/1000)^INDEX($K$388:$N$400,W81,2)</x:f>
        <x:v>171.55953468919023</x:v>
      </x:c>
      <x:c r="N81" s="8" t="n">
        <x:f>K81-M81</x:f>
        <x:v>112.44046531080977</x:v>
      </x:c>
      <x:c r="O81" s="8" t="n">
        <x:f>ABS(N81)</x:f>
        <x:v>112.44046531080977</x:v>
      </x:c>
      <x:c r="P81" s="8" t="n">
        <x:f>N81^2</x:f>
        <x:v>12642.858239311416</x:v>
      </x:c>
      <x:c r="Q81" s="8" t="n">
        <x:f>K81-L81</x:f>
        <x:v>-8</x:v>
      </x:c>
      <x:c r="R81" s="9" t="n">
        <x:f>IF(AND(INDEX('Сводка'!$T$3:$T$397,U81)=0,INDEX('Сводка'!$T$3:$T$397,V81)=0),1,0)</x:f>
        <x:v>1</x:v>
      </x:c>
      <x:c r="S81" s="9" t="n">
        <x:f>IF(AND(R81=1,O81&lt;=$G$13),1,0)</x:f>
        <x:v>0</x:v>
      </x:c>
      <x:c r="T81" s="10" t="n">
        <x:f>EOMONTH(J81-'Сводка'!$B$11,-1)</x:f>
        <x:v>45930</x:v>
      </x:c>
      <x:c r="U81" s="4" t="n">
        <x:f>MATCH(J81,'Сводка'!$R$3:$R$397,0)</x:f>
        <x:v>92</x:v>
      </x:c>
      <x:c r="V81" s="4" t="n">
        <x:f>MATCH(J81-'Сводка'!$B$11,'Сводка'!$R$3:$R$397,0)</x:f>
        <x:v>91</x:v>
      </x:c>
      <x:c r="W81" s="4" t="n">
        <x:f>MATCH(T81,$J$388:$J$400,0)</x:f>
        <x:v>4</x:v>
      </x:c>
      <x:c r="X81" s="3"/>
      <x:c r="Y81" s="3"/>
      <x:c r="Z81" s="3"/>
    </x:row>
    <x:row r="82" ht="15" customHeight="1">
      <x:c r="A82" s="7" t="str">
        <x:f>IF(64&lt;='Сводка'!$B$3,'Сводка'!$B$4+64,"")</x:f>
      </x:c>
      <x:c r="B82" s="19" t="str">
        <x:f>IF($A82="","",(A82-$T$405+1)/1000)</x:f>
      </x:c>
      <x:c r="C82" s="19" t="str">
        <x:f>IF($A82="","",2*(A82-$T$405)/$T$406-1)</x:f>
      </x:c>
      <x:c r="D82" s="3" t="str">
        <x:f>IF($A82="","",$B$4*B82^$B$5)</x:f>
      </x:c>
      <x:c r="E82" s="3" t="str">
        <x:f>IF($A82="","",SQRT($T$403^2+H82^2))</x:f>
      </x:c>
      <x:c r="F82" s="3" t="str">
        <x:f>IF($A82="","",D82-$T$404*E82)</x:f>
      </x:c>
      <x:c r="G82" s="3" t="str">
        <x:f>IF($A82="","",D82+$T$404*E82)</x:f>
      </x:c>
      <x:c r="H82" s="3" t="str">
        <x:f>IF($A82="","",SQRT(MAX(0,(B82^$B$5)*$S$409*(B82^$B$5)+(B82^$B$5)*$T$409*($B$4*B82^$B$5*LN(B82))+($B$4*B82^$B$5*LN(B82))*$S$410*(B82^$B$5)+($B$4*B82^$B$5*LN(B82))*$T$410*($B$4*B82^$B$5*LN(B82)))))</x:f>
      </x:c>
      <x:c r="I82" s="3"/>
      <x:c r="J82" s="10" t="n">
        <x:v>45933</x:v>
      </x:c>
      <x:c r="K82" s="8" t="n">
        <x:f>INDEX('Сводка'!$S$3:$S$397,U82)</x:f>
        <x:v>274</x:v>
      </x:c>
      <x:c r="L82" s="8" t="n">
        <x:f>INDEX('Сводка'!$S$3:$S$397,V82)</x:f>
        <x:v>284</x:v>
      </x:c>
      <x:c r="M82" s="8" t="n">
        <x:f>INDEX($K$388:$N$400,W82,1)*((J82-$T$405+1)/1000)^INDEX($K$388:$N$400,W82,2)</x:f>
        <x:v>171.58401989674414</x:v>
      </x:c>
      <x:c r="N82" s="8" t="n">
        <x:f>K82-M82</x:f>
        <x:v>102.41598010325586</x:v>
      </x:c>
      <x:c r="O82" s="8" t="n">
        <x:f>ABS(N82)</x:f>
        <x:v>102.41598010325586</x:v>
      </x:c>
      <x:c r="P82" s="8" t="n">
        <x:f>N82^2</x:f>
        <x:v>10489.032980510501</x:v>
      </x:c>
      <x:c r="Q82" s="8" t="n">
        <x:f>K82-L82</x:f>
        <x:v>-10</x:v>
      </x:c>
      <x:c r="R82" s="9" t="n">
        <x:f>IF(AND(INDEX('Сводка'!$T$3:$T$397,U82)=0,INDEX('Сводка'!$T$3:$T$397,V82)=0),1,0)</x:f>
        <x:v>1</x:v>
      </x:c>
      <x:c r="S82" s="9" t="n">
        <x:f>IF(AND(R82=1,O82&lt;=$G$13),1,0)</x:f>
        <x:v>0</x:v>
      </x:c>
      <x:c r="T82" s="10" t="n">
        <x:f>EOMONTH(J82-'Сводка'!$B$11,-1)</x:f>
        <x:v>45930</x:v>
      </x:c>
      <x:c r="U82" s="4" t="n">
        <x:f>MATCH(J82,'Сводка'!$R$3:$R$397,0)</x:f>
        <x:v>93</x:v>
      </x:c>
      <x:c r="V82" s="4" t="n">
        <x:f>MATCH(J82-'Сводка'!$B$11,'Сводка'!$R$3:$R$397,0)</x:f>
        <x:v>92</x:v>
      </x:c>
      <x:c r="W82" s="4" t="n">
        <x:f>MATCH(T82,$J$388:$J$400,0)</x:f>
        <x:v>4</x:v>
      </x:c>
      <x:c r="X82" s="3"/>
      <x:c r="Y82" s="3"/>
      <x:c r="Z82" s="3"/>
    </x:row>
    <x:row r="83" ht="15" customHeight="1">
      <x:c r="A83" s="7" t="str">
        <x:f>IF(65&lt;='Сводка'!$B$3,'Сводка'!$B$4+65,"")</x:f>
      </x:c>
      <x:c r="B83" s="19" t="str">
        <x:f>IF($A83="","",(A83-$T$405+1)/1000)</x:f>
      </x:c>
      <x:c r="C83" s="19" t="str">
        <x:f>IF($A83="","",2*(A83-$T$405)/$T$406-1)</x:f>
      </x:c>
      <x:c r="D83" s="3" t="str">
        <x:f>IF($A83="","",$B$4*B83^$B$5)</x:f>
      </x:c>
      <x:c r="E83" s="3" t="str">
        <x:f>IF($A83="","",SQRT($T$403^2+H83^2))</x:f>
      </x:c>
      <x:c r="F83" s="3" t="str">
        <x:f>IF($A83="","",D83-$T$404*E83)</x:f>
      </x:c>
      <x:c r="G83" s="3" t="str">
        <x:f>IF($A83="","",D83+$T$404*E83)</x:f>
      </x:c>
      <x:c r="H83" s="3" t="str">
        <x:f>IF($A83="","",SQRT(MAX(0,(B83^$B$5)*$S$409*(B83^$B$5)+(B83^$B$5)*$T$409*($B$4*B83^$B$5*LN(B83))+($B$4*B83^$B$5*LN(B83))*$S$410*(B83^$B$5)+($B$4*B83^$B$5*LN(B83))*$T$410*($B$4*B83^$B$5*LN(B83)))))</x:f>
      </x:c>
      <x:c r="I83" s="3"/>
      <x:c r="J83" s="10" t="n">
        <x:v>45934</x:v>
      </x:c>
      <x:c r="K83" s="8" t="n">
        <x:f>INDEX('Сводка'!$S$3:$S$397,U83)</x:f>
        <x:v>258</x:v>
      </x:c>
      <x:c r="L83" s="8" t="n">
        <x:f>INDEX('Сводка'!$S$3:$S$397,V83)</x:f>
        <x:v>274</x:v>
      </x:c>
      <x:c r="M83" s="8" t="n">
        <x:f>INDEX($K$388:$N$400,W83,1)*((J83-$T$405+1)/1000)^INDEX($K$388:$N$400,W83,2)</x:f>
        <x:v>171.60850577656663</x:v>
      </x:c>
      <x:c r="N83" s="8" t="n">
        <x:f>K83-M83</x:f>
        <x:v>86.39149422343337</x:v>
      </x:c>
      <x:c r="O83" s="8" t="n">
        <x:f>ABS(N83)</x:f>
        <x:v>86.39149422343337</x:v>
      </x:c>
      <x:c r="P83" s="8" t="n">
        <x:f>N83^2</x:f>
        <x:v>7463.4902741575215</x:v>
      </x:c>
      <x:c r="Q83" s="8" t="n">
        <x:f>K83-L83</x:f>
        <x:v>-16</x:v>
      </x:c>
      <x:c r="R83" s="9" t="n">
        <x:f>IF(AND(INDEX('Сводка'!$T$3:$T$397,U83)=0,INDEX('Сводка'!$T$3:$T$397,V83)=0),1,0)</x:f>
        <x:v>1</x:v>
      </x:c>
      <x:c r="S83" s="9" t="n">
        <x:f>IF(AND(R83=1,O83&lt;=$G$13),1,0)</x:f>
        <x:v>0</x:v>
      </x:c>
      <x:c r="T83" s="10" t="n">
        <x:f>EOMONTH(J83-'Сводка'!$B$11,-1)</x:f>
        <x:v>45930</x:v>
      </x:c>
      <x:c r="U83" s="4" t="n">
        <x:f>MATCH(J83,'Сводка'!$R$3:$R$397,0)</x:f>
        <x:v>94</x:v>
      </x:c>
      <x:c r="V83" s="4" t="n">
        <x:f>MATCH(J83-'Сводка'!$B$11,'Сводка'!$R$3:$R$397,0)</x:f>
        <x:v>93</x:v>
      </x:c>
      <x:c r="W83" s="4" t="n">
        <x:f>MATCH(T83,$J$388:$J$400,0)</x:f>
        <x:v>4</x:v>
      </x:c>
      <x:c r="X83" s="3"/>
      <x:c r="Y83" s="3"/>
      <x:c r="Z83" s="3"/>
    </x:row>
    <x:row r="84" ht="15" customHeight="1">
      <x:c r="A84" s="7" t="str">
        <x:f>IF(66&lt;='Сводка'!$B$3,'Сводка'!$B$4+66,"")</x:f>
      </x:c>
      <x:c r="B84" s="19" t="str">
        <x:f>IF($A84="","",(A84-$T$405+1)/1000)</x:f>
      </x:c>
      <x:c r="C84" s="19" t="str">
        <x:f>IF($A84="","",2*(A84-$T$405)/$T$406-1)</x:f>
      </x:c>
      <x:c r="D84" s="3" t="str">
        <x:f>IF($A84="","",$B$4*B84^$B$5)</x:f>
      </x:c>
      <x:c r="E84" s="3" t="str">
        <x:f>IF($A84="","",SQRT($T$403^2+H84^2))</x:f>
      </x:c>
      <x:c r="F84" s="3" t="str">
        <x:f>IF($A84="","",D84-$T$404*E84)</x:f>
      </x:c>
      <x:c r="G84" s="3" t="str">
        <x:f>IF($A84="","",D84+$T$404*E84)</x:f>
      </x:c>
      <x:c r="H84" s="3" t="str">
        <x:f>IF($A84="","",SQRT(MAX(0,(B84^$B$5)*$S$409*(B84^$B$5)+(B84^$B$5)*$T$409*($B$4*B84^$B$5*LN(B84))+($B$4*B84^$B$5*LN(B84))*$S$410*(B84^$B$5)+($B$4*B84^$B$5*LN(B84))*$T$410*($B$4*B84^$B$5*LN(B84)))))</x:f>
      </x:c>
      <x:c r="I84" s="3"/>
      <x:c r="J84" s="10" t="n">
        <x:v>45935</x:v>
      </x:c>
      <x:c r="K84" s="8" t="n">
        <x:f>INDEX('Сводка'!$S$3:$S$397,U84)</x:f>
        <x:v>240</x:v>
      </x:c>
      <x:c r="L84" s="8" t="n">
        <x:f>INDEX('Сводка'!$S$3:$S$397,V84)</x:f>
        <x:v>258</x:v>
      </x:c>
      <x:c r="M84" s="8" t="n">
        <x:f>INDEX($K$388:$N$400,W84,1)*((J84-$T$405+1)/1000)^INDEX($K$388:$N$400,W84,2)</x:f>
        <x:v>171.63299232859862</x:v>
      </x:c>
      <x:c r="N84" s="8" t="n">
        <x:f>K84-M84</x:f>
        <x:v>68.36700767140138</x:v>
      </x:c>
      <x:c r="O84" s="8" t="n">
        <x:f>ABS(N84)</x:f>
        <x:v>68.36700767140138</x:v>
      </x:c>
      <x:c r="P84" s="8" t="n">
        <x:f>N84^2</x:f>
        <x:v>4674.047737941455</x:v>
      </x:c>
      <x:c r="Q84" s="8" t="n">
        <x:f>K84-L84</x:f>
        <x:v>-18</x:v>
      </x:c>
      <x:c r="R84" s="9" t="n">
        <x:f>IF(AND(INDEX('Сводка'!$T$3:$T$397,U84)=0,INDEX('Сводка'!$T$3:$T$397,V84)=0),1,0)</x:f>
        <x:v>1</x:v>
      </x:c>
      <x:c r="S84" s="9" t="n">
        <x:f>IF(AND(R84=1,O84&lt;=$G$13),1,0)</x:f>
        <x:v>0</x:v>
      </x:c>
      <x:c r="T84" s="10" t="n">
        <x:f>EOMONTH(J84-'Сводка'!$B$11,-1)</x:f>
        <x:v>45930</x:v>
      </x:c>
      <x:c r="U84" s="4" t="n">
        <x:f>MATCH(J84,'Сводка'!$R$3:$R$397,0)</x:f>
        <x:v>95</x:v>
      </x:c>
      <x:c r="V84" s="4" t="n">
        <x:f>MATCH(J84-'Сводка'!$B$11,'Сводка'!$R$3:$R$397,0)</x:f>
        <x:v>94</x:v>
      </x:c>
      <x:c r="W84" s="4" t="n">
        <x:f>MATCH(T84,$J$388:$J$400,0)</x:f>
        <x:v>4</x:v>
      </x:c>
      <x:c r="X84" s="3"/>
      <x:c r="Y84" s="3"/>
      <x:c r="Z84" s="3"/>
    </x:row>
    <x:row r="85" ht="15" customHeight="1">
      <x:c r="A85" s="7" t="str">
        <x:f>IF(67&lt;='Сводка'!$B$3,'Сводка'!$B$4+67,"")</x:f>
      </x:c>
      <x:c r="B85" s="19" t="str">
        <x:f>IF($A85="","",(A85-$T$405+1)/1000)</x:f>
      </x:c>
      <x:c r="C85" s="19" t="str">
        <x:f>IF($A85="","",2*(A85-$T$405)/$T$406-1)</x:f>
      </x:c>
      <x:c r="D85" s="3" t="str">
        <x:f>IF($A85="","",$B$4*B85^$B$5)</x:f>
      </x:c>
      <x:c r="E85" s="3" t="str">
        <x:f>IF($A85="","",SQRT($T$403^2+H85^2))</x:f>
      </x:c>
      <x:c r="F85" s="3" t="str">
        <x:f>IF($A85="","",D85-$T$404*E85)</x:f>
      </x:c>
      <x:c r="G85" s="3" t="str">
        <x:f>IF($A85="","",D85+$T$404*E85)</x:f>
      </x:c>
      <x:c r="H85" s="3" t="str">
        <x:f>IF($A85="","",SQRT(MAX(0,(B85^$B$5)*$S$409*(B85^$B$5)+(B85^$B$5)*$T$409*($B$4*B85^$B$5*LN(B85))+($B$4*B85^$B$5*LN(B85))*$S$410*(B85^$B$5)+($B$4*B85^$B$5*LN(B85))*$T$410*($B$4*B85^$B$5*LN(B85)))))</x:f>
      </x:c>
      <x:c r="I85" s="3"/>
      <x:c r="J85" s="10" t="n">
        <x:v>45936</x:v>
      </x:c>
      <x:c r="K85" s="8" t="n">
        <x:f>INDEX('Сводка'!$S$3:$S$397,U85)</x:f>
        <x:v>224</x:v>
      </x:c>
      <x:c r="L85" s="8" t="n">
        <x:f>INDEX('Сводка'!$S$3:$S$397,V85)</x:f>
        <x:v>240</x:v>
      </x:c>
      <x:c r="M85" s="8" t="n">
        <x:f>INDEX($K$388:$N$400,W85,1)*((J85-$T$405+1)/1000)^INDEX($K$388:$N$400,W85,2)</x:f>
        <x:v>171.6574795527811</x:v>
      </x:c>
      <x:c r="N85" s="8" t="n">
        <x:f>K85-M85</x:f>
        <x:v>52.3425204472189</x:v>
      </x:c>
      <x:c r="O85" s="8" t="n">
        <x:f>ABS(N85)</x:f>
        <x:v>52.3425204472189</x:v>
      </x:c>
      <x:c r="P85" s="8" t="n">
        <x:f>N85^2</x:f>
        <x:v>2739.739446767529</x:v>
      </x:c>
      <x:c r="Q85" s="8" t="n">
        <x:f>K85-L85</x:f>
        <x:v>-16</x:v>
      </x:c>
      <x:c r="R85" s="9" t="n">
        <x:f>IF(AND(INDEX('Сводка'!$T$3:$T$397,U85)=0,INDEX('Сводка'!$T$3:$T$397,V85)=0),1,0)</x:f>
        <x:v>1</x:v>
      </x:c>
      <x:c r="S85" s="9" t="n">
        <x:f>IF(AND(R85=1,O85&lt;=$G$13),1,0)</x:f>
        <x:v>0</x:v>
      </x:c>
      <x:c r="T85" s="10" t="n">
        <x:f>EOMONTH(J85-'Сводка'!$B$11,-1)</x:f>
        <x:v>45930</x:v>
      </x:c>
      <x:c r="U85" s="4" t="n">
        <x:f>MATCH(J85,'Сводка'!$R$3:$R$397,0)</x:f>
        <x:v>96</x:v>
      </x:c>
      <x:c r="V85" s="4" t="n">
        <x:f>MATCH(J85-'Сводка'!$B$11,'Сводка'!$R$3:$R$397,0)</x:f>
        <x:v>95</x:v>
      </x:c>
      <x:c r="W85" s="4" t="n">
        <x:f>MATCH(T85,$J$388:$J$400,0)</x:f>
        <x:v>4</x:v>
      </x:c>
      <x:c r="X85" s="3"/>
      <x:c r="Y85" s="3"/>
      <x:c r="Z85" s="3"/>
    </x:row>
    <x:row r="86" ht="15" customHeight="1">
      <x:c r="A86" s="7" t="str">
        <x:f>IF(68&lt;='Сводка'!$B$3,'Сводка'!$B$4+68,"")</x:f>
      </x:c>
      <x:c r="B86" s="19" t="str">
        <x:f>IF($A86="","",(A86-$T$405+1)/1000)</x:f>
      </x:c>
      <x:c r="C86" s="19" t="str">
        <x:f>IF($A86="","",2*(A86-$T$405)/$T$406-1)</x:f>
      </x:c>
      <x:c r="D86" s="3" t="str">
        <x:f>IF($A86="","",$B$4*B86^$B$5)</x:f>
      </x:c>
      <x:c r="E86" s="3" t="str">
        <x:f>IF($A86="","",SQRT($T$403^2+H86^2))</x:f>
      </x:c>
      <x:c r="F86" s="3" t="str">
        <x:f>IF($A86="","",D86-$T$404*E86)</x:f>
      </x:c>
      <x:c r="G86" s="3" t="str">
        <x:f>IF($A86="","",D86+$T$404*E86)</x:f>
      </x:c>
      <x:c r="H86" s="3" t="str">
        <x:f>IF($A86="","",SQRT(MAX(0,(B86^$B$5)*$S$409*(B86^$B$5)+(B86^$B$5)*$T$409*($B$4*B86^$B$5*LN(B86))+($B$4*B86^$B$5*LN(B86))*$S$410*(B86^$B$5)+($B$4*B86^$B$5*LN(B86))*$T$410*($B$4*B86^$B$5*LN(B86)))))</x:f>
      </x:c>
      <x:c r="I86" s="3"/>
      <x:c r="J86" s="10" t="n">
        <x:v>45937</x:v>
      </x:c>
      <x:c r="K86" s="8" t="n">
        <x:f>INDEX('Сводка'!$S$3:$S$397,U86)</x:f>
        <x:v>210</x:v>
      </x:c>
      <x:c r="L86" s="8" t="n">
        <x:f>INDEX('Сводка'!$S$3:$S$397,V86)</x:f>
        <x:v>224</x:v>
      </x:c>
      <x:c r="M86" s="8" t="n">
        <x:f>INDEX($K$388:$N$400,W86,1)*((J86-$T$405+1)/1000)^INDEX($K$388:$N$400,W86,2)</x:f>
        <x:v>171.6819674490551</x:v>
      </x:c>
      <x:c r="N86" s="8" t="n">
        <x:f>K86-M86</x:f>
        <x:v>38.318032550944906</x:v>
      </x:c>
      <x:c r="O86" s="8" t="n">
        <x:f>ABS(N86)</x:f>
        <x:v>38.318032550944906</x:v>
      </x:c>
      <x:c r="P86" s="8" t="n">
        <x:f>N86^2</x:f>
        <x:v>1468.2716185752734</x:v>
      </x:c>
      <x:c r="Q86" s="8" t="n">
        <x:f>K86-L86</x:f>
        <x:v>-14</x:v>
      </x:c>
      <x:c r="R86" s="9" t="n">
        <x:f>IF(AND(INDEX('Сводка'!$T$3:$T$397,U86)=0,INDEX('Сводка'!$T$3:$T$397,V86)=0),1,0)</x:f>
        <x:v>1</x:v>
      </x:c>
      <x:c r="S86" s="9" t="n">
        <x:f>IF(AND(R86=1,O86&lt;=$G$13),1,0)</x:f>
        <x:v>0</x:v>
      </x:c>
      <x:c r="T86" s="10" t="n">
        <x:f>EOMONTH(J86-'Сводка'!$B$11,-1)</x:f>
        <x:v>45930</x:v>
      </x:c>
      <x:c r="U86" s="4" t="n">
        <x:f>MATCH(J86,'Сводка'!$R$3:$R$397,0)</x:f>
        <x:v>97</x:v>
      </x:c>
      <x:c r="V86" s="4" t="n">
        <x:f>MATCH(J86-'Сводка'!$B$11,'Сводка'!$R$3:$R$397,0)</x:f>
        <x:v>96</x:v>
      </x:c>
      <x:c r="W86" s="4" t="n">
        <x:f>MATCH(T86,$J$388:$J$400,0)</x:f>
        <x:v>4</x:v>
      </x:c>
      <x:c r="X86" s="3"/>
      <x:c r="Y86" s="3"/>
      <x:c r="Z86" s="3"/>
    </x:row>
    <x:row r="87" ht="15" customHeight="1">
      <x:c r="A87" s="7" t="str">
        <x:f>IF(69&lt;='Сводка'!$B$3,'Сводка'!$B$4+69,"")</x:f>
      </x:c>
      <x:c r="B87" s="19" t="str">
        <x:f>IF($A87="","",(A87-$T$405+1)/1000)</x:f>
      </x:c>
      <x:c r="C87" s="19" t="str">
        <x:f>IF($A87="","",2*(A87-$T$405)/$T$406-1)</x:f>
      </x:c>
      <x:c r="D87" s="3" t="str">
        <x:f>IF($A87="","",$B$4*B87^$B$5)</x:f>
      </x:c>
      <x:c r="E87" s="3" t="str">
        <x:f>IF($A87="","",SQRT($T$403^2+H87^2))</x:f>
      </x:c>
      <x:c r="F87" s="3" t="str">
        <x:f>IF($A87="","",D87-$T$404*E87)</x:f>
      </x:c>
      <x:c r="G87" s="3" t="str">
        <x:f>IF($A87="","",D87+$T$404*E87)</x:f>
      </x:c>
      <x:c r="H87" s="3" t="str">
        <x:f>IF($A87="","",SQRT(MAX(0,(B87^$B$5)*$S$409*(B87^$B$5)+(B87^$B$5)*$T$409*($B$4*B87^$B$5*LN(B87))+($B$4*B87^$B$5*LN(B87))*$S$410*(B87^$B$5)+($B$4*B87^$B$5*LN(B87))*$T$410*($B$4*B87^$B$5*LN(B87)))))</x:f>
      </x:c>
      <x:c r="I87" s="3"/>
      <x:c r="J87" s="10" t="n">
        <x:v>45938</x:v>
      </x:c>
      <x:c r="K87" s="8" t="n">
        <x:f>INDEX('Сводка'!$S$3:$S$397,U87)</x:f>
        <x:v>198</x:v>
      </x:c>
      <x:c r="L87" s="8" t="n">
        <x:f>INDEX('Сводка'!$S$3:$S$397,V87)</x:f>
        <x:v>210</x:v>
      </x:c>
      <x:c r="M87" s="8" t="n">
        <x:f>INDEX($K$388:$N$400,W87,1)*((J87-$T$405+1)/1000)^INDEX($K$388:$N$400,W87,2)</x:f>
        <x:v>171.70645601736172</x:v>
      </x:c>
      <x:c r="N87" s="8" t="n">
        <x:f>K87-M87</x:f>
        <x:v>26.293543982638283</x:v>
      </x:c>
      <x:c r="O87" s="8" t="n">
        <x:f>ABS(N87)</x:f>
        <x:v>26.293543982638283</x:v>
      </x:c>
      <x:c r="P87" s="8" t="n">
        <x:f>N87^2</x:f>
        <x:v>691.3504551669339</x:v>
      </x:c>
      <x:c r="Q87" s="8" t="n">
        <x:f>K87-L87</x:f>
        <x:v>-12</x:v>
      </x:c>
      <x:c r="R87" s="9" t="n">
        <x:f>IF(AND(INDEX('Сводка'!$T$3:$T$397,U87)=0,INDEX('Сводка'!$T$3:$T$397,V87)=0),1,0)</x:f>
        <x:v>1</x:v>
      </x:c>
      <x:c r="S87" s="9" t="n">
        <x:f>IF(AND(R87=1,O87&lt;=$G$13),1,0)</x:f>
        <x:v>0</x:v>
      </x:c>
      <x:c r="T87" s="10" t="n">
        <x:f>EOMONTH(J87-'Сводка'!$B$11,-1)</x:f>
        <x:v>45930</x:v>
      </x:c>
      <x:c r="U87" s="4" t="n">
        <x:f>MATCH(J87,'Сводка'!$R$3:$R$397,0)</x:f>
        <x:v>98</x:v>
      </x:c>
      <x:c r="V87" s="4" t="n">
        <x:f>MATCH(J87-'Сводка'!$B$11,'Сводка'!$R$3:$R$397,0)</x:f>
        <x:v>97</x:v>
      </x:c>
      <x:c r="W87" s="4" t="n">
        <x:f>MATCH(T87,$J$388:$J$400,0)</x:f>
        <x:v>4</x:v>
      </x:c>
      <x:c r="X87" s="3"/>
      <x:c r="Y87" s="3"/>
      <x:c r="Z87" s="3"/>
    </x:row>
    <x:row r="88" ht="15" customHeight="1">
      <x:c r="A88" s="7" t="str">
        <x:f>IF(70&lt;='Сводка'!$B$3,'Сводка'!$B$4+70,"")</x:f>
      </x:c>
      <x:c r="B88" s="19" t="str">
        <x:f>IF($A88="","",(A88-$T$405+1)/1000)</x:f>
      </x:c>
      <x:c r="C88" s="19" t="str">
        <x:f>IF($A88="","",2*(A88-$T$405)/$T$406-1)</x:f>
      </x:c>
      <x:c r="D88" s="3" t="str">
        <x:f>IF($A88="","",$B$4*B88^$B$5)</x:f>
      </x:c>
      <x:c r="E88" s="3" t="str">
        <x:f>IF($A88="","",SQRT($T$403^2+H88^2))</x:f>
      </x:c>
      <x:c r="F88" s="3" t="str">
        <x:f>IF($A88="","",D88-$T$404*E88)</x:f>
      </x:c>
      <x:c r="G88" s="3" t="str">
        <x:f>IF($A88="","",D88+$T$404*E88)</x:f>
      </x:c>
      <x:c r="H88" s="3" t="str">
        <x:f>IF($A88="","",SQRT(MAX(0,(B88^$B$5)*$S$409*(B88^$B$5)+(B88^$B$5)*$T$409*($B$4*B88^$B$5*LN(B88))+($B$4*B88^$B$5*LN(B88))*$S$410*(B88^$B$5)+($B$4*B88^$B$5*LN(B88))*$T$410*($B$4*B88^$B$5*LN(B88)))))</x:f>
      </x:c>
      <x:c r="I88" s="3"/>
      <x:c r="J88" s="10" t="n">
        <x:v>45939</x:v>
      </x:c>
      <x:c r="K88" s="8" t="n">
        <x:f>INDEX('Сводка'!$S$3:$S$397,U88)</x:f>
        <x:v>178</x:v>
      </x:c>
      <x:c r="L88" s="8" t="n">
        <x:f>INDEX('Сводка'!$S$3:$S$397,V88)</x:f>
        <x:v>198</x:v>
      </x:c>
      <x:c r="M88" s="8" t="n">
        <x:f>INDEX($K$388:$N$400,W88,1)*((J88-$T$405+1)/1000)^INDEX($K$388:$N$400,W88,2)</x:f>
        <x:v>171.73094525764188</x:v>
      </x:c>
      <x:c r="N88" s="8" t="n">
        <x:f>K88-M88</x:f>
        <x:v>6.269054742358122</x:v>
      </x:c>
      <x:c r="O88" s="8" t="n">
        <x:f>ABS(N88)</x:f>
        <x:v>6.269054742358122</x:v>
      </x:c>
      <x:c r="P88" s="8" t="n">
        <x:f>N88^2</x:f>
        <x:v>39.301047362682866</x:v>
      </x:c>
      <x:c r="Q88" s="8" t="n">
        <x:f>K88-L88</x:f>
        <x:v>-20</x:v>
      </x:c>
      <x:c r="R88" s="9" t="n">
        <x:f>IF(AND(INDEX('Сводка'!$T$3:$T$397,U88)=0,INDEX('Сводка'!$T$3:$T$397,V88)=0),1,0)</x:f>
        <x:v>1</x:v>
      </x:c>
      <x:c r="S88" s="9" t="n">
        <x:f>IF(AND(R88=1,O88&lt;=$G$13),1,0)</x:f>
        <x:v>1</x:v>
      </x:c>
      <x:c r="T88" s="10" t="n">
        <x:f>EOMONTH(J88-'Сводка'!$B$11,-1)</x:f>
        <x:v>45930</x:v>
      </x:c>
      <x:c r="U88" s="4" t="n">
        <x:f>MATCH(J88,'Сводка'!$R$3:$R$397,0)</x:f>
        <x:v>99</x:v>
      </x:c>
      <x:c r="V88" s="4" t="n">
        <x:f>MATCH(J88-'Сводка'!$B$11,'Сводка'!$R$3:$R$397,0)</x:f>
        <x:v>98</x:v>
      </x:c>
      <x:c r="W88" s="4" t="n">
        <x:f>MATCH(T88,$J$388:$J$400,0)</x:f>
        <x:v>4</x:v>
      </x:c>
      <x:c r="X88" s="3"/>
      <x:c r="Y88" s="3"/>
      <x:c r="Z88" s="3"/>
    </x:row>
    <x:row r="89" ht="15" customHeight="1">
      <x:c r="A89" s="7" t="str">
        <x:f>IF(71&lt;='Сводка'!$B$3,'Сводка'!$B$4+71,"")</x:f>
      </x:c>
      <x:c r="B89" s="19" t="str">
        <x:f>IF($A89="","",(A89-$T$405+1)/1000)</x:f>
      </x:c>
      <x:c r="C89" s="19" t="str">
        <x:f>IF($A89="","",2*(A89-$T$405)/$T$406-1)</x:f>
      </x:c>
      <x:c r="D89" s="3" t="str">
        <x:f>IF($A89="","",$B$4*B89^$B$5)</x:f>
      </x:c>
      <x:c r="E89" s="3" t="str">
        <x:f>IF($A89="","",SQRT($T$403^2+H89^2))</x:f>
      </x:c>
      <x:c r="F89" s="3" t="str">
        <x:f>IF($A89="","",D89-$T$404*E89)</x:f>
      </x:c>
      <x:c r="G89" s="3" t="str">
        <x:f>IF($A89="","",D89+$T$404*E89)</x:f>
      </x:c>
      <x:c r="H89" s="3" t="str">
        <x:f>IF($A89="","",SQRT(MAX(0,(B89^$B$5)*$S$409*(B89^$B$5)+(B89^$B$5)*$T$409*($B$4*B89^$B$5*LN(B89))+($B$4*B89^$B$5*LN(B89))*$S$410*(B89^$B$5)+($B$4*B89^$B$5*LN(B89))*$T$410*($B$4*B89^$B$5*LN(B89)))))</x:f>
      </x:c>
      <x:c r="I89" s="3"/>
      <x:c r="J89" s="10" t="n">
        <x:v>45940</x:v>
      </x:c>
      <x:c r="K89" s="8" t="n">
        <x:f>INDEX('Сводка'!$S$3:$S$397,U89)</x:f>
        <x:v>163</x:v>
      </x:c>
      <x:c r="L89" s="8" t="n">
        <x:f>INDEX('Сводка'!$S$3:$S$397,V89)</x:f>
        <x:v>178</x:v>
      </x:c>
      <x:c r="M89" s="8" t="n">
        <x:f>INDEX($K$388:$N$400,W89,1)*((J89-$T$405+1)/1000)^INDEX($K$388:$N$400,W89,2)</x:f>
        <x:v>171.7554351698367</x:v>
      </x:c>
      <x:c r="N89" s="8" t="n">
        <x:f>K89-M89</x:f>
        <x:v>-8.755435169836687</x:v>
      </x:c>
      <x:c r="O89" s="8" t="n">
        <x:f>ABS(N89)</x:f>
        <x:v>8.755435169836687</x:v>
      </x:c>
      <x:c r="P89" s="8" t="n">
        <x:f>N89^2</x:f>
        <x:v>76.65764501321318</x:v>
      </x:c>
      <x:c r="Q89" s="8" t="n">
        <x:f>K89-L89</x:f>
        <x:v>-15</x:v>
      </x:c>
      <x:c r="R89" s="9" t="n">
        <x:f>IF(AND(INDEX('Сводка'!$T$3:$T$397,U89)=0,INDEX('Сводка'!$T$3:$T$397,V89)=0),1,0)</x:f>
        <x:v>1</x:v>
      </x:c>
      <x:c r="S89" s="9" t="n">
        <x:f>IF(AND(R89=1,O89&lt;=$G$13),1,0)</x:f>
        <x:v>0</x:v>
      </x:c>
      <x:c r="T89" s="10" t="n">
        <x:f>EOMONTH(J89-'Сводка'!$B$11,-1)</x:f>
        <x:v>45930</x:v>
      </x:c>
      <x:c r="U89" s="4" t="n">
        <x:f>MATCH(J89,'Сводка'!$R$3:$R$397,0)</x:f>
        <x:v>100</x:v>
      </x:c>
      <x:c r="V89" s="4" t="n">
        <x:f>MATCH(J89-'Сводка'!$B$11,'Сводка'!$R$3:$R$397,0)</x:f>
        <x:v>99</x:v>
      </x:c>
      <x:c r="W89" s="4" t="n">
        <x:f>MATCH(T89,$J$388:$J$400,0)</x:f>
        <x:v>4</x:v>
      </x:c>
      <x:c r="X89" s="3"/>
      <x:c r="Y89" s="3"/>
      <x:c r="Z89" s="3"/>
    </x:row>
    <x:row r="90" ht="15" customHeight="1">
      <x:c r="A90" s="7" t="str">
        <x:f>IF(72&lt;='Сводка'!$B$3,'Сводка'!$B$4+72,"")</x:f>
      </x:c>
      <x:c r="B90" s="19" t="str">
        <x:f>IF($A90="","",(A90-$T$405+1)/1000)</x:f>
      </x:c>
      <x:c r="C90" s="19" t="str">
        <x:f>IF($A90="","",2*(A90-$T$405)/$T$406-1)</x:f>
      </x:c>
      <x:c r="D90" s="3" t="str">
        <x:f>IF($A90="","",$B$4*B90^$B$5)</x:f>
      </x:c>
      <x:c r="E90" s="3" t="str">
        <x:f>IF($A90="","",SQRT($T$403^2+H90^2))</x:f>
      </x:c>
      <x:c r="F90" s="3" t="str">
        <x:f>IF($A90="","",D90-$T$404*E90)</x:f>
      </x:c>
      <x:c r="G90" s="3" t="str">
        <x:f>IF($A90="","",D90+$T$404*E90)</x:f>
      </x:c>
      <x:c r="H90" s="3" t="str">
        <x:f>IF($A90="","",SQRT(MAX(0,(B90^$B$5)*$S$409*(B90^$B$5)+(B90^$B$5)*$T$409*($B$4*B90^$B$5*LN(B90))+($B$4*B90^$B$5*LN(B90))*$S$410*(B90^$B$5)+($B$4*B90^$B$5*LN(B90))*$T$410*($B$4*B90^$B$5*LN(B90)))))</x:f>
      </x:c>
      <x:c r="I90" s="3"/>
      <x:c r="J90" s="10" t="n">
        <x:v>45941</x:v>
      </x:c>
      <x:c r="K90" s="8" t="n">
        <x:f>INDEX('Сводка'!$S$3:$S$397,U90)</x:f>
        <x:v>152</x:v>
      </x:c>
      <x:c r="L90" s="8" t="n">
        <x:f>INDEX('Сводка'!$S$3:$S$397,V90)</x:f>
        <x:v>163</x:v>
      </x:c>
      <x:c r="M90" s="8" t="n">
        <x:f>INDEX($K$388:$N$400,W90,1)*((J90-$T$405+1)/1000)^INDEX($K$388:$N$400,W90,2)</x:f>
        <x:v>171.77992575388723</x:v>
      </x:c>
      <x:c r="N90" s="8" t="n">
        <x:f>K90-M90</x:f>
        <x:v>-19.779925753887227</x:v>
      </x:c>
      <x:c r="O90" s="8" t="n">
        <x:f>ABS(N90)</x:f>
        <x:v>19.779925753887227</x:v>
      </x:c>
      <x:c r="P90" s="8" t="n">
        <x:f>N90^2</x:f>
        <x:v>391.24546282929117</x:v>
      </x:c>
      <x:c r="Q90" s="8" t="n">
        <x:f>K90-L90</x:f>
        <x:v>-11</x:v>
      </x:c>
      <x:c r="R90" s="9" t="n">
        <x:f>IF(AND(INDEX('Сводка'!$T$3:$T$397,U90)=0,INDEX('Сводка'!$T$3:$T$397,V90)=0),1,0)</x:f>
        <x:v>1</x:v>
      </x:c>
      <x:c r="S90" s="9" t="n">
        <x:f>IF(AND(R90=1,O90&lt;=$G$13),1,0)</x:f>
        <x:v>0</x:v>
      </x:c>
      <x:c r="T90" s="10" t="n">
        <x:f>EOMONTH(J90-'Сводка'!$B$11,-1)</x:f>
        <x:v>45930</x:v>
      </x:c>
      <x:c r="U90" s="4" t="n">
        <x:f>MATCH(J90,'Сводка'!$R$3:$R$397,0)</x:f>
        <x:v>101</x:v>
      </x:c>
      <x:c r="V90" s="4" t="n">
        <x:f>MATCH(J90-'Сводка'!$B$11,'Сводка'!$R$3:$R$397,0)</x:f>
        <x:v>100</x:v>
      </x:c>
      <x:c r="W90" s="4" t="n">
        <x:f>MATCH(T90,$J$388:$J$400,0)</x:f>
        <x:v>4</x:v>
      </x:c>
      <x:c r="X90" s="3"/>
      <x:c r="Y90" s="3"/>
      <x:c r="Z90" s="3"/>
    </x:row>
    <x:row r="91" ht="15" customHeight="1">
      <x:c r="A91" s="7" t="str">
        <x:f>IF(73&lt;='Сводка'!$B$3,'Сводка'!$B$4+73,"")</x:f>
      </x:c>
      <x:c r="B91" s="19" t="str">
        <x:f>IF($A91="","",(A91-$T$405+1)/1000)</x:f>
      </x:c>
      <x:c r="C91" s="19" t="str">
        <x:f>IF($A91="","",2*(A91-$T$405)/$T$406-1)</x:f>
      </x:c>
      <x:c r="D91" s="3" t="str">
        <x:f>IF($A91="","",$B$4*B91^$B$5)</x:f>
      </x:c>
      <x:c r="E91" s="3" t="str">
        <x:f>IF($A91="","",SQRT($T$403^2+H91^2))</x:f>
      </x:c>
      <x:c r="F91" s="3" t="str">
        <x:f>IF($A91="","",D91-$T$404*E91)</x:f>
      </x:c>
      <x:c r="G91" s="3" t="str">
        <x:f>IF($A91="","",D91+$T$404*E91)</x:f>
      </x:c>
      <x:c r="H91" s="3" t="str">
        <x:f>IF($A91="","",SQRT(MAX(0,(B91^$B$5)*$S$409*(B91^$B$5)+(B91^$B$5)*$T$409*($B$4*B91^$B$5*LN(B91))+($B$4*B91^$B$5*LN(B91))*$S$410*(B91^$B$5)+($B$4*B91^$B$5*LN(B91))*$T$410*($B$4*B91^$B$5*LN(B91)))))</x:f>
      </x:c>
      <x:c r="I91" s="3"/>
      <x:c r="J91" s="10" t="n">
        <x:v>45942</x:v>
      </x:c>
      <x:c r="K91" s="8" t="n">
        <x:f>INDEX('Сводка'!$S$3:$S$397,U91)</x:f>
        <x:v>138</x:v>
      </x:c>
      <x:c r="L91" s="8" t="n">
        <x:f>INDEX('Сводка'!$S$3:$S$397,V91)</x:f>
        <x:v>152</x:v>
      </x:c>
      <x:c r="M91" s="8" t="n">
        <x:f>INDEX($K$388:$N$400,W91,1)*((J91-$T$405+1)/1000)^INDEX($K$388:$N$400,W91,2)</x:f>
        <x:v>171.8044170097345</x:v>
      </x:c>
      <x:c r="N91" s="8" t="n">
        <x:f>K91-M91</x:f>
        <x:v>-33.80441700973449</x:v>
      </x:c>
      <x:c r="O91" s="8" t="n">
        <x:f>ABS(N91)</x:f>
        <x:v>33.80441700973449</x:v>
      </x:c>
      <x:c r="P91" s="8" t="n">
        <x:f>N91^2</x:f>
        <x:v>1142.7386093680268</x:v>
      </x:c>
      <x:c r="Q91" s="8" t="n">
        <x:f>K91-L91</x:f>
        <x:v>-14</x:v>
      </x:c>
      <x:c r="R91" s="9" t="n">
        <x:f>IF(AND(INDEX('Сводка'!$T$3:$T$397,U91)=0,INDEX('Сводка'!$T$3:$T$397,V91)=0),1,0)</x:f>
        <x:v>1</x:v>
      </x:c>
      <x:c r="S91" s="9" t="n">
        <x:f>IF(AND(R91=1,O91&lt;=$G$13),1,0)</x:f>
        <x:v>0</x:v>
      </x:c>
      <x:c r="T91" s="10" t="n">
        <x:f>EOMONTH(J91-'Сводка'!$B$11,-1)</x:f>
        <x:v>45930</x:v>
      </x:c>
      <x:c r="U91" s="4" t="n">
        <x:f>MATCH(J91,'Сводка'!$R$3:$R$397,0)</x:f>
        <x:v>102</x:v>
      </x:c>
      <x:c r="V91" s="4" t="n">
        <x:f>MATCH(J91-'Сводка'!$B$11,'Сводка'!$R$3:$R$397,0)</x:f>
        <x:v>101</x:v>
      </x:c>
      <x:c r="W91" s="4" t="n">
        <x:f>MATCH(T91,$J$388:$J$400,0)</x:f>
        <x:v>4</x:v>
      </x:c>
      <x:c r="X91" s="3"/>
      <x:c r="Y91" s="3"/>
      <x:c r="Z91" s="3"/>
    </x:row>
    <x:row r="92" ht="15" customHeight="1">
      <x:c r="A92" s="7" t="str">
        <x:f>IF(74&lt;='Сводка'!$B$3,'Сводка'!$B$4+74,"")</x:f>
      </x:c>
      <x:c r="B92" s="19" t="str">
        <x:f>IF($A92="","",(A92-$T$405+1)/1000)</x:f>
      </x:c>
      <x:c r="C92" s="19" t="str">
        <x:f>IF($A92="","",2*(A92-$T$405)/$T$406-1)</x:f>
      </x:c>
      <x:c r="D92" s="3" t="str">
        <x:f>IF($A92="","",$B$4*B92^$B$5)</x:f>
      </x:c>
      <x:c r="E92" s="3" t="str">
        <x:f>IF($A92="","",SQRT($T$403^2+H92^2))</x:f>
      </x:c>
      <x:c r="F92" s="3" t="str">
        <x:f>IF($A92="","",D92-$T$404*E92)</x:f>
      </x:c>
      <x:c r="G92" s="3" t="str">
        <x:f>IF($A92="","",D92+$T$404*E92)</x:f>
      </x:c>
      <x:c r="H92" s="3" t="str">
        <x:f>IF($A92="","",SQRT(MAX(0,(B92^$B$5)*$S$409*(B92^$B$5)+(B92^$B$5)*$T$409*($B$4*B92^$B$5*LN(B92))+($B$4*B92^$B$5*LN(B92))*$S$410*(B92^$B$5)+($B$4*B92^$B$5*LN(B92))*$T$410*($B$4*B92^$B$5*LN(B92)))))</x:f>
      </x:c>
      <x:c r="I92" s="3"/>
      <x:c r="J92" s="10" t="n">
        <x:v>45943</x:v>
      </x:c>
      <x:c r="K92" s="8" t="n">
        <x:f>INDEX('Сводка'!$S$3:$S$397,U92)</x:f>
        <x:v>123</x:v>
      </x:c>
      <x:c r="L92" s="8" t="n">
        <x:f>INDEX('Сводка'!$S$3:$S$397,V92)</x:f>
        <x:v>138</x:v>
      </x:c>
      <x:c r="M92" s="8" t="n">
        <x:f>INDEX($K$388:$N$400,W92,1)*((J92-$T$405+1)/1000)^INDEX($K$388:$N$400,W92,2)</x:f>
        <x:v>171.8289089373196</x:v>
      </x:c>
      <x:c r="N92" s="8" t="n">
        <x:f>K92-M92</x:f>
        <x:v>-48.828908937319596</x:v>
      </x:c>
      <x:c r="O92" s="8" t="n">
        <x:f>ABS(N92)</x:f>
        <x:v>48.828908937319596</x:v>
      </x:c>
      <x:c r="P92" s="8" t="n">
        <x:f>N92^2</x:f>
        <x:v>2384.2623480090497</x:v>
      </x:c>
      <x:c r="Q92" s="8" t="n">
        <x:f>K92-L92</x:f>
        <x:v>-15</x:v>
      </x:c>
      <x:c r="R92" s="9" t="n">
        <x:f>IF(AND(INDEX('Сводка'!$T$3:$T$397,U92)=0,INDEX('Сводка'!$T$3:$T$397,V92)=0),1,0)</x:f>
        <x:v>1</x:v>
      </x:c>
      <x:c r="S92" s="9" t="n">
        <x:f>IF(AND(R92=1,O92&lt;=$G$13),1,0)</x:f>
        <x:v>0</x:v>
      </x:c>
      <x:c r="T92" s="10" t="n">
        <x:f>EOMONTH(J92-'Сводка'!$B$11,-1)</x:f>
        <x:v>45930</x:v>
      </x:c>
      <x:c r="U92" s="4" t="n">
        <x:f>MATCH(J92,'Сводка'!$R$3:$R$397,0)</x:f>
        <x:v>103</x:v>
      </x:c>
      <x:c r="V92" s="4" t="n">
        <x:f>MATCH(J92-'Сводка'!$B$11,'Сводка'!$R$3:$R$397,0)</x:f>
        <x:v>102</x:v>
      </x:c>
      <x:c r="W92" s="4" t="n">
        <x:f>MATCH(T92,$J$388:$J$400,0)</x:f>
        <x:v>4</x:v>
      </x:c>
      <x:c r="X92" s="3"/>
      <x:c r="Y92" s="3"/>
      <x:c r="Z92" s="3"/>
    </x:row>
    <x:row r="93" ht="15" customHeight="1">
      <x:c r="A93" s="7" t="str">
        <x:f>IF(75&lt;='Сводка'!$B$3,'Сводка'!$B$4+75,"")</x:f>
      </x:c>
      <x:c r="B93" s="19" t="str">
        <x:f>IF($A93="","",(A93-$T$405+1)/1000)</x:f>
      </x:c>
      <x:c r="C93" s="19" t="str">
        <x:f>IF($A93="","",2*(A93-$T$405)/$T$406-1)</x:f>
      </x:c>
      <x:c r="D93" s="3" t="str">
        <x:f>IF($A93="","",$B$4*B93^$B$5)</x:f>
      </x:c>
      <x:c r="E93" s="3" t="str">
        <x:f>IF($A93="","",SQRT($T$403^2+H93^2))</x:f>
      </x:c>
      <x:c r="F93" s="3" t="str">
        <x:f>IF($A93="","",D93-$T$404*E93)</x:f>
      </x:c>
      <x:c r="G93" s="3" t="str">
        <x:f>IF($A93="","",D93+$T$404*E93)</x:f>
      </x:c>
      <x:c r="H93" s="3" t="str">
        <x:f>IF($A93="","",SQRT(MAX(0,(B93^$B$5)*$S$409*(B93^$B$5)+(B93^$B$5)*$T$409*($B$4*B93^$B$5*LN(B93))+($B$4*B93^$B$5*LN(B93))*$S$410*(B93^$B$5)+($B$4*B93^$B$5*LN(B93))*$T$410*($B$4*B93^$B$5*LN(B93)))))</x:f>
      </x:c>
      <x:c r="I93" s="3"/>
      <x:c r="J93" s="10" t="n">
        <x:v>45944</x:v>
      </x:c>
      <x:c r="K93" s="8" t="n">
        <x:f>INDEX('Сводка'!$S$3:$S$397,U93)</x:f>
        <x:v>111</x:v>
      </x:c>
      <x:c r="L93" s="8" t="n">
        <x:f>INDEX('Сводка'!$S$3:$S$397,V93)</x:f>
        <x:v>123</x:v>
      </x:c>
      <x:c r="M93" s="8" t="n">
        <x:f>INDEX($K$388:$N$400,W93,1)*((J93-$T$405+1)/1000)^INDEX($K$388:$N$400,W93,2)</x:f>
        <x:v>171.85340153658368</x:v>
      </x:c>
      <x:c r="N93" s="8" t="n">
        <x:f>K93-M93</x:f>
        <x:v>-60.853401536583675</x:v>
      </x:c>
      <x:c r="O93" s="8" t="n">
        <x:f>ABS(N93)</x:f>
        <x:v>60.853401536583675</x:v>
      </x:c>
      <x:c r="P93" s="8" t="n">
        <x:f>N93^2</x:f>
        <x:v>3703.1364785726846</x:v>
      </x:c>
      <x:c r="Q93" s="8" t="n">
        <x:f>K93-L93</x:f>
        <x:v>-12</x:v>
      </x:c>
      <x:c r="R93" s="9" t="n">
        <x:f>IF(AND(INDEX('Сводка'!$T$3:$T$397,U93)=0,INDEX('Сводка'!$T$3:$T$397,V93)=0),1,0)</x:f>
        <x:v>1</x:v>
      </x:c>
      <x:c r="S93" s="9" t="n">
        <x:f>IF(AND(R93=1,O93&lt;=$G$13),1,0)</x:f>
        <x:v>0</x:v>
      </x:c>
      <x:c r="T93" s="10" t="n">
        <x:f>EOMONTH(J93-'Сводка'!$B$11,-1)</x:f>
        <x:v>45930</x:v>
      </x:c>
      <x:c r="U93" s="4" t="n">
        <x:f>MATCH(J93,'Сводка'!$R$3:$R$397,0)</x:f>
        <x:v>104</x:v>
      </x:c>
      <x:c r="V93" s="4" t="n">
        <x:f>MATCH(J93-'Сводка'!$B$11,'Сводка'!$R$3:$R$397,0)</x:f>
        <x:v>103</x:v>
      </x:c>
      <x:c r="W93" s="4" t="n">
        <x:f>MATCH(T93,$J$388:$J$400,0)</x:f>
        <x:v>4</x:v>
      </x:c>
      <x:c r="X93" s="3"/>
      <x:c r="Y93" s="3"/>
      <x:c r="Z93" s="3"/>
    </x:row>
    <x:row r="94" ht="15" customHeight="1">
      <x:c r="A94" s="7" t="str">
        <x:f>IF(76&lt;='Сводка'!$B$3,'Сводка'!$B$4+76,"")</x:f>
      </x:c>
      <x:c r="B94" s="19" t="str">
        <x:f>IF($A94="","",(A94-$T$405+1)/1000)</x:f>
      </x:c>
      <x:c r="C94" s="19" t="str">
        <x:f>IF($A94="","",2*(A94-$T$405)/$T$406-1)</x:f>
      </x:c>
      <x:c r="D94" s="3" t="str">
        <x:f>IF($A94="","",$B$4*B94^$B$5)</x:f>
      </x:c>
      <x:c r="E94" s="3" t="str">
        <x:f>IF($A94="","",SQRT($T$403^2+H94^2))</x:f>
      </x:c>
      <x:c r="F94" s="3" t="str">
        <x:f>IF($A94="","",D94-$T$404*E94)</x:f>
      </x:c>
      <x:c r="G94" s="3" t="str">
        <x:f>IF($A94="","",D94+$T$404*E94)</x:f>
      </x:c>
      <x:c r="H94" s="3" t="str">
        <x:f>IF($A94="","",SQRT(MAX(0,(B94^$B$5)*$S$409*(B94^$B$5)+(B94^$B$5)*$T$409*($B$4*B94^$B$5*LN(B94))+($B$4*B94^$B$5*LN(B94))*$S$410*(B94^$B$5)+($B$4*B94^$B$5*LN(B94))*$T$410*($B$4*B94^$B$5*LN(B94)))))</x:f>
      </x:c>
      <x:c r="I94" s="3"/>
      <x:c r="J94" s="10" t="n">
        <x:v>45945</x:v>
      </x:c>
      <x:c r="K94" s="8" t="n">
        <x:f>INDEX('Сводка'!$S$3:$S$397,U94)</x:f>
        <x:v>100</x:v>
      </x:c>
      <x:c r="L94" s="8" t="n">
        <x:f>INDEX('Сводка'!$S$3:$S$397,V94)</x:f>
        <x:v>111</x:v>
      </x:c>
      <x:c r="M94" s="8" t="n">
        <x:f>INDEX($K$388:$N$400,W94,1)*((J94-$T$405+1)/1000)^INDEX($K$388:$N$400,W94,2)</x:f>
        <x:v>171.87789480746778</x:v>
      </x:c>
      <x:c r="N94" s="8" t="n">
        <x:f>K94-M94</x:f>
        <x:v>-71.87789480746778</x:v>
      </x:c>
      <x:c r="O94" s="8" t="n">
        <x:f>ABS(N94)</x:f>
        <x:v>71.87789480746778</x:v>
      </x:c>
      <x:c r="P94" s="8" t="n">
        <x:f>N94^2</x:f>
        <x:v>5166.431761953404</x:v>
      </x:c>
      <x:c r="Q94" s="8" t="n">
        <x:f>K94-L94</x:f>
        <x:v>-11</x:v>
      </x:c>
      <x:c r="R94" s="9" t="n">
        <x:f>IF(AND(INDEX('Сводка'!$T$3:$T$397,U94)=0,INDEX('Сводка'!$T$3:$T$397,V94)=0),1,0)</x:f>
        <x:v>1</x:v>
      </x:c>
      <x:c r="S94" s="9" t="n">
        <x:f>IF(AND(R94=1,O94&lt;=$G$13),1,0)</x:f>
        <x:v>0</x:v>
      </x:c>
      <x:c r="T94" s="10" t="n">
        <x:f>EOMONTH(J94-'Сводка'!$B$11,-1)</x:f>
        <x:v>45930</x:v>
      </x:c>
      <x:c r="U94" s="4" t="n">
        <x:f>MATCH(J94,'Сводка'!$R$3:$R$397,0)</x:f>
        <x:v>105</x:v>
      </x:c>
      <x:c r="V94" s="4" t="n">
        <x:f>MATCH(J94-'Сводка'!$B$11,'Сводка'!$R$3:$R$397,0)</x:f>
        <x:v>104</x:v>
      </x:c>
      <x:c r="W94" s="4" t="n">
        <x:f>MATCH(T94,$J$388:$J$400,0)</x:f>
        <x:v>4</x:v>
      </x:c>
      <x:c r="X94" s="3"/>
      <x:c r="Y94" s="3"/>
      <x:c r="Z94" s="3"/>
    </x:row>
    <x:row r="95" ht="15" customHeight="1">
      <x:c r="A95" s="7" t="str">
        <x:f>IF(77&lt;='Сводка'!$B$3,'Сводка'!$B$4+77,"")</x:f>
      </x:c>
      <x:c r="B95" s="19" t="str">
        <x:f>IF($A95="","",(A95-$T$405+1)/1000)</x:f>
      </x:c>
      <x:c r="C95" s="19" t="str">
        <x:f>IF($A95="","",2*(A95-$T$405)/$T$406-1)</x:f>
      </x:c>
      <x:c r="D95" s="3" t="str">
        <x:f>IF($A95="","",$B$4*B95^$B$5)</x:f>
      </x:c>
      <x:c r="E95" s="3" t="str">
        <x:f>IF($A95="","",SQRT($T$403^2+H95^2))</x:f>
      </x:c>
      <x:c r="F95" s="3" t="str">
        <x:f>IF($A95="","",D95-$T$404*E95)</x:f>
      </x:c>
      <x:c r="G95" s="3" t="str">
        <x:f>IF($A95="","",D95+$T$404*E95)</x:f>
      </x:c>
      <x:c r="H95" s="3" t="str">
        <x:f>IF($A95="","",SQRT(MAX(0,(B95^$B$5)*$S$409*(B95^$B$5)+(B95^$B$5)*$T$409*($B$4*B95^$B$5*LN(B95))+($B$4*B95^$B$5*LN(B95))*$S$410*(B95^$B$5)+($B$4*B95^$B$5*LN(B95))*$T$410*($B$4*B95^$B$5*LN(B95)))))</x:f>
      </x:c>
      <x:c r="I95" s="3"/>
      <x:c r="J95" s="10" t="n">
        <x:v>45946</x:v>
      </x:c>
      <x:c r="K95" s="8" t="n">
        <x:f>INDEX('Сводка'!$S$3:$S$397,U95)</x:f>
        <x:v>89</x:v>
      </x:c>
      <x:c r="L95" s="8" t="n">
        <x:f>INDEX('Сводка'!$S$3:$S$397,V95)</x:f>
        <x:v>100</x:v>
      </x:c>
      <x:c r="M95" s="8" t="n">
        <x:f>INDEX($K$388:$N$400,W95,1)*((J95-$T$405+1)/1000)^INDEX($K$388:$N$400,W95,2)</x:f>
        <x:v>171.90238874991303</x:v>
      </x:c>
      <x:c r="N95" s="8" t="n">
        <x:f>K95-M95</x:f>
        <x:v>-82.90238874991303</x:v>
      </x:c>
      <x:c r="O95" s="8" t="n">
        <x:f>ABS(N95)</x:f>
        <x:v>82.90238874991303</x:v>
      </x:c>
      <x:c r="P95" s="8" t="n">
        <x:f>N95^2</x:f>
        <x:v>6872.806060441707</x:v>
      </x:c>
      <x:c r="Q95" s="8" t="n">
        <x:f>K95-L95</x:f>
        <x:v>-11</x:v>
      </x:c>
      <x:c r="R95" s="9" t="n">
        <x:f>IF(AND(INDEX('Сводка'!$T$3:$T$397,U95)=0,INDEX('Сводка'!$T$3:$T$397,V95)=0),1,0)</x:f>
        <x:v>1</x:v>
      </x:c>
      <x:c r="S95" s="9" t="n">
        <x:f>IF(AND(R95=1,O95&lt;=$G$13),1,0)</x:f>
        <x:v>0</x:v>
      </x:c>
      <x:c r="T95" s="10" t="n">
        <x:f>EOMONTH(J95-'Сводка'!$B$11,-1)</x:f>
        <x:v>45930</x:v>
      </x:c>
      <x:c r="U95" s="4" t="n">
        <x:f>MATCH(J95,'Сводка'!$R$3:$R$397,0)</x:f>
        <x:v>106</x:v>
      </x:c>
      <x:c r="V95" s="4" t="n">
        <x:f>MATCH(J95-'Сводка'!$B$11,'Сводка'!$R$3:$R$397,0)</x:f>
        <x:v>105</x:v>
      </x:c>
      <x:c r="W95" s="4" t="n">
        <x:f>MATCH(T95,$J$388:$J$400,0)</x:f>
        <x:v>4</x:v>
      </x:c>
      <x:c r="X95" s="3"/>
      <x:c r="Y95" s="3"/>
      <x:c r="Z95" s="3"/>
    </x:row>
    <x:row r="96" ht="15" customHeight="1">
      <x:c r="A96" s="7" t="str">
        <x:f>IF(78&lt;='Сводка'!$B$3,'Сводка'!$B$4+78,"")</x:f>
      </x:c>
      <x:c r="B96" s="19" t="str">
        <x:f>IF($A96="","",(A96-$T$405+1)/1000)</x:f>
      </x:c>
      <x:c r="C96" s="19" t="str">
        <x:f>IF($A96="","",2*(A96-$T$405)/$T$406-1)</x:f>
      </x:c>
      <x:c r="D96" s="3" t="str">
        <x:f>IF($A96="","",$B$4*B96^$B$5)</x:f>
      </x:c>
      <x:c r="E96" s="3" t="str">
        <x:f>IF($A96="","",SQRT($T$403^2+H96^2))</x:f>
      </x:c>
      <x:c r="F96" s="3" t="str">
        <x:f>IF($A96="","",D96-$T$404*E96)</x:f>
      </x:c>
      <x:c r="G96" s="3" t="str">
        <x:f>IF($A96="","",D96+$T$404*E96)</x:f>
      </x:c>
      <x:c r="H96" s="3" t="str">
        <x:f>IF($A96="","",SQRT(MAX(0,(B96^$B$5)*$S$409*(B96^$B$5)+(B96^$B$5)*$T$409*($B$4*B96^$B$5*LN(B96))+($B$4*B96^$B$5*LN(B96))*$S$410*(B96^$B$5)+($B$4*B96^$B$5*LN(B96))*$T$410*($B$4*B96^$B$5*LN(B96)))))</x:f>
      </x:c>
      <x:c r="I96" s="3"/>
      <x:c r="J96" s="10" t="n">
        <x:v>45947</x:v>
      </x:c>
      <x:c r="K96" s="8" t="n">
        <x:f>INDEX('Сводка'!$S$3:$S$397,U96)</x:f>
        <x:v>79</x:v>
      </x:c>
      <x:c r="L96" s="8" t="n">
        <x:f>INDEX('Сводка'!$S$3:$S$397,V96)</x:f>
        <x:v>89</x:v>
      </x:c>
      <x:c r="M96" s="8" t="n">
        <x:f>INDEX($K$388:$N$400,W96,1)*((J96-$T$405+1)/1000)^INDEX($K$388:$N$400,W96,2)</x:f>
        <x:v>171.92688336386064</x:v>
      </x:c>
      <x:c r="N96" s="8" t="n">
        <x:f>K96-M96</x:f>
        <x:v>-92.92688336386064</x:v>
      </x:c>
      <x:c r="O96" s="8" t="n">
        <x:f>ABS(N96)</x:f>
        <x:v>92.92688336386064</x:v>
      </x:c>
      <x:c r="P96" s="8" t="n">
        <x:f>N96^2</x:f>
        <x:v>8635.405651720559</x:v>
      </x:c>
      <x:c r="Q96" s="8" t="n">
        <x:f>K96-L96</x:f>
        <x:v>-10</x:v>
      </x:c>
      <x:c r="R96" s="9" t="n">
        <x:f>IF(AND(INDEX('Сводка'!$T$3:$T$397,U96)=0,INDEX('Сводка'!$T$3:$T$397,V96)=0),1,0)</x:f>
        <x:v>1</x:v>
      </x:c>
      <x:c r="S96" s="9" t="n">
        <x:f>IF(AND(R96=1,O96&lt;=$G$13),1,0)</x:f>
        <x:v>0</x:v>
      </x:c>
      <x:c r="T96" s="10" t="n">
        <x:f>EOMONTH(J96-'Сводка'!$B$11,-1)</x:f>
        <x:v>45930</x:v>
      </x:c>
      <x:c r="U96" s="4" t="n">
        <x:f>MATCH(J96,'Сводка'!$R$3:$R$397,0)</x:f>
        <x:v>107</x:v>
      </x:c>
      <x:c r="V96" s="4" t="n">
        <x:f>MATCH(J96-'Сводка'!$B$11,'Сводка'!$R$3:$R$397,0)</x:f>
        <x:v>106</x:v>
      </x:c>
      <x:c r="W96" s="4" t="n">
        <x:f>MATCH(T96,$J$388:$J$400,0)</x:f>
        <x:v>4</x:v>
      </x:c>
      <x:c r="X96" s="3"/>
      <x:c r="Y96" s="3"/>
      <x:c r="Z96" s="3"/>
    </x:row>
    <x:row r="97" ht="15" customHeight="1">
      <x:c r="A97" s="7" t="str">
        <x:f>IF(79&lt;='Сводка'!$B$3,'Сводка'!$B$4+79,"")</x:f>
      </x:c>
      <x:c r="B97" s="19" t="str">
        <x:f>IF($A97="","",(A97-$T$405+1)/1000)</x:f>
      </x:c>
      <x:c r="C97" s="19" t="str">
        <x:f>IF($A97="","",2*(A97-$T$405)/$T$406-1)</x:f>
      </x:c>
      <x:c r="D97" s="3" t="str">
        <x:f>IF($A97="","",$B$4*B97^$B$5)</x:f>
      </x:c>
      <x:c r="E97" s="3" t="str">
        <x:f>IF($A97="","",SQRT($T$403^2+H97^2))</x:f>
      </x:c>
      <x:c r="F97" s="3" t="str">
        <x:f>IF($A97="","",D97-$T$404*E97)</x:f>
      </x:c>
      <x:c r="G97" s="3" t="str">
        <x:f>IF($A97="","",D97+$T$404*E97)</x:f>
      </x:c>
      <x:c r="H97" s="3" t="str">
        <x:f>IF($A97="","",SQRT(MAX(0,(B97^$B$5)*$S$409*(B97^$B$5)+(B97^$B$5)*$T$409*($B$4*B97^$B$5*LN(B97))+($B$4*B97^$B$5*LN(B97))*$S$410*(B97^$B$5)+($B$4*B97^$B$5*LN(B97))*$T$410*($B$4*B97^$B$5*LN(B97)))))</x:f>
      </x:c>
      <x:c r="I97" s="3"/>
      <x:c r="J97" s="10" t="n">
        <x:v>45948</x:v>
      </x:c>
      <x:c r="K97" s="8" t="n">
        <x:f>INDEX('Сводка'!$S$3:$S$397,U97)</x:f>
        <x:v>66</x:v>
      </x:c>
      <x:c r="L97" s="8" t="n">
        <x:f>INDEX('Сводка'!$S$3:$S$397,V97)</x:f>
        <x:v>79</x:v>
      </x:c>
      <x:c r="M97" s="8" t="n">
        <x:f>INDEX($K$388:$N$400,W97,1)*((J97-$T$405+1)/1000)^INDEX($K$388:$N$400,W97,2)</x:f>
        <x:v>171.95137864925164</x:v>
      </x:c>
      <x:c r="N97" s="8" t="n">
        <x:f>K97-M97</x:f>
        <x:v>-105.95137864925164</x:v>
      </x:c>
      <x:c r="O97" s="8" t="n">
        <x:f>ABS(N97)</x:f>
        <x:v>105.95137864925164</x:v>
      </x:c>
      <x:c r="P97" s="8" t="n">
        <x:f>N97^2</x:f>
        <x:v>11225.694637677096</x:v>
      </x:c>
      <x:c r="Q97" s="8" t="n">
        <x:f>K97-L97</x:f>
        <x:v>-13</x:v>
      </x:c>
      <x:c r="R97" s="9" t="n">
        <x:f>IF(AND(INDEX('Сводка'!$T$3:$T$397,U97)=0,INDEX('Сводка'!$T$3:$T$397,V97)=0),1,0)</x:f>
        <x:v>1</x:v>
      </x:c>
      <x:c r="S97" s="9" t="n">
        <x:f>IF(AND(R97=1,O97&lt;=$G$13),1,0)</x:f>
        <x:v>0</x:v>
      </x:c>
      <x:c r="T97" s="10" t="n">
        <x:f>EOMONTH(J97-'Сводка'!$B$11,-1)</x:f>
        <x:v>45930</x:v>
      </x:c>
      <x:c r="U97" s="4" t="n">
        <x:f>MATCH(J97,'Сводка'!$R$3:$R$397,0)</x:f>
        <x:v>108</x:v>
      </x:c>
      <x:c r="V97" s="4" t="n">
        <x:f>MATCH(J97-'Сводка'!$B$11,'Сводка'!$R$3:$R$397,0)</x:f>
        <x:v>107</x:v>
      </x:c>
      <x:c r="W97" s="4" t="n">
        <x:f>MATCH(T97,$J$388:$J$400,0)</x:f>
        <x:v>4</x:v>
      </x:c>
      <x:c r="X97" s="3"/>
      <x:c r="Y97" s="3"/>
      <x:c r="Z97" s="3"/>
    </x:row>
    <x:row r="98" ht="15" customHeight="1">
      <x:c r="A98" s="7" t="str">
        <x:f>IF(80&lt;='Сводка'!$B$3,'Сводка'!$B$4+80,"")</x:f>
      </x:c>
      <x:c r="B98" s="19" t="str">
        <x:f>IF($A98="","",(A98-$T$405+1)/1000)</x:f>
      </x:c>
      <x:c r="C98" s="19" t="str">
        <x:f>IF($A98="","",2*(A98-$T$405)/$T$406-1)</x:f>
      </x:c>
      <x:c r="D98" s="3" t="str">
        <x:f>IF($A98="","",$B$4*B98^$B$5)</x:f>
      </x:c>
      <x:c r="E98" s="3" t="str">
        <x:f>IF($A98="","",SQRT($T$403^2+H98^2))</x:f>
      </x:c>
      <x:c r="F98" s="3" t="str">
        <x:f>IF($A98="","",D98-$T$404*E98)</x:f>
      </x:c>
      <x:c r="G98" s="3" t="str">
        <x:f>IF($A98="","",D98+$T$404*E98)</x:f>
      </x:c>
      <x:c r="H98" s="3" t="str">
        <x:f>IF($A98="","",SQRT(MAX(0,(B98^$B$5)*$S$409*(B98^$B$5)+(B98^$B$5)*$T$409*($B$4*B98^$B$5*LN(B98))+($B$4*B98^$B$5*LN(B98))*$S$410*(B98^$B$5)+($B$4*B98^$B$5*LN(B98))*$T$410*($B$4*B98^$B$5*LN(B98)))))</x:f>
      </x:c>
      <x:c r="I98" s="3"/>
      <x:c r="J98" s="10" t="n">
        <x:v>45949</x:v>
      </x:c>
      <x:c r="K98" s="8" t="n">
        <x:f>INDEX('Сводка'!$S$3:$S$397,U98)</x:f>
        <x:v>56</x:v>
      </x:c>
      <x:c r="L98" s="8" t="n">
        <x:f>INDEX('Сводка'!$S$3:$S$397,V98)</x:f>
        <x:v>66</x:v>
      </x:c>
      <x:c r="M98" s="8" t="n">
        <x:f>INDEX($K$388:$N$400,W98,1)*((J98-$T$405+1)/1000)^INDEX($K$388:$N$400,W98,2)</x:f>
        <x:v>171.97587460602722</x:v>
      </x:c>
      <x:c r="N98" s="8" t="n">
        <x:f>K98-M98</x:f>
        <x:v>-115.97587460602722</x:v>
      </x:c>
      <x:c r="O98" s="8" t="n">
        <x:f>ABS(N98)</x:f>
        <x:v>115.97587460602722</x:v>
      </x:c>
      <x:c r="P98" s="8" t="n">
        <x:f>N98^2</x:f>
        <x:v>13450.403490632949</x:v>
      </x:c>
      <x:c r="Q98" s="8" t="n">
        <x:f>K98-L98</x:f>
        <x:v>-10</x:v>
      </x:c>
      <x:c r="R98" s="9" t="n">
        <x:f>IF(AND(INDEX('Сводка'!$T$3:$T$397,U98)=0,INDEX('Сводка'!$T$3:$T$397,V98)=0),1,0)</x:f>
        <x:v>1</x:v>
      </x:c>
      <x:c r="S98" s="9" t="n">
        <x:f>IF(AND(R98=1,O98&lt;=$G$13),1,0)</x:f>
        <x:v>0</x:v>
      </x:c>
      <x:c r="T98" s="10" t="n">
        <x:f>EOMONTH(J98-'Сводка'!$B$11,-1)</x:f>
        <x:v>45930</x:v>
      </x:c>
      <x:c r="U98" s="4" t="n">
        <x:f>MATCH(J98,'Сводка'!$R$3:$R$397,0)</x:f>
        <x:v>109</x:v>
      </x:c>
      <x:c r="V98" s="4" t="n">
        <x:f>MATCH(J98-'Сводка'!$B$11,'Сводка'!$R$3:$R$397,0)</x:f>
        <x:v>108</x:v>
      </x:c>
      <x:c r="W98" s="4" t="n">
        <x:f>MATCH(T98,$J$388:$J$400,0)</x:f>
        <x:v>4</x:v>
      </x:c>
      <x:c r="X98" s="3"/>
      <x:c r="Y98" s="3"/>
      <x:c r="Z98" s="3"/>
    </x:row>
    <x:row r="99" ht="15" customHeight="1">
      <x:c r="A99" s="7" t="str">
        <x:f>IF(81&lt;='Сводка'!$B$3,'Сводка'!$B$4+81,"")</x:f>
      </x:c>
      <x:c r="B99" s="19" t="str">
        <x:f>IF($A99="","",(A99-$T$405+1)/1000)</x:f>
      </x:c>
      <x:c r="C99" s="19" t="str">
        <x:f>IF($A99="","",2*(A99-$T$405)/$T$406-1)</x:f>
      </x:c>
      <x:c r="D99" s="3" t="str">
        <x:f>IF($A99="","",$B$4*B99^$B$5)</x:f>
      </x:c>
      <x:c r="E99" s="3" t="str">
        <x:f>IF($A99="","",SQRT($T$403^2+H99^2))</x:f>
      </x:c>
      <x:c r="F99" s="3" t="str">
        <x:f>IF($A99="","",D99-$T$404*E99)</x:f>
      </x:c>
      <x:c r="G99" s="3" t="str">
        <x:f>IF($A99="","",D99+$T$404*E99)</x:f>
      </x:c>
      <x:c r="H99" s="3" t="str">
        <x:f>IF($A99="","",SQRT(MAX(0,(B99^$B$5)*$S$409*(B99^$B$5)+(B99^$B$5)*$T$409*($B$4*B99^$B$5*LN(B99))+($B$4*B99^$B$5*LN(B99))*$S$410*(B99^$B$5)+($B$4*B99^$B$5*LN(B99))*$T$410*($B$4*B99^$B$5*LN(B99)))))</x:f>
      </x:c>
      <x:c r="I99" s="3"/>
      <x:c r="J99" s="10" t="n">
        <x:v>45950</x:v>
      </x:c>
      <x:c r="K99" s="8" t="n">
        <x:f>INDEX('Сводка'!$S$3:$S$397,U99)</x:f>
        <x:v>46</x:v>
      </x:c>
      <x:c r="L99" s="8" t="n">
        <x:f>INDEX('Сводка'!$S$3:$S$397,V99)</x:f>
        <x:v>56</x:v>
      </x:c>
      <x:c r="M99" s="8" t="n">
        <x:f>INDEX($K$388:$N$400,W99,1)*((J99-$T$405+1)/1000)^INDEX($K$388:$N$400,W99,2)</x:f>
        <x:v>172.00037123412858</x:v>
      </x:c>
      <x:c r="N99" s="8" t="n">
        <x:f>K99-M99</x:f>
        <x:v>-126.00037123412858</x:v>
      </x:c>
      <x:c r="O99" s="8" t="n">
        <x:f>ABS(N99)</x:f>
        <x:v>126.00037123412858</x:v>
      </x:c>
      <x:c r="P99" s="8" t="n">
        <x:f>N99^2</x:f>
        <x:v>15876.093551138216</x:v>
      </x:c>
      <x:c r="Q99" s="8" t="n">
        <x:f>K99-L99</x:f>
        <x:v>-10</x:v>
      </x:c>
      <x:c r="R99" s="9" t="n">
        <x:f>IF(AND(INDEX('Сводка'!$T$3:$T$397,U99)=0,INDEX('Сводка'!$T$3:$T$397,V99)=0),1,0)</x:f>
        <x:v>1</x:v>
      </x:c>
      <x:c r="S99" s="9" t="n">
        <x:f>IF(AND(R99=1,O99&lt;=$G$13),1,0)</x:f>
        <x:v>0</x:v>
      </x:c>
      <x:c r="T99" s="10" t="n">
        <x:f>EOMONTH(J99-'Сводка'!$B$11,-1)</x:f>
        <x:v>45930</x:v>
      </x:c>
      <x:c r="U99" s="4" t="n">
        <x:f>MATCH(J99,'Сводка'!$R$3:$R$397,0)</x:f>
        <x:v>110</x:v>
      </x:c>
      <x:c r="V99" s="4" t="n">
        <x:f>MATCH(J99-'Сводка'!$B$11,'Сводка'!$R$3:$R$397,0)</x:f>
        <x:v>109</x:v>
      </x:c>
      <x:c r="W99" s="4" t="n">
        <x:f>MATCH(T99,$J$388:$J$400,0)</x:f>
        <x:v>4</x:v>
      </x:c>
      <x:c r="X99" s="3"/>
      <x:c r="Y99" s="3"/>
      <x:c r="Z99" s="3"/>
    </x:row>
    <x:row r="100" ht="15" customHeight="1">
      <x:c r="A100" s="7" t="str">
        <x:f>IF(82&lt;='Сводка'!$B$3,'Сводка'!$B$4+82,"")</x:f>
      </x:c>
      <x:c r="B100" s="19" t="str">
        <x:f>IF($A100="","",(A100-$T$405+1)/1000)</x:f>
      </x:c>
      <x:c r="C100" s="19" t="str">
        <x:f>IF($A100="","",2*(A100-$T$405)/$T$406-1)</x:f>
      </x:c>
      <x:c r="D100" s="3" t="str">
        <x:f>IF($A100="","",$B$4*B100^$B$5)</x:f>
      </x:c>
      <x:c r="E100" s="3" t="str">
        <x:f>IF($A100="","",SQRT($T$403^2+H100^2))</x:f>
      </x:c>
      <x:c r="F100" s="3" t="str">
        <x:f>IF($A100="","",D100-$T$404*E100)</x:f>
      </x:c>
      <x:c r="G100" s="3" t="str">
        <x:f>IF($A100="","",D100+$T$404*E100)</x:f>
      </x:c>
      <x:c r="H100" s="3" t="str">
        <x:f>IF($A100="","",SQRT(MAX(0,(B100^$B$5)*$S$409*(B100^$B$5)+(B100^$B$5)*$T$409*($B$4*B100^$B$5*LN(B100))+($B$4*B100^$B$5*LN(B100))*$S$410*(B100^$B$5)+($B$4*B100^$B$5*LN(B100))*$T$410*($B$4*B100^$B$5*LN(B100)))))</x:f>
      </x:c>
      <x:c r="I100" s="3"/>
      <x:c r="J100" s="10" t="n">
        <x:v>45951</x:v>
      </x:c>
      <x:c r="K100" s="8" t="n">
        <x:f>INDEX('Сводка'!$S$3:$S$397,U100)</x:f>
        <x:v>36</x:v>
      </x:c>
      <x:c r="L100" s="8" t="n">
        <x:f>INDEX('Сводка'!$S$3:$S$397,V100)</x:f>
        <x:v>46</x:v>
      </x:c>
      <x:c r="M100" s="8" t="n">
        <x:f>INDEX($K$388:$N$400,W100,1)*((J100-$T$405+1)/1000)^INDEX($K$388:$N$400,W100,2)</x:f>
        <x:v>172.02486853349686</x:v>
      </x:c>
      <x:c r="N100" s="8" t="n">
        <x:f>K100-M100</x:f>
        <x:v>-136.02486853349686</x:v>
      </x:c>
      <x:c r="O100" s="8" t="n">
        <x:f>ABS(N100)</x:f>
        <x:v>136.02486853349686</x:v>
      </x:c>
      <x:c r="P100" s="8" t="n">
        <x:f>N100^2</x:f>
        <x:v>18502.764859555104</x:v>
      </x:c>
      <x:c r="Q100" s="8" t="n">
        <x:f>K100-L100</x:f>
        <x:v>-10</x:v>
      </x:c>
      <x:c r="R100" s="9" t="n">
        <x:f>IF(AND(INDEX('Сводка'!$T$3:$T$397,U100)=0,INDEX('Сводка'!$T$3:$T$397,V100)=0),1,0)</x:f>
        <x:v>1</x:v>
      </x:c>
      <x:c r="S100" s="9" t="n">
        <x:f>IF(AND(R100=1,O100&lt;=$G$13),1,0)</x:f>
        <x:v>0</x:v>
      </x:c>
      <x:c r="T100" s="10" t="n">
        <x:f>EOMONTH(J100-'Сводка'!$B$11,-1)</x:f>
        <x:v>45930</x:v>
      </x:c>
      <x:c r="U100" s="4" t="n">
        <x:f>MATCH(J100,'Сводка'!$R$3:$R$397,0)</x:f>
        <x:v>111</x:v>
      </x:c>
      <x:c r="V100" s="4" t="n">
        <x:f>MATCH(J100-'Сводка'!$B$11,'Сводка'!$R$3:$R$397,0)</x:f>
        <x:v>110</x:v>
      </x:c>
      <x:c r="W100" s="4" t="n">
        <x:f>MATCH(T100,$J$388:$J$400,0)</x:f>
        <x:v>4</x:v>
      </x:c>
      <x:c r="X100" s="3"/>
      <x:c r="Y100" s="3"/>
      <x:c r="Z100" s="3"/>
    </x:row>
    <x:row r="101" ht="15" customHeight="1">
      <x:c r="A101" s="7" t="str">
        <x:f>IF(83&lt;='Сводка'!$B$3,'Сводка'!$B$4+83,"")</x:f>
      </x:c>
      <x:c r="B101" s="19" t="str">
        <x:f>IF($A101="","",(A101-$T$405+1)/1000)</x:f>
      </x:c>
      <x:c r="C101" s="19" t="str">
        <x:f>IF($A101="","",2*(A101-$T$405)/$T$406-1)</x:f>
      </x:c>
      <x:c r="D101" s="3" t="str">
        <x:f>IF($A101="","",$B$4*B101^$B$5)</x:f>
      </x:c>
      <x:c r="E101" s="3" t="str">
        <x:f>IF($A101="","",SQRT($T$403^2+H101^2))</x:f>
      </x:c>
      <x:c r="F101" s="3" t="str">
        <x:f>IF($A101="","",D101-$T$404*E101)</x:f>
      </x:c>
      <x:c r="G101" s="3" t="str">
        <x:f>IF($A101="","",D101+$T$404*E101)</x:f>
      </x:c>
      <x:c r="H101" s="3" t="str">
        <x:f>IF($A101="","",SQRT(MAX(0,(B101^$B$5)*$S$409*(B101^$B$5)+(B101^$B$5)*$T$409*($B$4*B101^$B$5*LN(B101))+($B$4*B101^$B$5*LN(B101))*$S$410*(B101^$B$5)+($B$4*B101^$B$5*LN(B101))*$T$410*($B$4*B101^$B$5*LN(B101)))))</x:f>
      </x:c>
      <x:c r="I101" s="3"/>
      <x:c r="J101" s="10" t="n">
        <x:v>45952</x:v>
      </x:c>
      <x:c r="K101" s="8" t="n">
        <x:f>INDEX('Сводка'!$S$3:$S$397,U101)</x:f>
        <x:v>30</x:v>
      </x:c>
      <x:c r="L101" s="8" t="n">
        <x:f>INDEX('Сводка'!$S$3:$S$397,V101)</x:f>
        <x:v>36</x:v>
      </x:c>
      <x:c r="M101" s="8" t="n">
        <x:f>INDEX($K$388:$N$400,W101,1)*((J101-$T$405+1)/1000)^INDEX($K$388:$N$400,W101,2)</x:f>
        <x:v>172.04936650407328</x:v>
      </x:c>
      <x:c r="N101" s="8" t="n">
        <x:f>K101-M101</x:f>
        <x:v>-142.04936650407328</x:v>
      </x:c>
      <x:c r="O101" s="8" t="n">
        <x:f>ABS(N101)</x:f>
        <x:v>142.04936650407328</x:v>
      </x:c>
      <x:c r="P101" s="8" t="n">
        <x:f>N101^2</x:f>
        <x:v>20178.022524208536</x:v>
      </x:c>
      <x:c r="Q101" s="8" t="n">
        <x:f>K101-L101</x:f>
        <x:v>-6</x:v>
      </x:c>
      <x:c r="R101" s="9" t="n">
        <x:f>IF(AND(INDEX('Сводка'!$T$3:$T$397,U101)=0,INDEX('Сводка'!$T$3:$T$397,V101)=0),1,0)</x:f>
        <x:v>1</x:v>
      </x:c>
      <x:c r="S101" s="9" t="n">
        <x:f>IF(AND(R101=1,O101&lt;=$G$13),1,0)</x:f>
        <x:v>0</x:v>
      </x:c>
      <x:c r="T101" s="10" t="n">
        <x:f>EOMONTH(J101-'Сводка'!$B$11,-1)</x:f>
        <x:v>45930</x:v>
      </x:c>
      <x:c r="U101" s="4" t="n">
        <x:f>MATCH(J101,'Сводка'!$R$3:$R$397,0)</x:f>
        <x:v>112</x:v>
      </x:c>
      <x:c r="V101" s="4" t="n">
        <x:f>MATCH(J101-'Сводка'!$B$11,'Сводка'!$R$3:$R$397,0)</x:f>
        <x:v>111</x:v>
      </x:c>
      <x:c r="W101" s="4" t="n">
        <x:f>MATCH(T101,$J$388:$J$400,0)</x:f>
        <x:v>4</x:v>
      </x:c>
      <x:c r="X101" s="3"/>
      <x:c r="Y101" s="3"/>
      <x:c r="Z101" s="3"/>
    </x:row>
    <x:row r="102" ht="15" customHeight="1">
      <x:c r="A102" s="7" t="str">
        <x:f>IF(84&lt;='Сводка'!$B$3,'Сводка'!$B$4+84,"")</x:f>
      </x:c>
      <x:c r="B102" s="19" t="str">
        <x:f>IF($A102="","",(A102-$T$405+1)/1000)</x:f>
      </x:c>
      <x:c r="C102" s="19" t="str">
        <x:f>IF($A102="","",2*(A102-$T$405)/$T$406-1)</x:f>
      </x:c>
      <x:c r="D102" s="3" t="str">
        <x:f>IF($A102="","",$B$4*B102^$B$5)</x:f>
      </x:c>
      <x:c r="E102" s="3" t="str">
        <x:f>IF($A102="","",SQRT($T$403^2+H102^2))</x:f>
      </x:c>
      <x:c r="F102" s="3" t="str">
        <x:f>IF($A102="","",D102-$T$404*E102)</x:f>
      </x:c>
      <x:c r="G102" s="3" t="str">
        <x:f>IF($A102="","",D102+$T$404*E102)</x:f>
      </x:c>
      <x:c r="H102" s="3" t="str">
        <x:f>IF($A102="","",SQRT(MAX(0,(B102^$B$5)*$S$409*(B102^$B$5)+(B102^$B$5)*$T$409*($B$4*B102^$B$5*LN(B102))+($B$4*B102^$B$5*LN(B102))*$S$410*(B102^$B$5)+($B$4*B102^$B$5*LN(B102))*$T$410*($B$4*B102^$B$5*LN(B102)))))</x:f>
      </x:c>
      <x:c r="I102" s="3"/>
      <x:c r="J102" s="10" t="n">
        <x:v>45953</x:v>
      </x:c>
      <x:c r="K102" s="8" t="n">
        <x:f>INDEX('Сводка'!$S$3:$S$397,U102)</x:f>
        <x:v>19</x:v>
      </x:c>
      <x:c r="L102" s="8" t="n">
        <x:f>INDEX('Сводка'!$S$3:$S$397,V102)</x:f>
        <x:v>30</x:v>
      </x:c>
      <x:c r="M102" s="8" t="n">
        <x:f>INDEX($K$388:$N$400,W102,1)*((J102-$T$405+1)/1000)^INDEX($K$388:$N$400,W102,2)</x:f>
        <x:v>172.073865145799</x:v>
      </x:c>
      <x:c r="N102" s="8" t="n">
        <x:f>K102-M102</x:f>
        <x:v>-153.073865145799</x:v>
      </x:c>
      <x:c r="O102" s="8" t="n">
        <x:f>ABS(N102)</x:f>
        <x:v>153.073865145799</x:v>
      </x:c>
      <x:c r="P102" s="8" t="n">
        <x:f>N102^2</x:f>
        <x:v>23431.60819067426</x:v>
      </x:c>
      <x:c r="Q102" s="8" t="n">
        <x:f>K102-L102</x:f>
        <x:v>-11</x:v>
      </x:c>
      <x:c r="R102" s="9" t="n">
        <x:f>IF(AND(INDEX('Сводка'!$T$3:$T$397,U102)=0,INDEX('Сводка'!$T$3:$T$397,V102)=0),1,0)</x:f>
        <x:v>1</x:v>
      </x:c>
      <x:c r="S102" s="9" t="n">
        <x:f>IF(AND(R102=1,O102&lt;=$G$13),1,0)</x:f>
        <x:v>0</x:v>
      </x:c>
      <x:c r="T102" s="10" t="n">
        <x:f>EOMONTH(J102-'Сводка'!$B$11,-1)</x:f>
        <x:v>45930</x:v>
      </x:c>
      <x:c r="U102" s="4" t="n">
        <x:f>MATCH(J102,'Сводка'!$R$3:$R$397,0)</x:f>
        <x:v>113</x:v>
      </x:c>
      <x:c r="V102" s="4" t="n">
        <x:f>MATCH(J102-'Сводка'!$B$11,'Сводка'!$R$3:$R$397,0)</x:f>
        <x:v>112</x:v>
      </x:c>
      <x:c r="W102" s="4" t="n">
        <x:f>MATCH(T102,$J$388:$J$400,0)</x:f>
        <x:v>4</x:v>
      </x:c>
      <x:c r="X102" s="3"/>
      <x:c r="Y102" s="3"/>
      <x:c r="Z102" s="3"/>
    </x:row>
    <x:row r="103" ht="15" customHeight="1">
      <x:c r="A103" s="7" t="str">
        <x:f>IF(85&lt;='Сводка'!$B$3,'Сводка'!$B$4+85,"")</x:f>
      </x:c>
      <x:c r="B103" s="19" t="str">
        <x:f>IF($A103="","",(A103-$T$405+1)/1000)</x:f>
      </x:c>
      <x:c r="C103" s="19" t="str">
        <x:f>IF($A103="","",2*(A103-$T$405)/$T$406-1)</x:f>
      </x:c>
      <x:c r="D103" s="3" t="str">
        <x:f>IF($A103="","",$B$4*B103^$B$5)</x:f>
      </x:c>
      <x:c r="E103" s="3" t="str">
        <x:f>IF($A103="","",SQRT($T$403^2+H103^2))</x:f>
      </x:c>
      <x:c r="F103" s="3" t="str">
        <x:f>IF($A103="","",D103-$T$404*E103)</x:f>
      </x:c>
      <x:c r="G103" s="3" t="str">
        <x:f>IF($A103="","",D103+$T$404*E103)</x:f>
      </x:c>
      <x:c r="H103" s="3" t="str">
        <x:f>IF($A103="","",SQRT(MAX(0,(B103^$B$5)*$S$409*(B103^$B$5)+(B103^$B$5)*$T$409*($B$4*B103^$B$5*LN(B103))+($B$4*B103^$B$5*LN(B103))*$S$410*(B103^$B$5)+($B$4*B103^$B$5*LN(B103))*$T$410*($B$4*B103^$B$5*LN(B103)))))</x:f>
      </x:c>
      <x:c r="I103" s="3"/>
      <x:c r="J103" s="10" t="n">
        <x:v>45954</x:v>
      </x:c>
      <x:c r="K103" s="8" t="n">
        <x:f>INDEX('Сводка'!$S$3:$S$397,U103)</x:f>
        <x:v>12</x:v>
      </x:c>
      <x:c r="L103" s="8" t="n">
        <x:f>INDEX('Сводка'!$S$3:$S$397,V103)</x:f>
        <x:v>19</x:v>
      </x:c>
      <x:c r="M103" s="8" t="n">
        <x:f>INDEX($K$388:$N$400,W103,1)*((J103-$T$405+1)/1000)^INDEX($K$388:$N$400,W103,2)</x:f>
        <x:v>172.09836445861532</x:v>
      </x:c>
      <x:c r="N103" s="8" t="n">
        <x:f>K103-M103</x:f>
        <x:v>-160.09836445861532</x:v>
      </x:c>
      <x:c r="O103" s="8" t="n">
        <x:f>ABS(N103)</x:f>
        <x:v>160.09836445861532</x:v>
      </x:c>
      <x:c r="P103" s="8" t="n">
        <x:f>N103^2</x:f>
        <x:v>25631.48630232362</x:v>
      </x:c>
      <x:c r="Q103" s="8" t="n">
        <x:f>K103-L103</x:f>
        <x:v>-7</x:v>
      </x:c>
      <x:c r="R103" s="9" t="n">
        <x:f>IF(AND(INDEX('Сводка'!$T$3:$T$397,U103)=0,INDEX('Сводка'!$T$3:$T$397,V103)=0),1,0)</x:f>
        <x:v>1</x:v>
      </x:c>
      <x:c r="S103" s="9" t="n">
        <x:f>IF(AND(R103=1,O103&lt;=$G$13),1,0)</x:f>
        <x:v>0</x:v>
      </x:c>
      <x:c r="T103" s="10" t="n">
        <x:f>EOMONTH(J103-'Сводка'!$B$11,-1)</x:f>
        <x:v>45930</x:v>
      </x:c>
      <x:c r="U103" s="4" t="n">
        <x:f>MATCH(J103,'Сводка'!$R$3:$R$397,0)</x:f>
        <x:v>114</x:v>
      </x:c>
      <x:c r="V103" s="4" t="n">
        <x:f>MATCH(J103-'Сводка'!$B$11,'Сводка'!$R$3:$R$397,0)</x:f>
        <x:v>113</x:v>
      </x:c>
      <x:c r="W103" s="4" t="n">
        <x:f>MATCH(T103,$J$388:$J$400,0)</x:f>
        <x:v>4</x:v>
      </x:c>
      <x:c r="X103" s="3"/>
      <x:c r="Y103" s="3"/>
      <x:c r="Z103" s="3"/>
    </x:row>
    <x:row r="104" ht="15" customHeight="1">
      <x:c r="A104" s="7" t="str">
        <x:f>IF(86&lt;='Сводка'!$B$3,'Сводка'!$B$4+86,"")</x:f>
      </x:c>
      <x:c r="B104" s="19" t="str">
        <x:f>IF($A104="","",(A104-$T$405+1)/1000)</x:f>
      </x:c>
      <x:c r="C104" s="19" t="str">
        <x:f>IF($A104="","",2*(A104-$T$405)/$T$406-1)</x:f>
      </x:c>
      <x:c r="D104" s="3" t="str">
        <x:f>IF($A104="","",$B$4*B104^$B$5)</x:f>
      </x:c>
      <x:c r="E104" s="3" t="str">
        <x:f>IF($A104="","",SQRT($T$403^2+H104^2))</x:f>
      </x:c>
      <x:c r="F104" s="3" t="str">
        <x:f>IF($A104="","",D104-$T$404*E104)</x:f>
      </x:c>
      <x:c r="G104" s="3" t="str">
        <x:f>IF($A104="","",D104+$T$404*E104)</x:f>
      </x:c>
      <x:c r="H104" s="3" t="str">
        <x:f>IF($A104="","",SQRT(MAX(0,(B104^$B$5)*$S$409*(B104^$B$5)+(B104^$B$5)*$T$409*($B$4*B104^$B$5*LN(B104))+($B$4*B104^$B$5*LN(B104))*$S$410*(B104^$B$5)+($B$4*B104^$B$5*LN(B104))*$T$410*($B$4*B104^$B$5*LN(B104)))))</x:f>
      </x:c>
      <x:c r="I104" s="3"/>
      <x:c r="J104" s="10" t="n">
        <x:v>45955</x:v>
      </x:c>
      <x:c r="K104" s="8" t="n">
        <x:f>INDEX('Сводка'!$S$3:$S$397,U104)</x:f>
        <x:v>5</x:v>
      </x:c>
      <x:c r="L104" s="8" t="n">
        <x:f>INDEX('Сводка'!$S$3:$S$397,V104)</x:f>
        <x:v>12</x:v>
      </x:c>
      <x:c r="M104" s="8" t="n">
        <x:f>INDEX($K$388:$N$400,W104,1)*((J104-$T$405+1)/1000)^INDEX($K$388:$N$400,W104,2)</x:f>
        <x:v>172.12286444246334</x:v>
      </x:c>
      <x:c r="N104" s="8" t="n">
        <x:f>K104-M104</x:f>
        <x:v>-167.12286444246334</x:v>
      </x:c>
      <x:c r="O104" s="8" t="n">
        <x:f>ABS(N104)</x:f>
        <x:v>167.12286444246334</x:v>
      </x:c>
      <x:c r="P104" s="8" t="n">
        <x:f>N104^2</x:f>
        <x:v>27930.051819453976</x:v>
      </x:c>
      <x:c r="Q104" s="8" t="n">
        <x:f>K104-L104</x:f>
        <x:v>-7</x:v>
      </x:c>
      <x:c r="R104" s="9" t="n">
        <x:f>IF(AND(INDEX('Сводка'!$T$3:$T$397,U104)=0,INDEX('Сводка'!$T$3:$T$397,V104)=0),1,0)</x:f>
        <x:v>1</x:v>
      </x:c>
      <x:c r="S104" s="9" t="n">
        <x:f>IF(AND(R104=1,O104&lt;=$G$13),1,0)</x:f>
        <x:v>0</x:v>
      </x:c>
      <x:c r="T104" s="10" t="n">
        <x:f>EOMONTH(J104-'Сводка'!$B$11,-1)</x:f>
        <x:v>45930</x:v>
      </x:c>
      <x:c r="U104" s="4" t="n">
        <x:f>MATCH(J104,'Сводка'!$R$3:$R$397,0)</x:f>
        <x:v>115</x:v>
      </x:c>
      <x:c r="V104" s="4" t="n">
        <x:f>MATCH(J104-'Сводка'!$B$11,'Сводка'!$R$3:$R$397,0)</x:f>
        <x:v>114</x:v>
      </x:c>
      <x:c r="W104" s="4" t="n">
        <x:f>MATCH(T104,$J$388:$J$400,0)</x:f>
        <x:v>4</x:v>
      </x:c>
      <x:c r="X104" s="3"/>
      <x:c r="Y104" s="3"/>
      <x:c r="Z104" s="3"/>
    </x:row>
    <x:row r="105" ht="15" customHeight="1">
      <x:c r="A105" s="7" t="str">
        <x:f>IF(87&lt;='Сводка'!$B$3,'Сводка'!$B$4+87,"")</x:f>
      </x:c>
      <x:c r="B105" s="19" t="str">
        <x:f>IF($A105="","",(A105-$T$405+1)/1000)</x:f>
      </x:c>
      <x:c r="C105" s="19" t="str">
        <x:f>IF($A105="","",2*(A105-$T$405)/$T$406-1)</x:f>
      </x:c>
      <x:c r="D105" s="3" t="str">
        <x:f>IF($A105="","",$B$4*B105^$B$5)</x:f>
      </x:c>
      <x:c r="E105" s="3" t="str">
        <x:f>IF($A105="","",SQRT($T$403^2+H105^2))</x:f>
      </x:c>
      <x:c r="F105" s="3" t="str">
        <x:f>IF($A105="","",D105-$T$404*E105)</x:f>
      </x:c>
      <x:c r="G105" s="3" t="str">
        <x:f>IF($A105="","",D105+$T$404*E105)</x:f>
      </x:c>
      <x:c r="H105" s="3" t="str">
        <x:f>IF($A105="","",SQRT(MAX(0,(B105^$B$5)*$S$409*(B105^$B$5)+(B105^$B$5)*$T$409*($B$4*B105^$B$5*LN(B105))+($B$4*B105^$B$5*LN(B105))*$S$410*(B105^$B$5)+($B$4*B105^$B$5*LN(B105))*$T$410*($B$4*B105^$B$5*LN(B105)))))</x:f>
      </x:c>
      <x:c r="I105" s="3"/>
      <x:c r="J105" s="10" t="n">
        <x:v>45956</x:v>
      </x:c>
      <x:c r="K105" s="8" t="n">
        <x:f>INDEX('Сводка'!$S$3:$S$397,U105)</x:f>
        <x:v>-1</x:v>
      </x:c>
      <x:c r="L105" s="8" t="n">
        <x:f>INDEX('Сводка'!$S$3:$S$397,V105)</x:f>
        <x:v>5</x:v>
      </x:c>
      <x:c r="M105" s="8" t="n">
        <x:f>INDEX($K$388:$N$400,W105,1)*((J105-$T$405+1)/1000)^INDEX($K$388:$N$400,W105,2)</x:f>
        <x:v>172.1473650972844</x:v>
      </x:c>
      <x:c r="N105" s="8" t="n">
        <x:f>K105-M105</x:f>
        <x:v>-173.1473650972844</x:v>
      </x:c>
      <x:c r="O105" s="8" t="n">
        <x:f>ABS(N105)</x:f>
        <x:v>173.1473650972844</x:v>
      </x:c>
      <x:c r="P105" s="8" t="n">
        <x:f>N105^2</x:f>
        <x:v>29980.010040132296</x:v>
      </x:c>
      <x:c r="Q105" s="8" t="n">
        <x:f>K105-L105</x:f>
        <x:v>-6</x:v>
      </x:c>
      <x:c r="R105" s="9" t="n">
        <x:f>IF(AND(INDEX('Сводка'!$T$3:$T$397,U105)=0,INDEX('Сводка'!$T$3:$T$397,V105)=0),1,0)</x:f>
        <x:v>1</x:v>
      </x:c>
      <x:c r="S105" s="9" t="n">
        <x:f>IF(AND(R105=1,O105&lt;=$G$13),1,0)</x:f>
        <x:v>0</x:v>
      </x:c>
      <x:c r="T105" s="10" t="n">
        <x:f>EOMONTH(J105-'Сводка'!$B$11,-1)</x:f>
        <x:v>45930</x:v>
      </x:c>
      <x:c r="U105" s="4" t="n">
        <x:f>MATCH(J105,'Сводка'!$R$3:$R$397,0)</x:f>
        <x:v>116</x:v>
      </x:c>
      <x:c r="V105" s="4" t="n">
        <x:f>MATCH(J105-'Сводка'!$B$11,'Сводка'!$R$3:$R$397,0)</x:f>
        <x:v>115</x:v>
      </x:c>
      <x:c r="W105" s="4" t="n">
        <x:f>MATCH(T105,$J$388:$J$400,0)</x:f>
        <x:v>4</x:v>
      </x:c>
      <x:c r="X105" s="3"/>
      <x:c r="Y105" s="3"/>
      <x:c r="Z105" s="3"/>
    </x:row>
    <x:row r="106" ht="15" customHeight="1">
      <x:c r="A106" s="7" t="str">
        <x:f>IF(88&lt;='Сводка'!$B$3,'Сводка'!$B$4+88,"")</x:f>
      </x:c>
      <x:c r="B106" s="19" t="str">
        <x:f>IF($A106="","",(A106-$T$405+1)/1000)</x:f>
      </x:c>
      <x:c r="C106" s="19" t="str">
        <x:f>IF($A106="","",2*(A106-$T$405)/$T$406-1)</x:f>
      </x:c>
      <x:c r="D106" s="3" t="str">
        <x:f>IF($A106="","",$B$4*B106^$B$5)</x:f>
      </x:c>
      <x:c r="E106" s="3" t="str">
        <x:f>IF($A106="","",SQRT($T$403^2+H106^2))</x:f>
      </x:c>
      <x:c r="F106" s="3" t="str">
        <x:f>IF($A106="","",D106-$T$404*E106)</x:f>
      </x:c>
      <x:c r="G106" s="3" t="str">
        <x:f>IF($A106="","",D106+$T$404*E106)</x:f>
      </x:c>
      <x:c r="H106" s="3" t="str">
        <x:f>IF($A106="","",SQRT(MAX(0,(B106^$B$5)*$S$409*(B106^$B$5)+(B106^$B$5)*$T$409*($B$4*B106^$B$5*LN(B106))+($B$4*B106^$B$5*LN(B106))*$S$410*(B106^$B$5)+($B$4*B106^$B$5*LN(B106))*$T$410*($B$4*B106^$B$5*LN(B106)))))</x:f>
      </x:c>
      <x:c r="I106" s="3"/>
      <x:c r="J106" s="10" t="n">
        <x:v>45957</x:v>
      </x:c>
      <x:c r="K106" s="8" t="n">
        <x:f>INDEX('Сводка'!$S$3:$S$397,U106)</x:f>
        <x:v>-11</x:v>
      </x:c>
      <x:c r="L106" s="8" t="n">
        <x:f>INDEX('Сводка'!$S$3:$S$397,V106)</x:f>
        <x:v>-1</x:v>
      </x:c>
      <x:c r="M106" s="8" t="n">
        <x:f>INDEX($K$388:$N$400,W106,1)*((J106-$T$405+1)/1000)^INDEX($K$388:$N$400,W106,2)</x:f>
        <x:v>172.1718664230197</x:v>
      </x:c>
      <x:c r="N106" s="8" t="n">
        <x:f>K106-M106</x:f>
        <x:v>-183.1718664230197</x:v>
      </x:c>
      <x:c r="O106" s="8" t="n">
        <x:f>ABS(N106)</x:f>
        <x:v>183.1718664230197</x:v>
      </x:c>
      <x:c r="P106" s="8" t="n">
        <x:f>N106^2</x:f>
        <x:v>33551.93264889257</x:v>
      </x:c>
      <x:c r="Q106" s="8" t="n">
        <x:f>K106-L106</x:f>
        <x:v>-10</x:v>
      </x:c>
      <x:c r="R106" s="9" t="n">
        <x:f>IF(AND(INDEX('Сводка'!$T$3:$T$397,U106)=0,INDEX('Сводка'!$T$3:$T$397,V106)=0),1,0)</x:f>
        <x:v>1</x:v>
      </x:c>
      <x:c r="S106" s="9" t="n">
        <x:f>IF(AND(R106=1,O106&lt;=$G$13),1,0)</x:f>
        <x:v>0</x:v>
      </x:c>
      <x:c r="T106" s="10" t="n">
        <x:f>EOMONTH(J106-'Сводка'!$B$11,-1)</x:f>
        <x:v>45930</x:v>
      </x:c>
      <x:c r="U106" s="4" t="n">
        <x:f>MATCH(J106,'Сводка'!$R$3:$R$397,0)</x:f>
        <x:v>117</x:v>
      </x:c>
      <x:c r="V106" s="4" t="n">
        <x:f>MATCH(J106-'Сводка'!$B$11,'Сводка'!$R$3:$R$397,0)</x:f>
        <x:v>116</x:v>
      </x:c>
      <x:c r="W106" s="4" t="n">
        <x:f>MATCH(T106,$J$388:$J$400,0)</x:f>
        <x:v>4</x:v>
      </x:c>
      <x:c r="X106" s="3"/>
      <x:c r="Y106" s="3"/>
      <x:c r="Z106" s="3"/>
    </x:row>
    <x:row r="107" ht="15" customHeight="1">
      <x:c r="A107" s="7" t="str">
        <x:f>IF(89&lt;='Сводка'!$B$3,'Сводка'!$B$4+89,"")</x:f>
      </x:c>
      <x:c r="B107" s="19" t="str">
        <x:f>IF($A107="","",(A107-$T$405+1)/1000)</x:f>
      </x:c>
      <x:c r="C107" s="19" t="str">
        <x:f>IF($A107="","",2*(A107-$T$405)/$T$406-1)</x:f>
      </x:c>
      <x:c r="D107" s="3" t="str">
        <x:f>IF($A107="","",$B$4*B107^$B$5)</x:f>
      </x:c>
      <x:c r="E107" s="3" t="str">
        <x:f>IF($A107="","",SQRT($T$403^2+H107^2))</x:f>
      </x:c>
      <x:c r="F107" s="3" t="str">
        <x:f>IF($A107="","",D107-$T$404*E107)</x:f>
      </x:c>
      <x:c r="G107" s="3" t="str">
        <x:f>IF($A107="","",D107+$T$404*E107)</x:f>
      </x:c>
      <x:c r="H107" s="3" t="str">
        <x:f>IF($A107="","",SQRT(MAX(0,(B107^$B$5)*$S$409*(B107^$B$5)+(B107^$B$5)*$T$409*($B$4*B107^$B$5*LN(B107))+($B$4*B107^$B$5*LN(B107))*$S$410*(B107^$B$5)+($B$4*B107^$B$5*LN(B107))*$T$410*($B$4*B107^$B$5*LN(B107)))))</x:f>
      </x:c>
      <x:c r="I107" s="3"/>
      <x:c r="J107" s="10" t="n">
        <x:v>45958</x:v>
      </x:c>
      <x:c r="K107" s="8" t="n">
        <x:f>INDEX('Сводка'!$S$3:$S$397,U107)</x:f>
        <x:v>-20</x:v>
      </x:c>
      <x:c r="L107" s="8" t="n">
        <x:f>INDEX('Сводка'!$S$3:$S$397,V107)</x:f>
        <x:v>-11</x:v>
      </x:c>
      <x:c r="M107" s="8" t="n">
        <x:f>INDEX($K$388:$N$400,W107,1)*((J107-$T$405+1)/1000)^INDEX($K$388:$N$400,W107,2)</x:f>
        <x:v>172.1963684196105</x:v>
      </x:c>
      <x:c r="N107" s="8" t="n">
        <x:f>K107-M107</x:f>
        <x:v>-192.1963684196105</x:v>
      </x:c>
      <x:c r="O107" s="8" t="n">
        <x:f>ABS(N107)</x:f>
        <x:v>192.1963684196105</x:v>
      </x:c>
      <x:c r="P107" s="8" t="n">
        <x:f>N107^2</x:f>
        <x:v>36939.444033686654</x:v>
      </x:c>
      <x:c r="Q107" s="8" t="n">
        <x:f>K107-L107</x:f>
        <x:v>-9</x:v>
      </x:c>
      <x:c r="R107" s="9" t="n">
        <x:f>IF(AND(INDEX('Сводка'!$T$3:$T$397,U107)=0,INDEX('Сводка'!$T$3:$T$397,V107)=0),1,0)</x:f>
        <x:v>1</x:v>
      </x:c>
      <x:c r="S107" s="9" t="n">
        <x:f>IF(AND(R107=1,O107&lt;=$G$13),1,0)</x:f>
        <x:v>0</x:v>
      </x:c>
      <x:c r="T107" s="10" t="n">
        <x:f>EOMONTH(J107-'Сводка'!$B$11,-1)</x:f>
        <x:v>45930</x:v>
      </x:c>
      <x:c r="U107" s="4" t="n">
        <x:f>MATCH(J107,'Сводка'!$R$3:$R$397,0)</x:f>
        <x:v>118</x:v>
      </x:c>
      <x:c r="V107" s="4" t="n">
        <x:f>MATCH(J107-'Сводка'!$B$11,'Сводка'!$R$3:$R$397,0)</x:f>
        <x:v>117</x:v>
      </x:c>
      <x:c r="W107" s="4" t="n">
        <x:f>MATCH(T107,$J$388:$J$400,0)</x:f>
        <x:v>4</x:v>
      </x:c>
      <x:c r="X107" s="3"/>
      <x:c r="Y107" s="3"/>
      <x:c r="Z107" s="3"/>
    </x:row>
    <x:row r="108" ht="15" customHeight="1">
      <x:c r="A108" s="7" t="str">
        <x:f>IF(90&lt;='Сводка'!$B$3,'Сводка'!$B$4+90,"")</x:f>
      </x:c>
      <x:c r="B108" s="19" t="str">
        <x:f>IF($A108="","",(A108-$T$405+1)/1000)</x:f>
      </x:c>
      <x:c r="C108" s="19" t="str">
        <x:f>IF($A108="","",2*(A108-$T$405)/$T$406-1)</x:f>
      </x:c>
      <x:c r="D108" s="3" t="str">
        <x:f>IF($A108="","",$B$4*B108^$B$5)</x:f>
      </x:c>
      <x:c r="E108" s="3" t="str">
        <x:f>IF($A108="","",SQRT($T$403^2+H108^2))</x:f>
      </x:c>
      <x:c r="F108" s="3" t="str">
        <x:f>IF($A108="","",D108-$T$404*E108)</x:f>
      </x:c>
      <x:c r="G108" s="3" t="str">
        <x:f>IF($A108="","",D108+$T$404*E108)</x:f>
      </x:c>
      <x:c r="H108" s="3" t="str">
        <x:f>IF($A108="","",SQRT(MAX(0,(B108^$B$5)*$S$409*(B108^$B$5)+(B108^$B$5)*$T$409*($B$4*B108^$B$5*LN(B108))+($B$4*B108^$B$5*LN(B108))*$S$410*(B108^$B$5)+($B$4*B108^$B$5*LN(B108))*$T$410*($B$4*B108^$B$5*LN(B108)))))</x:f>
      </x:c>
      <x:c r="I108" s="3"/>
      <x:c r="J108" s="10" t="n">
        <x:v>45959</x:v>
      </x:c>
      <x:c r="K108" s="8" t="n">
        <x:f>INDEX('Сводка'!$S$3:$S$397,U108)</x:f>
        <x:v>-27</x:v>
      </x:c>
      <x:c r="L108" s="8" t="n">
        <x:f>INDEX('Сводка'!$S$3:$S$397,V108)</x:f>
        <x:v>-20</x:v>
      </x:c>
      <x:c r="M108" s="8" t="n">
        <x:f>INDEX($K$388:$N$400,W108,1)*((J108-$T$405+1)/1000)^INDEX($K$388:$N$400,W108,2)</x:f>
        <x:v>172.2208710869981</x:v>
      </x:c>
      <x:c r="N108" s="8" t="n">
        <x:f>K108-M108</x:f>
        <x:v>-199.2208710869981</x:v>
      </x:c>
      <x:c r="O108" s="8" t="n">
        <x:f>ABS(N108)</x:f>
        <x:v>199.2208710869981</x:v>
      </x:c>
      <x:c r="P108" s="8" t="n">
        <x:f>N108^2</x:f>
        <x:v>39688.95547666232</x:v>
      </x:c>
      <x:c r="Q108" s="8" t="n">
        <x:f>K108-L108</x:f>
        <x:v>-7</x:v>
      </x:c>
      <x:c r="R108" s="9" t="n">
        <x:f>IF(AND(INDEX('Сводка'!$T$3:$T$397,U108)=0,INDEX('Сводка'!$T$3:$T$397,V108)=0),1,0)</x:f>
        <x:v>1</x:v>
      </x:c>
      <x:c r="S108" s="9" t="n">
        <x:f>IF(AND(R108=1,O108&lt;=$G$13),1,0)</x:f>
        <x:v>0</x:v>
      </x:c>
      <x:c r="T108" s="10" t="n">
        <x:f>EOMONTH(J108-'Сводка'!$B$11,-1)</x:f>
        <x:v>45930</x:v>
      </x:c>
      <x:c r="U108" s="4" t="n">
        <x:f>MATCH(J108,'Сводка'!$R$3:$R$397,0)</x:f>
        <x:v>119</x:v>
      </x:c>
      <x:c r="V108" s="4" t="n">
        <x:f>MATCH(J108-'Сводка'!$B$11,'Сводка'!$R$3:$R$397,0)</x:f>
        <x:v>118</x:v>
      </x:c>
      <x:c r="W108" s="4" t="n">
        <x:f>MATCH(T108,$J$388:$J$400,0)</x:f>
        <x:v>4</x:v>
      </x:c>
      <x:c r="X108" s="3"/>
      <x:c r="Y108" s="3"/>
      <x:c r="Z108" s="3"/>
    </x:row>
    <x:row r="109" ht="15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10" t="n">
        <x:v>45960</x:v>
      </x:c>
      <x:c r="K109" s="8" t="n">
        <x:f>INDEX('Сводка'!$S$3:$S$397,U109)</x:f>
        <x:v>-33</x:v>
      </x:c>
      <x:c r="L109" s="8" t="n">
        <x:f>INDEX('Сводка'!$S$3:$S$397,V109)</x:f>
        <x:v>-27</x:v>
      </x:c>
      <x:c r="M109" s="8" t="n">
        <x:f>INDEX($K$388:$N$400,W109,1)*((J109-$T$405+1)/1000)^INDEX($K$388:$N$400,W109,2)</x:f>
        <x:v>172.24537442512377</x:v>
      </x:c>
      <x:c r="N109" s="8" t="n">
        <x:f>K109-M109</x:f>
        <x:v>-205.24537442512377</x:v>
      </x:c>
      <x:c r="O109" s="8" t="n">
        <x:f>ABS(N109)</x:f>
        <x:v>205.24537442512377</x:v>
      </x:c>
      <x:c r="P109" s="8" t="n">
        <x:f>N109^2</x:f>
        <x:v>42125.66372290925</x:v>
      </x:c>
      <x:c r="Q109" s="8" t="n">
        <x:f>K109-L109</x:f>
        <x:v>-6</x:v>
      </x:c>
      <x:c r="R109" s="9" t="n">
        <x:f>IF(AND(INDEX('Сводка'!$T$3:$T$397,U109)=0,INDEX('Сводка'!$T$3:$T$397,V109)=0),1,0)</x:f>
        <x:v>1</x:v>
      </x:c>
      <x:c r="S109" s="9" t="n">
        <x:f>IF(AND(R109=1,O109&lt;=$G$13),1,0)</x:f>
        <x:v>0</x:v>
      </x:c>
      <x:c r="T109" s="10" t="n">
        <x:f>EOMONTH(J109-'Сводка'!$B$11,-1)</x:f>
        <x:v>45930</x:v>
      </x:c>
      <x:c r="U109" s="4" t="n">
        <x:f>MATCH(J109,'Сводка'!$R$3:$R$397,0)</x:f>
        <x:v>120</x:v>
      </x:c>
      <x:c r="V109" s="4" t="n">
        <x:f>MATCH(J109-'Сводка'!$B$11,'Сводка'!$R$3:$R$397,0)</x:f>
        <x:v>119</x:v>
      </x:c>
      <x:c r="W109" s="4" t="n">
        <x:f>MATCH(T109,$J$388:$J$400,0)</x:f>
        <x:v>4</x:v>
      </x:c>
      <x:c r="X109" s="3"/>
      <x:c r="Y109" s="3"/>
      <x:c r="Z109" s="3"/>
    </x:row>
    <x:row r="110" ht="15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10" t="n">
        <x:v>45961</x:v>
      </x:c>
      <x:c r="K110" s="8" t="n">
        <x:f>INDEX('Сводка'!$S$3:$S$397,U110)</x:f>
        <x:v>-36</x:v>
      </x:c>
      <x:c r="L110" s="8" t="n">
        <x:f>INDEX('Сводка'!$S$3:$S$397,V110)</x:f>
        <x:v>-33</x:v>
      </x:c>
      <x:c r="M110" s="8" t="n">
        <x:f>INDEX($K$388:$N$400,W110,1)*((J110-$T$405+1)/1000)^INDEX($K$388:$N$400,W110,2)</x:f>
        <x:v>172.26987843392882</x:v>
      </x:c>
      <x:c r="N110" s="8" t="n">
        <x:f>K110-M110</x:f>
        <x:v>-208.26987843392882</x:v>
      </x:c>
      <x:c r="O110" s="8" t="n">
        <x:f>ABS(N110)</x:f>
        <x:v>208.26987843392882</x:v>
      </x:c>
      <x:c r="P110" s="8" t="n">
        <x:f>N110^2</x:f>
        <x:v>43376.34226288349</x:v>
      </x:c>
      <x:c r="Q110" s="8" t="n">
        <x:f>K110-L110</x:f>
        <x:v>-3</x:v>
      </x:c>
      <x:c r="R110" s="9" t="n">
        <x:f>IF(AND(INDEX('Сводка'!$T$3:$T$397,U110)=0,INDEX('Сводка'!$T$3:$T$397,V110)=0),1,0)</x:f>
        <x:v>1</x:v>
      </x:c>
      <x:c r="S110" s="9" t="n">
        <x:f>IF(AND(R110=1,O110&lt;=$G$13),1,0)</x:f>
        <x:v>0</x:v>
      </x:c>
      <x:c r="T110" s="10" t="n">
        <x:f>EOMONTH(J110-'Сводка'!$B$11,-1)</x:f>
        <x:v>45930</x:v>
      </x:c>
      <x:c r="U110" s="4" t="n">
        <x:f>MATCH(J110,'Сводка'!$R$3:$R$397,0)</x:f>
        <x:v>121</x:v>
      </x:c>
      <x:c r="V110" s="4" t="n">
        <x:f>MATCH(J110-'Сводка'!$B$11,'Сводка'!$R$3:$R$397,0)</x:f>
        <x:v>120</x:v>
      </x:c>
      <x:c r="W110" s="4" t="n">
        <x:f>MATCH(T110,$J$388:$J$400,0)</x:f>
        <x:v>4</x:v>
      </x:c>
      <x:c r="X110" s="3"/>
      <x:c r="Y110" s="3"/>
      <x:c r="Z110" s="3"/>
    </x:row>
    <x:row r="111" ht="15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10" t="n">
        <x:v>45962</x:v>
      </x:c>
      <x:c r="K111" s="8" t="n">
        <x:f>INDEX('Сводка'!$S$3:$S$397,U111)</x:f>
        <x:v>-37</x:v>
      </x:c>
      <x:c r="L111" s="8" t="n">
        <x:f>INDEX('Сводка'!$S$3:$S$397,V111)</x:f>
        <x:v>-36</x:v>
      </x:c>
      <x:c r="M111" s="8" t="n">
        <x:f>INDEX($K$388:$N$400,W111,1)*((J111-$T$405+1)/1000)^INDEX($K$388:$N$400,W111,2)</x:f>
        <x:v>172.2943831133545</x:v>
      </x:c>
      <x:c r="N111" s="8" t="n">
        <x:f>K111-M111</x:f>
        <x:v>-209.2943831133545</x:v>
      </x:c>
      <x:c r="O111" s="8" t="n">
        <x:f>ABS(N111)</x:f>
        <x:v>209.2943831133545</x:v>
      </x:c>
      <x:c r="P111" s="8" t="n">
        <x:f>N111^2</x:f>
        <x:v>43804.138802799614</x:v>
      </x:c>
      <x:c r="Q111" s="8" t="n">
        <x:f>K111-L111</x:f>
        <x:v>-1</x:v>
      </x:c>
      <x:c r="R111" s="9" t="n">
        <x:f>IF(AND(INDEX('Сводка'!$T$3:$T$397,U111)=0,INDEX('Сводка'!$T$3:$T$397,V111)=0),1,0)</x:f>
        <x:v>1</x:v>
      </x:c>
      <x:c r="S111" s="9" t="n">
        <x:f>IF(AND(R111=1,O111&lt;=$G$13),1,0)</x:f>
        <x:v>0</x:v>
      </x:c>
      <x:c r="T111" s="10" t="n">
        <x:f>EOMONTH(J111-'Сводка'!$B$11,-1)</x:f>
        <x:v>45930</x:v>
      </x:c>
      <x:c r="U111" s="4" t="n">
        <x:f>MATCH(J111,'Сводка'!$R$3:$R$397,0)</x:f>
        <x:v>122</x:v>
      </x:c>
      <x:c r="V111" s="4" t="n">
        <x:f>MATCH(J111-'Сводка'!$B$11,'Сводка'!$R$3:$R$397,0)</x:f>
        <x:v>121</x:v>
      </x:c>
      <x:c r="W111" s="4" t="n">
        <x:f>MATCH(T111,$J$388:$J$400,0)</x:f>
        <x:v>4</x:v>
      </x:c>
      <x:c r="X111" s="3"/>
      <x:c r="Y111" s="3"/>
      <x:c r="Z111" s="3"/>
    </x:row>
    <x:row r="112" ht="15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10" t="n">
        <x:v>45963</x:v>
      </x:c>
      <x:c r="K112" s="8" t="n">
        <x:f>INDEX('Сводка'!$S$3:$S$397,U112)</x:f>
        <x:v>-40</x:v>
      </x:c>
      <x:c r="L112" s="8" t="n">
        <x:f>INDEX('Сводка'!$S$3:$S$397,V112)</x:f>
        <x:v>-37</x:v>
      </x:c>
      <x:c r="M112" s="8" t="n">
        <x:f>INDEX($K$388:$N$400,W112,1)*((J112-$T$405+1)/1000)^INDEX($K$388:$N$400,W112,2)</x:f>
        <x:v>170.71260820539052</x:v>
      </x:c>
      <x:c r="N112" s="8" t="n">
        <x:f>K112-M112</x:f>
        <x:v>-210.71260820539052</x:v>
      </x:c>
      <x:c r="O112" s="8" t="n">
        <x:f>ABS(N112)</x:f>
        <x:v>210.71260820539052</x:v>
      </x:c>
      <x:c r="P112" s="8" t="n">
        <x:f>N112^2</x:f>
        <x:v>44399.80325671841</x:v>
      </x:c>
      <x:c r="Q112" s="8" t="n">
        <x:f>K112-L112</x:f>
        <x:v>-3</x:v>
      </x:c>
      <x:c r="R112" s="9" t="n">
        <x:f>IF(AND(INDEX('Сводка'!$T$3:$T$397,U112)=0,INDEX('Сводка'!$T$3:$T$397,V112)=0),1,0)</x:f>
        <x:v>1</x:v>
      </x:c>
      <x:c r="S112" s="9" t="n">
        <x:f>IF(AND(R112=1,O112&lt;=$G$13),1,0)</x:f>
        <x:v>0</x:v>
      </x:c>
      <x:c r="T112" s="10" t="n">
        <x:f>EOMONTH(J112-'Сводка'!$B$11,-1)</x:f>
        <x:v>45961</x:v>
      </x:c>
      <x:c r="U112" s="4" t="n">
        <x:f>MATCH(J112,'Сводка'!$R$3:$R$397,0)</x:f>
        <x:v>123</x:v>
      </x:c>
      <x:c r="V112" s="4" t="n">
        <x:f>MATCH(J112-'Сводка'!$B$11,'Сводка'!$R$3:$R$397,0)</x:f>
        <x:v>122</x:v>
      </x:c>
      <x:c r="W112" s="4" t="n">
        <x:f>MATCH(T112,$J$388:$J$400,0)</x:f>
        <x:v>5</x:v>
      </x:c>
      <x:c r="X112" s="3"/>
      <x:c r="Y112" s="3"/>
      <x:c r="Z112" s="3"/>
    </x:row>
    <x:row r="113" ht="15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10" t="n">
        <x:v>45964</x:v>
      </x:c>
      <x:c r="K113" s="8" t="n">
        <x:f>INDEX('Сводка'!$S$3:$S$397,U113)</x:f>
        <x:v>-46</x:v>
      </x:c>
      <x:c r="L113" s="8" t="n">
        <x:f>INDEX('Сводка'!$S$3:$S$397,V113)</x:f>
        <x:v>-40</x:v>
      </x:c>
      <x:c r="M113" s="8" t="n">
        <x:f>INDEX($K$388:$N$400,W113,1)*((J113-$T$405+1)/1000)^INDEX($K$388:$N$400,W113,2)</x:f>
        <x:v>170.73661865628998</x:v>
      </x:c>
      <x:c r="N113" s="8" t="n">
        <x:f>K113-M113</x:f>
        <x:v>-216.73661865628998</x:v>
      </x:c>
      <x:c r="O113" s="8" t="n">
        <x:f>ABS(N113)</x:f>
        <x:v>216.73661865628998</x:v>
      </x:c>
      <x:c r="P113" s="8" t="n">
        <x:f>N113^2</x:f>
        <x:v>46974.76186656206</x:v>
      </x:c>
      <x:c r="Q113" s="8" t="n">
        <x:f>K113-L113</x:f>
        <x:v>-6</x:v>
      </x:c>
      <x:c r="R113" s="9" t="n">
        <x:f>IF(AND(INDEX('Сводка'!$T$3:$T$397,U113)=0,INDEX('Сводка'!$T$3:$T$397,V113)=0),1,0)</x:f>
        <x:v>1</x:v>
      </x:c>
      <x:c r="S113" s="9" t="n">
        <x:f>IF(AND(R113=1,O113&lt;=$G$13),1,0)</x:f>
        <x:v>0</x:v>
      </x:c>
      <x:c r="T113" s="10" t="n">
        <x:f>EOMONTH(J113-'Сводка'!$B$11,-1)</x:f>
        <x:v>45961</x:v>
      </x:c>
      <x:c r="U113" s="4" t="n">
        <x:f>MATCH(J113,'Сводка'!$R$3:$R$397,0)</x:f>
        <x:v>124</x:v>
      </x:c>
      <x:c r="V113" s="4" t="n">
        <x:f>MATCH(J113-'Сводка'!$B$11,'Сводка'!$R$3:$R$397,0)</x:f>
        <x:v>123</x:v>
      </x:c>
      <x:c r="W113" s="4" t="n">
        <x:f>MATCH(T113,$J$388:$J$400,0)</x:f>
        <x:v>5</x:v>
      </x:c>
      <x:c r="X113" s="3"/>
      <x:c r="Y113" s="3"/>
      <x:c r="Z113" s="3"/>
    </x:row>
    <x:row r="114" ht="15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10" t="n">
        <x:v>45965</x:v>
      </x:c>
      <x:c r="K114" s="8" t="n">
        <x:f>INDEX('Сводка'!$S$3:$S$397,U114)</x:f>
        <x:v>-49</x:v>
      </x:c>
      <x:c r="L114" s="8" t="n">
        <x:f>INDEX('Сводка'!$S$3:$S$397,V114)</x:f>
        <x:v>-46</x:v>
      </x:c>
      <x:c r="M114" s="8" t="n">
        <x:f>INDEX($K$388:$N$400,W114,1)*((J114-$T$405+1)/1000)^INDEX($K$388:$N$400,W114,2)</x:f>
        <x:v>170.76062972651044</x:v>
      </x:c>
      <x:c r="N114" s="8" t="n">
        <x:f>K114-M114</x:f>
        <x:v>-219.76062972651044</x:v>
      </x:c>
      <x:c r="O114" s="8" t="n">
        <x:f>ABS(N114)</x:f>
        <x:v>219.76062972651044</x:v>
      </x:c>
      <x:c r="P114" s="8" t="n">
        <x:f>N114^2</x:f>
        <x:v>48294.734377792425</x:v>
      </x:c>
      <x:c r="Q114" s="8" t="n">
        <x:f>K114-L114</x:f>
        <x:v>-3</x:v>
      </x:c>
      <x:c r="R114" s="9" t="n">
        <x:f>IF(AND(INDEX('Сводка'!$T$3:$T$397,U114)=0,INDEX('Сводка'!$T$3:$T$397,V114)=0),1,0)</x:f>
        <x:v>1</x:v>
      </x:c>
      <x:c r="S114" s="9" t="n">
        <x:f>IF(AND(R114=1,O114&lt;=$G$13),1,0)</x:f>
        <x:v>0</x:v>
      </x:c>
      <x:c r="T114" s="10" t="n">
        <x:f>EOMONTH(J114-'Сводка'!$B$11,-1)</x:f>
        <x:v>45961</x:v>
      </x:c>
      <x:c r="U114" s="4" t="n">
        <x:f>MATCH(J114,'Сводка'!$R$3:$R$397,0)</x:f>
        <x:v>125</x:v>
      </x:c>
      <x:c r="V114" s="4" t="n">
        <x:f>MATCH(J114-'Сводка'!$B$11,'Сводка'!$R$3:$R$397,0)</x:f>
        <x:v>124</x:v>
      </x:c>
      <x:c r="W114" s="4" t="n">
        <x:f>MATCH(T114,$J$388:$J$400,0)</x:f>
        <x:v>5</x:v>
      </x:c>
      <x:c r="X114" s="3"/>
      <x:c r="Y114" s="3"/>
      <x:c r="Z114" s="3"/>
    </x:row>
    <x:row r="115" ht="15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10" t="n">
        <x:v>45966</x:v>
      </x:c>
      <x:c r="K115" s="8" t="n">
        <x:f>INDEX('Сводка'!$S$3:$S$397,U115)</x:f>
        <x:v>-56</x:v>
      </x:c>
      <x:c r="L115" s="8" t="n">
        <x:f>INDEX('Сводка'!$S$3:$S$397,V115)</x:f>
        <x:v>-49</x:v>
      </x:c>
      <x:c r="M115" s="8" t="n">
        <x:f>INDEX($K$388:$N$400,W115,1)*((J115-$T$405+1)/1000)^INDEX($K$388:$N$400,W115,2)</x:f>
        <x:v>170.78464141599687</x:v>
      </x:c>
      <x:c r="N115" s="8" t="n">
        <x:f>K115-M115</x:f>
        <x:v>-226.78464141599687</x:v>
      </x:c>
      <x:c r="O115" s="8" t="n">
        <x:f>ABS(N115)</x:f>
        <x:v>226.78464141599687</x:v>
      </x:c>
      <x:c r="P115" s="8" t="n">
        <x:f>N115^2</x:f>
        <x:v>51431.273582182286</x:v>
      </x:c>
      <x:c r="Q115" s="8" t="n">
        <x:f>K115-L115</x:f>
        <x:v>-7</x:v>
      </x:c>
      <x:c r="R115" s="9" t="n">
        <x:f>IF(AND(INDEX('Сводка'!$T$3:$T$397,U115)=0,INDEX('Сводка'!$T$3:$T$397,V115)=0),1,0)</x:f>
        <x:v>1</x:v>
      </x:c>
      <x:c r="S115" s="9" t="n">
        <x:f>IF(AND(R115=1,O115&lt;=$G$13),1,0)</x:f>
        <x:v>0</x:v>
      </x:c>
      <x:c r="T115" s="10" t="n">
        <x:f>EOMONTH(J115-'Сводка'!$B$11,-1)</x:f>
        <x:v>45961</x:v>
      </x:c>
      <x:c r="U115" s="4" t="n">
        <x:f>MATCH(J115,'Сводка'!$R$3:$R$397,0)</x:f>
        <x:v>126</x:v>
      </x:c>
      <x:c r="V115" s="4" t="n">
        <x:f>MATCH(J115-'Сводка'!$B$11,'Сводка'!$R$3:$R$397,0)</x:f>
        <x:v>125</x:v>
      </x:c>
      <x:c r="W115" s="4" t="n">
        <x:f>MATCH(T115,$J$388:$J$400,0)</x:f>
        <x:v>5</x:v>
      </x:c>
      <x:c r="X115" s="3"/>
      <x:c r="Y115" s="3"/>
      <x:c r="Z115" s="3"/>
    </x:row>
    <x:row r="116" ht="15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10" t="n">
        <x:v>45967</x:v>
      </x:c>
      <x:c r="K116" s="8" t="n">
        <x:f>INDEX('Сводка'!$S$3:$S$397,U116)</x:f>
        <x:v>-61</x:v>
      </x:c>
      <x:c r="L116" s="8" t="n">
        <x:f>INDEX('Сводка'!$S$3:$S$397,V116)</x:f>
        <x:v>-56</x:v>
      </x:c>
      <x:c r="M116" s="8" t="n">
        <x:f>INDEX($K$388:$N$400,W116,1)*((J116-$T$405+1)/1000)^INDEX($K$388:$N$400,W116,2)</x:f>
        <x:v>170.80865372469398</x:v>
      </x:c>
      <x:c r="N116" s="8" t="n">
        <x:f>K116-M116</x:f>
        <x:v>-231.80865372469398</x:v>
      </x:c>
      <x:c r="O116" s="8" t="n">
        <x:f>ABS(N116)</x:f>
        <x:v>231.80865372469398</x:v>
      </x:c>
      <x:c r="P116" s="8" t="n">
        <x:f>N116^2</x:f>
        <x:v>53735.25194165508</x:v>
      </x:c>
      <x:c r="Q116" s="8" t="n">
        <x:f>K116-L116</x:f>
        <x:v>-5</x:v>
      </x:c>
      <x:c r="R116" s="9" t="n">
        <x:f>IF(AND(INDEX('Сводка'!$T$3:$T$397,U116)=0,INDEX('Сводка'!$T$3:$T$397,V116)=0),1,0)</x:f>
        <x:v>1</x:v>
      </x:c>
      <x:c r="S116" s="9" t="n">
        <x:f>IF(AND(R116=1,O116&lt;=$G$13),1,0)</x:f>
        <x:v>0</x:v>
      </x:c>
      <x:c r="T116" s="10" t="n">
        <x:f>EOMONTH(J116-'Сводка'!$B$11,-1)</x:f>
        <x:v>45961</x:v>
      </x:c>
      <x:c r="U116" s="4" t="n">
        <x:f>MATCH(J116,'Сводка'!$R$3:$R$397,0)</x:f>
        <x:v>127</x:v>
      </x:c>
      <x:c r="V116" s="4" t="n">
        <x:f>MATCH(J116-'Сводка'!$B$11,'Сводка'!$R$3:$R$397,0)</x:f>
        <x:v>126</x:v>
      </x:c>
      <x:c r="W116" s="4" t="n">
        <x:f>MATCH(T116,$J$388:$J$400,0)</x:f>
        <x:v>5</x:v>
      </x:c>
      <x:c r="X116" s="3"/>
      <x:c r="Y116" s="3"/>
      <x:c r="Z116" s="3"/>
    </x:row>
    <x:row r="117" ht="15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10" t="n">
        <x:v>45968</x:v>
      </x:c>
      <x:c r="K117" s="8" t="n">
        <x:f>INDEX('Сводка'!$S$3:$S$397,U117)</x:f>
        <x:v>-69</x:v>
      </x:c>
      <x:c r="L117" s="8" t="n">
        <x:f>INDEX('Сводка'!$S$3:$S$397,V117)</x:f>
        <x:v>-61</x:v>
      </x:c>
      <x:c r="M117" s="8" t="n">
        <x:f>INDEX($K$388:$N$400,W117,1)*((J117-$T$405+1)/1000)^INDEX($K$388:$N$400,W117,2)</x:f>
        <x:v>170.83266665254672</x:v>
      </x:c>
      <x:c r="N117" s="8" t="n">
        <x:f>K117-M117</x:f>
        <x:v>-239.83266665254672</x:v>
      </x:c>
      <x:c r="O117" s="8" t="n">
        <x:f>ABS(N117)</x:f>
        <x:v>239.83266665254672</x:v>
      </x:c>
      <x:c r="P117" s="8" t="n">
        <x:f>N117^2</x:f>
        <x:v>57519.707993671596</x:v>
      </x:c>
      <x:c r="Q117" s="8" t="n">
        <x:f>K117-L117</x:f>
        <x:v>-8</x:v>
      </x:c>
      <x:c r="R117" s="9" t="n">
        <x:f>IF(AND(INDEX('Сводка'!$T$3:$T$397,U117)=0,INDEX('Сводка'!$T$3:$T$397,V117)=0),1,0)</x:f>
        <x:v>1</x:v>
      </x:c>
      <x:c r="S117" s="9" t="n">
        <x:f>IF(AND(R117=1,O117&lt;=$G$13),1,0)</x:f>
        <x:v>0</x:v>
      </x:c>
      <x:c r="T117" s="10" t="n">
        <x:f>EOMONTH(J117-'Сводка'!$B$11,-1)</x:f>
        <x:v>45961</x:v>
      </x:c>
      <x:c r="U117" s="4" t="n">
        <x:f>MATCH(J117,'Сводка'!$R$3:$R$397,0)</x:f>
        <x:v>128</x:v>
      </x:c>
      <x:c r="V117" s="4" t="n">
        <x:f>MATCH(J117-'Сводка'!$B$11,'Сводка'!$R$3:$R$397,0)</x:f>
        <x:v>127</x:v>
      </x:c>
      <x:c r="W117" s="4" t="n">
        <x:f>MATCH(T117,$J$388:$J$400,0)</x:f>
        <x:v>5</x:v>
      </x:c>
      <x:c r="X117" s="3"/>
      <x:c r="Y117" s="3"/>
      <x:c r="Z117" s="3"/>
    </x:row>
    <x:row r="118" ht="15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10" t="n">
        <x:v>45969</x:v>
      </x:c>
      <x:c r="K118" s="8" t="n">
        <x:f>INDEX('Сводка'!$S$3:$S$397,U118)</x:f>
        <x:v>-74</x:v>
      </x:c>
      <x:c r="L118" s="8" t="n">
        <x:f>INDEX('Сводка'!$S$3:$S$397,V118)</x:f>
        <x:v>-69</x:v>
      </x:c>
      <x:c r="M118" s="8" t="n">
        <x:f>INDEX($K$388:$N$400,W118,1)*((J118-$T$405+1)/1000)^INDEX($K$388:$N$400,W118,2)</x:f>
        <x:v>170.8566801995</x:v>
      </x:c>
      <x:c r="N118" s="8" t="n">
        <x:f>K118-M118</x:f>
        <x:v>-244.8566801995</x:v>
      </x:c>
      <x:c r="O118" s="8" t="n">
        <x:f>ABS(N118)</x:f>
        <x:v>244.8566801995</x:v>
      </x:c>
      <x:c r="P118" s="8" t="n">
        <x:f>N118^2</x:f>
        <x:v>59954.79383832022</x:v>
      </x:c>
      <x:c r="Q118" s="8" t="n">
        <x:f>K118-L118</x:f>
        <x:v>-5</x:v>
      </x:c>
      <x:c r="R118" s="9" t="n">
        <x:f>IF(AND(INDEX('Сводка'!$T$3:$T$397,U118)=0,INDEX('Сводка'!$T$3:$T$397,V118)=0),1,0)</x:f>
        <x:v>1</x:v>
      </x:c>
      <x:c r="S118" s="9" t="n">
        <x:f>IF(AND(R118=1,O118&lt;=$G$13),1,0)</x:f>
        <x:v>0</x:v>
      </x:c>
      <x:c r="T118" s="10" t="n">
        <x:f>EOMONTH(J118-'Сводка'!$B$11,-1)</x:f>
        <x:v>45961</x:v>
      </x:c>
      <x:c r="U118" s="4" t="n">
        <x:f>MATCH(J118,'Сводка'!$R$3:$R$397,0)</x:f>
        <x:v>129</x:v>
      </x:c>
      <x:c r="V118" s="4" t="n">
        <x:f>MATCH(J118-'Сводка'!$B$11,'Сводка'!$R$3:$R$397,0)</x:f>
        <x:v>128</x:v>
      </x:c>
      <x:c r="W118" s="4" t="n">
        <x:f>MATCH(T118,$J$388:$J$400,0)</x:f>
        <x:v>5</x:v>
      </x:c>
      <x:c r="X118" s="3"/>
      <x:c r="Y118" s="3"/>
      <x:c r="Z118" s="3"/>
    </x:row>
    <x:row r="119" ht="15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10" t="n">
        <x:v>45970</x:v>
      </x:c>
      <x:c r="K119" s="8" t="n">
        <x:f>INDEX('Сводка'!$S$3:$S$397,U119)</x:f>
        <x:v>-80</x:v>
      </x:c>
      <x:c r="L119" s="8" t="n">
        <x:f>INDEX('Сводка'!$S$3:$S$397,V119)</x:f>
        <x:v>-74</x:v>
      </x:c>
      <x:c r="M119" s="8" t="n">
        <x:f>INDEX($K$388:$N$400,W119,1)*((J119-$T$405+1)/1000)^INDEX($K$388:$N$400,W119,2)</x:f>
        <x:v>170.88069436549875</x:v>
      </x:c>
      <x:c r="N119" s="8" t="n">
        <x:f>K119-M119</x:f>
        <x:v>-250.88069436549875</x:v>
      </x:c>
      <x:c r="O119" s="8" t="n">
        <x:f>ABS(N119)</x:f>
        <x:v>250.88069436549875</x:v>
      </x:c>
      <x:c r="P119" s="8" t="n">
        <x:f>N119^2</x:f>
        <x:v>62941.1228053148</x:v>
      </x:c>
      <x:c r="Q119" s="8" t="n">
        <x:f>K119-L119</x:f>
        <x:v>-6</x:v>
      </x:c>
      <x:c r="R119" s="9" t="n">
        <x:f>IF(AND(INDEX('Сводка'!$T$3:$T$397,U119)=0,INDEX('Сводка'!$T$3:$T$397,V119)=0),1,0)</x:f>
        <x:v>1</x:v>
      </x:c>
      <x:c r="S119" s="9" t="n">
        <x:f>IF(AND(R119=1,O119&lt;=$G$13),1,0)</x:f>
        <x:v>0</x:v>
      </x:c>
      <x:c r="T119" s="10" t="n">
        <x:f>EOMONTH(J119-'Сводка'!$B$11,-1)</x:f>
        <x:v>45961</x:v>
      </x:c>
      <x:c r="U119" s="4" t="n">
        <x:f>MATCH(J119,'Сводка'!$R$3:$R$397,0)</x:f>
        <x:v>130</x:v>
      </x:c>
      <x:c r="V119" s="4" t="n">
        <x:f>MATCH(J119-'Сводка'!$B$11,'Сводка'!$R$3:$R$397,0)</x:f>
        <x:v>129</x:v>
      </x:c>
      <x:c r="W119" s="4" t="n">
        <x:f>MATCH(T119,$J$388:$J$400,0)</x:f>
        <x:v>5</x:v>
      </x:c>
      <x:c r="X119" s="3"/>
      <x:c r="Y119" s="3"/>
      <x:c r="Z119" s="3"/>
    </x:row>
    <x:row r="120" ht="15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10" t="n">
        <x:v>45971</x:v>
      </x:c>
      <x:c r="K120" s="8" t="n">
        <x:f>INDEX('Сводка'!$S$3:$S$397,U120)</x:f>
        <x:v>-83</x:v>
      </x:c>
      <x:c r="L120" s="8" t="n">
        <x:f>INDEX('Сводка'!$S$3:$S$397,V120)</x:f>
        <x:v>-80</x:v>
      </x:c>
      <x:c r="M120" s="8" t="n">
        <x:f>INDEX($K$388:$N$400,W120,1)*((J120-$T$405+1)/1000)^INDEX($K$388:$N$400,W120,2)</x:f>
        <x:v>170.90470915048778</x:v>
      </x:c>
      <x:c r="N120" s="8" t="n">
        <x:f>K120-M120</x:f>
        <x:v>-253.90470915048778</x:v>
      </x:c>
      <x:c r="O120" s="8" t="n">
        <x:f>ABS(N120)</x:f>
        <x:v>253.90470915048778</x:v>
      </x:c>
      <x:c r="P120" s="8" t="n">
        <x:f>N120^2</x:f>
        <x:v>64467.60132879379</x:v>
      </x:c>
      <x:c r="Q120" s="8" t="n">
        <x:f>K120-L120</x:f>
        <x:v>-3</x:v>
      </x:c>
      <x:c r="R120" s="9" t="n">
        <x:f>IF(AND(INDEX('Сводка'!$T$3:$T$397,U120)=0,INDEX('Сводка'!$T$3:$T$397,V120)=0),1,0)</x:f>
        <x:v>1</x:v>
      </x:c>
      <x:c r="S120" s="9" t="n">
        <x:f>IF(AND(R120=1,O120&lt;=$G$13),1,0)</x:f>
        <x:v>0</x:v>
      </x:c>
      <x:c r="T120" s="10" t="n">
        <x:f>EOMONTH(J120-'Сводка'!$B$11,-1)</x:f>
        <x:v>45961</x:v>
      </x:c>
      <x:c r="U120" s="4" t="n">
        <x:f>MATCH(J120,'Сводка'!$R$3:$R$397,0)</x:f>
        <x:v>131</x:v>
      </x:c>
      <x:c r="V120" s="4" t="n">
        <x:f>MATCH(J120-'Сводка'!$B$11,'Сводка'!$R$3:$R$397,0)</x:f>
        <x:v>130</x:v>
      </x:c>
      <x:c r="W120" s="4" t="n">
        <x:f>MATCH(T120,$J$388:$J$400,0)</x:f>
        <x:v>5</x:v>
      </x:c>
      <x:c r="X120" s="3"/>
      <x:c r="Y120" s="3"/>
      <x:c r="Z120" s="3"/>
    </x:row>
    <x:row r="121" ht="15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10" t="n">
        <x:v>45972</x:v>
      </x:c>
      <x:c r="K121" s="8" t="n">
        <x:f>INDEX('Сводка'!$S$3:$S$397,U121)</x:f>
        <x:v>-89</x:v>
      </x:c>
      <x:c r="L121" s="8" t="n">
        <x:f>INDEX('Сводка'!$S$3:$S$397,V121)</x:f>
        <x:v>-83</x:v>
      </x:c>
      <x:c r="M121" s="8" t="n">
        <x:f>INDEX($K$388:$N$400,W121,1)*((J121-$T$405+1)/1000)^INDEX($K$388:$N$400,W121,2)</x:f>
        <x:v>170.9287245544121</x:v>
      </x:c>
      <x:c r="N121" s="8" t="n">
        <x:f>K121-M121</x:f>
        <x:v>-259.9287245544121</x:v>
      </x:c>
      <x:c r="O121" s="8" t="n">
        <x:f>ABS(N121)</x:f>
        <x:v>259.9287245544121</x:v>
      </x:c>
      <x:c r="P121" s="8" t="n">
        <x:f>N121^2</x:f>
        <x:v>67562.94184848343</x:v>
      </x:c>
      <x:c r="Q121" s="8" t="n">
        <x:f>K121-L121</x:f>
        <x:v>-6</x:v>
      </x:c>
      <x:c r="R121" s="9" t="n">
        <x:f>IF(AND(INDEX('Сводка'!$T$3:$T$397,U121)=0,INDEX('Сводка'!$T$3:$T$397,V121)=0),1,0)</x:f>
        <x:v>1</x:v>
      </x:c>
      <x:c r="S121" s="9" t="n">
        <x:f>IF(AND(R121=1,O121&lt;=$G$13),1,0)</x:f>
        <x:v>0</x:v>
      </x:c>
      <x:c r="T121" s="10" t="n">
        <x:f>EOMONTH(J121-'Сводка'!$B$11,-1)</x:f>
        <x:v>45961</x:v>
      </x:c>
      <x:c r="U121" s="4" t="n">
        <x:f>MATCH(J121,'Сводка'!$R$3:$R$397,0)</x:f>
        <x:v>132</x:v>
      </x:c>
      <x:c r="V121" s="4" t="n">
        <x:f>MATCH(J121-'Сводка'!$B$11,'Сводка'!$R$3:$R$397,0)</x:f>
        <x:v>131</x:v>
      </x:c>
      <x:c r="W121" s="4" t="n">
        <x:f>MATCH(T121,$J$388:$J$400,0)</x:f>
        <x:v>5</x:v>
      </x:c>
      <x:c r="X121" s="3"/>
      <x:c r="Y121" s="3"/>
      <x:c r="Z121" s="3"/>
    </x:row>
    <x:row r="122" ht="15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10" t="n">
        <x:v>45973</x:v>
      </x:c>
      <x:c r="K122" s="8" t="n">
        <x:f>INDEX('Сводка'!$S$3:$S$397,U122)</x:f>
        <x:v>-88</x:v>
      </x:c>
      <x:c r="L122" s="8" t="n">
        <x:f>INDEX('Сводка'!$S$3:$S$397,V122)</x:f>
        <x:v>-89</x:v>
      </x:c>
      <x:c r="M122" s="8" t="n">
        <x:f>INDEX($K$388:$N$400,W122,1)*((J122-$T$405+1)/1000)^INDEX($K$388:$N$400,W122,2)</x:f>
        <x:v>170.95274057721664</x:v>
      </x:c>
      <x:c r="N122" s="8" t="n">
        <x:f>K122-M122</x:f>
        <x:v>-258.9527405772167</x:v>
      </x:c>
      <x:c r="O122" s="8" t="n">
        <x:f>ABS(N122)</x:f>
        <x:v>258.9527405772167</x:v>
      </x:c>
      <x:c r="P122" s="8" t="n">
        <x:f>N122^2</x:f>
        <x:v>67056.52185245127</x:v>
      </x:c>
      <x:c r="Q122" s="8" t="n">
        <x:f>K122-L122</x:f>
        <x:v>1</x:v>
      </x:c>
      <x:c r="R122" s="9" t="n">
        <x:f>IF(AND(INDEX('Сводка'!$T$3:$T$397,U122)=0,INDEX('Сводка'!$T$3:$T$397,V122)=0),1,0)</x:f>
        <x:v>1</x:v>
      </x:c>
      <x:c r="S122" s="9" t="n">
        <x:f>IF(AND(R122=1,O122&lt;=$G$13),1,0)</x:f>
        <x:v>0</x:v>
      </x:c>
      <x:c r="T122" s="10" t="n">
        <x:f>EOMONTH(J122-'Сводка'!$B$11,-1)</x:f>
        <x:v>45961</x:v>
      </x:c>
      <x:c r="U122" s="4" t="n">
        <x:f>MATCH(J122,'Сводка'!$R$3:$R$397,0)</x:f>
        <x:v>133</x:v>
      </x:c>
      <x:c r="V122" s="4" t="n">
        <x:f>MATCH(J122-'Сводка'!$B$11,'Сводка'!$R$3:$R$397,0)</x:f>
        <x:v>132</x:v>
      </x:c>
      <x:c r="W122" s="4" t="n">
        <x:f>MATCH(T122,$J$388:$J$400,0)</x:f>
        <x:v>5</x:v>
      </x:c>
      <x:c r="X122" s="3"/>
      <x:c r="Y122" s="3"/>
      <x:c r="Z122" s="3"/>
    </x:row>
    <x:row r="123" ht="15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10" t="n">
        <x:v>45974</x:v>
      </x:c>
      <x:c r="K123" s="8" t="n">
        <x:f>INDEX('Сводка'!$S$3:$S$397,U123)</x:f>
        <x:v>-89</x:v>
      </x:c>
      <x:c r="L123" s="8" t="n">
        <x:f>INDEX('Сводка'!$S$3:$S$397,V123)</x:f>
        <x:v>-88</x:v>
      </x:c>
      <x:c r="M123" s="8" t="n">
        <x:f>INDEX($K$388:$N$400,W123,1)*((J123-$T$405+1)/1000)^INDEX($K$388:$N$400,W123,2)</x:f>
        <x:v>170.97675721884633</x:v>
      </x:c>
      <x:c r="N123" s="8" t="n">
        <x:f>K123-M123</x:f>
        <x:v>-259.97675721884633</x:v>
      </x:c>
      <x:c r="O123" s="8" t="n">
        <x:f>ABS(N123)</x:f>
        <x:v>259.97675721884633</x:v>
      </x:c>
      <x:c r="P123" s="8" t="n">
        <x:f>N123^2</x:f>
        <x:v>67587.91429402697</x:v>
      </x:c>
      <x:c r="Q123" s="8" t="n">
        <x:f>K123-L123</x:f>
        <x:v>-1</x:v>
      </x:c>
      <x:c r="R123" s="9" t="n">
        <x:f>IF(AND(INDEX('Сводка'!$T$3:$T$397,U123)=0,INDEX('Сводка'!$T$3:$T$397,V123)=0),1,0)</x:f>
        <x:v>1</x:v>
      </x:c>
      <x:c r="S123" s="9" t="n">
        <x:f>IF(AND(R123=1,O123&lt;=$G$13),1,0)</x:f>
        <x:v>0</x:v>
      </x:c>
      <x:c r="T123" s="10" t="n">
        <x:f>EOMONTH(J123-'Сводка'!$B$11,-1)</x:f>
        <x:v>45961</x:v>
      </x:c>
      <x:c r="U123" s="4" t="n">
        <x:f>MATCH(J123,'Сводка'!$R$3:$R$397,0)</x:f>
        <x:v>134</x:v>
      </x:c>
      <x:c r="V123" s="4" t="n">
        <x:f>MATCH(J123-'Сводка'!$B$11,'Сводка'!$R$3:$R$397,0)</x:f>
        <x:v>133</x:v>
      </x:c>
      <x:c r="W123" s="4" t="n">
        <x:f>MATCH(T123,$J$388:$J$400,0)</x:f>
        <x:v>5</x:v>
      </x:c>
      <x:c r="X123" s="3"/>
      <x:c r="Y123" s="3"/>
      <x:c r="Z123" s="3"/>
    </x:row>
    <x:row r="124" ht="15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10" t="n">
        <x:v>45975</x:v>
      </x:c>
      <x:c r="K124" s="8" t="n">
        <x:f>INDEX('Сводка'!$S$3:$S$397,U124)</x:f>
        <x:v>-95</x:v>
      </x:c>
      <x:c r="L124" s="8" t="n">
        <x:f>INDEX('Сводка'!$S$3:$S$397,V124)</x:f>
        <x:v>-89</x:v>
      </x:c>
      <x:c r="M124" s="8" t="n">
        <x:f>INDEX($K$388:$N$400,W124,1)*((J124-$T$405+1)/1000)^INDEX($K$388:$N$400,W124,2)</x:f>
        <x:v>171.00077447924613</x:v>
      </x:c>
      <x:c r="N124" s="8" t="n">
        <x:f>K124-M124</x:f>
        <x:v>-266.00077447924616</x:v>
      </x:c>
      <x:c r="O124" s="8" t="n">
        <x:f>ABS(N124)</x:f>
        <x:v>266.00077447924616</x:v>
      </x:c>
      <x:c r="P124" s="8" t="n">
        <x:f>N124^2</x:f>
        <x:v>70756.41202355878</x:v>
      </x:c>
      <x:c r="Q124" s="8" t="n">
        <x:f>K124-L124</x:f>
        <x:v>-6</x:v>
      </x:c>
      <x:c r="R124" s="9" t="n">
        <x:f>IF(AND(INDEX('Сводка'!$T$3:$T$397,U124)=0,INDEX('Сводка'!$T$3:$T$397,V124)=0),1,0)</x:f>
        <x:v>1</x:v>
      </x:c>
      <x:c r="S124" s="9" t="n">
        <x:f>IF(AND(R124=1,O124&lt;=$G$13),1,0)</x:f>
        <x:v>0</x:v>
      </x:c>
      <x:c r="T124" s="10" t="n">
        <x:f>EOMONTH(J124-'Сводка'!$B$11,-1)</x:f>
        <x:v>45961</x:v>
      </x:c>
      <x:c r="U124" s="4" t="n">
        <x:f>MATCH(J124,'Сводка'!$R$3:$R$397,0)</x:f>
        <x:v>135</x:v>
      </x:c>
      <x:c r="V124" s="4" t="n">
        <x:f>MATCH(J124-'Сводка'!$B$11,'Сводка'!$R$3:$R$397,0)</x:f>
        <x:v>134</x:v>
      </x:c>
      <x:c r="W124" s="4" t="n">
        <x:f>MATCH(T124,$J$388:$J$400,0)</x:f>
        <x:v>5</x:v>
      </x:c>
      <x:c r="X124" s="3"/>
      <x:c r="Y124" s="3"/>
      <x:c r="Z124" s="3"/>
    </x:row>
    <x:row r="125" ht="15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10" t="n">
        <x:v>45976</x:v>
      </x:c>
      <x:c r="K125" s="8" t="n">
        <x:f>INDEX('Сводка'!$S$3:$S$397,U125)</x:f>
        <x:v>-90</x:v>
      </x:c>
      <x:c r="L125" s="8" t="n">
        <x:f>INDEX('Сводка'!$S$3:$S$397,V125)</x:f>
        <x:v>-95</x:v>
      </x:c>
      <x:c r="M125" s="8" t="n">
        <x:f>INDEX($K$388:$N$400,W125,1)*((J125-$T$405+1)/1000)^INDEX($K$388:$N$400,W125,2)</x:f>
        <x:v>171.02479235836105</x:v>
      </x:c>
      <x:c r="N125" s="8" t="n">
        <x:f>K125-M125</x:f>
        <x:v>-261.0247923583611</x:v>
      </x:c>
      <x:c r="O125" s="8" t="n">
        <x:f>ABS(N125)</x:f>
        <x:v>261.0247923583611</x:v>
      </x:c>
      <x:c r="P125" s="8" t="n">
        <x:f>N125^2</x:f>
        <x:v>68133.94222572552</x:v>
      </x:c>
      <x:c r="Q125" s="8" t="n">
        <x:f>K125-L125</x:f>
        <x:v>5</x:v>
      </x:c>
      <x:c r="R125" s="9" t="n">
        <x:f>IF(AND(INDEX('Сводка'!$T$3:$T$397,U125)=0,INDEX('Сводка'!$T$3:$T$397,V125)=0),1,0)</x:f>
        <x:v>1</x:v>
      </x:c>
      <x:c r="S125" s="9" t="n">
        <x:f>IF(AND(R125=1,O125&lt;=$G$13),1,0)</x:f>
        <x:v>0</x:v>
      </x:c>
      <x:c r="T125" s="10" t="n">
        <x:f>EOMONTH(J125-'Сводка'!$B$11,-1)</x:f>
        <x:v>45961</x:v>
      </x:c>
      <x:c r="U125" s="4" t="n">
        <x:f>MATCH(J125,'Сводка'!$R$3:$R$397,0)</x:f>
        <x:v>136</x:v>
      </x:c>
      <x:c r="V125" s="4" t="n">
        <x:f>MATCH(J125-'Сводка'!$B$11,'Сводка'!$R$3:$R$397,0)</x:f>
        <x:v>135</x:v>
      </x:c>
      <x:c r="W125" s="4" t="n">
        <x:f>MATCH(T125,$J$388:$J$400,0)</x:f>
        <x:v>5</x:v>
      </x:c>
      <x:c r="X125" s="3"/>
      <x:c r="Y125" s="3"/>
      <x:c r="Z125" s="3"/>
    </x:row>
    <x:row r="126" ht="15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10" t="n">
        <x:v>45977</x:v>
      </x:c>
      <x:c r="K126" s="8" t="n">
        <x:f>INDEX('Сводка'!$S$3:$S$397,U126)</x:f>
        <x:v>-81</x:v>
      </x:c>
      <x:c r="L126" s="8" t="n">
        <x:f>INDEX('Сводка'!$S$3:$S$397,V126)</x:f>
        <x:v>-90</x:v>
      </x:c>
      <x:c r="M126" s="8" t="n">
        <x:f>INDEX($K$388:$N$400,W126,1)*((J126-$T$405+1)/1000)^INDEX($K$388:$N$400,W126,2)</x:f>
        <x:v>171.048810856136</x:v>
      </x:c>
      <x:c r="N126" s="8" t="n">
        <x:f>K126-M126</x:f>
        <x:v>-252.048810856136</x:v>
      </x:c>
      <x:c r="O126" s="8" t="n">
        <x:f>ABS(N126)</x:f>
        <x:v>252.048810856136</x:v>
      </x:c>
      <x:c r="P126" s="8" t="n">
        <x:f>N126^2</x:f>
        <x:v>63528.603053992214</x:v>
      </x:c>
      <x:c r="Q126" s="8" t="n">
        <x:f>K126-L126</x:f>
        <x:v>9</x:v>
      </x:c>
      <x:c r="R126" s="9" t="n">
        <x:f>IF(AND(INDEX('Сводка'!$T$3:$T$397,U126)=0,INDEX('Сводка'!$T$3:$T$397,V126)=0),1,0)</x:f>
        <x:v>1</x:v>
      </x:c>
      <x:c r="S126" s="9" t="n">
        <x:f>IF(AND(R126=1,O126&lt;=$G$13),1,0)</x:f>
        <x:v>0</x:v>
      </x:c>
      <x:c r="T126" s="10" t="n">
        <x:f>EOMONTH(J126-'Сводка'!$B$11,-1)</x:f>
        <x:v>45961</x:v>
      </x:c>
      <x:c r="U126" s="4" t="n">
        <x:f>MATCH(J126,'Сводка'!$R$3:$R$397,0)</x:f>
        <x:v>137</x:v>
      </x:c>
      <x:c r="V126" s="4" t="n">
        <x:f>MATCH(J126-'Сводка'!$B$11,'Сводка'!$R$3:$R$397,0)</x:f>
        <x:v>136</x:v>
      </x:c>
      <x:c r="W126" s="4" t="n">
        <x:f>MATCH(T126,$J$388:$J$400,0)</x:f>
        <x:v>5</x:v>
      </x:c>
      <x:c r="X126" s="3"/>
      <x:c r="Y126" s="3"/>
      <x:c r="Z126" s="3"/>
    </x:row>
    <x:row r="127" ht="15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10" t="n">
        <x:v>45978</x:v>
      </x:c>
      <x:c r="K127" s="8" t="n">
        <x:f>INDEX('Сводка'!$S$3:$S$397,U127)</x:f>
        <x:v>-83</x:v>
      </x:c>
      <x:c r="L127" s="8" t="n">
        <x:f>INDEX('Сводка'!$S$3:$S$397,V127)</x:f>
        <x:v>-81</x:v>
      </x:c>
      <x:c r="M127" s="8" t="n">
        <x:f>INDEX($K$388:$N$400,W127,1)*((J127-$T$405+1)/1000)^INDEX($K$388:$N$400,W127,2)</x:f>
        <x:v>171.07282997251602</x:v>
      </x:c>
      <x:c r="N127" s="8" t="n">
        <x:f>K127-M127</x:f>
        <x:v>-254.07282997251602</x:v>
      </x:c>
      <x:c r="O127" s="8" t="n">
        <x:f>ABS(N127)</x:f>
        <x:v>254.07282997251602</x:v>
      </x:c>
      <x:c r="P127" s="8" t="n">
        <x:f>N127^2</x:f>
        <x:v>64553.002930243034</x:v>
      </x:c>
      <x:c r="Q127" s="8" t="n">
        <x:f>K127-L127</x:f>
        <x:v>-2</x:v>
      </x:c>
      <x:c r="R127" s="9" t="n">
        <x:f>IF(AND(INDEX('Сводка'!$T$3:$T$397,U127)=0,INDEX('Сводка'!$T$3:$T$397,V127)=0),1,0)</x:f>
        <x:v>1</x:v>
      </x:c>
      <x:c r="S127" s="9" t="n">
        <x:f>IF(AND(R127=1,O127&lt;=$G$13),1,0)</x:f>
        <x:v>0</x:v>
      </x:c>
      <x:c r="T127" s="10" t="n">
        <x:f>EOMONTH(J127-'Сводка'!$B$11,-1)</x:f>
        <x:v>45961</x:v>
      </x:c>
      <x:c r="U127" s="4" t="n">
        <x:f>MATCH(J127,'Сводка'!$R$3:$R$397,0)</x:f>
        <x:v>138</x:v>
      </x:c>
      <x:c r="V127" s="4" t="n">
        <x:f>MATCH(J127-'Сводка'!$B$11,'Сводка'!$R$3:$R$397,0)</x:f>
        <x:v>137</x:v>
      </x:c>
      <x:c r="W127" s="4" t="n">
        <x:f>MATCH(T127,$J$388:$J$400,0)</x:f>
        <x:v>5</x:v>
      </x:c>
      <x:c r="X127" s="3"/>
      <x:c r="Y127" s="3"/>
      <x:c r="Z127" s="3"/>
    </x:row>
    <x:row r="128" ht="15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10" t="n">
        <x:v>45979</x:v>
      </x:c>
      <x:c r="K128" s="8" t="n">
        <x:f>INDEX('Сводка'!$S$3:$S$397,U128)</x:f>
        <x:v>-72</x:v>
      </x:c>
      <x:c r="L128" s="8" t="n">
        <x:f>INDEX('Сводка'!$S$3:$S$397,V128)</x:f>
        <x:v>-83</x:v>
      </x:c>
      <x:c r="M128" s="8" t="n">
        <x:f>INDEX($K$388:$N$400,W128,1)*((J128-$T$405+1)/1000)^INDEX($K$388:$N$400,W128,2)</x:f>
        <x:v>171.09684970744615</x:v>
      </x:c>
      <x:c r="N128" s="8" t="n">
        <x:f>K128-M128</x:f>
        <x:v>-243.09684970744615</x:v>
      </x:c>
      <x:c r="O128" s="8" t="n">
        <x:f>ABS(N128)</x:f>
        <x:v>243.09684970744615</x:v>
      </x:c>
      <x:c r="P128" s="8" t="n">
        <x:f>N128^2</x:f>
        <x:v>59096.07833768467</x:v>
      </x:c>
      <x:c r="Q128" s="8" t="n">
        <x:f>K128-L128</x:f>
        <x:v>11</x:v>
      </x:c>
      <x:c r="R128" s="9" t="n">
        <x:f>IF(AND(INDEX('Сводка'!$T$3:$T$397,U128)=0,INDEX('Сводка'!$T$3:$T$397,V128)=0),1,0)</x:f>
        <x:v>1</x:v>
      </x:c>
      <x:c r="S128" s="9" t="n">
        <x:f>IF(AND(R128=1,O128&lt;=$G$13),1,0)</x:f>
        <x:v>0</x:v>
      </x:c>
      <x:c r="T128" s="10" t="n">
        <x:f>EOMONTH(J128-'Сводка'!$B$11,-1)</x:f>
        <x:v>45961</x:v>
      </x:c>
      <x:c r="U128" s="4" t="n">
        <x:f>MATCH(J128,'Сводка'!$R$3:$R$397,0)</x:f>
        <x:v>139</x:v>
      </x:c>
      <x:c r="V128" s="4" t="n">
        <x:f>MATCH(J128-'Сводка'!$B$11,'Сводка'!$R$3:$R$397,0)</x:f>
        <x:v>138</x:v>
      </x:c>
      <x:c r="W128" s="4" t="n">
        <x:f>MATCH(T128,$J$388:$J$400,0)</x:f>
        <x:v>5</x:v>
      </x:c>
      <x:c r="X128" s="3"/>
      <x:c r="Y128" s="3"/>
      <x:c r="Z128" s="3"/>
    </x:row>
    <x:row r="129" ht="15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10" t="n">
        <x:v>45980</x:v>
      </x:c>
      <x:c r="K129" s="8" t="n">
        <x:f>INDEX('Сводка'!$S$3:$S$397,U129)</x:f>
        <x:v>-74</x:v>
      </x:c>
      <x:c r="L129" s="8" t="n">
        <x:f>INDEX('Сводка'!$S$3:$S$397,V129)</x:f>
        <x:v>-72</x:v>
      </x:c>
      <x:c r="M129" s="8" t="n">
        <x:f>INDEX($K$388:$N$400,W129,1)*((J129-$T$405+1)/1000)^INDEX($K$388:$N$400,W129,2)</x:f>
        <x:v>171.1208700608713</x:v>
      </x:c>
      <x:c r="N129" s="8" t="n">
        <x:f>K129-M129</x:f>
        <x:v>-245.1208700608713</x:v>
      </x:c>
      <x:c r="O129" s="8" t="n">
        <x:f>ABS(N129)</x:f>
        <x:v>245.1208700608713</x:v>
      </x:c>
      <x:c r="P129" s="8" t="n">
        <x:f>N129^2</x:f>
        <x:v>60084.24093939856</x:v>
      </x:c>
      <x:c r="Q129" s="8" t="n">
        <x:f>K129-L129</x:f>
        <x:v>-2</x:v>
      </x:c>
      <x:c r="R129" s="9" t="n">
        <x:f>IF(AND(INDEX('Сводка'!$T$3:$T$397,U129)=0,INDEX('Сводка'!$T$3:$T$397,V129)=0),1,0)</x:f>
        <x:v>1</x:v>
      </x:c>
      <x:c r="S129" s="9" t="n">
        <x:f>IF(AND(R129=1,O129&lt;=$G$13),1,0)</x:f>
        <x:v>0</x:v>
      </x:c>
      <x:c r="T129" s="10" t="n">
        <x:f>EOMONTH(J129-'Сводка'!$B$11,-1)</x:f>
        <x:v>45961</x:v>
      </x:c>
      <x:c r="U129" s="4" t="n">
        <x:f>MATCH(J129,'Сводка'!$R$3:$R$397,0)</x:f>
        <x:v>140</x:v>
      </x:c>
      <x:c r="V129" s="4" t="n">
        <x:f>MATCH(J129-'Сводка'!$B$11,'Сводка'!$R$3:$R$397,0)</x:f>
        <x:v>139</x:v>
      </x:c>
      <x:c r="W129" s="4" t="n">
        <x:f>MATCH(T129,$J$388:$J$400,0)</x:f>
        <x:v>5</x:v>
      </x:c>
      <x:c r="X129" s="3"/>
      <x:c r="Y129" s="3"/>
      <x:c r="Z129" s="3"/>
    </x:row>
    <x:row r="130" ht="15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10" t="n">
        <x:v>45981</x:v>
      </x:c>
      <x:c r="K130" s="8" t="n">
        <x:f>INDEX('Сводка'!$S$3:$S$397,U130)</x:f>
        <x:v>-71</x:v>
      </x:c>
      <x:c r="L130" s="8" t="n">
        <x:f>INDEX('Сводка'!$S$3:$S$397,V130)</x:f>
        <x:v>-74</x:v>
      </x:c>
      <x:c r="M130" s="8" t="n">
        <x:f>INDEX($K$388:$N$400,W130,1)*((J130-$T$405+1)/1000)^INDEX($K$388:$N$400,W130,2)</x:f>
        <x:v>171.1448910327366</x:v>
      </x:c>
      <x:c r="N130" s="8" t="n">
        <x:f>K130-M130</x:f>
        <x:v>-242.1448910327366</x:v>
      </x:c>
      <x:c r="O130" s="8" t="n">
        <x:f>ABS(N130)</x:f>
        <x:v>242.1448910327366</x:v>
      </x:c>
      <x:c r="P130" s="8" t="n">
        <x:f>N130^2</x:f>
        <x:v>58634.14825325589</x:v>
      </x:c>
      <x:c r="Q130" s="8" t="n">
        <x:f>K130-L130</x:f>
        <x:v>3</x:v>
      </x:c>
      <x:c r="R130" s="9" t="n">
        <x:f>IF(AND(INDEX('Сводка'!$T$3:$T$397,U130)=0,INDEX('Сводка'!$T$3:$T$397,V130)=0),1,0)</x:f>
        <x:v>1</x:v>
      </x:c>
      <x:c r="S130" s="9" t="n">
        <x:f>IF(AND(R130=1,O130&lt;=$G$13),1,0)</x:f>
        <x:v>0</x:v>
      </x:c>
      <x:c r="T130" s="10" t="n">
        <x:f>EOMONTH(J130-'Сводка'!$B$11,-1)</x:f>
        <x:v>45961</x:v>
      </x:c>
      <x:c r="U130" s="4" t="n">
        <x:f>MATCH(J130,'Сводка'!$R$3:$R$397,0)</x:f>
        <x:v>141</x:v>
      </x:c>
      <x:c r="V130" s="4" t="n">
        <x:f>MATCH(J130-'Сводка'!$B$11,'Сводка'!$R$3:$R$397,0)</x:f>
        <x:v>140</x:v>
      </x:c>
      <x:c r="W130" s="4" t="n">
        <x:f>MATCH(T130,$J$388:$J$400,0)</x:f>
        <x:v>5</x:v>
      </x:c>
      <x:c r="X130" s="3"/>
      <x:c r="Y130" s="3"/>
      <x:c r="Z130" s="3"/>
    </x:row>
    <x:row r="131" ht="15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10" t="n">
        <x:v>45982</x:v>
      </x:c>
      <x:c r="K131" s="8" t="n">
        <x:f>INDEX('Сводка'!$S$3:$S$397,U131)</x:f>
        <x:v>-85</x:v>
      </x:c>
      <x:c r="L131" s="8" t="n">
        <x:f>INDEX('Сводка'!$S$3:$S$397,V131)</x:f>
        <x:v>-71</x:v>
      </x:c>
      <x:c r="M131" s="8" t="n">
        <x:f>INDEX($K$388:$N$400,W131,1)*((J131-$T$405+1)/1000)^INDEX($K$388:$N$400,W131,2)</x:f>
        <x:v>171.16891262298708</x:v>
      </x:c>
      <x:c r="N131" s="8" t="n">
        <x:f>K131-M131</x:f>
        <x:v>-256.1689126229871</x:v>
      </x:c>
      <x:c r="O131" s="8" t="n">
        <x:f>ABS(N131)</x:f>
        <x:v>256.1689126229871</x:v>
      </x:c>
      <x:c r="P131" s="8" t="n">
        <x:f>N131^2</x:f>
        <x:v>65622.51179444359</x:v>
      </x:c>
      <x:c r="Q131" s="8" t="n">
        <x:f>K131-L131</x:f>
        <x:v>-14</x:v>
      </x:c>
      <x:c r="R131" s="9" t="n">
        <x:f>IF(AND(INDEX('Сводка'!$T$3:$T$397,U131)=0,INDEX('Сводка'!$T$3:$T$397,V131)=0),1,0)</x:f>
        <x:v>1</x:v>
      </x:c>
      <x:c r="S131" s="9" t="n">
        <x:f>IF(AND(R131=1,O131&lt;=$G$13),1,0)</x:f>
        <x:v>0</x:v>
      </x:c>
      <x:c r="T131" s="10" t="n">
        <x:f>EOMONTH(J131-'Сводка'!$B$11,-1)</x:f>
        <x:v>45961</x:v>
      </x:c>
      <x:c r="U131" s="4" t="n">
        <x:f>MATCH(J131,'Сводка'!$R$3:$R$397,0)</x:f>
        <x:v>142</x:v>
      </x:c>
      <x:c r="V131" s="4" t="n">
        <x:f>MATCH(J131-'Сводка'!$B$11,'Сводка'!$R$3:$R$397,0)</x:f>
        <x:v>141</x:v>
      </x:c>
      <x:c r="W131" s="4" t="n">
        <x:f>MATCH(T131,$J$388:$J$400,0)</x:f>
        <x:v>5</x:v>
      </x:c>
      <x:c r="X131" s="3"/>
      <x:c r="Y131" s="3"/>
      <x:c r="Z131" s="3"/>
    </x:row>
    <x:row r="132" ht="15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10" t="n">
        <x:v>45983</x:v>
      </x:c>
      <x:c r="K132" s="8" t="n">
        <x:f>INDEX('Сводка'!$S$3:$S$397,U132)</x:f>
        <x:v>-98</x:v>
      </x:c>
      <x:c r="L132" s="8" t="n">
        <x:f>INDEX('Сводка'!$S$3:$S$397,V132)</x:f>
        <x:v>-85</x:v>
      </x:c>
      <x:c r="M132" s="8" t="n">
        <x:f>INDEX($K$388:$N$400,W132,1)*((J132-$T$405+1)/1000)^INDEX($K$388:$N$400,W132,2)</x:f>
        <x:v>171.19293483156773</x:v>
      </x:c>
      <x:c r="N132" s="8" t="n">
        <x:f>K132-M132</x:f>
        <x:v>-269.19293483156775</x:v>
      </x:c>
      <x:c r="O132" s="8" t="n">
        <x:f>ABS(N132)</x:f>
        <x:v>269.19293483156775</x:v>
      </x:c>
      <x:c r="P132" s="8" t="n">
        <x:f>N132^2</x:f>
        <x:v>72464.83616323269</x:v>
      </x:c>
      <x:c r="Q132" s="8" t="n">
        <x:f>K132-L132</x:f>
        <x:v>-13</x:v>
      </x:c>
      <x:c r="R132" s="9" t="n">
        <x:f>IF(AND(INDEX('Сводка'!$T$3:$T$397,U132)=0,INDEX('Сводка'!$T$3:$T$397,V132)=0),1,0)</x:f>
        <x:v>1</x:v>
      </x:c>
      <x:c r="S132" s="9" t="n">
        <x:f>IF(AND(R132=1,O132&lt;=$G$13),1,0)</x:f>
        <x:v>0</x:v>
      </x:c>
      <x:c r="T132" s="10" t="n">
        <x:f>EOMONTH(J132-'Сводка'!$B$11,-1)</x:f>
        <x:v>45961</x:v>
      </x:c>
      <x:c r="U132" s="4" t="n">
        <x:f>MATCH(J132,'Сводка'!$R$3:$R$397,0)</x:f>
        <x:v>143</x:v>
      </x:c>
      <x:c r="V132" s="4" t="n">
        <x:f>MATCH(J132-'Сводка'!$B$11,'Сводка'!$R$3:$R$397,0)</x:f>
        <x:v>142</x:v>
      </x:c>
      <x:c r="W132" s="4" t="n">
        <x:f>MATCH(T132,$J$388:$J$400,0)</x:f>
        <x:v>5</x:v>
      </x:c>
      <x:c r="X132" s="3"/>
      <x:c r="Y132" s="3"/>
      <x:c r="Z132" s="3"/>
    </x:row>
    <x:row r="133" ht="15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10" t="n">
        <x:v>45984</x:v>
      </x:c>
      <x:c r="K133" s="8" t="n">
        <x:f>INDEX('Сводка'!$S$3:$S$397,U133)</x:f>
        <x:v>-118</x:v>
      </x:c>
      <x:c r="L133" s="8" t="n">
        <x:f>INDEX('Сводка'!$S$3:$S$397,V133)</x:f>
        <x:v>-98</x:v>
      </x:c>
      <x:c r="M133" s="8" t="n">
        <x:f>INDEX($K$388:$N$400,W133,1)*((J133-$T$405+1)/1000)^INDEX($K$388:$N$400,W133,2)</x:f>
        <x:v>171.2169576584236</x:v>
      </x:c>
      <x:c r="N133" s="8" t="n">
        <x:f>K133-M133</x:f>
        <x:v>-289.2169576584236</x:v>
      </x:c>
      <x:c r="O133" s="8" t="n">
        <x:f>ABS(N133)</x:f>
        <x:v>289.2169576584236</x:v>
      </x:c>
      <x:c r="P133" s="8" t="n">
        <x:f>N133^2</x:f>
        <x:v>83646.4485971944</x:v>
      </x:c>
      <x:c r="Q133" s="8" t="n">
        <x:f>K133-L133</x:f>
        <x:v>-20</x:v>
      </x:c>
      <x:c r="R133" s="9" t="n">
        <x:f>IF(AND(INDEX('Сводка'!$T$3:$T$397,U133)=0,INDEX('Сводка'!$T$3:$T$397,V133)=0),1,0)</x:f>
        <x:v>1</x:v>
      </x:c>
      <x:c r="S133" s="9" t="n">
        <x:f>IF(AND(R133=1,O133&lt;=$G$13),1,0)</x:f>
        <x:v>0</x:v>
      </x:c>
      <x:c r="T133" s="10" t="n">
        <x:f>EOMONTH(J133-'Сводка'!$B$11,-1)</x:f>
        <x:v>45961</x:v>
      </x:c>
      <x:c r="U133" s="4" t="n">
        <x:f>MATCH(J133,'Сводка'!$R$3:$R$397,0)</x:f>
        <x:v>144</x:v>
      </x:c>
      <x:c r="V133" s="4" t="n">
        <x:f>MATCH(J133-'Сводка'!$B$11,'Сводка'!$R$3:$R$397,0)</x:f>
        <x:v>143</x:v>
      </x:c>
      <x:c r="W133" s="4" t="n">
        <x:f>MATCH(T133,$J$388:$J$400,0)</x:f>
        <x:v>5</x:v>
      </x:c>
      <x:c r="X133" s="3"/>
      <x:c r="Y133" s="3"/>
      <x:c r="Z133" s="3"/>
    </x:row>
    <x:row r="134" ht="15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10" t="n">
        <x:v>45985</x:v>
      </x:c>
      <x:c r="K134" s="8" t="n">
        <x:f>INDEX('Сводка'!$S$3:$S$397,U134)</x:f>
        <x:v>-123</x:v>
      </x:c>
      <x:c r="L134" s="8" t="n">
        <x:f>INDEX('Сводка'!$S$3:$S$397,V134)</x:f>
        <x:v>-118</x:v>
      </x:c>
      <x:c r="M134" s="8" t="n">
        <x:f>INDEX($K$388:$N$400,W134,1)*((J134-$T$405+1)/1000)^INDEX($K$388:$N$400,W134,2)</x:f>
        <x:v>171.24098110349985</x:v>
      </x:c>
      <x:c r="N134" s="8" t="n">
        <x:f>K134-M134</x:f>
        <x:v>-294.24098110349985</x:v>
      </x:c>
      <x:c r="O134" s="8" t="n">
        <x:f>ABS(N134)</x:f>
        <x:v>294.24098110349985</x:v>
      </x:c>
      <x:c r="P134" s="8" t="n">
        <x:f>N134^2</x:f>
        <x:v>86577.75496075016</x:v>
      </x:c>
      <x:c r="Q134" s="8" t="n">
        <x:f>K134-L134</x:f>
        <x:v>-5</x:v>
      </x:c>
      <x:c r="R134" s="9" t="n">
        <x:f>IF(AND(INDEX('Сводка'!$T$3:$T$397,U134)=0,INDEX('Сводка'!$T$3:$T$397,V134)=0),1,0)</x:f>
        <x:v>1</x:v>
      </x:c>
      <x:c r="S134" s="9" t="n">
        <x:f>IF(AND(R134=1,O134&lt;=$G$13),1,0)</x:f>
        <x:v>0</x:v>
      </x:c>
      <x:c r="T134" s="10" t="n">
        <x:f>EOMONTH(J134-'Сводка'!$B$11,-1)</x:f>
        <x:v>45961</x:v>
      </x:c>
      <x:c r="U134" s="4" t="n">
        <x:f>MATCH(J134,'Сводка'!$R$3:$R$397,0)</x:f>
        <x:v>145</x:v>
      </x:c>
      <x:c r="V134" s="4" t="n">
        <x:f>MATCH(J134-'Сводка'!$B$11,'Сводка'!$R$3:$R$397,0)</x:f>
        <x:v>144</x:v>
      </x:c>
      <x:c r="W134" s="4" t="n">
        <x:f>MATCH(T134,$J$388:$J$400,0)</x:f>
        <x:v>5</x:v>
      </x:c>
      <x:c r="X134" s="3"/>
      <x:c r="Y134" s="3"/>
      <x:c r="Z134" s="3"/>
    </x:row>
    <x:row r="135" ht="15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10" t="n">
        <x:v>45986</x:v>
      </x:c>
      <x:c r="K135" s="8" t="n">
        <x:f>INDEX('Сводка'!$S$3:$S$397,U135)</x:f>
        <x:v>-116</x:v>
      </x:c>
      <x:c r="L135" s="8" t="n">
        <x:f>INDEX('Сводка'!$S$3:$S$397,V135)</x:f>
        <x:v>-123</x:v>
      </x:c>
      <x:c r="M135" s="8" t="n">
        <x:f>INDEX($K$388:$N$400,W135,1)*((J135-$T$405+1)/1000)^INDEX($K$388:$N$400,W135,2)</x:f>
        <x:v>171.26500516674153</x:v>
      </x:c>
      <x:c r="N135" s="8" t="n">
        <x:f>K135-M135</x:f>
        <x:v>-287.2650051667415</x:v>
      </x:c>
      <x:c r="O135" s="8" t="n">
        <x:f>ABS(N135)</x:f>
        <x:v>287.2650051667415</x:v>
      </x:c>
      <x:c r="P135" s="8" t="n">
        <x:f>N135^2</x:f>
        <x:v>82521.18319344803</x:v>
      </x:c>
      <x:c r="Q135" s="8" t="n">
        <x:f>K135-L135</x:f>
        <x:v>7</x:v>
      </x:c>
      <x:c r="R135" s="9" t="n">
        <x:f>IF(AND(INDEX('Сводка'!$T$3:$T$397,U135)=0,INDEX('Сводка'!$T$3:$T$397,V135)=0),1,0)</x:f>
        <x:v>1</x:v>
      </x:c>
      <x:c r="S135" s="9" t="n">
        <x:f>IF(AND(R135=1,O135&lt;=$G$13),1,0)</x:f>
        <x:v>0</x:v>
      </x:c>
      <x:c r="T135" s="10" t="n">
        <x:f>EOMONTH(J135-'Сводка'!$B$11,-1)</x:f>
        <x:v>45961</x:v>
      </x:c>
      <x:c r="U135" s="4" t="n">
        <x:f>MATCH(J135,'Сводка'!$R$3:$R$397,0)</x:f>
        <x:v>146</x:v>
      </x:c>
      <x:c r="V135" s="4" t="n">
        <x:f>MATCH(J135-'Сводка'!$B$11,'Сводка'!$R$3:$R$397,0)</x:f>
        <x:v>145</x:v>
      </x:c>
      <x:c r="W135" s="4" t="n">
        <x:f>MATCH(T135,$J$388:$J$400,0)</x:f>
        <x:v>5</x:v>
      </x:c>
      <x:c r="X135" s="3"/>
      <x:c r="Y135" s="3"/>
      <x:c r="Z135" s="3"/>
    </x:row>
    <x:row r="136" ht="15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10" t="n">
        <x:v>45987</x:v>
      </x:c>
      <x:c r="K136" s="8" t="n">
        <x:f>INDEX('Сводка'!$S$3:$S$397,U136)</x:f>
        <x:v>-119</x:v>
      </x:c>
      <x:c r="L136" s="8" t="n">
        <x:f>INDEX('Сводка'!$S$3:$S$397,V136)</x:f>
        <x:v>-116</x:v>
      </x:c>
      <x:c r="M136" s="8" t="n">
        <x:f>INDEX($K$388:$N$400,W136,1)*((J136-$T$405+1)/1000)^INDEX($K$388:$N$400,W136,2)</x:f>
        <x:v>171.2890298480937</x:v>
      </x:c>
      <x:c r="N136" s="8" t="n">
        <x:f>K136-M136</x:f>
        <x:v>-290.2890298480937</x:v>
      </x:c>
      <x:c r="O136" s="8" t="n">
        <x:f>ABS(N136)</x:f>
        <x:v>290.2890298480937</x:v>
      </x:c>
      <x:c r="P136" s="8" t="n">
        <x:f>N136^2</x:f>
        <x:v>84267.72085014745</x:v>
      </x:c>
      <x:c r="Q136" s="8" t="n">
        <x:f>K136-L136</x:f>
        <x:v>-3</x:v>
      </x:c>
      <x:c r="R136" s="9" t="n">
        <x:f>IF(AND(INDEX('Сводка'!$T$3:$T$397,U136)=0,INDEX('Сводка'!$T$3:$T$397,V136)=0),1,0)</x:f>
        <x:v>1</x:v>
      </x:c>
      <x:c r="S136" s="9" t="n">
        <x:f>IF(AND(R136=1,O136&lt;=$G$13),1,0)</x:f>
        <x:v>0</x:v>
      </x:c>
      <x:c r="T136" s="10" t="n">
        <x:f>EOMONTH(J136-'Сводка'!$B$11,-1)</x:f>
        <x:v>45961</x:v>
      </x:c>
      <x:c r="U136" s="4" t="n">
        <x:f>MATCH(J136,'Сводка'!$R$3:$R$397,0)</x:f>
        <x:v>147</x:v>
      </x:c>
      <x:c r="V136" s="4" t="n">
        <x:f>MATCH(J136-'Сводка'!$B$11,'Сводка'!$R$3:$R$397,0)</x:f>
        <x:v>146</x:v>
      </x:c>
      <x:c r="W136" s="4" t="n">
        <x:f>MATCH(T136,$J$388:$J$400,0)</x:f>
        <x:v>5</x:v>
      </x:c>
      <x:c r="X136" s="3"/>
      <x:c r="Y136" s="3"/>
      <x:c r="Z136" s="3"/>
    </x:row>
    <x:row r="137" ht="15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10" t="n">
        <x:v>45988</x:v>
      </x:c>
      <x:c r="K137" s="8" t="n">
        <x:f>INDEX('Сводка'!$S$3:$S$397,U137)</x:f>
        <x:v>-114</x:v>
      </x:c>
      <x:c r="L137" s="8" t="n">
        <x:f>INDEX('Сводка'!$S$3:$S$397,V137)</x:f>
        <x:v>-119</x:v>
      </x:c>
      <x:c r="M137" s="8" t="n">
        <x:f>INDEX($K$388:$N$400,W137,1)*((J137-$T$405+1)/1000)^INDEX($K$388:$N$400,W137,2)</x:f>
        <x:v>171.31305514750147</x:v>
      </x:c>
      <x:c r="N137" s="8" t="n">
        <x:f>K137-M137</x:f>
        <x:v>-285.3130551475015</x:v>
      </x:c>
      <x:c r="O137" s="8" t="n">
        <x:f>ABS(N137)</x:f>
        <x:v>285.3130551475015</x:v>
      </x:c>
      <x:c r="P137" s="8" t="n">
        <x:f>N137^2</x:f>
        <x:v>81403.53943760121</x:v>
      </x:c>
      <x:c r="Q137" s="8" t="n">
        <x:f>K137-L137</x:f>
        <x:v>5</x:v>
      </x:c>
      <x:c r="R137" s="9" t="n">
        <x:f>IF(AND(INDEX('Сводка'!$T$3:$T$397,U137)=0,INDEX('Сводка'!$T$3:$T$397,V137)=0),1,0)</x:f>
        <x:v>1</x:v>
      </x:c>
      <x:c r="S137" s="9" t="n">
        <x:f>IF(AND(R137=1,O137&lt;=$G$13),1,0)</x:f>
        <x:v>0</x:v>
      </x:c>
      <x:c r="T137" s="10" t="n">
        <x:f>EOMONTH(J137-'Сводка'!$B$11,-1)</x:f>
        <x:v>45961</x:v>
      </x:c>
      <x:c r="U137" s="4" t="n">
        <x:f>MATCH(J137,'Сводка'!$R$3:$R$397,0)</x:f>
        <x:v>148</x:v>
      </x:c>
      <x:c r="V137" s="4" t="n">
        <x:f>MATCH(J137-'Сводка'!$B$11,'Сводка'!$R$3:$R$397,0)</x:f>
        <x:v>147</x:v>
      </x:c>
      <x:c r="W137" s="4" t="n">
        <x:f>MATCH(T137,$J$388:$J$400,0)</x:f>
        <x:v>5</x:v>
      </x:c>
      <x:c r="X137" s="3"/>
      <x:c r="Y137" s="3"/>
      <x:c r="Z137" s="3"/>
    </x:row>
    <x:row r="138" ht="15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10" t="n">
        <x:v>45989</x:v>
      </x:c>
      <x:c r="K138" s="8" t="n">
        <x:f>INDEX('Сводка'!$S$3:$S$397,U138)</x:f>
        <x:v>-86</x:v>
      </x:c>
      <x:c r="L138" s="8" t="n">
        <x:f>INDEX('Сводка'!$S$3:$S$397,V138)</x:f>
        <x:v>-114</x:v>
      </x:c>
      <x:c r="M138" s="8" t="n">
        <x:f>INDEX($K$388:$N$400,W138,1)*((J138-$T$405+1)/1000)^INDEX($K$388:$N$400,W138,2)</x:f>
        <x:v>171.33708106491005</x:v>
      </x:c>
      <x:c r="N138" s="8" t="n">
        <x:f>K138-M138</x:f>
        <x:v>-257.3370810649101</x:v>
      </x:c>
      <x:c r="O138" s="8" t="n">
        <x:f>ABS(N138)</x:f>
        <x:v>257.3370810649101</x:v>
      </x:c>
      <x:c r="P138" s="8" t="n">
        <x:f>N138^2</x:f>
        <x:v>66222.3732910081</x:v>
      </x:c>
      <x:c r="Q138" s="8" t="n">
        <x:f>K138-L138</x:f>
        <x:v>28</x:v>
      </x:c>
      <x:c r="R138" s="9" t="n">
        <x:f>IF(AND(INDEX('Сводка'!$T$3:$T$397,U138)=0,INDEX('Сводка'!$T$3:$T$397,V138)=0),1,0)</x:f>
        <x:v>0</x:v>
      </x:c>
      <x:c r="S138" s="9" t="n">
        <x:f>IF(AND(R138=1,O138&lt;=$G$13),1,0)</x:f>
        <x:v>0</x:v>
      </x:c>
      <x:c r="T138" s="10" t="n">
        <x:f>EOMONTH(J138-'Сводка'!$B$11,-1)</x:f>
        <x:v>45961</x:v>
      </x:c>
      <x:c r="U138" s="4" t="n">
        <x:f>MATCH(J138,'Сводка'!$R$3:$R$397,0)</x:f>
        <x:v>149</x:v>
      </x:c>
      <x:c r="V138" s="4" t="n">
        <x:f>MATCH(J138-'Сводка'!$B$11,'Сводка'!$R$3:$R$397,0)</x:f>
        <x:v>148</x:v>
      </x:c>
      <x:c r="W138" s="4" t="n">
        <x:f>MATCH(T138,$J$388:$J$400,0)</x:f>
        <x:v>5</x:v>
      </x:c>
      <x:c r="X138" s="3"/>
      <x:c r="Y138" s="3"/>
      <x:c r="Z138" s="3"/>
    </x:row>
    <x:row r="139" ht="15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10" t="n">
        <x:v>45990</x:v>
      </x:c>
      <x:c r="K139" s="8" t="n">
        <x:f>INDEX('Сводка'!$S$3:$S$397,U139)</x:f>
        <x:v>-58</x:v>
      </x:c>
      <x:c r="L139" s="8" t="n">
        <x:f>INDEX('Сводка'!$S$3:$S$397,V139)</x:f>
        <x:v>-86</x:v>
      </x:c>
      <x:c r="M139" s="8" t="n">
        <x:f>INDEX($K$388:$N$400,W139,1)*((J139-$T$405+1)/1000)^INDEX($K$388:$N$400,W139,2)</x:f>
        <x:v>171.3611076002644</x:v>
      </x:c>
      <x:c r="N139" s="8" t="n">
        <x:f>K139-M139</x:f>
        <x:v>-229.3611076002644</x:v>
      </x:c>
      <x:c r="O139" s="8" t="n">
        <x:f>ABS(N139)</x:f>
        <x:v>229.3611076002644</x:v>
      </x:c>
      <x:c r="P139" s="8" t="n">
        <x:f>N139^2</x:f>
        <x:v>52606.51767962007</x:v>
      </x:c>
      <x:c r="Q139" s="8" t="n">
        <x:f>K139-L139</x:f>
        <x:v>28</x:v>
      </x:c>
      <x:c r="R139" s="9" t="n">
        <x:f>IF(AND(INDEX('Сводка'!$T$3:$T$397,U139)=0,INDEX('Сводка'!$T$3:$T$397,V139)=0),1,0)</x:f>
        <x:v>0</x:v>
      </x:c>
      <x:c r="S139" s="9" t="n">
        <x:f>IF(AND(R139=1,O139&lt;=$G$13),1,0)</x:f>
        <x:v>0</x:v>
      </x:c>
      <x:c r="T139" s="10" t="n">
        <x:f>EOMONTH(J139-'Сводка'!$B$11,-1)</x:f>
        <x:v>45961</x:v>
      </x:c>
      <x:c r="U139" s="4" t="n">
        <x:f>MATCH(J139,'Сводка'!$R$3:$R$397,0)</x:f>
        <x:v>150</x:v>
      </x:c>
      <x:c r="V139" s="4" t="n">
        <x:f>MATCH(J139-'Сводка'!$B$11,'Сводка'!$R$3:$R$397,0)</x:f>
        <x:v>149</x:v>
      </x:c>
      <x:c r="W139" s="4" t="n">
        <x:f>MATCH(T139,$J$388:$J$400,0)</x:f>
        <x:v>5</x:v>
      </x:c>
      <x:c r="X139" s="3"/>
      <x:c r="Y139" s="3"/>
      <x:c r="Z139" s="3"/>
    </x:row>
    <x:row r="140" ht="15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10" t="n">
        <x:v>45991</x:v>
      </x:c>
      <x:c r="K140" s="8" t="n">
        <x:f>INDEX('Сводка'!$S$3:$S$397,U140)</x:f>
        <x:v>-53</x:v>
      </x:c>
      <x:c r="L140" s="8" t="n">
        <x:f>INDEX('Сводка'!$S$3:$S$397,V140)</x:f>
        <x:v>-58</x:v>
      </x:c>
      <x:c r="M140" s="8" t="n">
        <x:f>INDEX($K$388:$N$400,W140,1)*((J140-$T$405+1)/1000)^INDEX($K$388:$N$400,W140,2)</x:f>
        <x:v>171.3851347535098</x:v>
      </x:c>
      <x:c r="N140" s="8" t="n">
        <x:f>K140-M140</x:f>
        <x:v>-224.3851347535098</x:v>
      </x:c>
      <x:c r="O140" s="8" t="n">
        <x:f>ABS(N140)</x:f>
        <x:v>224.3851347535098</x:v>
      </x:c>
      <x:c r="P140" s="8" t="n">
        <x:f>N140^2</x:f>
        <x:v>50348.68869835074</x:v>
      </x:c>
      <x:c r="Q140" s="8" t="n">
        <x:f>K140-L140</x:f>
        <x:v>5</x:v>
      </x:c>
      <x:c r="R140" s="9" t="n">
        <x:f>IF(AND(INDEX('Сводка'!$T$3:$T$397,U140)=0,INDEX('Сводка'!$T$3:$T$397,V140)=0),1,0)</x:f>
        <x:v>1</x:v>
      </x:c>
      <x:c r="S140" s="9" t="n">
        <x:f>IF(AND(R140=1,O140&lt;=$G$13),1,0)</x:f>
        <x:v>0</x:v>
      </x:c>
      <x:c r="T140" s="10" t="n">
        <x:f>EOMONTH(J140-'Сводка'!$B$11,-1)</x:f>
        <x:v>45961</x:v>
      </x:c>
      <x:c r="U140" s="4" t="n">
        <x:f>MATCH(J140,'Сводка'!$R$3:$R$397,0)</x:f>
        <x:v>151</x:v>
      </x:c>
      <x:c r="V140" s="4" t="n">
        <x:f>MATCH(J140-'Сводка'!$B$11,'Сводка'!$R$3:$R$397,0)</x:f>
        <x:v>150</x:v>
      </x:c>
      <x:c r="W140" s="4" t="n">
        <x:f>MATCH(T140,$J$388:$J$400,0)</x:f>
        <x:v>5</x:v>
      </x:c>
      <x:c r="X140" s="3"/>
      <x:c r="Y140" s="3"/>
      <x:c r="Z140" s="3"/>
    </x:row>
    <x:row r="141" ht="15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10" t="n">
        <x:v>45992</x:v>
      </x:c>
      <x:c r="K141" s="8" t="n">
        <x:f>INDEX('Сводка'!$S$3:$S$397,U141)</x:f>
        <x:v>-56</x:v>
      </x:c>
      <x:c r="L141" s="8" t="n">
        <x:f>INDEX('Сводка'!$S$3:$S$397,V141)</x:f>
        <x:v>-53</x:v>
      </x:c>
      <x:c r="M141" s="8" t="n">
        <x:f>INDEX($K$388:$N$400,W141,1)*((J141-$T$405+1)/1000)^INDEX($K$388:$N$400,W141,2)</x:f>
        <x:v>171.40916252459135</x:v>
      </x:c>
      <x:c r="N141" s="8" t="n">
        <x:f>K141-M141</x:f>
        <x:v>-227.40916252459135</x:v>
      </x:c>
      <x:c r="O141" s="8" t="n">
        <x:f>ABS(N141)</x:f>
        <x:v>227.40916252459135</x:v>
      </x:c>
      <x:c r="P141" s="8" t="n">
        <x:f>N141^2</x:f>
        <x:v>51714.927200136</x:v>
      </x:c>
      <x:c r="Q141" s="8" t="n">
        <x:f>K141-L141</x:f>
        <x:v>-3</x:v>
      </x:c>
      <x:c r="R141" s="9" t="n">
        <x:f>IF(AND(INDEX('Сводка'!$T$3:$T$397,U141)=0,INDEX('Сводка'!$T$3:$T$397,V141)=0),1,0)</x:f>
        <x:v>1</x:v>
      </x:c>
      <x:c r="S141" s="9" t="n">
        <x:f>IF(AND(R141=1,O141&lt;=$G$13),1,0)</x:f>
        <x:v>0</x:v>
      </x:c>
      <x:c r="T141" s="10" t="n">
        <x:f>EOMONTH(J141-'Сводка'!$B$11,-1)</x:f>
        <x:v>45961</x:v>
      </x:c>
      <x:c r="U141" s="4" t="n">
        <x:f>MATCH(J141,'Сводка'!$R$3:$R$397,0)</x:f>
        <x:v>152</x:v>
      </x:c>
      <x:c r="V141" s="4" t="n">
        <x:f>MATCH(J141-'Сводка'!$B$11,'Сводка'!$R$3:$R$397,0)</x:f>
        <x:v>151</x:v>
      </x:c>
      <x:c r="W141" s="4" t="n">
        <x:f>MATCH(T141,$J$388:$J$400,0)</x:f>
        <x:v>5</x:v>
      </x:c>
      <x:c r="X141" s="3"/>
      <x:c r="Y141" s="3"/>
      <x:c r="Z141" s="3"/>
    </x:row>
    <x:row r="142" ht="15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10" t="n">
        <x:v>45993</x:v>
      </x:c>
      <x:c r="K142" s="8" t="n">
        <x:f>INDEX('Сводка'!$S$3:$S$397,U142)</x:f>
        <x:v>-46</x:v>
      </x:c>
      <x:c r="L142" s="8" t="n">
        <x:f>INDEX('Сводка'!$S$3:$S$397,V142)</x:f>
        <x:v>-56</x:v>
      </x:c>
      <x:c r="M142" s="8" t="n">
        <x:f>INDEX($K$388:$N$400,W142,1)*((J142-$T$405+1)/1000)^INDEX($K$388:$N$400,W142,2)</x:f>
        <x:v>165.99630617136447</x:v>
      </x:c>
      <x:c r="N142" s="8" t="n">
        <x:f>K142-M142</x:f>
        <x:v>-211.99630617136447</x:v>
      </x:c>
      <x:c r="O142" s="8" t="n">
        <x:f>ABS(N142)</x:f>
        <x:v>211.99630617136447</x:v>
      </x:c>
      <x:c r="P142" s="8" t="n">
        <x:f>N142^2</x:f>
        <x:v>44942.43383030291</x:v>
      </x:c>
      <x:c r="Q142" s="8" t="n">
        <x:f>K142-L142</x:f>
        <x:v>10</x:v>
      </x:c>
      <x:c r="R142" s="9" t="n">
        <x:f>IF(AND(INDEX('Сводка'!$T$3:$T$397,U142)=0,INDEX('Сводка'!$T$3:$T$397,V142)=0),1,0)</x:f>
        <x:v>1</x:v>
      </x:c>
      <x:c r="S142" s="9" t="n">
        <x:f>IF(AND(R142=1,O142&lt;=$G$13),1,0)</x:f>
        <x:v>0</x:v>
      </x:c>
      <x:c r="T142" s="10" t="n">
        <x:f>EOMONTH(J142-'Сводка'!$B$11,-1)</x:f>
        <x:v>45991</x:v>
      </x:c>
      <x:c r="U142" s="4" t="n">
        <x:f>MATCH(J142,'Сводка'!$R$3:$R$397,0)</x:f>
        <x:v>153</x:v>
      </x:c>
      <x:c r="V142" s="4" t="n">
        <x:f>MATCH(J142-'Сводка'!$B$11,'Сводка'!$R$3:$R$397,0)</x:f>
        <x:v>152</x:v>
      </x:c>
      <x:c r="W142" s="4" t="n">
        <x:f>MATCH(T142,$J$388:$J$400,0)</x:f>
        <x:v>6</x:v>
      </x:c>
      <x:c r="X142" s="3"/>
      <x:c r="Y142" s="3"/>
      <x:c r="Z142" s="3"/>
    </x:row>
    <x:row r="143" ht="15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10" t="n">
        <x:v>45994</x:v>
      </x:c>
      <x:c r="K143" s="8" t="n">
        <x:f>INDEX('Сводка'!$S$3:$S$397,U143)</x:f>
        <x:v>-30</x:v>
      </x:c>
      <x:c r="L143" s="8" t="n">
        <x:f>INDEX('Сводка'!$S$3:$S$397,V143)</x:f>
        <x:v>-46</x:v>
      </x:c>
      <x:c r="M143" s="8" t="n">
        <x:f>INDEX($K$388:$N$400,W143,1)*((J143-$T$405+1)/1000)^INDEX($K$388:$N$400,W143,2)</x:f>
        <x:v>166.01870919868614</x:v>
      </x:c>
      <x:c r="N143" s="8" t="n">
        <x:f>K143-M143</x:f>
        <x:v>-196.01870919868614</x:v>
      </x:c>
      <x:c r="O143" s="8" t="n">
        <x:f>ABS(N143)</x:f>
        <x:v>196.01870919868614</x:v>
      </x:c>
      <x:c r="P143" s="8" t="n">
        <x:f>N143^2</x:f>
        <x:v>38423.33435591908</x:v>
      </x:c>
      <x:c r="Q143" s="8" t="n">
        <x:f>K143-L143</x:f>
        <x:v>16</x:v>
      </x:c>
      <x:c r="R143" s="9" t="n">
        <x:f>IF(AND(INDEX('Сводка'!$T$3:$T$397,U143)=0,INDEX('Сводка'!$T$3:$T$397,V143)=0),1,0)</x:f>
        <x:v>1</x:v>
      </x:c>
      <x:c r="S143" s="9" t="n">
        <x:f>IF(AND(R143=1,O143&lt;=$G$13),1,0)</x:f>
        <x:v>0</x:v>
      </x:c>
      <x:c r="T143" s="10" t="n">
        <x:f>EOMONTH(J143-'Сводка'!$B$11,-1)</x:f>
        <x:v>45991</x:v>
      </x:c>
      <x:c r="U143" s="4" t="n">
        <x:f>MATCH(J143,'Сводка'!$R$3:$R$397,0)</x:f>
        <x:v>154</x:v>
      </x:c>
      <x:c r="V143" s="4" t="n">
        <x:f>MATCH(J143-'Сводка'!$B$11,'Сводка'!$R$3:$R$397,0)</x:f>
        <x:v>153</x:v>
      </x:c>
      <x:c r="W143" s="4" t="n">
        <x:f>MATCH(T143,$J$388:$J$400,0)</x:f>
        <x:v>6</x:v>
      </x:c>
      <x:c r="X143" s="3"/>
      <x:c r="Y143" s="3"/>
      <x:c r="Z143" s="3"/>
    </x:row>
    <x:row r="144" ht="15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10" t="n">
        <x:v>45995</x:v>
      </x:c>
      <x:c r="K144" s="8" t="n">
        <x:f>INDEX('Сводка'!$S$3:$S$397,U144)</x:f>
        <x:v>-20</x:v>
      </x:c>
      <x:c r="L144" s="8" t="n">
        <x:f>INDEX('Сводка'!$S$3:$S$397,V144)</x:f>
        <x:v>-30</x:v>
      </x:c>
      <x:c r="M144" s="8" t="n">
        <x:f>INDEX($K$388:$N$400,W144,1)*((J144-$T$405+1)/1000)^INDEX($K$388:$N$400,W144,2)</x:f>
        <x:v>166.04111268530832</x:v>
      </x:c>
      <x:c r="N144" s="8" t="n">
        <x:f>K144-M144</x:f>
        <x:v>-186.04111268530832</x:v>
      </x:c>
      <x:c r="O144" s="8" t="n">
        <x:f>ABS(N144)</x:f>
        <x:v>186.04111268530832</x:v>
      </x:c>
      <x:c r="P144" s="8" t="n">
        <x:f>N144^2</x:f>
        <x:v>34611.29560918759</x:v>
      </x:c>
      <x:c r="Q144" s="8" t="n">
        <x:f>K144-L144</x:f>
        <x:v>10</x:v>
      </x:c>
      <x:c r="R144" s="9" t="n">
        <x:f>IF(AND(INDEX('Сводка'!$T$3:$T$397,U144)=0,INDEX('Сводка'!$T$3:$T$397,V144)=0),1,0)</x:f>
        <x:v>1</x:v>
      </x:c>
      <x:c r="S144" s="9" t="n">
        <x:f>IF(AND(R144=1,O144&lt;=$G$13),1,0)</x:f>
        <x:v>0</x:v>
      </x:c>
      <x:c r="T144" s="10" t="n">
        <x:f>EOMONTH(J144-'Сводка'!$B$11,-1)</x:f>
        <x:v>45991</x:v>
      </x:c>
      <x:c r="U144" s="4" t="n">
        <x:f>MATCH(J144,'Сводка'!$R$3:$R$397,0)</x:f>
        <x:v>155</x:v>
      </x:c>
      <x:c r="V144" s="4" t="n">
        <x:f>MATCH(J144-'Сводка'!$B$11,'Сводка'!$R$3:$R$397,0)</x:f>
        <x:v>154</x:v>
      </x:c>
      <x:c r="W144" s="4" t="n">
        <x:f>MATCH(T144,$J$388:$J$400,0)</x:f>
        <x:v>6</x:v>
      </x:c>
      <x:c r="X144" s="3"/>
      <x:c r="Y144" s="3"/>
      <x:c r="Z144" s="3"/>
    </x:row>
    <x:row r="145" ht="15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10" t="n">
        <x:v>45996</x:v>
      </x:c>
      <x:c r="K145" s="8" t="n">
        <x:f>INDEX('Сводка'!$S$3:$S$397,U145)</x:f>
        <x:v>-16</x:v>
      </x:c>
      <x:c r="L145" s="8" t="n">
        <x:f>INDEX('Сводка'!$S$3:$S$397,V145)</x:f>
        <x:v>-20</x:v>
      </x:c>
      <x:c r="M145" s="8" t="n">
        <x:f>INDEX($K$388:$N$400,W145,1)*((J145-$T$405+1)/1000)^INDEX($K$388:$N$400,W145,2)</x:f>
        <x:v>166.06351663118784</x:v>
      </x:c>
      <x:c r="N145" s="8" t="n">
        <x:f>K145-M145</x:f>
        <x:v>-182.06351663118784</x:v>
      </x:c>
      <x:c r="O145" s="8" t="n">
        <x:f>ABS(N145)</x:f>
        <x:v>182.06351663118784</x:v>
      </x:c>
      <x:c r="P145" s="8" t="n">
        <x:f>N145^2</x:f>
        <x:v>33147.12408811481</x:v>
      </x:c>
      <x:c r="Q145" s="8" t="n">
        <x:f>K145-L145</x:f>
        <x:v>4</x:v>
      </x:c>
      <x:c r="R145" s="9" t="n">
        <x:f>IF(AND(INDEX('Сводка'!$T$3:$T$397,U145)=0,INDEX('Сводка'!$T$3:$T$397,V145)=0),1,0)</x:f>
        <x:v>0</x:v>
      </x:c>
      <x:c r="S145" s="9" t="n">
        <x:f>IF(AND(R145=1,O145&lt;=$G$13),1,0)</x:f>
        <x:v>0</x:v>
      </x:c>
      <x:c r="T145" s="10" t="n">
        <x:f>EOMONTH(J145-'Сводка'!$B$11,-1)</x:f>
        <x:v>45991</x:v>
      </x:c>
      <x:c r="U145" s="4" t="n">
        <x:f>MATCH(J145,'Сводка'!$R$3:$R$397,0)</x:f>
        <x:v>156</x:v>
      </x:c>
      <x:c r="V145" s="4" t="n">
        <x:f>MATCH(J145-'Сводка'!$B$11,'Сводка'!$R$3:$R$397,0)</x:f>
        <x:v>155</x:v>
      </x:c>
      <x:c r="W145" s="4" t="n">
        <x:f>MATCH(T145,$J$388:$J$400,0)</x:f>
        <x:v>6</x:v>
      </x:c>
      <x:c r="X145" s="3"/>
      <x:c r="Y145" s="3"/>
      <x:c r="Z145" s="3"/>
    </x:row>
    <x:row r="146" ht="15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10" t="n">
        <x:v>45997</x:v>
      </x:c>
      <x:c r="K146" s="8" t="n">
        <x:f>INDEX('Сводка'!$S$3:$S$397,U146)</x:f>
        <x:v>-12</x:v>
      </x:c>
      <x:c r="L146" s="8" t="n">
        <x:f>INDEX('Сводка'!$S$3:$S$397,V146)</x:f>
        <x:v>-16</x:v>
      </x:c>
      <x:c r="M146" s="8" t="n">
        <x:f>INDEX($K$388:$N$400,W146,1)*((J146-$T$405+1)/1000)^INDEX($K$388:$N$400,W146,2)</x:f>
        <x:v>166.08592103628158</x:v>
      </x:c>
      <x:c r="N146" s="8" t="n">
        <x:f>K146-M146</x:f>
        <x:v>-178.08592103628158</x:v>
      </x:c>
      <x:c r="O146" s="8" t="n">
        <x:f>ABS(N146)</x:f>
        <x:v>178.08592103628158</x:v>
      </x:c>
      <x:c r="P146" s="8" t="n">
        <x:f>N146^2</x:f>
        <x:v>31714.595271340717</x:v>
      </x:c>
      <x:c r="Q146" s="8" t="n">
        <x:f>K146-L146</x:f>
        <x:v>4</x:v>
      </x:c>
      <x:c r="R146" s="9" t="n">
        <x:f>IF(AND(INDEX('Сводка'!$T$3:$T$397,U146)=0,INDEX('Сводка'!$T$3:$T$397,V146)=0),1,0)</x:f>
        <x:v>0</x:v>
      </x:c>
      <x:c r="S146" s="9" t="n">
        <x:f>IF(AND(R146=1,O146&lt;=$G$13),1,0)</x:f>
        <x:v>0</x:v>
      </x:c>
      <x:c r="T146" s="10" t="n">
        <x:f>EOMONTH(J146-'Сводка'!$B$11,-1)</x:f>
        <x:v>45991</x:v>
      </x:c>
      <x:c r="U146" s="4" t="n">
        <x:f>MATCH(J146,'Сводка'!$R$3:$R$397,0)</x:f>
        <x:v>157</x:v>
      </x:c>
      <x:c r="V146" s="4" t="n">
        <x:f>MATCH(J146-'Сводка'!$B$11,'Сводка'!$R$3:$R$397,0)</x:f>
        <x:v>156</x:v>
      </x:c>
      <x:c r="W146" s="4" t="n">
        <x:f>MATCH(T146,$J$388:$J$400,0)</x:f>
        <x:v>6</x:v>
      </x:c>
      <x:c r="X146" s="3"/>
      <x:c r="Y146" s="3"/>
      <x:c r="Z146" s="3"/>
    </x:row>
    <x:row r="147" ht="15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10" t="n">
        <x:v>45998</x:v>
      </x:c>
      <x:c r="K147" s="8" t="n">
        <x:f>INDEX('Сводка'!$S$3:$S$397,U147)</x:f>
        <x:v>-8</x:v>
      </x:c>
      <x:c r="L147" s="8" t="n">
        <x:f>INDEX('Сводка'!$S$3:$S$397,V147)</x:f>
        <x:v>-12</x:v>
      </x:c>
      <x:c r="M147" s="8" t="n">
        <x:f>INDEX($K$388:$N$400,W147,1)*((J147-$T$405+1)/1000)^INDEX($K$388:$N$400,W147,2)</x:f>
        <x:v>166.1083259005465</x:v>
      </x:c>
      <x:c r="N147" s="8" t="n">
        <x:f>K147-M147</x:f>
        <x:v>-174.1083259005465</x:v>
      </x:c>
      <x:c r="O147" s="8" t="n">
        <x:f>ABS(N147)</x:f>
        <x:v>174.1083259005465</x:v>
      </x:c>
      <x:c r="P147" s="8" t="n">
        <x:f>N147^2</x:f>
        <x:v>30313.709147890913</x:v>
      </x:c>
      <x:c r="Q147" s="8" t="n">
        <x:f>K147-L147</x:f>
        <x:v>4</x:v>
      </x:c>
      <x:c r="R147" s="9" t="n">
        <x:f>IF(AND(INDEX('Сводка'!$T$3:$T$397,U147)=0,INDEX('Сводка'!$T$3:$T$397,V147)=0),1,0)</x:f>
        <x:v>0</x:v>
      </x:c>
      <x:c r="S147" s="9" t="n">
        <x:f>IF(AND(R147=1,O147&lt;=$G$13),1,0)</x:f>
        <x:v>0</x:v>
      </x:c>
      <x:c r="T147" s="10" t="n">
        <x:f>EOMONTH(J147-'Сводка'!$B$11,-1)</x:f>
        <x:v>45991</x:v>
      </x:c>
      <x:c r="U147" s="4" t="n">
        <x:f>MATCH(J147,'Сводка'!$R$3:$R$397,0)</x:f>
        <x:v>158</x:v>
      </x:c>
      <x:c r="V147" s="4" t="n">
        <x:f>MATCH(J147-'Сводка'!$B$11,'Сводка'!$R$3:$R$397,0)</x:f>
        <x:v>157</x:v>
      </x:c>
      <x:c r="W147" s="4" t="n">
        <x:f>MATCH(T147,$J$388:$J$400,0)</x:f>
        <x:v>6</x:v>
      </x:c>
      <x:c r="X147" s="3"/>
      <x:c r="Y147" s="3"/>
      <x:c r="Z147" s="3"/>
    </x:row>
    <x:row r="148" ht="15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10" t="n">
        <x:v>45999</x:v>
      </x:c>
      <x:c r="K148" s="8" t="n">
        <x:f>INDEX('Сводка'!$S$3:$S$397,U148)</x:f>
        <x:v>-13</x:v>
      </x:c>
      <x:c r="L148" s="8" t="n">
        <x:f>INDEX('Сводка'!$S$3:$S$397,V148)</x:f>
        <x:v>-8</x:v>
      </x:c>
      <x:c r="M148" s="8" t="n">
        <x:f>INDEX($K$388:$N$400,W148,1)*((J148-$T$405+1)/1000)^INDEX($K$388:$N$400,W148,2)</x:f>
        <x:v>166.13073122393936</x:v>
      </x:c>
      <x:c r="N148" s="8" t="n">
        <x:f>K148-M148</x:f>
        <x:v>-179.13073122393936</x:v>
      </x:c>
      <x:c r="O148" s="8" t="n">
        <x:f>ABS(N148)</x:f>
        <x:v>179.13073122393936</x:v>
      </x:c>
      <x:c r="P148" s="8" t="n">
        <x:f>N148^2</x:f>
        <x:v>32087.818868823204</x:v>
      </x:c>
      <x:c r="Q148" s="8" t="n">
        <x:f>K148-L148</x:f>
        <x:v>-5</x:v>
      </x:c>
      <x:c r="R148" s="9" t="n">
        <x:f>IF(AND(INDEX('Сводка'!$T$3:$T$397,U148)=0,INDEX('Сводка'!$T$3:$T$397,V148)=0),1,0)</x:f>
        <x:v>1</x:v>
      </x:c>
      <x:c r="S148" s="9" t="n">
        <x:f>IF(AND(R148=1,O148&lt;=$G$13),1,0)</x:f>
        <x:v>0</x:v>
      </x:c>
      <x:c r="T148" s="10" t="n">
        <x:f>EOMONTH(J148-'Сводка'!$B$11,-1)</x:f>
        <x:v>45991</x:v>
      </x:c>
      <x:c r="U148" s="4" t="n">
        <x:f>MATCH(J148,'Сводка'!$R$3:$R$397,0)</x:f>
        <x:v>159</x:v>
      </x:c>
      <x:c r="V148" s="4" t="n">
        <x:f>MATCH(J148-'Сводка'!$B$11,'Сводка'!$R$3:$R$397,0)</x:f>
        <x:v>158</x:v>
      </x:c>
      <x:c r="W148" s="4" t="n">
        <x:f>MATCH(T148,$J$388:$J$400,0)</x:f>
        <x:v>6</x:v>
      </x:c>
      <x:c r="X148" s="3"/>
      <x:c r="Y148" s="3"/>
      <x:c r="Z148" s="3"/>
    </x:row>
    <x:row r="149" ht="15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10" t="n">
        <x:v>46000</x:v>
      </x:c>
      <x:c r="K149" s="8" t="n">
        <x:f>INDEX('Сводка'!$S$3:$S$397,U149)</x:f>
        <x:v>-20</x:v>
      </x:c>
      <x:c r="L149" s="8" t="n">
        <x:f>INDEX('Сводка'!$S$3:$S$397,V149)</x:f>
        <x:v>-13</x:v>
      </x:c>
      <x:c r="M149" s="8" t="n">
        <x:f>INDEX($K$388:$N$400,W149,1)*((J149-$T$405+1)/1000)^INDEX($K$388:$N$400,W149,2)</x:f>
        <x:v>166.1531370064171</x:v>
      </x:c>
      <x:c r="N149" s="8" t="n">
        <x:f>K149-M149</x:f>
        <x:v>-186.1531370064171</x:v>
      </x:c>
      <x:c r="O149" s="8" t="n">
        <x:f>ABS(N149)</x:f>
        <x:v>186.1531370064171</x:v>
      </x:c>
      <x:c r="P149" s="8" t="n">
        <x:f>N149^2</x:f>
        <x:v>34652.99041732989</x:v>
      </x:c>
      <x:c r="Q149" s="8" t="n">
        <x:f>K149-L149</x:f>
        <x:v>-7</x:v>
      </x:c>
      <x:c r="R149" s="9" t="n">
        <x:f>IF(AND(INDEX('Сводка'!$T$3:$T$397,U149)=0,INDEX('Сводка'!$T$3:$T$397,V149)=0),1,0)</x:f>
        <x:v>1</x:v>
      </x:c>
      <x:c r="S149" s="9" t="n">
        <x:f>IF(AND(R149=1,O149&lt;=$G$13),1,0)</x:f>
        <x:v>0</x:v>
      </x:c>
      <x:c r="T149" s="10" t="n">
        <x:f>EOMONTH(J149-'Сводка'!$B$11,-1)</x:f>
        <x:v>45991</x:v>
      </x:c>
      <x:c r="U149" s="4" t="n">
        <x:f>MATCH(J149,'Сводка'!$R$3:$R$397,0)</x:f>
        <x:v>160</x:v>
      </x:c>
      <x:c r="V149" s="4" t="n">
        <x:f>MATCH(J149-'Сводка'!$B$11,'Сводка'!$R$3:$R$397,0)</x:f>
        <x:v>159</x:v>
      </x:c>
      <x:c r="W149" s="4" t="n">
        <x:f>MATCH(T149,$J$388:$J$400,0)</x:f>
        <x:v>6</x:v>
      </x:c>
      <x:c r="X149" s="3"/>
      <x:c r="Y149" s="3"/>
      <x:c r="Z149" s="3"/>
    </x:row>
    <x:row r="150" ht="15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10" t="n">
        <x:v>46001</x:v>
      </x:c>
      <x:c r="K150" s="8" t="n">
        <x:f>INDEX('Сводка'!$S$3:$S$397,U150)</x:f>
        <x:v>-28</x:v>
      </x:c>
      <x:c r="L150" s="8" t="n">
        <x:f>INDEX('Сводка'!$S$3:$S$397,V150)</x:f>
        <x:v>-20</x:v>
      </x:c>
      <x:c r="M150" s="8" t="n">
        <x:f>INDEX($K$388:$N$400,W150,1)*((J150-$T$405+1)/1000)^INDEX($K$388:$N$400,W150,2)</x:f>
        <x:v>166.17554324793664</x:v>
      </x:c>
      <x:c r="N150" s="8" t="n">
        <x:f>K150-M150</x:f>
        <x:v>-194.17554324793664</x:v>
      </x:c>
      <x:c r="O150" s="8" t="n">
        <x:f>ABS(N150)</x:f>
        <x:v>194.17554324793664</x:v>
      </x:c>
      <x:c r="P150" s="8" t="n">
        <x:f>N150^2</x:f>
        <x:v>37704.141595631314</x:v>
      </x:c>
      <x:c r="Q150" s="8" t="n">
        <x:f>K150-L150</x:f>
        <x:v>-8</x:v>
      </x:c>
      <x:c r="R150" s="9" t="n">
        <x:f>IF(AND(INDEX('Сводка'!$T$3:$T$397,U150)=0,INDEX('Сводка'!$T$3:$T$397,V150)=0),1,0)</x:f>
        <x:v>1</x:v>
      </x:c>
      <x:c r="S150" s="9" t="n">
        <x:f>IF(AND(R150=1,O150&lt;=$G$13),1,0)</x:f>
        <x:v>0</x:v>
      </x:c>
      <x:c r="T150" s="10" t="n">
        <x:f>EOMONTH(J150-'Сводка'!$B$11,-1)</x:f>
        <x:v>45991</x:v>
      </x:c>
      <x:c r="U150" s="4" t="n">
        <x:f>MATCH(J150,'Сводка'!$R$3:$R$397,0)</x:f>
        <x:v>161</x:v>
      </x:c>
      <x:c r="V150" s="4" t="n">
        <x:f>MATCH(J150-'Сводка'!$B$11,'Сводка'!$R$3:$R$397,0)</x:f>
        <x:v>160</x:v>
      </x:c>
      <x:c r="W150" s="4" t="n">
        <x:f>MATCH(T150,$J$388:$J$400,0)</x:f>
        <x:v>6</x:v>
      </x:c>
      <x:c r="X150" s="3"/>
      <x:c r="Y150" s="3"/>
      <x:c r="Z150" s="3"/>
    </x:row>
    <x:row r="151" ht="15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10" t="n">
        <x:v>46002</x:v>
      </x:c>
      <x:c r="K151" s="8" t="n">
        <x:f>INDEX('Сводка'!$S$3:$S$397,U151)</x:f>
        <x:v>-38</x:v>
      </x:c>
      <x:c r="L151" s="8" t="n">
        <x:f>INDEX('Сводка'!$S$3:$S$397,V151)</x:f>
        <x:v>-28</x:v>
      </x:c>
      <x:c r="M151" s="8" t="n">
        <x:f>INDEX($K$388:$N$400,W151,1)*((J151-$T$405+1)/1000)^INDEX($K$388:$N$400,W151,2)</x:f>
        <x:v>166.19794994845492</x:v>
      </x:c>
      <x:c r="N151" s="8" t="n">
        <x:f>K151-M151</x:f>
        <x:v>-204.19794994845492</x:v>
      </x:c>
      <x:c r="O151" s="8" t="n">
        <x:f>ABS(N151)</x:f>
        <x:v>204.19794994845492</x:v>
      </x:c>
      <x:c r="P151" s="8" t="n">
        <x:f>N151^2</x:f>
        <x:v>41696.8027631517</x:v>
      </x:c>
      <x:c r="Q151" s="8" t="n">
        <x:f>K151-L151</x:f>
        <x:v>-10</x:v>
      </x:c>
      <x:c r="R151" s="9" t="n">
        <x:f>IF(AND(INDEX('Сводка'!$T$3:$T$397,U151)=0,INDEX('Сводка'!$T$3:$T$397,V151)=0),1,0)</x:f>
        <x:v>1</x:v>
      </x:c>
      <x:c r="S151" s="9" t="n">
        <x:f>IF(AND(R151=1,O151&lt;=$G$13),1,0)</x:f>
        <x:v>0</x:v>
      </x:c>
      <x:c r="T151" s="10" t="n">
        <x:f>EOMONTH(J151-'Сводка'!$B$11,-1)</x:f>
        <x:v>45991</x:v>
      </x:c>
      <x:c r="U151" s="4" t="n">
        <x:f>MATCH(J151,'Сводка'!$R$3:$R$397,0)</x:f>
        <x:v>162</x:v>
      </x:c>
      <x:c r="V151" s="4" t="n">
        <x:f>MATCH(J151-'Сводка'!$B$11,'Сводка'!$R$3:$R$397,0)</x:f>
        <x:v>161</x:v>
      </x:c>
      <x:c r="W151" s="4" t="n">
        <x:f>MATCH(T151,$J$388:$J$400,0)</x:f>
        <x:v>6</x:v>
      </x:c>
      <x:c r="X151" s="3"/>
      <x:c r="Y151" s="3"/>
      <x:c r="Z151" s="3"/>
    </x:row>
    <x:row r="152" ht="15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10" t="n">
        <x:v>46003</x:v>
      </x:c>
      <x:c r="K152" s="8" t="n">
        <x:f>INDEX('Сводка'!$S$3:$S$397,U152)</x:f>
        <x:v>-37.7</x:v>
      </x:c>
      <x:c r="L152" s="8" t="n">
        <x:f>INDEX('Сводка'!$S$3:$S$397,V152)</x:f>
        <x:v>-38</x:v>
      </x:c>
      <x:c r="M152" s="8" t="n">
        <x:f>INDEX($K$388:$N$400,W152,1)*((J152-$T$405+1)/1000)^INDEX($K$388:$N$400,W152,2)</x:f>
        <x:v>166.22035710792878</x:v>
      </x:c>
      <x:c r="N152" s="8" t="n">
        <x:f>K152-M152</x:f>
        <x:v>-203.9203571079288</x:v>
      </x:c>
      <x:c r="O152" s="8" t="n">
        <x:f>ABS(N152)</x:f>
        <x:v>203.9203571079288</x:v>
      </x:c>
      <x:c r="P152" s="8" t="n">
        <x:f>N152^2</x:f>
        <x:v>41583.51204302521</x:v>
      </x:c>
      <x:c r="Q152" s="8" t="n">
        <x:f>K152-L152</x:f>
        <x:v>0.29999999999999716</x:v>
      </x:c>
      <x:c r="R152" s="9" t="n">
        <x:f>IF(AND(INDEX('Сводка'!$T$3:$T$397,U152)=0,INDEX('Сводка'!$T$3:$T$397,V152)=0),1,0)</x:f>
        <x:v>0</x:v>
      </x:c>
      <x:c r="S152" s="9" t="n">
        <x:f>IF(AND(R152=1,O152&lt;=$G$13),1,0)</x:f>
        <x:v>0</x:v>
      </x:c>
      <x:c r="T152" s="10" t="n">
        <x:f>EOMONTH(J152-'Сводка'!$B$11,-1)</x:f>
        <x:v>45991</x:v>
      </x:c>
      <x:c r="U152" s="4" t="n">
        <x:f>MATCH(J152,'Сводка'!$R$3:$R$397,0)</x:f>
        <x:v>163</x:v>
      </x:c>
      <x:c r="V152" s="4" t="n">
        <x:f>MATCH(J152-'Сводка'!$B$11,'Сводка'!$R$3:$R$397,0)</x:f>
        <x:v>162</x:v>
      </x:c>
      <x:c r="W152" s="4" t="n">
        <x:f>MATCH(T152,$J$388:$J$400,0)</x:f>
        <x:v>6</x:v>
      </x:c>
      <x:c r="X152" s="3"/>
      <x:c r="Y152" s="3"/>
      <x:c r="Z152" s="3"/>
    </x:row>
    <x:row r="153" ht="15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10" t="n">
        <x:v>46004</x:v>
      </x:c>
      <x:c r="K153" s="8" t="n">
        <x:f>INDEX('Сводка'!$S$3:$S$397,U153)</x:f>
        <x:v>-37.3</x:v>
      </x:c>
      <x:c r="L153" s="8" t="n">
        <x:f>INDEX('Сводка'!$S$3:$S$397,V153)</x:f>
        <x:v>-37.7</x:v>
      </x:c>
      <x:c r="M153" s="8" t="n">
        <x:f>INDEX($K$388:$N$400,W153,1)*((J153-$T$405+1)/1000)^INDEX($K$388:$N$400,W153,2)</x:f>
        <x:v>166.2427647263152</x:v>
      </x:c>
      <x:c r="N153" s="8" t="n">
        <x:f>K153-M153</x:f>
        <x:v>-203.54276472631517</x:v>
      </x:c>
      <x:c r="O153" s="8" t="n">
        <x:f>ABS(N153)</x:f>
        <x:v>203.54276472631517</x:v>
      </x:c>
      <x:c r="P153" s="8" t="n">
        <x:f>N153^2</x:f>
        <x:v>41429.65707243209</x:v>
      </x:c>
      <x:c r="Q153" s="8" t="n">
        <x:f>K153-L153</x:f>
        <x:v>0.4000000000000057</x:v>
      </x:c>
      <x:c r="R153" s="9" t="n">
        <x:f>IF(AND(INDEX('Сводка'!$T$3:$T$397,U153)=0,INDEX('Сводка'!$T$3:$T$397,V153)=0),1,0)</x:f>
        <x:v>0</x:v>
      </x:c>
      <x:c r="S153" s="9" t="n">
        <x:f>IF(AND(R153=1,O153&lt;=$G$13),1,0)</x:f>
        <x:v>0</x:v>
      </x:c>
      <x:c r="T153" s="10" t="n">
        <x:f>EOMONTH(J153-'Сводка'!$B$11,-1)</x:f>
        <x:v>45991</x:v>
      </x:c>
      <x:c r="U153" s="4" t="n">
        <x:f>MATCH(J153,'Сводка'!$R$3:$R$397,0)</x:f>
        <x:v>164</x:v>
      </x:c>
      <x:c r="V153" s="4" t="n">
        <x:f>MATCH(J153-'Сводка'!$B$11,'Сводка'!$R$3:$R$397,0)</x:f>
        <x:v>163</x:v>
      </x:c>
      <x:c r="W153" s="4" t="n">
        <x:f>MATCH(T153,$J$388:$J$400,0)</x:f>
        <x:v>6</x:v>
      </x:c>
      <x:c r="X153" s="3"/>
      <x:c r="Y153" s="3"/>
      <x:c r="Z153" s="3"/>
    </x:row>
    <x:row r="154" ht="15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10" t="n">
        <x:v>46005</x:v>
      </x:c>
      <x:c r="K154" s="8" t="n">
        <x:f>INDEX('Сводка'!$S$3:$S$397,U154)</x:f>
        <x:v>-37</x:v>
      </x:c>
      <x:c r="L154" s="8" t="n">
        <x:f>INDEX('Сводка'!$S$3:$S$397,V154)</x:f>
        <x:v>-37.3</x:v>
      </x:c>
      <x:c r="M154" s="8" t="n">
        <x:f>INDEX($K$388:$N$400,W154,1)*((J154-$T$405+1)/1000)^INDEX($K$388:$N$400,W154,2)</x:f>
        <x:v>166.26517280357115</x:v>
      </x:c>
      <x:c r="N154" s="8" t="n">
        <x:f>K154-M154</x:f>
        <x:v>-203.26517280357115</x:v>
      </x:c>
      <x:c r="O154" s="8" t="n">
        <x:f>ABS(N154)</x:f>
        <x:v>203.26517280357115</x:v>
      </x:c>
      <x:c r="P154" s="8" t="n">
        <x:f>N154^2</x:f>
        <x:v>41316.73047486564</x:v>
      </x:c>
      <x:c r="Q154" s="8" t="n">
        <x:f>K154-L154</x:f>
        <x:v>0.29999999999999716</x:v>
      </x:c>
      <x:c r="R154" s="9" t="n">
        <x:f>IF(AND(INDEX('Сводка'!$T$3:$T$397,U154)=0,INDEX('Сводка'!$T$3:$T$397,V154)=0),1,0)</x:f>
        <x:v>0</x:v>
      </x:c>
      <x:c r="S154" s="9" t="n">
        <x:f>IF(AND(R154=1,O154&lt;=$G$13),1,0)</x:f>
        <x:v>0</x:v>
      </x:c>
      <x:c r="T154" s="10" t="n">
        <x:f>EOMONTH(J154-'Сводка'!$B$11,-1)</x:f>
        <x:v>45991</x:v>
      </x:c>
      <x:c r="U154" s="4" t="n">
        <x:f>MATCH(J154,'Сводка'!$R$3:$R$397,0)</x:f>
        <x:v>165</x:v>
      </x:c>
      <x:c r="V154" s="4" t="n">
        <x:f>MATCH(J154-'Сводка'!$B$11,'Сводка'!$R$3:$R$397,0)</x:f>
        <x:v>164</x:v>
      </x:c>
      <x:c r="W154" s="4" t="n">
        <x:f>MATCH(T154,$J$388:$J$400,0)</x:f>
        <x:v>6</x:v>
      </x:c>
      <x:c r="X154" s="3"/>
      <x:c r="Y154" s="3"/>
      <x:c r="Z154" s="3"/>
    </x:row>
    <x:row r="155" ht="15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10" t="n">
        <x:v>46006</x:v>
      </x:c>
      <x:c r="K155" s="8" t="n">
        <x:f>INDEX('Сводка'!$S$3:$S$397,U155)</x:f>
        <x:v>-37</x:v>
      </x:c>
      <x:c r="L155" s="8" t="n">
        <x:f>INDEX('Сводка'!$S$3:$S$397,V155)</x:f>
        <x:v>-37</x:v>
      </x:c>
      <x:c r="M155" s="8" t="n">
        <x:f>INDEX($K$388:$N$400,W155,1)*((J155-$T$405+1)/1000)^INDEX($K$388:$N$400,W155,2)</x:f>
        <x:v>166.28758133965346</x:v>
      </x:c>
      <x:c r="N155" s="8" t="n">
        <x:f>K155-M155</x:f>
        <x:v>-203.28758133965346</x:v>
      </x:c>
      <x:c r="O155" s="8" t="n">
        <x:f>ABS(N155)</x:f>
        <x:v>203.28758133965346</x:v>
      </x:c>
      <x:c r="P155" s="8" t="n">
        <x:f>N155^2</x:f>
        <x:v>41325.84072692622</x:v>
      </x:c>
      <x:c r="Q155" s="8" t="n">
        <x:f>K155-L155</x:f>
        <x:v>0</x:v>
      </x:c>
      <x:c r="R155" s="9" t="n">
        <x:f>IF(AND(INDEX('Сводка'!$T$3:$T$397,U155)=0,INDEX('Сводка'!$T$3:$T$397,V155)=0),1,0)</x:f>
        <x:v>1</x:v>
      </x:c>
      <x:c r="S155" s="9" t="n">
        <x:f>IF(AND(R155=1,O155&lt;=$G$13),1,0)</x:f>
        <x:v>0</x:v>
      </x:c>
      <x:c r="T155" s="10" t="n">
        <x:f>EOMONTH(J155-'Сводка'!$B$11,-1)</x:f>
        <x:v>45991</x:v>
      </x:c>
      <x:c r="U155" s="4" t="n">
        <x:f>MATCH(J155,'Сводка'!$R$3:$R$397,0)</x:f>
        <x:v>166</x:v>
      </x:c>
      <x:c r="V155" s="4" t="n">
        <x:f>MATCH(J155-'Сводка'!$B$11,'Сводка'!$R$3:$R$397,0)</x:f>
        <x:v>165</x:v>
      </x:c>
      <x:c r="W155" s="4" t="n">
        <x:f>MATCH(T155,$J$388:$J$400,0)</x:f>
        <x:v>6</x:v>
      </x:c>
      <x:c r="X155" s="3"/>
      <x:c r="Y155" s="3"/>
      <x:c r="Z155" s="3"/>
    </x:row>
    <x:row r="156" ht="15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10" t="n">
        <x:v>46007</x:v>
      </x:c>
      <x:c r="K156" s="8" t="n">
        <x:f>INDEX('Сводка'!$S$3:$S$397,U156)</x:f>
        <x:v>-41</x:v>
      </x:c>
      <x:c r="L156" s="8" t="n">
        <x:f>INDEX('Сводка'!$S$3:$S$397,V156)</x:f>
        <x:v>-37</x:v>
      </x:c>
      <x:c r="M156" s="8" t="n">
        <x:f>INDEX($K$388:$N$400,W156,1)*((J156-$T$405+1)/1000)^INDEX($K$388:$N$400,W156,2)</x:f>
        <x:v>166.3099903345192</x:v>
      </x:c>
      <x:c r="N156" s="8" t="n">
        <x:f>K156-M156</x:f>
        <x:v>-207.3099903345192</x:v>
      </x:c>
      <x:c r="O156" s="8" t="n">
        <x:f>ABS(N156)</x:f>
        <x:v>207.3099903345192</x:v>
      </x:c>
      <x:c r="P156" s="8" t="n">
        <x:f>N156^2</x:f>
        <x:v>42977.43209249844</x:v>
      </x:c>
      <x:c r="Q156" s="8" t="n">
        <x:f>K156-L156</x:f>
        <x:v>-4</x:v>
      </x:c>
      <x:c r="R156" s="9" t="n">
        <x:f>IF(AND(INDEX('Сводка'!$T$3:$T$397,U156)=0,INDEX('Сводка'!$T$3:$T$397,V156)=0),1,0)</x:f>
        <x:v>1</x:v>
      </x:c>
      <x:c r="S156" s="9" t="n">
        <x:f>IF(AND(R156=1,O156&lt;=$G$13),1,0)</x:f>
        <x:v>0</x:v>
      </x:c>
      <x:c r="T156" s="10" t="n">
        <x:f>EOMONTH(J156-'Сводка'!$B$11,-1)</x:f>
        <x:v>45991</x:v>
      </x:c>
      <x:c r="U156" s="4" t="n">
        <x:f>MATCH(J156,'Сводка'!$R$3:$R$397,0)</x:f>
        <x:v>167</x:v>
      </x:c>
      <x:c r="V156" s="4" t="n">
        <x:f>MATCH(J156-'Сводка'!$B$11,'Сводка'!$R$3:$R$397,0)</x:f>
        <x:v>166</x:v>
      </x:c>
      <x:c r="W156" s="4" t="n">
        <x:f>MATCH(T156,$J$388:$J$400,0)</x:f>
        <x:v>6</x:v>
      </x:c>
      <x:c r="X156" s="3"/>
      <x:c r="Y156" s="3"/>
      <x:c r="Z156" s="3"/>
    </x:row>
    <x:row r="157" ht="15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10" t="n">
        <x:v>46008</x:v>
      </x:c>
      <x:c r="K157" s="8" t="n">
        <x:f>INDEX('Сводка'!$S$3:$S$397,U157)</x:f>
        <x:v>-35</x:v>
      </x:c>
      <x:c r="L157" s="8" t="n">
        <x:f>INDEX('Сводка'!$S$3:$S$397,V157)</x:f>
        <x:v>-41</x:v>
      </x:c>
      <x:c r="M157" s="8" t="n">
        <x:f>INDEX($K$388:$N$400,W157,1)*((J157-$T$405+1)/1000)^INDEX($K$388:$N$400,W157,2)</x:f>
        <x:v>166.33239978812531</x:v>
      </x:c>
      <x:c r="N157" s="8" t="n">
        <x:f>K157-M157</x:f>
        <x:v>-201.33239978812531</x:v>
      </x:c>
      <x:c r="O157" s="8" t="n">
        <x:f>ABS(N157)</x:f>
        <x:v>201.33239978812531</x:v>
      </x:c>
      <x:c r="P157" s="8" t="n">
        <x:f>N157^2</x:f>
        <x:v>40534.735204445526</x:v>
      </x:c>
      <x:c r="Q157" s="8" t="n">
        <x:f>K157-L157</x:f>
        <x:v>6</x:v>
      </x:c>
      <x:c r="R157" s="9" t="n">
        <x:f>IF(AND(INDEX('Сводка'!$T$3:$T$397,U157)=0,INDEX('Сводка'!$T$3:$T$397,V157)=0),1,0)</x:f>
        <x:v>1</x:v>
      </x:c>
      <x:c r="S157" s="9" t="n">
        <x:f>IF(AND(R157=1,O157&lt;=$G$13),1,0)</x:f>
        <x:v>0</x:v>
      </x:c>
      <x:c r="T157" s="10" t="n">
        <x:f>EOMONTH(J157-'Сводка'!$B$11,-1)</x:f>
        <x:v>45991</x:v>
      </x:c>
      <x:c r="U157" s="4" t="n">
        <x:f>MATCH(J157,'Сводка'!$R$3:$R$397,0)</x:f>
        <x:v>168</x:v>
      </x:c>
      <x:c r="V157" s="4" t="n">
        <x:f>MATCH(J157-'Сводка'!$B$11,'Сводка'!$R$3:$R$397,0)</x:f>
        <x:v>167</x:v>
      </x:c>
      <x:c r="W157" s="4" t="n">
        <x:f>MATCH(T157,$J$388:$J$400,0)</x:f>
        <x:v>6</x:v>
      </x:c>
      <x:c r="X157" s="3"/>
      <x:c r="Y157" s="3"/>
      <x:c r="Z157" s="3"/>
    </x:row>
    <x:row r="158" ht="15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10" t="n">
        <x:v>46009</x:v>
      </x:c>
      <x:c r="K158" s="8" t="n">
        <x:f>INDEX('Сводка'!$S$3:$S$397,U158)</x:f>
        <x:v>-33</x:v>
      </x:c>
      <x:c r="L158" s="8" t="n">
        <x:f>INDEX('Сводка'!$S$3:$S$397,V158)</x:f>
        <x:v>-35</x:v>
      </x:c>
      <x:c r="M158" s="8" t="n">
        <x:f>INDEX($K$388:$N$400,W158,1)*((J158-$T$405+1)/1000)^INDEX($K$388:$N$400,W158,2)</x:f>
        <x:v>166.35480970042872</x:v>
      </x:c>
      <x:c r="N158" s="8" t="n">
        <x:f>K158-M158</x:f>
        <x:v>-199.35480970042872</x:v>
      </x:c>
      <x:c r="O158" s="8" t="n">
        <x:f>ABS(N158)</x:f>
        <x:v>199.35480970042872</x:v>
      </x:c>
      <x:c r="P158" s="8" t="n">
        <x:f>N158^2</x:f>
        <x:v>39742.340150694145</x:v>
      </x:c>
      <x:c r="Q158" s="8" t="n">
        <x:f>K158-L158</x:f>
        <x:v>2</x:v>
      </x:c>
      <x:c r="R158" s="9" t="n">
        <x:f>IF(AND(INDEX('Сводка'!$T$3:$T$397,U158)=0,INDEX('Сводка'!$T$3:$T$397,V158)=0),1,0)</x:f>
        <x:v>1</x:v>
      </x:c>
      <x:c r="S158" s="9" t="n">
        <x:f>IF(AND(R158=1,O158&lt;=$G$13),1,0)</x:f>
        <x:v>0</x:v>
      </x:c>
      <x:c r="T158" s="10" t="n">
        <x:f>EOMONTH(J158-'Сводка'!$B$11,-1)</x:f>
        <x:v>45991</x:v>
      </x:c>
      <x:c r="U158" s="4" t="n">
        <x:f>MATCH(J158,'Сводка'!$R$3:$R$397,0)</x:f>
        <x:v>169</x:v>
      </x:c>
      <x:c r="V158" s="4" t="n">
        <x:f>MATCH(J158-'Сводка'!$B$11,'Сводка'!$R$3:$R$397,0)</x:f>
        <x:v>168</x:v>
      </x:c>
      <x:c r="W158" s="4" t="n">
        <x:f>MATCH(T158,$J$388:$J$400,0)</x:f>
        <x:v>6</x:v>
      </x:c>
      <x:c r="X158" s="3"/>
      <x:c r="Y158" s="3"/>
      <x:c r="Z158" s="3"/>
    </x:row>
    <x:row r="159" ht="15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10" t="n">
        <x:v>46010</x:v>
      </x:c>
      <x:c r="K159" s="8" t="n">
        <x:f>INDEX('Сводка'!$S$3:$S$397,U159)</x:f>
        <x:v>-31</x:v>
      </x:c>
      <x:c r="L159" s="8" t="n">
        <x:f>INDEX('Сводка'!$S$3:$S$397,V159)</x:f>
        <x:v>-33</x:v>
      </x:c>
      <x:c r="M159" s="8" t="n">
        <x:f>INDEX($K$388:$N$400,W159,1)*((J159-$T$405+1)/1000)^INDEX($K$388:$N$400,W159,2)</x:f>
        <x:v>166.37722007138646</x:v>
      </x:c>
      <x:c r="N159" s="8" t="n">
        <x:f>K159-M159</x:f>
        <x:v>-197.37722007138646</x:v>
      </x:c>
      <x:c r="O159" s="8" t="n">
        <x:f>ABS(N159)</x:f>
        <x:v>197.37722007138646</x:v>
      </x:c>
      <x:c r="P159" s="8" t="n">
        <x:f>N159^2</x:f>
        <x:v>38957.76700310852</x:v>
      </x:c>
      <x:c r="Q159" s="8" t="n">
        <x:f>K159-L159</x:f>
        <x:v>2</x:v>
      </x:c>
      <x:c r="R159" s="9" t="n">
        <x:f>IF(AND(INDEX('Сводка'!$T$3:$T$397,U159)=0,INDEX('Сводка'!$T$3:$T$397,V159)=0),1,0)</x:f>
        <x:v>1</x:v>
      </x:c>
      <x:c r="S159" s="9" t="n">
        <x:f>IF(AND(R159=1,O159&lt;=$G$13),1,0)</x:f>
        <x:v>0</x:v>
      </x:c>
      <x:c r="T159" s="10" t="n">
        <x:f>EOMONTH(J159-'Сводка'!$B$11,-1)</x:f>
        <x:v>45991</x:v>
      </x:c>
      <x:c r="U159" s="4" t="n">
        <x:f>MATCH(J159,'Сводка'!$R$3:$R$397,0)</x:f>
        <x:v>170</x:v>
      </x:c>
      <x:c r="V159" s="4" t="n">
        <x:f>MATCH(J159-'Сводка'!$B$11,'Сводка'!$R$3:$R$397,0)</x:f>
        <x:v>169</x:v>
      </x:c>
      <x:c r="W159" s="4" t="n">
        <x:f>MATCH(T159,$J$388:$J$400,0)</x:f>
        <x:v>6</x:v>
      </x:c>
      <x:c r="X159" s="3"/>
      <x:c r="Y159" s="3"/>
      <x:c r="Z159" s="3"/>
    </x:row>
    <x:row r="160" ht="15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10" t="n">
        <x:v>46011</x:v>
      </x:c>
      <x:c r="K160" s="8" t="n">
        <x:f>INDEX('Сводка'!$S$3:$S$397,U160)</x:f>
        <x:v>-31</x:v>
      </x:c>
      <x:c r="L160" s="8" t="n">
        <x:f>INDEX('Сводка'!$S$3:$S$397,V160)</x:f>
        <x:v>-31</x:v>
      </x:c>
      <x:c r="M160" s="8" t="n">
        <x:f>INDEX($K$388:$N$400,W160,1)*((J160-$T$405+1)/1000)^INDEX($K$388:$N$400,W160,2)</x:f>
        <x:v>166.39963090095551</x:v>
      </x:c>
      <x:c r="N160" s="8" t="n">
        <x:f>K160-M160</x:f>
        <x:v>-197.39963090095551</x:v>
      </x:c>
      <x:c r="O160" s="8" t="n">
        <x:f>ABS(N160)</x:f>
        <x:v>197.39963090095551</x:v>
      </x:c>
      <x:c r="P160" s="8" t="n">
        <x:f>N160^2</x:f>
        <x:v>38966.61427983347</x:v>
      </x:c>
      <x:c r="Q160" s="8" t="n">
        <x:f>K160-L160</x:f>
        <x:v>0</x:v>
      </x:c>
      <x:c r="R160" s="9" t="n">
        <x:f>IF(AND(INDEX('Сводка'!$T$3:$T$397,U160)=0,INDEX('Сводка'!$T$3:$T$397,V160)=0),1,0)</x:f>
        <x:v>1</x:v>
      </x:c>
      <x:c r="S160" s="9" t="n">
        <x:f>IF(AND(R160=1,O160&lt;=$G$13),1,0)</x:f>
        <x:v>0</x:v>
      </x:c>
      <x:c r="T160" s="10" t="n">
        <x:f>EOMONTH(J160-'Сводка'!$B$11,-1)</x:f>
        <x:v>45991</x:v>
      </x:c>
      <x:c r="U160" s="4" t="n">
        <x:f>MATCH(J160,'Сводка'!$R$3:$R$397,0)</x:f>
        <x:v>171</x:v>
      </x:c>
      <x:c r="V160" s="4" t="n">
        <x:f>MATCH(J160-'Сводка'!$B$11,'Сводка'!$R$3:$R$397,0)</x:f>
        <x:v>170</x:v>
      </x:c>
      <x:c r="W160" s="4" t="n">
        <x:f>MATCH(T160,$J$388:$J$400,0)</x:f>
        <x:v>6</x:v>
      </x:c>
      <x:c r="X160" s="3"/>
      <x:c r="Y160" s="3"/>
      <x:c r="Z160" s="3"/>
    </x:row>
    <x:row r="161" ht="15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10" t="n">
        <x:v>46012</x:v>
      </x:c>
      <x:c r="K161" s="8" t="n">
        <x:f>INDEX('Сводка'!$S$3:$S$397,U161)</x:f>
        <x:v>-30</x:v>
      </x:c>
      <x:c r="L161" s="8" t="n">
        <x:f>INDEX('Сводка'!$S$3:$S$397,V161)</x:f>
        <x:v>-31</x:v>
      </x:c>
      <x:c r="M161" s="8" t="n">
        <x:f>INDEX($K$388:$N$400,W161,1)*((J161-$T$405+1)/1000)^INDEX($K$388:$N$400,W161,2)</x:f>
        <x:v>166.42204218909285</x:v>
      </x:c>
      <x:c r="N161" s="8" t="n">
        <x:f>K161-M161</x:f>
        <x:v>-196.42204218909285</x:v>
      </x:c>
      <x:c r="O161" s="8" t="n">
        <x:f>ABS(N161)</x:f>
        <x:v>196.42204218909285</x:v>
      </x:c>
      <x:c r="P161" s="8" t="n">
        <x:f>N161^2</x:f>
        <x:v>38581.61865773377</x:v>
      </x:c>
      <x:c r="Q161" s="8" t="n">
        <x:f>K161-L161</x:f>
        <x:v>1</x:v>
      </x:c>
      <x:c r="R161" s="9" t="n">
        <x:f>IF(AND(INDEX('Сводка'!$T$3:$T$397,U161)=0,INDEX('Сводка'!$T$3:$T$397,V161)=0),1,0)</x:f>
        <x:v>1</x:v>
      </x:c>
      <x:c r="S161" s="9" t="n">
        <x:f>IF(AND(R161=1,O161&lt;=$G$13),1,0)</x:f>
        <x:v>0</x:v>
      </x:c>
      <x:c r="T161" s="10" t="n">
        <x:f>EOMONTH(J161-'Сводка'!$B$11,-1)</x:f>
        <x:v>45991</x:v>
      </x:c>
      <x:c r="U161" s="4" t="n">
        <x:f>MATCH(J161,'Сводка'!$R$3:$R$397,0)</x:f>
        <x:v>172</x:v>
      </x:c>
      <x:c r="V161" s="4" t="n">
        <x:f>MATCH(J161-'Сводка'!$B$11,'Сводка'!$R$3:$R$397,0)</x:f>
        <x:v>171</x:v>
      </x:c>
      <x:c r="W161" s="4" t="n">
        <x:f>MATCH(T161,$J$388:$J$400,0)</x:f>
        <x:v>6</x:v>
      </x:c>
      <x:c r="X161" s="3"/>
      <x:c r="Y161" s="3"/>
      <x:c r="Z161" s="3"/>
    </x:row>
    <x:row r="162" ht="15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10" t="n">
        <x:v>46013</x:v>
      </x:c>
      <x:c r="K162" s="8" t="n">
        <x:f>INDEX('Сводка'!$S$3:$S$397,U162)</x:f>
        <x:v>-27</x:v>
      </x:c>
      <x:c r="L162" s="8" t="n">
        <x:f>INDEX('Сводка'!$S$3:$S$397,V162)</x:f>
        <x:v>-30</x:v>
      </x:c>
      <x:c r="M162" s="8" t="n">
        <x:f>INDEX($K$388:$N$400,W162,1)*((J162-$T$405+1)/1000)^INDEX($K$388:$N$400,W162,2)</x:f>
        <x:v>166.44445393575552</x:v>
      </x:c>
      <x:c r="N162" s="8" t="n">
        <x:f>K162-M162</x:f>
        <x:v>-193.44445393575552</x:v>
      </x:c>
      <x:c r="O162" s="8" t="n">
        <x:f>ABS(N162)</x:f>
        <x:v>193.44445393575552</x:v>
      </x:c>
      <x:c r="P162" s="8" t="n">
        <x:f>N162^2</x:f>
        <x:v>37420.75675850264</x:v>
      </x:c>
      <x:c r="Q162" s="8" t="n">
        <x:f>K162-L162</x:f>
        <x:v>3</x:v>
      </x:c>
      <x:c r="R162" s="9" t="n">
        <x:f>IF(AND(INDEX('Сводка'!$T$3:$T$397,U162)=0,INDEX('Сводка'!$T$3:$T$397,V162)=0),1,0)</x:f>
        <x:v>1</x:v>
      </x:c>
      <x:c r="S162" s="9" t="n">
        <x:f>IF(AND(R162=1,O162&lt;=$G$13),1,0)</x:f>
        <x:v>0</x:v>
      </x:c>
      <x:c r="T162" s="10" t="n">
        <x:f>EOMONTH(J162-'Сводка'!$B$11,-1)</x:f>
        <x:v>45991</x:v>
      </x:c>
      <x:c r="U162" s="4" t="n">
        <x:f>MATCH(J162,'Сводка'!$R$3:$R$397,0)</x:f>
        <x:v>173</x:v>
      </x:c>
      <x:c r="V162" s="4" t="n">
        <x:f>MATCH(J162-'Сводка'!$B$11,'Сводка'!$R$3:$R$397,0)</x:f>
        <x:v>172</x:v>
      </x:c>
      <x:c r="W162" s="4" t="n">
        <x:f>MATCH(T162,$J$388:$J$400,0)</x:f>
        <x:v>6</x:v>
      </x:c>
      <x:c r="X162" s="3"/>
      <x:c r="Y162" s="3"/>
      <x:c r="Z162" s="3"/>
    </x:row>
    <x:row r="163" ht="15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10" t="n">
        <x:v>46014</x:v>
      </x:c>
      <x:c r="K163" s="8" t="n">
        <x:f>INDEX('Сводка'!$S$3:$S$397,U163)</x:f>
        <x:v>-23</x:v>
      </x:c>
      <x:c r="L163" s="8" t="n">
        <x:f>INDEX('Сводка'!$S$3:$S$397,V163)</x:f>
        <x:v>-27</x:v>
      </x:c>
      <x:c r="M163" s="8" t="n">
        <x:f>INDEX($K$388:$N$400,W163,1)*((J163-$T$405+1)/1000)^INDEX($K$388:$N$400,W163,2)</x:f>
        <x:v>166.4668661409005</x:v>
      </x:c>
      <x:c r="N163" s="8" t="n">
        <x:f>K163-M163</x:f>
        <x:v>-189.4668661409005</x:v>
      </x:c>
      <x:c r="O163" s="8" t="n">
        <x:f>ABS(N163)</x:f>
        <x:v>189.4668661409005</x:v>
      </x:c>
      <x:c r="P163" s="8" t="n">
        <x:f>N163^2</x:f>
        <x:v>35897.69336525391</x:v>
      </x:c>
      <x:c r="Q163" s="8" t="n">
        <x:f>K163-L163</x:f>
        <x:v>4</x:v>
      </x:c>
      <x:c r="R163" s="9" t="n">
        <x:f>IF(AND(INDEX('Сводка'!$T$3:$T$397,U163)=0,INDEX('Сводка'!$T$3:$T$397,V163)=0),1,0)</x:f>
        <x:v>1</x:v>
      </x:c>
      <x:c r="S163" s="9" t="n">
        <x:f>IF(AND(R163=1,O163&lt;=$G$13),1,0)</x:f>
        <x:v>0</x:v>
      </x:c>
      <x:c r="T163" s="10" t="n">
        <x:f>EOMONTH(J163-'Сводка'!$B$11,-1)</x:f>
        <x:v>45991</x:v>
      </x:c>
      <x:c r="U163" s="4" t="n">
        <x:f>MATCH(J163,'Сводка'!$R$3:$R$397,0)</x:f>
        <x:v>174</x:v>
      </x:c>
      <x:c r="V163" s="4" t="n">
        <x:f>MATCH(J163-'Сводка'!$B$11,'Сводка'!$R$3:$R$397,0)</x:f>
        <x:v>173</x:v>
      </x:c>
      <x:c r="W163" s="4" t="n">
        <x:f>MATCH(T163,$J$388:$J$400,0)</x:f>
        <x:v>6</x:v>
      </x:c>
      <x:c r="X163" s="3"/>
      <x:c r="Y163" s="3"/>
      <x:c r="Z163" s="3"/>
    </x:row>
    <x:row r="164" ht="15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10" t="n">
        <x:v>46015</x:v>
      </x:c>
      <x:c r="K164" s="8" t="n">
        <x:f>INDEX('Сводка'!$S$3:$S$397,U164)</x:f>
        <x:v>-21</x:v>
      </x:c>
      <x:c r="L164" s="8" t="n">
        <x:f>INDEX('Сводка'!$S$3:$S$397,V164)</x:f>
        <x:v>-23</x:v>
      </x:c>
      <x:c r="M164" s="8" t="n">
        <x:f>INDEX($K$388:$N$400,W164,1)*((J164-$T$405+1)/1000)^INDEX($K$388:$N$400,W164,2)</x:f>
        <x:v>166.48927880448488</x:v>
      </x:c>
      <x:c r="N164" s="8" t="n">
        <x:f>K164-M164</x:f>
        <x:v>-187.48927880448488</x:v>
      </x:c>
      <x:c r="O164" s="8" t="n">
        <x:f>ABS(N164)</x:f>
        <x:v>187.48927880448488</x:v>
      </x:c>
      <x:c r="P164" s="8" t="n">
        <x:f>N164^2</x:f>
        <x:v>35152.22966662586</x:v>
      </x:c>
      <x:c r="Q164" s="8" t="n">
        <x:f>K164-L164</x:f>
        <x:v>2</x:v>
      </x:c>
      <x:c r="R164" s="9" t="n">
        <x:f>IF(AND(INDEX('Сводка'!$T$3:$T$397,U164)=0,INDEX('Сводка'!$T$3:$T$397,V164)=0),1,0)</x:f>
        <x:v>1</x:v>
      </x:c>
      <x:c r="S164" s="9" t="n">
        <x:f>IF(AND(R164=1,O164&lt;=$G$13),1,0)</x:f>
        <x:v>0</x:v>
      </x:c>
      <x:c r="T164" s="10" t="n">
        <x:f>EOMONTH(J164-'Сводка'!$B$11,-1)</x:f>
        <x:v>45991</x:v>
      </x:c>
      <x:c r="U164" s="4" t="n">
        <x:f>MATCH(J164,'Сводка'!$R$3:$R$397,0)</x:f>
        <x:v>175</x:v>
      </x:c>
      <x:c r="V164" s="4" t="n">
        <x:f>MATCH(J164-'Сводка'!$B$11,'Сводка'!$R$3:$R$397,0)</x:f>
        <x:v>174</x:v>
      </x:c>
      <x:c r="W164" s="4" t="n">
        <x:f>MATCH(T164,$J$388:$J$400,0)</x:f>
        <x:v>6</x:v>
      </x:c>
      <x:c r="X164" s="3"/>
      <x:c r="Y164" s="3"/>
      <x:c r="Z164" s="3"/>
    </x:row>
    <x:row r="165" ht="15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10" t="n">
        <x:v>46016</x:v>
      </x:c>
      <x:c r="K165" s="8" t="n">
        <x:f>INDEX('Сводка'!$S$3:$S$397,U165)</x:f>
        <x:v>-19</x:v>
      </x:c>
      <x:c r="L165" s="8" t="n">
        <x:f>INDEX('Сводка'!$S$3:$S$397,V165)</x:f>
        <x:v>-21</x:v>
      </x:c>
      <x:c r="M165" s="8" t="n">
        <x:f>INDEX($K$388:$N$400,W165,1)*((J165-$T$405+1)/1000)^INDEX($K$388:$N$400,W165,2)</x:f>
        <x:v>166.51169192646563</x:v>
      </x:c>
      <x:c r="N165" s="8" t="n">
        <x:f>K165-M165</x:f>
        <x:v>-185.51169192646563</x:v>
      </x:c>
      <x:c r="O165" s="8" t="n">
        <x:f>ABS(N165)</x:f>
        <x:v>185.51169192646563</x:v>
      </x:c>
      <x:c r="P165" s="8" t="n">
        <x:f>N165^2</x:f>
        <x:v>34414.587841419896</x:v>
      </x:c>
      <x:c r="Q165" s="8" t="n">
        <x:f>K165-L165</x:f>
        <x:v>2</x:v>
      </x:c>
      <x:c r="R165" s="9" t="n">
        <x:f>IF(AND(INDEX('Сводка'!$T$3:$T$397,U165)=0,INDEX('Сводка'!$T$3:$T$397,V165)=0),1,0)</x:f>
        <x:v>1</x:v>
      </x:c>
      <x:c r="S165" s="9" t="n">
        <x:f>IF(AND(R165=1,O165&lt;=$G$13),1,0)</x:f>
        <x:v>0</x:v>
      </x:c>
      <x:c r="T165" s="10" t="n">
        <x:f>EOMONTH(J165-'Сводка'!$B$11,-1)</x:f>
        <x:v>45991</x:v>
      </x:c>
      <x:c r="U165" s="4" t="n">
        <x:f>MATCH(J165,'Сводка'!$R$3:$R$397,0)</x:f>
        <x:v>176</x:v>
      </x:c>
      <x:c r="V165" s="4" t="n">
        <x:f>MATCH(J165-'Сводка'!$B$11,'Сводка'!$R$3:$R$397,0)</x:f>
        <x:v>175</x:v>
      </x:c>
      <x:c r="W165" s="4" t="n">
        <x:f>MATCH(T165,$J$388:$J$400,0)</x:f>
        <x:v>6</x:v>
      </x:c>
      <x:c r="X165" s="3"/>
      <x:c r="Y165" s="3"/>
      <x:c r="Z165" s="3"/>
    </x:row>
    <x:row r="166" ht="15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10" t="n">
        <x:v>46017</x:v>
      </x:c>
      <x:c r="K166" s="8" t="n">
        <x:f>INDEX('Сводка'!$S$3:$S$397,U166)</x:f>
        <x:v>-17</x:v>
      </x:c>
      <x:c r="L166" s="8" t="n">
        <x:f>INDEX('Сводка'!$S$3:$S$397,V166)</x:f>
        <x:v>-19</x:v>
      </x:c>
      <x:c r="M166" s="8" t="n">
        <x:f>INDEX($K$388:$N$400,W166,1)*((J166-$T$405+1)/1000)^INDEX($K$388:$N$400,W166,2)</x:f>
        <x:v>166.53410550679982</x:v>
      </x:c>
      <x:c r="N166" s="8" t="n">
        <x:f>K166-M166</x:f>
        <x:v>-183.53410550679982</x:v>
      </x:c>
      <x:c r="O166" s="8" t="n">
        <x:f>ABS(N166)</x:f>
        <x:v>183.53410550679982</x:v>
      </x:c>
      <x:c r="P166" s="8" t="n">
        <x:f>N166^2</x:f>
        <x:v>33684.76788418113</x:v>
      </x:c>
      <x:c r="Q166" s="8" t="n">
        <x:f>K166-L166</x:f>
        <x:v>2</x:v>
      </x:c>
      <x:c r="R166" s="9" t="n">
        <x:f>IF(AND(INDEX('Сводка'!$T$3:$T$397,U166)=0,INDEX('Сводка'!$T$3:$T$397,V166)=0),1,0)</x:f>
        <x:v>1</x:v>
      </x:c>
      <x:c r="S166" s="9" t="n">
        <x:f>IF(AND(R166=1,O166&lt;=$G$13),1,0)</x:f>
        <x:v>0</x:v>
      </x:c>
      <x:c r="T166" s="10" t="n">
        <x:f>EOMONTH(J166-'Сводка'!$B$11,-1)</x:f>
        <x:v>45991</x:v>
      </x:c>
      <x:c r="U166" s="4" t="n">
        <x:f>MATCH(J166,'Сводка'!$R$3:$R$397,0)</x:f>
        <x:v>177</x:v>
      </x:c>
      <x:c r="V166" s="4" t="n">
        <x:f>MATCH(J166-'Сводка'!$B$11,'Сводка'!$R$3:$R$397,0)</x:f>
        <x:v>176</x:v>
      </x:c>
      <x:c r="W166" s="4" t="n">
        <x:f>MATCH(T166,$J$388:$J$400,0)</x:f>
        <x:v>6</x:v>
      </x:c>
      <x:c r="X166" s="3"/>
      <x:c r="Y166" s="3"/>
      <x:c r="Z166" s="3"/>
    </x:row>
    <x:row r="167" ht="15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10" t="n">
        <x:v>46018</x:v>
      </x:c>
      <x:c r="K167" s="8" t="n">
        <x:f>INDEX('Сводка'!$S$3:$S$397,U167)</x:f>
        <x:v>-15</x:v>
      </x:c>
      <x:c r="L167" s="8" t="n">
        <x:f>INDEX('Сводка'!$S$3:$S$397,V167)</x:f>
        <x:v>-17</x:v>
      </x:c>
      <x:c r="M167" s="8" t="n">
        <x:f>INDEX($K$388:$N$400,W167,1)*((J167-$T$405+1)/1000)^INDEX($K$388:$N$400,W167,2)</x:f>
        <x:v>166.55651954544453</x:v>
      </x:c>
      <x:c r="N167" s="8" t="n">
        <x:f>K167-M167</x:f>
        <x:v>-181.55651954544453</x:v>
      </x:c>
      <x:c r="O167" s="8" t="n">
        <x:f>ABS(N167)</x:f>
        <x:v>181.55651954544453</x:v>
      </x:c>
      <x:c r="P167" s="8" t="n">
        <x:f>N167^2</x:f>
        <x:v>32962.76978945538</x:v>
      </x:c>
      <x:c r="Q167" s="8" t="n">
        <x:f>K167-L167</x:f>
        <x:v>2</x:v>
      </x:c>
      <x:c r="R167" s="9" t="n">
        <x:f>IF(AND(INDEX('Сводка'!$T$3:$T$397,U167)=0,INDEX('Сводка'!$T$3:$T$397,V167)=0),1,0)</x:f>
        <x:v>1</x:v>
      </x:c>
      <x:c r="S167" s="9" t="n">
        <x:f>IF(AND(R167=1,O167&lt;=$G$13),1,0)</x:f>
        <x:v>0</x:v>
      </x:c>
      <x:c r="T167" s="10" t="n">
        <x:f>EOMONTH(J167-'Сводка'!$B$11,-1)</x:f>
        <x:v>45991</x:v>
      </x:c>
      <x:c r="U167" s="4" t="n">
        <x:f>MATCH(J167,'Сводка'!$R$3:$R$397,0)</x:f>
        <x:v>178</x:v>
      </x:c>
      <x:c r="V167" s="4" t="n">
        <x:f>MATCH(J167-'Сводка'!$B$11,'Сводка'!$R$3:$R$397,0)</x:f>
        <x:v>177</x:v>
      </x:c>
      <x:c r="W167" s="4" t="n">
        <x:f>MATCH(T167,$J$388:$J$400,0)</x:f>
        <x:v>6</x:v>
      </x:c>
      <x:c r="X167" s="3"/>
      <x:c r="Y167" s="3"/>
      <x:c r="Z167" s="3"/>
    </x:row>
    <x:row r="168" ht="15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10" t="n">
        <x:v>46019</x:v>
      </x:c>
      <x:c r="K168" s="8" t="n">
        <x:f>INDEX('Сводка'!$S$3:$S$397,U168)</x:f>
        <x:v>-12</x:v>
      </x:c>
      <x:c r="L168" s="8" t="n">
        <x:f>INDEX('Сводка'!$S$3:$S$397,V168)</x:f>
        <x:v>-15</x:v>
      </x:c>
      <x:c r="M168" s="8" t="n">
        <x:f>INDEX($K$388:$N$400,W168,1)*((J168-$T$405+1)/1000)^INDEX($K$388:$N$400,W168,2)</x:f>
        <x:v>166.5789340423568</x:v>
      </x:c>
      <x:c r="N168" s="8" t="n">
        <x:f>K168-M168</x:f>
        <x:v>-178.5789340423568</x:v>
      </x:c>
      <x:c r="O168" s="8" t="n">
        <x:f>ABS(N168)</x:f>
        <x:v>178.5789340423568</x:v>
      </x:c>
      <x:c r="P168" s="8" t="n">
        <x:f>N168^2</x:f>
        <x:v>31890.435683704418</x:v>
      </x:c>
      <x:c r="Q168" s="8" t="n">
        <x:f>K168-L168</x:f>
        <x:v>3</x:v>
      </x:c>
      <x:c r="R168" s="9" t="n">
        <x:f>IF(AND(INDEX('Сводка'!$T$3:$T$397,U168)=0,INDEX('Сводка'!$T$3:$T$397,V168)=0),1,0)</x:f>
        <x:v>1</x:v>
      </x:c>
      <x:c r="S168" s="9" t="n">
        <x:f>IF(AND(R168=1,O168&lt;=$G$13),1,0)</x:f>
        <x:v>0</x:v>
      </x:c>
      <x:c r="T168" s="10" t="n">
        <x:f>EOMONTH(J168-'Сводка'!$B$11,-1)</x:f>
        <x:v>45991</x:v>
      </x:c>
      <x:c r="U168" s="4" t="n">
        <x:f>MATCH(J168,'Сводка'!$R$3:$R$397,0)</x:f>
        <x:v>179</x:v>
      </x:c>
      <x:c r="V168" s="4" t="n">
        <x:f>MATCH(J168-'Сводка'!$B$11,'Сводка'!$R$3:$R$397,0)</x:f>
        <x:v>178</x:v>
      </x:c>
      <x:c r="W168" s="4" t="n">
        <x:f>MATCH(T168,$J$388:$J$400,0)</x:f>
        <x:v>6</x:v>
      </x:c>
      <x:c r="X168" s="3"/>
      <x:c r="Y168" s="3"/>
      <x:c r="Z168" s="3"/>
    </x:row>
    <x:row r="169" ht="15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10" t="n">
        <x:v>46020</x:v>
      </x:c>
      <x:c r="K169" s="8" t="n">
        <x:f>INDEX('Сводка'!$S$3:$S$397,U169)</x:f>
        <x:v>-6</x:v>
      </x:c>
      <x:c r="L169" s="8" t="n">
        <x:f>INDEX('Сводка'!$S$3:$S$397,V169)</x:f>
        <x:v>-12</x:v>
      </x:c>
      <x:c r="M169" s="8" t="n">
        <x:f>INDEX($K$388:$N$400,W169,1)*((J169-$T$405+1)/1000)^INDEX($K$388:$N$400,W169,2)</x:f>
        <x:v>166.60134899749366</x:v>
      </x:c>
      <x:c r="N169" s="8" t="n">
        <x:f>K169-M169</x:f>
        <x:v>-172.60134899749366</x:v>
      </x:c>
      <x:c r="O169" s="8" t="n">
        <x:f>ABS(N169)</x:f>
        <x:v>172.60134899749366</x:v>
      </x:c>
      <x:c r="P169" s="8" t="n">
        <x:f>N169^2</x:f>
        <x:v>29791.225675754606</x:v>
      </x:c>
      <x:c r="Q169" s="8" t="n">
        <x:f>K169-L169</x:f>
        <x:v>6</x:v>
      </x:c>
      <x:c r="R169" s="9" t="n">
        <x:f>IF(AND(INDEX('Сводка'!$T$3:$T$397,U169)=0,INDEX('Сводка'!$T$3:$T$397,V169)=0),1,0)</x:f>
        <x:v>1</x:v>
      </x:c>
      <x:c r="S169" s="9" t="n">
        <x:f>IF(AND(R169=1,O169&lt;=$G$13),1,0)</x:f>
        <x:v>0</x:v>
      </x:c>
      <x:c r="T169" s="10" t="n">
        <x:f>EOMONTH(J169-'Сводка'!$B$11,-1)</x:f>
        <x:v>45991</x:v>
      </x:c>
      <x:c r="U169" s="4" t="n">
        <x:f>MATCH(J169,'Сводка'!$R$3:$R$397,0)</x:f>
        <x:v>180</x:v>
      </x:c>
      <x:c r="V169" s="4" t="n">
        <x:f>MATCH(J169-'Сводка'!$B$11,'Сводка'!$R$3:$R$397,0)</x:f>
        <x:v>179</x:v>
      </x:c>
      <x:c r="W169" s="4" t="n">
        <x:f>MATCH(T169,$J$388:$J$400,0)</x:f>
        <x:v>6</x:v>
      </x:c>
      <x:c r="X169" s="3"/>
      <x:c r="Y169" s="3"/>
      <x:c r="Z169" s="3"/>
    </x:row>
    <x:row r="170" ht="15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10" t="n">
        <x:v>46021</x:v>
      </x:c>
      <x:c r="K170" s="8" t="n">
        <x:f>INDEX('Сводка'!$S$3:$S$397,U170)</x:f>
        <x:v>-3</x:v>
      </x:c>
      <x:c r="L170" s="8" t="n">
        <x:f>INDEX('Сводка'!$S$3:$S$397,V170)</x:f>
        <x:v>-6</x:v>
      </x:c>
      <x:c r="M170" s="8" t="n">
        <x:f>INDEX($K$388:$N$400,W170,1)*((J170-$T$405+1)/1000)^INDEX($K$388:$N$400,W170,2)</x:f>
        <x:v>166.6237644108123</x:v>
      </x:c>
      <x:c r="N170" s="8" t="n">
        <x:f>K170-M170</x:f>
        <x:v>-169.6237644108123</x:v>
      </x:c>
      <x:c r="O170" s="8" t="n">
        <x:f>ABS(N170)</x:f>
        <x:v>169.6237644108123</x:v>
      </x:c>
      <x:c r="P170" s="8" t="n">
        <x:f>N170^2</x:f>
        <x:v>28772.22145289475</x:v>
      </x:c>
      <x:c r="Q170" s="8" t="n">
        <x:f>K170-L170</x:f>
        <x:v>3</x:v>
      </x:c>
      <x:c r="R170" s="9" t="n">
        <x:f>IF(AND(INDEX('Сводка'!$T$3:$T$397,U170)=0,INDEX('Сводка'!$T$3:$T$397,V170)=0),1,0)</x:f>
        <x:v>1</x:v>
      </x:c>
      <x:c r="S170" s="9" t="n">
        <x:f>IF(AND(R170=1,O170&lt;=$G$13),1,0)</x:f>
        <x:v>0</x:v>
      </x:c>
      <x:c r="T170" s="10" t="n">
        <x:f>EOMONTH(J170-'Сводка'!$B$11,-1)</x:f>
        <x:v>45991</x:v>
      </x:c>
      <x:c r="U170" s="4" t="n">
        <x:f>MATCH(J170,'Сводка'!$R$3:$R$397,0)</x:f>
        <x:v>181</x:v>
      </x:c>
      <x:c r="V170" s="4" t="n">
        <x:f>MATCH(J170-'Сводка'!$B$11,'Сводка'!$R$3:$R$397,0)</x:f>
        <x:v>180</x:v>
      </x:c>
      <x:c r="W170" s="4" t="n">
        <x:f>MATCH(T170,$J$388:$J$400,0)</x:f>
        <x:v>6</x:v>
      </x:c>
      <x:c r="X170" s="3"/>
      <x:c r="Y170" s="3"/>
      <x:c r="Z170" s="3"/>
    </x:row>
    <x:row r="171" ht="15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10" t="n">
        <x:v>46022</x:v>
      </x:c>
      <x:c r="K171" s="8" t="n">
        <x:f>INDEX('Сводка'!$S$3:$S$397,U171)</x:f>
        <x:v>0</x:v>
      </x:c>
      <x:c r="L171" s="8" t="n">
        <x:f>INDEX('Сводка'!$S$3:$S$397,V171)</x:f>
        <x:v>-3</x:v>
      </x:c>
      <x:c r="M171" s="8" t="n">
        <x:f>INDEX($K$388:$N$400,W171,1)*((J171-$T$405+1)/1000)^INDEX($K$388:$N$400,W171,2)</x:f>
        <x:v>166.64618028226968</x:v>
      </x:c>
      <x:c r="N171" s="8" t="n">
        <x:f>K171-M171</x:f>
        <x:v>-166.64618028226968</x:v>
      </x:c>
      <x:c r="O171" s="8" t="n">
        <x:f>ABS(N171)</x:f>
        <x:v>166.64618028226968</x:v>
      </x:c>
      <x:c r="P171" s="8" t="n">
        <x:f>N171^2</x:f>
        <x:v>27770.94940267073</x:v>
      </x:c>
      <x:c r="Q171" s="8" t="n">
        <x:f>K171-L171</x:f>
        <x:v>3</x:v>
      </x:c>
      <x:c r="R171" s="9" t="n">
        <x:f>IF(AND(INDEX('Сводка'!$T$3:$T$397,U171)=0,INDEX('Сводка'!$T$3:$T$397,V171)=0),1,0)</x:f>
        <x:v>0</x:v>
      </x:c>
      <x:c r="S171" s="9" t="n">
        <x:f>IF(AND(R171=1,O171&lt;=$G$13),1,0)</x:f>
        <x:v>0</x:v>
      </x:c>
      <x:c r="T171" s="10" t="n">
        <x:f>EOMONTH(J171-'Сводка'!$B$11,-1)</x:f>
        <x:v>45991</x:v>
      </x:c>
      <x:c r="U171" s="4" t="n">
        <x:f>MATCH(J171,'Сводка'!$R$3:$R$397,0)</x:f>
        <x:v>182</x:v>
      </x:c>
      <x:c r="V171" s="4" t="n">
        <x:f>MATCH(J171-'Сводка'!$B$11,'Сводка'!$R$3:$R$397,0)</x:f>
        <x:v>181</x:v>
      </x:c>
      <x:c r="W171" s="4" t="n">
        <x:f>MATCH(T171,$J$388:$J$400,0)</x:f>
        <x:v>6</x:v>
      </x:c>
      <x:c r="X171" s="3"/>
      <x:c r="Y171" s="3"/>
      <x:c r="Z171" s="3"/>
    </x:row>
    <x:row r="172" ht="15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10" t="n">
        <x:v>46023</x:v>
      </x:c>
      <x:c r="K172" s="8" t="n">
        <x:f>INDEX('Сводка'!$S$3:$S$397,U172)</x:f>
        <x:v>3</x:v>
      </x:c>
      <x:c r="L172" s="8" t="n">
        <x:f>INDEX('Сводка'!$S$3:$S$397,V172)</x:f>
        <x:v>0</x:v>
      </x:c>
      <x:c r="M172" s="8" t="n">
        <x:f>INDEX($K$388:$N$400,W172,1)*((J172-$T$405+1)/1000)^INDEX($K$388:$N$400,W172,2)</x:f>
        <x:v>166.668596611823</x:v>
      </x:c>
      <x:c r="N172" s="8" t="n">
        <x:f>K172-M172</x:f>
        <x:v>-163.668596611823</x:v>
      </x:c>
      <x:c r="O172" s="8" t="n">
        <x:f>ABS(N172)</x:f>
        <x:v>163.668596611823</x:v>
      </x:c>
      <x:c r="P172" s="8" t="n">
        <x:f>N172^2</x:f>
        <x:v>26787.40951688364</x:v>
      </x:c>
      <x:c r="Q172" s="8" t="n">
        <x:f>K172-L172</x:f>
        <x:v>3</x:v>
      </x:c>
      <x:c r="R172" s="9" t="n">
        <x:f>IF(AND(INDEX('Сводка'!$T$3:$T$397,U172)=0,INDEX('Сводка'!$T$3:$T$397,V172)=0),1,0)</x:f>
        <x:v>0</x:v>
      </x:c>
      <x:c r="S172" s="9" t="n">
        <x:f>IF(AND(R172=1,O172&lt;=$G$13),1,0)</x:f>
        <x:v>0</x:v>
      </x:c>
      <x:c r="T172" s="10" t="n">
        <x:f>EOMONTH(J172-'Сводка'!$B$11,-1)</x:f>
        <x:v>45991</x:v>
      </x:c>
      <x:c r="U172" s="4" t="n">
        <x:f>MATCH(J172,'Сводка'!$R$3:$R$397,0)</x:f>
        <x:v>183</x:v>
      </x:c>
      <x:c r="V172" s="4" t="n">
        <x:f>MATCH(J172-'Сводка'!$B$11,'Сводка'!$R$3:$R$397,0)</x:f>
        <x:v>182</x:v>
      </x:c>
      <x:c r="W172" s="4" t="n">
        <x:f>MATCH(T172,$J$388:$J$400,0)</x:f>
        <x:v>6</x:v>
      </x:c>
      <x:c r="X172" s="3"/>
      <x:c r="Y172" s="3"/>
      <x:c r="Z172" s="3"/>
    </x:row>
    <x:row r="173" ht="15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10" t="n">
        <x:v>46024</x:v>
      </x:c>
      <x:c r="K173" s="8" t="n">
        <x:f>INDEX('Сводка'!$S$3:$S$397,U173)</x:f>
        <x:v>6</x:v>
      </x:c>
      <x:c r="L173" s="8" t="n">
        <x:f>INDEX('Сводка'!$S$3:$S$397,V173)</x:f>
        <x:v>3</x:v>
      </x:c>
      <x:c r="M173" s="8" t="n">
        <x:f>INDEX($K$388:$N$400,W173,1)*((J173-$T$405+1)/1000)^INDEX($K$388:$N$400,W173,2)</x:f>
        <x:v>163.08289829031463</x:v>
      </x:c>
      <x:c r="N173" s="8" t="n">
        <x:f>K173-M173</x:f>
        <x:v>-157.08289829031463</x:v>
      </x:c>
      <x:c r="O173" s="8" t="n">
        <x:f>ABS(N173)</x:f>
        <x:v>157.08289829031463</x:v>
      </x:c>
      <x:c r="P173" s="8" t="n">
        <x:f>N173^2</x:f>
        <x:v>24675.03693528533</x:v>
      </x:c>
      <x:c r="Q173" s="8" t="n">
        <x:f>K173-L173</x:f>
        <x:v>3</x:v>
      </x:c>
      <x:c r="R173" s="9" t="n">
        <x:f>IF(AND(INDEX('Сводка'!$T$3:$T$397,U173)=0,INDEX('Сводка'!$T$3:$T$397,V173)=0),1,0)</x:f>
        <x:v>1</x:v>
      </x:c>
      <x:c r="S173" s="9" t="n">
        <x:f>IF(AND(R173=1,O173&lt;=$G$13),1,0)</x:f>
        <x:v>0</x:v>
      </x:c>
      <x:c r="T173" s="10" t="n">
        <x:f>EOMONTH(J173-'Сводка'!$B$11,-1)</x:f>
        <x:v>46022</x:v>
      </x:c>
      <x:c r="U173" s="4" t="n">
        <x:f>MATCH(J173,'Сводка'!$R$3:$R$397,0)</x:f>
        <x:v>184</x:v>
      </x:c>
      <x:c r="V173" s="4" t="n">
        <x:f>MATCH(J173-'Сводка'!$B$11,'Сводка'!$R$3:$R$397,0)</x:f>
        <x:v>183</x:v>
      </x:c>
      <x:c r="W173" s="4" t="n">
        <x:f>MATCH(T173,$J$388:$J$400,0)</x:f>
        <x:v>7</x:v>
      </x:c>
      <x:c r="X173" s="3"/>
      <x:c r="Y173" s="3"/>
      <x:c r="Z173" s="3"/>
    </x:row>
    <x:row r="174" ht="15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10" t="n">
        <x:v>46025</x:v>
      </x:c>
      <x:c r="K174" s="8" t="n">
        <x:f>INDEX('Сводка'!$S$3:$S$397,U174)</x:f>
        <x:v>6</x:v>
      </x:c>
      <x:c r="L174" s="8" t="n">
        <x:f>INDEX('Сводка'!$S$3:$S$397,V174)</x:f>
        <x:v>6</x:v>
      </x:c>
      <x:c r="M174" s="8" t="n">
        <x:f>INDEX($K$388:$N$400,W174,1)*((J174-$T$405+1)/1000)^INDEX($K$388:$N$400,W174,2)</x:f>
        <x:v>163.10427647909378</x:v>
      </x:c>
      <x:c r="N174" s="8" t="n">
        <x:f>K174-M174</x:f>
        <x:v>-157.10427647909378</x:v>
      </x:c>
      <x:c r="O174" s="8" t="n">
        <x:f>ABS(N174)</x:f>
        <x:v>157.10427647909378</x:v>
      </x:c>
      <x:c r="P174" s="8" t="n">
        <x:f>N174^2</x:f>
        <x:v>24681.75368801954</x:v>
      </x:c>
      <x:c r="Q174" s="8" t="n">
        <x:f>K174-L174</x:f>
        <x:v>0</x:v>
      </x:c>
      <x:c r="R174" s="9" t="n">
        <x:f>IF(AND(INDEX('Сводка'!$T$3:$T$397,U174)=0,INDEX('Сводка'!$T$3:$T$397,V174)=0),1,0)</x:f>
        <x:v>1</x:v>
      </x:c>
      <x:c r="S174" s="9" t="n">
        <x:f>IF(AND(R174=1,O174&lt;=$G$13),1,0)</x:f>
        <x:v>0</x:v>
      </x:c>
      <x:c r="T174" s="10" t="n">
        <x:f>EOMONTH(J174-'Сводка'!$B$11,-1)</x:f>
        <x:v>46022</x:v>
      </x:c>
      <x:c r="U174" s="4" t="n">
        <x:f>MATCH(J174,'Сводка'!$R$3:$R$397,0)</x:f>
        <x:v>185</x:v>
      </x:c>
      <x:c r="V174" s="4" t="n">
        <x:f>MATCH(J174-'Сводка'!$B$11,'Сводка'!$R$3:$R$397,0)</x:f>
        <x:v>184</x:v>
      </x:c>
      <x:c r="W174" s="4" t="n">
        <x:f>MATCH(T174,$J$388:$J$400,0)</x:f>
        <x:v>7</x:v>
      </x:c>
      <x:c r="X174" s="3"/>
      <x:c r="Y174" s="3"/>
      <x:c r="Z174" s="3"/>
    </x:row>
    <x:row r="175" ht="15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10" t="n">
        <x:v>46026</x:v>
      </x:c>
      <x:c r="K175" s="8" t="n">
        <x:f>INDEX('Сводка'!$S$3:$S$397,U175)</x:f>
        <x:v>6</x:v>
      </x:c>
      <x:c r="L175" s="8" t="n">
        <x:f>INDEX('Сводка'!$S$3:$S$397,V175)</x:f>
        <x:v>6</x:v>
      </x:c>
      <x:c r="M175" s="8" t="n">
        <x:f>INDEX($K$388:$N$400,W175,1)*((J175-$T$405+1)/1000)^INDEX($K$388:$N$400,W175,2)</x:f>
        <x:v>163.12565503202586</x:v>
      </x:c>
      <x:c r="N175" s="8" t="n">
        <x:f>K175-M175</x:f>
        <x:v>-157.12565503202586</x:v>
      </x:c>
      <x:c r="O175" s="8" t="n">
        <x:f>ABS(N175)</x:f>
        <x:v>157.12565503202586</x:v>
      </x:c>
      <x:c r="P175" s="8" t="n">
        <x:f>N175^2</x:f>
        <x:v>24688.471469243195</x:v>
      </x:c>
      <x:c r="Q175" s="8" t="n">
        <x:f>K175-L175</x:f>
        <x:v>0</x:v>
      </x:c>
      <x:c r="R175" s="9" t="n">
        <x:f>IF(AND(INDEX('Сводка'!$T$3:$T$397,U175)=0,INDEX('Сводка'!$T$3:$T$397,V175)=0),1,0)</x:f>
        <x:v>1</x:v>
      </x:c>
      <x:c r="S175" s="9" t="n">
        <x:f>IF(AND(R175=1,O175&lt;=$G$13),1,0)</x:f>
        <x:v>0</x:v>
      </x:c>
      <x:c r="T175" s="10" t="n">
        <x:f>EOMONTH(J175-'Сводка'!$B$11,-1)</x:f>
        <x:v>46022</x:v>
      </x:c>
      <x:c r="U175" s="4" t="n">
        <x:f>MATCH(J175,'Сводка'!$R$3:$R$397,0)</x:f>
        <x:v>186</x:v>
      </x:c>
      <x:c r="V175" s="4" t="n">
        <x:f>MATCH(J175-'Сводка'!$B$11,'Сводка'!$R$3:$R$397,0)</x:f>
        <x:v>185</x:v>
      </x:c>
      <x:c r="W175" s="4" t="n">
        <x:f>MATCH(T175,$J$388:$J$400,0)</x:f>
        <x:v>7</x:v>
      </x:c>
      <x:c r="X175" s="3"/>
      <x:c r="Y175" s="3"/>
      <x:c r="Z175" s="3"/>
    </x:row>
    <x:row r="176" ht="15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10" t="n">
        <x:v>46027</x:v>
      </x:c>
      <x:c r="K176" s="8" t="n">
        <x:f>INDEX('Сводка'!$S$3:$S$397,U176)</x:f>
        <x:v>6</x:v>
      </x:c>
      <x:c r="L176" s="8" t="n">
        <x:f>INDEX('Сводка'!$S$3:$S$397,V176)</x:f>
        <x:v>6</x:v>
      </x:c>
      <x:c r="M176" s="8" t="n">
        <x:f>INDEX($K$388:$N$400,W176,1)*((J176-$T$405+1)/1000)^INDEX($K$388:$N$400,W176,2)</x:f>
        <x:v>163.14703394907565</x:v>
      </x:c>
      <x:c r="N176" s="8" t="n">
        <x:f>K176-M176</x:f>
        <x:v>-157.14703394907565</x:v>
      </x:c>
      <x:c r="O176" s="8" t="n">
        <x:f>ABS(N176)</x:f>
        <x:v>157.14703394907565</x:v>
      </x:c>
      <x:c r="P176" s="8" t="n">
        <x:f>N176^2</x:f>
        <x:v>24695.190278991933</x:v>
      </x:c>
      <x:c r="Q176" s="8" t="n">
        <x:f>K176-L176</x:f>
        <x:v>0</x:v>
      </x:c>
      <x:c r="R176" s="9" t="n">
        <x:f>IF(AND(INDEX('Сводка'!$T$3:$T$397,U176)=0,INDEX('Сводка'!$T$3:$T$397,V176)=0),1,0)</x:f>
        <x:v>1</x:v>
      </x:c>
      <x:c r="S176" s="9" t="n">
        <x:f>IF(AND(R176=1,O176&lt;=$G$13),1,0)</x:f>
        <x:v>0</x:v>
      </x:c>
      <x:c r="T176" s="10" t="n">
        <x:f>EOMONTH(J176-'Сводка'!$B$11,-1)</x:f>
        <x:v>46022</x:v>
      </x:c>
      <x:c r="U176" s="4" t="n">
        <x:f>MATCH(J176,'Сводка'!$R$3:$R$397,0)</x:f>
        <x:v>187</x:v>
      </x:c>
      <x:c r="V176" s="4" t="n">
        <x:f>MATCH(J176-'Сводка'!$B$11,'Сводка'!$R$3:$R$397,0)</x:f>
        <x:v>186</x:v>
      </x:c>
      <x:c r="W176" s="4" t="n">
        <x:f>MATCH(T176,$J$388:$J$400,0)</x:f>
        <x:v>7</x:v>
      </x:c>
      <x:c r="X176" s="3"/>
      <x:c r="Y176" s="3"/>
      <x:c r="Z176" s="3"/>
    </x:row>
    <x:row r="177" ht="15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10" t="n">
        <x:v>46028</x:v>
      </x:c>
      <x:c r="K177" s="8" t="n">
        <x:f>INDEX('Сводка'!$S$3:$S$397,U177)</x:f>
        <x:v>2</x:v>
      </x:c>
      <x:c r="L177" s="8" t="n">
        <x:f>INDEX('Сводка'!$S$3:$S$397,V177)</x:f>
        <x:v>6</x:v>
      </x:c>
      <x:c r="M177" s="8" t="n">
        <x:f>INDEX($K$388:$N$400,W177,1)*((J177-$T$405+1)/1000)^INDEX($K$388:$N$400,W177,2)</x:f>
        <x:v>163.1684132302077</x:v>
      </x:c>
      <x:c r="N177" s="8" t="n">
        <x:f>K177-M177</x:f>
        <x:v>-161.1684132302077</x:v>
      </x:c>
      <x:c r="O177" s="8" t="n">
        <x:f>ABS(N177)</x:f>
        <x:v>161.1684132302077</x:v>
      </x:c>
      <x:c r="P177" s="8" t="n">
        <x:f>N177^2</x:f>
        <x:v>25975.25742314299</x:v>
      </x:c>
      <x:c r="Q177" s="8" t="n">
        <x:f>K177-L177</x:f>
        <x:v>-4</x:v>
      </x:c>
      <x:c r="R177" s="9" t="n">
        <x:f>IF(AND(INDEX('Сводка'!$T$3:$T$397,U177)=0,INDEX('Сводка'!$T$3:$T$397,V177)=0),1,0)</x:f>
        <x:v>1</x:v>
      </x:c>
      <x:c r="S177" s="9" t="n">
        <x:f>IF(AND(R177=1,O177&lt;=$G$13),1,0)</x:f>
        <x:v>0</x:v>
      </x:c>
      <x:c r="T177" s="10" t="n">
        <x:f>EOMONTH(J177-'Сводка'!$B$11,-1)</x:f>
        <x:v>46022</x:v>
      </x:c>
      <x:c r="U177" s="4" t="n">
        <x:f>MATCH(J177,'Сводка'!$R$3:$R$397,0)</x:f>
        <x:v>188</x:v>
      </x:c>
      <x:c r="V177" s="4" t="n">
        <x:f>MATCH(J177-'Сводка'!$B$11,'Сводка'!$R$3:$R$397,0)</x:f>
        <x:v>187</x:v>
      </x:c>
      <x:c r="W177" s="4" t="n">
        <x:f>MATCH(T177,$J$388:$J$400,0)</x:f>
        <x:v>7</x:v>
      </x:c>
      <x:c r="X177" s="3"/>
      <x:c r="Y177" s="3"/>
      <x:c r="Z177" s="3"/>
    </x:row>
    <x:row r="178" ht="15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10" t="n">
        <x:v>46029</x:v>
      </x:c>
      <x:c r="K178" s="8" t="n">
        <x:f>INDEX('Сводка'!$S$3:$S$397,U178)</x:f>
        <x:v>-2</x:v>
      </x:c>
      <x:c r="L178" s="8" t="n">
        <x:f>INDEX('Сводка'!$S$3:$S$397,V178)</x:f>
        <x:v>2</x:v>
      </x:c>
      <x:c r="M178" s="8" t="n">
        <x:f>INDEX($K$388:$N$400,W178,1)*((J178-$T$405+1)/1000)^INDEX($K$388:$N$400,W178,2)</x:f>
        <x:v>163.18979287538681</x:v>
      </x:c>
      <x:c r="N178" s="8" t="n">
        <x:f>K178-M178</x:f>
        <x:v>-165.18979287538681</x:v>
      </x:c>
      <x:c r="O178" s="8" t="n">
        <x:f>ABS(N178)</x:f>
        <x:v>165.18979287538681</x:v>
      </x:c>
      <x:c r="P178" s="8" t="n">
        <x:f>N178^2</x:f>
        <x:v>27287.667670213195</x:v>
      </x:c>
      <x:c r="Q178" s="8" t="n">
        <x:f>K178-L178</x:f>
        <x:v>-4</x:v>
      </x:c>
      <x:c r="R178" s="9" t="n">
        <x:f>IF(AND(INDEX('Сводка'!$T$3:$T$397,U178)=0,INDEX('Сводка'!$T$3:$T$397,V178)=0),1,0)</x:f>
        <x:v>1</x:v>
      </x:c>
      <x:c r="S178" s="9" t="n">
        <x:f>IF(AND(R178=1,O178&lt;=$G$13),1,0)</x:f>
        <x:v>0</x:v>
      </x:c>
      <x:c r="T178" s="10" t="n">
        <x:f>EOMONTH(J178-'Сводка'!$B$11,-1)</x:f>
        <x:v>46022</x:v>
      </x:c>
      <x:c r="U178" s="4" t="n">
        <x:f>MATCH(J178,'Сводка'!$R$3:$R$397,0)</x:f>
        <x:v>189</x:v>
      </x:c>
      <x:c r="V178" s="4" t="n">
        <x:f>MATCH(J178-'Сводка'!$B$11,'Сводка'!$R$3:$R$397,0)</x:f>
        <x:v>188</x:v>
      </x:c>
      <x:c r="W178" s="4" t="n">
        <x:f>MATCH(T178,$J$388:$J$400,0)</x:f>
        <x:v>7</x:v>
      </x:c>
      <x:c r="X178" s="3"/>
      <x:c r="Y178" s="3"/>
      <x:c r="Z178" s="3"/>
    </x:row>
    <x:row r="179" ht="15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10" t="n">
        <x:v>46030</x:v>
      </x:c>
      <x:c r="K179" s="8" t="n">
        <x:f>INDEX('Сводка'!$S$3:$S$397,U179)</x:f>
        <x:v>-7</x:v>
      </x:c>
      <x:c r="L179" s="8" t="n">
        <x:f>INDEX('Сводка'!$S$3:$S$397,V179)</x:f>
        <x:v>-2</x:v>
      </x:c>
      <x:c r="M179" s="8" t="n">
        <x:f>INDEX($K$388:$N$400,W179,1)*((J179-$T$405+1)/1000)^INDEX($K$388:$N$400,W179,2)</x:f>
        <x:v>163.21117288457765</x:v>
      </x:c>
      <x:c r="N179" s="8" t="n">
        <x:f>K179-M179</x:f>
        <x:v>-170.21117288457765</x:v>
      </x:c>
      <x:c r="O179" s="8" t="n">
        <x:f>ABS(N179)</x:f>
        <x:v>170.21117288457765</x:v>
      </x:c>
      <x:c r="P179" s="8" t="n">
        <x:f>N179^2</x:f>
        <x:v>28971.84337474358</x:v>
      </x:c>
      <x:c r="Q179" s="8" t="n">
        <x:f>K179-L179</x:f>
        <x:v>-5</x:v>
      </x:c>
      <x:c r="R179" s="9" t="n">
        <x:f>IF(AND(INDEX('Сводка'!$T$3:$T$397,U179)=0,INDEX('Сводка'!$T$3:$T$397,V179)=0),1,0)</x:f>
        <x:v>1</x:v>
      </x:c>
      <x:c r="S179" s="9" t="n">
        <x:f>IF(AND(R179=1,O179&lt;=$G$13),1,0)</x:f>
        <x:v>0</x:v>
      </x:c>
      <x:c r="T179" s="10" t="n">
        <x:f>EOMONTH(J179-'Сводка'!$B$11,-1)</x:f>
        <x:v>46022</x:v>
      </x:c>
      <x:c r="U179" s="4" t="n">
        <x:f>MATCH(J179,'Сводка'!$R$3:$R$397,0)</x:f>
        <x:v>190</x:v>
      </x:c>
      <x:c r="V179" s="4" t="n">
        <x:f>MATCH(J179-'Сводка'!$B$11,'Сводка'!$R$3:$R$397,0)</x:f>
        <x:v>189</x:v>
      </x:c>
      <x:c r="W179" s="4" t="n">
        <x:f>MATCH(T179,$J$388:$J$400,0)</x:f>
        <x:v>7</x:v>
      </x:c>
      <x:c r="X179" s="3"/>
      <x:c r="Y179" s="3"/>
      <x:c r="Z179" s="3"/>
    </x:row>
    <x:row r="180" ht="15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10" t="n">
        <x:v>46031</x:v>
      </x:c>
      <x:c r="K180" s="8" t="n">
        <x:f>INDEX('Сводка'!$S$3:$S$397,U180)</x:f>
        <x:v>-10</x:v>
      </x:c>
      <x:c r="L180" s="8" t="n">
        <x:f>INDEX('Сводка'!$S$3:$S$397,V180)</x:f>
        <x:v>-7</x:v>
      </x:c>
      <x:c r="M180" s="8" t="n">
        <x:f>INDEX($K$388:$N$400,W180,1)*((J180-$T$405+1)/1000)^INDEX($K$388:$N$400,W180,2)</x:f>
        <x:v>163.23255325774494</x:v>
      </x:c>
      <x:c r="N180" s="8" t="n">
        <x:f>K180-M180</x:f>
        <x:v>-173.23255325774494</x:v>
      </x:c>
      <x:c r="O180" s="8" t="n">
        <x:f>ABS(N180)</x:f>
        <x:v>173.23255325774494</x:v>
      </x:c>
      <x:c r="P180" s="8" t="n">
        <x:f>N180^2</x:f>
        <x:v>30009.517508197438</x:v>
      </x:c>
      <x:c r="Q180" s="8" t="n">
        <x:f>K180-L180</x:f>
        <x:v>-3</x:v>
      </x:c>
      <x:c r="R180" s="9" t="n">
        <x:f>IF(AND(INDEX('Сводка'!$T$3:$T$397,U180)=0,INDEX('Сводка'!$T$3:$T$397,V180)=0),1,0)</x:f>
        <x:v>1</x:v>
      </x:c>
      <x:c r="S180" s="9" t="n">
        <x:f>IF(AND(R180=1,O180&lt;=$G$13),1,0)</x:f>
        <x:v>0</x:v>
      </x:c>
      <x:c r="T180" s="10" t="n">
        <x:f>EOMONTH(J180-'Сводка'!$B$11,-1)</x:f>
        <x:v>46022</x:v>
      </x:c>
      <x:c r="U180" s="4" t="n">
        <x:f>MATCH(J180,'Сводка'!$R$3:$R$397,0)</x:f>
        <x:v>191</x:v>
      </x:c>
      <x:c r="V180" s="4" t="n">
        <x:f>MATCH(J180-'Сводка'!$B$11,'Сводка'!$R$3:$R$397,0)</x:f>
        <x:v>190</x:v>
      </x:c>
      <x:c r="W180" s="4" t="n">
        <x:f>MATCH(T180,$J$388:$J$400,0)</x:f>
        <x:v>7</x:v>
      </x:c>
      <x:c r="X180" s="3"/>
      <x:c r="Y180" s="3"/>
      <x:c r="Z180" s="3"/>
    </x:row>
    <x:row r="181" ht="15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10" t="n">
        <x:v>46032</x:v>
      </x:c>
      <x:c r="K181" s="8" t="n">
        <x:f>INDEX('Сводка'!$S$3:$S$397,U181)</x:f>
        <x:v>-13</x:v>
      </x:c>
      <x:c r="L181" s="8" t="n">
        <x:f>INDEX('Сводка'!$S$3:$S$397,V181)</x:f>
        <x:v>-10</x:v>
      </x:c>
      <x:c r="M181" s="8" t="n">
        <x:f>INDEX($K$388:$N$400,W181,1)*((J181-$T$405+1)/1000)^INDEX($K$388:$N$400,W181,2)</x:f>
        <x:v>163.25393399485336</x:v>
      </x:c>
      <x:c r="N181" s="8" t="n">
        <x:f>K181-M181</x:f>
        <x:v>-176.25393399485336</x:v>
      </x:c>
      <x:c r="O181" s="8" t="n">
        <x:f>ABS(N181)</x:f>
        <x:v>176.25393399485336</x:v>
      </x:c>
      <x:c r="P181" s="8" t="n">
        <x:f>N181^2</x:f>
        <x:v>31065.449248662124</x:v>
      </x:c>
      <x:c r="Q181" s="8" t="n">
        <x:f>K181-L181</x:f>
        <x:v>-3</x:v>
      </x:c>
      <x:c r="R181" s="9" t="n">
        <x:f>IF(AND(INDEX('Сводка'!$T$3:$T$397,U181)=0,INDEX('Сводка'!$T$3:$T$397,V181)=0),1,0)</x:f>
        <x:v>1</x:v>
      </x:c>
      <x:c r="S181" s="9" t="n">
        <x:f>IF(AND(R181=1,O181&lt;=$G$13),1,0)</x:f>
        <x:v>0</x:v>
      </x:c>
      <x:c r="T181" s="10" t="n">
        <x:f>EOMONTH(J181-'Сводка'!$B$11,-1)</x:f>
        <x:v>46022</x:v>
      </x:c>
      <x:c r="U181" s="4" t="n">
        <x:f>MATCH(J181,'Сводка'!$R$3:$R$397,0)</x:f>
        <x:v>192</x:v>
      </x:c>
      <x:c r="V181" s="4" t="n">
        <x:f>MATCH(J181-'Сводка'!$B$11,'Сводка'!$R$3:$R$397,0)</x:f>
        <x:v>191</x:v>
      </x:c>
      <x:c r="W181" s="4" t="n">
        <x:f>MATCH(T181,$J$388:$J$400,0)</x:f>
        <x:v>7</x:v>
      </x:c>
      <x:c r="X181" s="3"/>
      <x:c r="Y181" s="3"/>
      <x:c r="Z181" s="3"/>
    </x:row>
    <x:row r="182" ht="15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10" t="n">
        <x:v>46033</x:v>
      </x:c>
      <x:c r="K182" s="8" t="n">
        <x:f>INDEX('Сводка'!$S$3:$S$397,U182)</x:f>
        <x:v>-17</x:v>
      </x:c>
      <x:c r="L182" s="8" t="n">
        <x:f>INDEX('Сводка'!$S$3:$S$397,V182)</x:f>
        <x:v>-13</x:v>
      </x:c>
      <x:c r="M182" s="8" t="n">
        <x:f>INDEX($K$388:$N$400,W182,1)*((J182-$T$405+1)/1000)^INDEX($K$388:$N$400,W182,2)</x:f>
        <x:v>163.27531509586765</x:v>
      </x:c>
      <x:c r="N182" s="8" t="n">
        <x:f>K182-M182</x:f>
        <x:v>-180.27531509586765</x:v>
      </x:c>
      <x:c r="O182" s="8" t="n">
        <x:f>ABS(N182)</x:f>
        <x:v>180.27531509586765</x:v>
      </x:c>
      <x:c r="P182" s="8" t="n">
        <x:f>N182^2</x:f>
        <x:v>32499.189232914367</x:v>
      </x:c>
      <x:c r="Q182" s="8" t="n">
        <x:f>K182-L182</x:f>
        <x:v>-4</x:v>
      </x:c>
      <x:c r="R182" s="9" t="n">
        <x:f>IF(AND(INDEX('Сводка'!$T$3:$T$397,U182)=0,INDEX('Сводка'!$T$3:$T$397,V182)=0),1,0)</x:f>
        <x:v>1</x:v>
      </x:c>
      <x:c r="S182" s="9" t="n">
        <x:f>IF(AND(R182=1,O182&lt;=$G$13),1,0)</x:f>
        <x:v>0</x:v>
      </x:c>
      <x:c r="T182" s="10" t="n">
        <x:f>EOMONTH(J182-'Сводка'!$B$11,-1)</x:f>
        <x:v>46022</x:v>
      </x:c>
      <x:c r="U182" s="4" t="n">
        <x:f>MATCH(J182,'Сводка'!$R$3:$R$397,0)</x:f>
        <x:v>193</x:v>
      </x:c>
      <x:c r="V182" s="4" t="n">
        <x:f>MATCH(J182-'Сводка'!$B$11,'Сводка'!$R$3:$R$397,0)</x:f>
        <x:v>192</x:v>
      </x:c>
      <x:c r="W182" s="4" t="n">
        <x:f>MATCH(T182,$J$388:$J$400,0)</x:f>
        <x:v>7</x:v>
      </x:c>
      <x:c r="X182" s="3"/>
      <x:c r="Y182" s="3"/>
      <x:c r="Z182" s="3"/>
    </x:row>
    <x:row r="183" ht="15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10" t="n">
        <x:v>46034</x:v>
      </x:c>
      <x:c r="K183" s="8" t="n">
        <x:f>INDEX('Сводка'!$S$3:$S$397,U183)</x:f>
        <x:v>-19</x:v>
      </x:c>
      <x:c r="L183" s="8" t="n">
        <x:f>INDEX('Сводка'!$S$3:$S$397,V183)</x:f>
        <x:v>-17</x:v>
      </x:c>
      <x:c r="M183" s="8" t="n">
        <x:f>INDEX($K$388:$N$400,W183,1)*((J183-$T$405+1)/1000)^INDEX($K$388:$N$400,W183,2)</x:f>
        <x:v>163.2966965607526</x:v>
      </x:c>
      <x:c r="N183" s="8" t="n">
        <x:f>K183-M183</x:f>
        <x:v>-182.2966965607526</x:v>
      </x:c>
      <x:c r="O183" s="8" t="n">
        <x:f>ABS(N183)</x:f>
        <x:v>182.2966965607526</x:v>
      </x:c>
      <x:c r="P183" s="8" t="n">
        <x:f>N183^2</x:f>
        <x:v>33232.08557696311</x:v>
      </x:c>
      <x:c r="Q183" s="8" t="n">
        <x:f>K183-L183</x:f>
        <x:v>-2</x:v>
      </x:c>
      <x:c r="R183" s="9" t="n">
        <x:f>IF(AND(INDEX('Сводка'!$T$3:$T$397,U183)=0,INDEX('Сводка'!$T$3:$T$397,V183)=0),1,0)</x:f>
        <x:v>1</x:v>
      </x:c>
      <x:c r="S183" s="9" t="n">
        <x:f>IF(AND(R183=1,O183&lt;=$G$13),1,0)</x:f>
        <x:v>0</x:v>
      </x:c>
      <x:c r="T183" s="10" t="n">
        <x:f>EOMONTH(J183-'Сводка'!$B$11,-1)</x:f>
        <x:v>46022</x:v>
      </x:c>
      <x:c r="U183" s="4" t="n">
        <x:f>MATCH(J183,'Сводка'!$R$3:$R$397,0)</x:f>
        <x:v>194</x:v>
      </x:c>
      <x:c r="V183" s="4" t="n">
        <x:f>MATCH(J183-'Сводка'!$B$11,'Сводка'!$R$3:$R$397,0)</x:f>
        <x:v>193</x:v>
      </x:c>
      <x:c r="W183" s="4" t="n">
        <x:f>MATCH(T183,$J$388:$J$400,0)</x:f>
        <x:v>7</x:v>
      </x:c>
      <x:c r="X183" s="3"/>
      <x:c r="Y183" s="3"/>
      <x:c r="Z183" s="3"/>
    </x:row>
    <x:row r="184" ht="15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10" t="n">
        <x:v>46035</x:v>
      </x:c>
      <x:c r="K184" s="8" t="n">
        <x:f>INDEX('Сводка'!$S$3:$S$397,U184)</x:f>
        <x:v>-22</x:v>
      </x:c>
      <x:c r="L184" s="8" t="n">
        <x:f>INDEX('Сводка'!$S$3:$S$397,V184)</x:f>
        <x:v>-19</x:v>
      </x:c>
      <x:c r="M184" s="8" t="n">
        <x:f>INDEX($K$388:$N$400,W184,1)*((J184-$T$405+1)/1000)^INDEX($K$388:$N$400,W184,2)</x:f>
        <x:v>163.31807838947284</x:v>
      </x:c>
      <x:c r="N184" s="8" t="n">
        <x:f>K184-M184</x:f>
        <x:v>-185.31807838947284</x:v>
      </x:c>
      <x:c r="O184" s="8" t="n">
        <x:f>ABS(N184)</x:f>
        <x:v>185.31807838947284</x:v>
      </x:c>
      <x:c r="P184" s="8" t="n">
        <x:f>N184^2</x:f>
        <x:v>34342.7901779668</x:v>
      </x:c>
      <x:c r="Q184" s="8" t="n">
        <x:f>K184-L184</x:f>
        <x:v>-3</x:v>
      </x:c>
      <x:c r="R184" s="9" t="n">
        <x:f>IF(AND(INDEX('Сводка'!$T$3:$T$397,U184)=0,INDEX('Сводка'!$T$3:$T$397,V184)=0),1,0)</x:f>
        <x:v>1</x:v>
      </x:c>
      <x:c r="S184" s="9" t="n">
        <x:f>IF(AND(R184=1,O184&lt;=$G$13),1,0)</x:f>
        <x:v>0</x:v>
      </x:c>
      <x:c r="T184" s="10" t="n">
        <x:f>EOMONTH(J184-'Сводка'!$B$11,-1)</x:f>
        <x:v>46022</x:v>
      </x:c>
      <x:c r="U184" s="4" t="n">
        <x:f>MATCH(J184,'Сводка'!$R$3:$R$397,0)</x:f>
        <x:v>195</x:v>
      </x:c>
      <x:c r="V184" s="4" t="n">
        <x:f>MATCH(J184-'Сводка'!$B$11,'Сводка'!$R$3:$R$397,0)</x:f>
        <x:v>194</x:v>
      </x:c>
      <x:c r="W184" s="4" t="n">
        <x:f>MATCH(T184,$J$388:$J$400,0)</x:f>
        <x:v>7</x:v>
      </x:c>
      <x:c r="X184" s="3"/>
      <x:c r="Y184" s="3"/>
      <x:c r="Z184" s="3"/>
    </x:row>
    <x:row r="185" ht="15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10" t="n">
        <x:v>46036</x:v>
      </x:c>
      <x:c r="K185" s="8" t="n">
        <x:f>INDEX('Сводка'!$S$3:$S$397,U185)</x:f>
        <x:v>-25</x:v>
      </x:c>
      <x:c r="L185" s="8" t="n">
        <x:f>INDEX('Сводка'!$S$3:$S$397,V185)</x:f>
        <x:v>-22</x:v>
      </x:c>
      <x:c r="M185" s="8" t="n">
        <x:f>INDEX($K$388:$N$400,W185,1)*((J185-$T$405+1)/1000)^INDEX($K$388:$N$400,W185,2)</x:f>
        <x:v>163.33946058199317</x:v>
      </x:c>
      <x:c r="N185" s="8" t="n">
        <x:f>K185-M185</x:f>
        <x:v>-188.33946058199317</x:v>
      </x:c>
      <x:c r="O185" s="8" t="n">
        <x:f>ABS(N185)</x:f>
        <x:v>188.33946058199317</x:v>
      </x:c>
      <x:c r="P185" s="8" t="n">
        <x:f>N185^2</x:f>
        <x:v>35471.75241231616</x:v>
      </x:c>
      <x:c r="Q185" s="8" t="n">
        <x:f>K185-L185</x:f>
        <x:v>-3</x:v>
      </x:c>
      <x:c r="R185" s="9" t="n">
        <x:f>IF(AND(INDEX('Сводка'!$T$3:$T$397,U185)=0,INDEX('Сводка'!$T$3:$T$397,V185)=0),1,0)</x:f>
        <x:v>1</x:v>
      </x:c>
      <x:c r="S185" s="9" t="n">
        <x:f>IF(AND(R185=1,O185&lt;=$G$13),1,0)</x:f>
        <x:v>0</x:v>
      </x:c>
      <x:c r="T185" s="10" t="n">
        <x:f>EOMONTH(J185-'Сводка'!$B$11,-1)</x:f>
        <x:v>46022</x:v>
      </x:c>
      <x:c r="U185" s="4" t="n">
        <x:f>MATCH(J185,'Сводка'!$R$3:$R$397,0)</x:f>
        <x:v>196</x:v>
      </x:c>
      <x:c r="V185" s="4" t="n">
        <x:f>MATCH(J185-'Сводка'!$B$11,'Сводка'!$R$3:$R$397,0)</x:f>
        <x:v>195</x:v>
      </x:c>
      <x:c r="W185" s="4" t="n">
        <x:f>MATCH(T185,$J$388:$J$400,0)</x:f>
        <x:v>7</x:v>
      </x:c>
      <x:c r="X185" s="3"/>
      <x:c r="Y185" s="3"/>
      <x:c r="Z185" s="3"/>
    </x:row>
    <x:row r="186" ht="15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10" t="n">
        <x:v>46037</x:v>
      </x:c>
      <x:c r="K186" s="8" t="n">
        <x:f>INDEX('Сводка'!$S$3:$S$397,U186)</x:f>
        <x:v>-26</x:v>
      </x:c>
      <x:c r="L186" s="8" t="n">
        <x:f>INDEX('Сводка'!$S$3:$S$397,V186)</x:f>
        <x:v>-25</x:v>
      </x:c>
      <x:c r="M186" s="8" t="n">
        <x:f>INDEX($K$388:$N$400,W186,1)*((J186-$T$405+1)/1000)^INDEX($K$388:$N$400,W186,2)</x:f>
        <x:v>163.3608431382784</x:v>
      </x:c>
      <x:c r="N186" s="8" t="n">
        <x:f>K186-M186</x:f>
        <x:v>-189.3608431382784</x:v>
      </x:c>
      <x:c r="O186" s="8" t="n">
        <x:f>ABS(N186)</x:f>
        <x:v>189.3608431382784</x:v>
      </x:c>
      <x:c r="P186" s="8" t="n">
        <x:f>N186^2</x:f>
        <x:v>35857.52891403968</x:v>
      </x:c>
      <x:c r="Q186" s="8" t="n">
        <x:f>K186-L186</x:f>
        <x:v>-1</x:v>
      </x:c>
      <x:c r="R186" s="9" t="n">
        <x:f>IF(AND(INDEX('Сводка'!$T$3:$T$397,U186)=0,INDEX('Сводка'!$T$3:$T$397,V186)=0),1,0)</x:f>
        <x:v>1</x:v>
      </x:c>
      <x:c r="S186" s="9" t="n">
        <x:f>IF(AND(R186=1,O186&lt;=$G$13),1,0)</x:f>
        <x:v>0</x:v>
      </x:c>
      <x:c r="T186" s="10" t="n">
        <x:f>EOMONTH(J186-'Сводка'!$B$11,-1)</x:f>
        <x:v>46022</x:v>
      </x:c>
      <x:c r="U186" s="4" t="n">
        <x:f>MATCH(J186,'Сводка'!$R$3:$R$397,0)</x:f>
        <x:v>197</x:v>
      </x:c>
      <x:c r="V186" s="4" t="n">
        <x:f>MATCH(J186-'Сводка'!$B$11,'Сводка'!$R$3:$R$397,0)</x:f>
        <x:v>196</x:v>
      </x:c>
      <x:c r="W186" s="4" t="n">
        <x:f>MATCH(T186,$J$388:$J$400,0)</x:f>
        <x:v>7</x:v>
      </x:c>
      <x:c r="X186" s="3"/>
      <x:c r="Y186" s="3"/>
      <x:c r="Z186" s="3"/>
    </x:row>
    <x:row r="187" ht="15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10" t="n">
        <x:v>46038</x:v>
      </x:c>
      <x:c r="K187" s="8" t="n">
        <x:f>INDEX('Сводка'!$S$3:$S$397,U187)</x:f>
        <x:v>-28</x:v>
      </x:c>
      <x:c r="L187" s="8" t="n">
        <x:f>INDEX('Сводка'!$S$3:$S$397,V187)</x:f>
        <x:v>-26</x:v>
      </x:c>
      <x:c r="M187" s="8" t="n">
        <x:f>INDEX($K$388:$N$400,W187,1)*((J187-$T$405+1)/1000)^INDEX($K$388:$N$400,W187,2)</x:f>
        <x:v>163.3822260582932</x:v>
      </x:c>
      <x:c r="N187" s="8" t="n">
        <x:f>K187-M187</x:f>
        <x:v>-191.3822260582932</x:v>
      </x:c>
      <x:c r="O187" s="8" t="n">
        <x:f>ABS(N187)</x:f>
        <x:v>191.3822260582932</x:v>
      </x:c>
      <x:c r="P187" s="8" t="n">
        <x:f>N187^2</x:f>
        <x:v>36627.156451027644</x:v>
      </x:c>
      <x:c r="Q187" s="8" t="n">
        <x:f>K187-L187</x:f>
        <x:v>-2</x:v>
      </x:c>
      <x:c r="R187" s="9" t="n">
        <x:f>IF(AND(INDEX('Сводка'!$T$3:$T$397,U187)=0,INDEX('Сводка'!$T$3:$T$397,V187)=0),1,0)</x:f>
        <x:v>1</x:v>
      </x:c>
      <x:c r="S187" s="9" t="n">
        <x:f>IF(AND(R187=1,O187&lt;=$G$13),1,0)</x:f>
        <x:v>0</x:v>
      </x:c>
      <x:c r="T187" s="10" t="n">
        <x:f>EOMONTH(J187-'Сводка'!$B$11,-1)</x:f>
        <x:v>46022</x:v>
      </x:c>
      <x:c r="U187" s="4" t="n">
        <x:f>MATCH(J187,'Сводка'!$R$3:$R$397,0)</x:f>
        <x:v>198</x:v>
      </x:c>
      <x:c r="V187" s="4" t="n">
        <x:f>MATCH(J187-'Сводка'!$B$11,'Сводка'!$R$3:$R$397,0)</x:f>
        <x:v>197</x:v>
      </x:c>
      <x:c r="W187" s="4" t="n">
        <x:f>MATCH(T187,$J$388:$J$400,0)</x:f>
        <x:v>7</x:v>
      </x:c>
      <x:c r="X187" s="3"/>
      <x:c r="Y187" s="3"/>
      <x:c r="Z187" s="3"/>
    </x:row>
    <x:row r="188" ht="15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10" t="n">
        <x:v>46039</x:v>
      </x:c>
      <x:c r="K188" s="8" t="n">
        <x:f>INDEX('Сводка'!$S$3:$S$397,U188)</x:f>
        <x:v>-29</x:v>
      </x:c>
      <x:c r="L188" s="8" t="n">
        <x:f>INDEX('Сводка'!$S$3:$S$397,V188)</x:f>
        <x:v>-28</x:v>
      </x:c>
      <x:c r="M188" s="8" t="n">
        <x:f>INDEX($K$388:$N$400,W188,1)*((J188-$T$405+1)/1000)^INDEX($K$388:$N$400,W188,2)</x:f>
        <x:v>163.40360934200237</x:v>
      </x:c>
      <x:c r="N188" s="8" t="n">
        <x:f>K188-M188</x:f>
        <x:v>-192.40360934200237</x:v>
      </x:c>
      <x:c r="O188" s="8" t="n">
        <x:f>ABS(N188)</x:f>
        <x:v>192.40360934200237</x:v>
      </x:c>
      <x:c r="P188" s="8" t="n">
        <x:f>N188^2</x:f>
        <x:v>37019.14888782986</x:v>
      </x:c>
      <x:c r="Q188" s="8" t="n">
        <x:f>K188-L188</x:f>
        <x:v>-1</x:v>
      </x:c>
      <x:c r="R188" s="9" t="n">
        <x:f>IF(AND(INDEX('Сводка'!$T$3:$T$397,U188)=0,INDEX('Сводка'!$T$3:$T$397,V188)=0),1,0)</x:f>
        <x:v>1</x:v>
      </x:c>
      <x:c r="S188" s="9" t="n">
        <x:f>IF(AND(R188=1,O188&lt;=$G$13),1,0)</x:f>
        <x:v>0</x:v>
      </x:c>
      <x:c r="T188" s="10" t="n">
        <x:f>EOMONTH(J188-'Сводка'!$B$11,-1)</x:f>
        <x:v>46022</x:v>
      </x:c>
      <x:c r="U188" s="4" t="n">
        <x:f>MATCH(J188,'Сводка'!$R$3:$R$397,0)</x:f>
        <x:v>199</x:v>
      </x:c>
      <x:c r="V188" s="4" t="n">
        <x:f>MATCH(J188-'Сводка'!$B$11,'Сводка'!$R$3:$R$397,0)</x:f>
        <x:v>198</x:v>
      </x:c>
      <x:c r="W188" s="4" t="n">
        <x:f>MATCH(T188,$J$388:$J$400,0)</x:f>
        <x:v>7</x:v>
      </x:c>
      <x:c r="X188" s="3"/>
      <x:c r="Y188" s="3"/>
      <x:c r="Z188" s="3"/>
    </x:row>
    <x:row r="189" ht="15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10" t="n">
        <x:v>46040</x:v>
      </x:c>
      <x:c r="K189" s="8" t="n">
        <x:f>INDEX('Сводка'!$S$3:$S$397,U189)</x:f>
        <x:v>-34</x:v>
      </x:c>
      <x:c r="L189" s="8" t="n">
        <x:f>INDEX('Сводка'!$S$3:$S$397,V189)</x:f>
        <x:v>-29</x:v>
      </x:c>
      <x:c r="M189" s="8" t="n">
        <x:f>INDEX($K$388:$N$400,W189,1)*((J189-$T$405+1)/1000)^INDEX($K$388:$N$400,W189,2)</x:f>
        <x:v>163.42499298937074</x:v>
      </x:c>
      <x:c r="N189" s="8" t="n">
        <x:f>K189-M189</x:f>
        <x:v>-197.42499298937074</x:v>
      </x:c>
      <x:c r="O189" s="8" t="n">
        <x:f>ABS(N189)</x:f>
        <x:v>197.42499298937074</x:v>
      </x:c>
      <x:c r="P189" s="8" t="n">
        <x:f>N189^2</x:f>
        <x:v>38976.62785685308</x:v>
      </x:c>
      <x:c r="Q189" s="8" t="n">
        <x:f>K189-L189</x:f>
        <x:v>-5</x:v>
      </x:c>
      <x:c r="R189" s="9" t="n">
        <x:f>IF(AND(INDEX('Сводка'!$T$3:$T$397,U189)=0,INDEX('Сводка'!$T$3:$T$397,V189)=0),1,0)</x:f>
        <x:v>1</x:v>
      </x:c>
      <x:c r="S189" s="9" t="n">
        <x:f>IF(AND(R189=1,O189&lt;=$G$13),1,0)</x:f>
        <x:v>0</x:v>
      </x:c>
      <x:c r="T189" s="10" t="n">
        <x:f>EOMONTH(J189-'Сводка'!$B$11,-1)</x:f>
        <x:v>46022</x:v>
      </x:c>
      <x:c r="U189" s="4" t="n">
        <x:f>MATCH(J189,'Сводка'!$R$3:$R$397,0)</x:f>
        <x:v>200</x:v>
      </x:c>
      <x:c r="V189" s="4" t="n">
        <x:f>MATCH(J189-'Сводка'!$B$11,'Сводка'!$R$3:$R$397,0)</x:f>
        <x:v>199</x:v>
      </x:c>
      <x:c r="W189" s="4" t="n">
        <x:f>MATCH(T189,$J$388:$J$400,0)</x:f>
        <x:v>7</x:v>
      </x:c>
      <x:c r="X189" s="3"/>
      <x:c r="Y189" s="3"/>
      <x:c r="Z189" s="3"/>
    </x:row>
    <x:row r="190" ht="15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10" t="n">
        <x:v>46041</x:v>
      </x:c>
      <x:c r="K190" s="8" t="n">
        <x:f>INDEX('Сводка'!$S$3:$S$397,U190)</x:f>
        <x:v>-34</x:v>
      </x:c>
      <x:c r="L190" s="8" t="n">
        <x:f>INDEX('Сводка'!$S$3:$S$397,V190)</x:f>
        <x:v>-34</x:v>
      </x:c>
      <x:c r="M190" s="8" t="n">
        <x:f>INDEX($K$388:$N$400,W190,1)*((J190-$T$405+1)/1000)^INDEX($K$388:$N$400,W190,2)</x:f>
        <x:v>163.446377000363</x:v>
      </x:c>
      <x:c r="N190" s="8" t="n">
        <x:f>K190-M190</x:f>
        <x:v>-197.446377000363</x:v>
      </x:c>
      <x:c r="O190" s="8" t="n">
        <x:f>ABS(N190)</x:f>
        <x:v>197.446377000363</x:v>
      </x:c>
      <x:c r="P190" s="8" t="n">
        <x:f>N190^2</x:f>
        <x:v>38985.07179056947</x:v>
      </x:c>
      <x:c r="Q190" s="8" t="n">
        <x:f>K190-L190</x:f>
        <x:v>0</x:v>
      </x:c>
      <x:c r="R190" s="9" t="n">
        <x:f>IF(AND(INDEX('Сводка'!$T$3:$T$397,U190)=0,INDEX('Сводка'!$T$3:$T$397,V190)=0),1,0)</x:f>
        <x:v>1</x:v>
      </x:c>
      <x:c r="S190" s="9" t="n">
        <x:f>IF(AND(R190=1,O190&lt;=$G$13),1,0)</x:f>
        <x:v>0</x:v>
      </x:c>
      <x:c r="T190" s="10" t="n">
        <x:f>EOMONTH(J190-'Сводка'!$B$11,-1)</x:f>
        <x:v>46022</x:v>
      </x:c>
      <x:c r="U190" s="4" t="n">
        <x:f>MATCH(J190,'Сводка'!$R$3:$R$397,0)</x:f>
        <x:v>201</x:v>
      </x:c>
      <x:c r="V190" s="4" t="n">
        <x:f>MATCH(J190-'Сводка'!$B$11,'Сводка'!$R$3:$R$397,0)</x:f>
        <x:v>200</x:v>
      </x:c>
      <x:c r="W190" s="4" t="n">
        <x:f>MATCH(T190,$J$388:$J$400,0)</x:f>
        <x:v>7</x:v>
      </x:c>
      <x:c r="X190" s="3"/>
      <x:c r="Y190" s="3"/>
      <x:c r="Z190" s="3"/>
    </x:row>
    <x:row r="191" ht="15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10" t="n">
        <x:v>46042</x:v>
      </x:c>
      <x:c r="K191" s="8" t="n">
        <x:f>INDEX('Сводка'!$S$3:$S$397,U191)</x:f>
        <x:v>-39</x:v>
      </x:c>
      <x:c r="L191" s="8" t="n">
        <x:f>INDEX('Сводка'!$S$3:$S$397,V191)</x:f>
        <x:v>-34</x:v>
      </x:c>
      <x:c r="M191" s="8" t="n">
        <x:f>INDEX($K$388:$N$400,W191,1)*((J191-$T$405+1)/1000)^INDEX($K$388:$N$400,W191,2)</x:f>
        <x:v>163.467761374944</x:v>
      </x:c>
      <x:c r="N191" s="8" t="n">
        <x:f>K191-M191</x:f>
        <x:v>-202.467761374944</x:v>
      </x:c>
      <x:c r="O191" s="8" t="n">
        <x:f>ABS(N191)</x:f>
        <x:v>202.467761374944</x:v>
      </x:c>
      <x:c r="P191" s="8" t="n">
        <x:f>N191^2</x:f>
        <x:v>40993.194396181265</x:v>
      </x:c>
      <x:c r="Q191" s="8" t="n">
        <x:f>K191-L191</x:f>
        <x:v>-5</x:v>
      </x:c>
      <x:c r="R191" s="9" t="n">
        <x:f>IF(AND(INDEX('Сводка'!$T$3:$T$397,U191)=0,INDEX('Сводка'!$T$3:$T$397,V191)=0),1,0)</x:f>
        <x:v>1</x:v>
      </x:c>
      <x:c r="S191" s="9" t="n">
        <x:f>IF(AND(R191=1,O191&lt;=$G$13),1,0)</x:f>
        <x:v>0</x:v>
      </x:c>
      <x:c r="T191" s="10" t="n">
        <x:f>EOMONTH(J191-'Сводка'!$B$11,-1)</x:f>
        <x:v>46022</x:v>
      </x:c>
      <x:c r="U191" s="4" t="n">
        <x:f>MATCH(J191,'Сводка'!$R$3:$R$397,0)</x:f>
        <x:v>202</x:v>
      </x:c>
      <x:c r="V191" s="4" t="n">
        <x:f>MATCH(J191-'Сводка'!$B$11,'Сводка'!$R$3:$R$397,0)</x:f>
        <x:v>201</x:v>
      </x:c>
      <x:c r="W191" s="4" t="n">
        <x:f>MATCH(T191,$J$388:$J$400,0)</x:f>
        <x:v>7</x:v>
      </x:c>
      <x:c r="X191" s="3"/>
      <x:c r="Y191" s="3"/>
      <x:c r="Z191" s="3"/>
    </x:row>
    <x:row r="192" ht="15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10" t="n">
        <x:v>46043</x:v>
      </x:c>
      <x:c r="K192" s="8" t="n">
        <x:f>INDEX('Сводка'!$S$3:$S$397,U192)</x:f>
        <x:v>-41</x:v>
      </x:c>
      <x:c r="L192" s="8" t="n">
        <x:f>INDEX('Сводка'!$S$3:$S$397,V192)</x:f>
        <x:v>-39</x:v>
      </x:c>
      <x:c r="M192" s="8" t="n">
        <x:f>INDEX($K$388:$N$400,W192,1)*((J192-$T$405+1)/1000)^INDEX($K$388:$N$400,W192,2)</x:f>
        <x:v>163.48914611307853</x:v>
      </x:c>
      <x:c r="N192" s="8" t="n">
        <x:f>K192-M192</x:f>
        <x:v>-204.48914611307853</x:v>
      </x:c>
      <x:c r="O192" s="8" t="n">
        <x:f>ABS(N192)</x:f>
        <x:v>204.48914611307853</x:v>
      </x:c>
      <x:c r="P192" s="8" t="n">
        <x:f>N192^2</x:f>
        <x:v>41815.81087805598</x:v>
      </x:c>
      <x:c r="Q192" s="8" t="n">
        <x:f>K192-L192</x:f>
        <x:v>-2</x:v>
      </x:c>
      <x:c r="R192" s="9" t="n">
        <x:f>IF(AND(INDEX('Сводка'!$T$3:$T$397,U192)=0,INDEX('Сводка'!$T$3:$T$397,V192)=0),1,0)</x:f>
        <x:v>1</x:v>
      </x:c>
      <x:c r="S192" s="9" t="n">
        <x:f>IF(AND(R192=1,O192&lt;=$G$13),1,0)</x:f>
        <x:v>0</x:v>
      </x:c>
      <x:c r="T192" s="10" t="n">
        <x:f>EOMONTH(J192-'Сводка'!$B$11,-1)</x:f>
        <x:v>46022</x:v>
      </x:c>
      <x:c r="U192" s="4" t="n">
        <x:f>MATCH(J192,'Сводка'!$R$3:$R$397,0)</x:f>
        <x:v>203</x:v>
      </x:c>
      <x:c r="V192" s="4" t="n">
        <x:f>MATCH(J192-'Сводка'!$B$11,'Сводка'!$R$3:$R$397,0)</x:f>
        <x:v>202</x:v>
      </x:c>
      <x:c r="W192" s="4" t="n">
        <x:f>MATCH(T192,$J$388:$J$400,0)</x:f>
        <x:v>7</x:v>
      </x:c>
      <x:c r="X192" s="3"/>
      <x:c r="Y192" s="3"/>
      <x:c r="Z192" s="3"/>
    </x:row>
    <x:row r="193" ht="15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10" t="n">
        <x:v>46044</x:v>
      </x:c>
      <x:c r="K193" s="8" t="n">
        <x:f>INDEX('Сводка'!$S$3:$S$397,U193)</x:f>
        <x:v>-41</x:v>
      </x:c>
      <x:c r="L193" s="8" t="n">
        <x:f>INDEX('Сводка'!$S$3:$S$397,V193)</x:f>
        <x:v>-41</x:v>
      </x:c>
      <x:c r="M193" s="8" t="n">
        <x:f>INDEX($K$388:$N$400,W193,1)*((J193-$T$405+1)/1000)^INDEX($K$388:$N$400,W193,2)</x:f>
        <x:v>163.5105312147314</x:v>
      </x:c>
      <x:c r="N193" s="8" t="n">
        <x:f>K193-M193</x:f>
        <x:v>-204.5105312147314</x:v>
      </x:c>
      <x:c r="O193" s="8" t="n">
        <x:f>ABS(N193)</x:f>
        <x:v>204.5105312147314</x:v>
      </x:c>
      <x:c r="P193" s="8" t="n">
        <x:f>N193^2</x:f>
        <x:v>41824.557377731624</x:v>
      </x:c>
      <x:c r="Q193" s="8" t="n">
        <x:f>K193-L193</x:f>
        <x:v>0</x:v>
      </x:c>
      <x:c r="R193" s="9" t="n">
        <x:f>IF(AND(INDEX('Сводка'!$T$3:$T$397,U193)=0,INDEX('Сводка'!$T$3:$T$397,V193)=0),1,0)</x:f>
        <x:v>1</x:v>
      </x:c>
      <x:c r="S193" s="9" t="n">
        <x:f>IF(AND(R193=1,O193&lt;=$G$13),1,0)</x:f>
        <x:v>0</x:v>
      </x:c>
      <x:c r="T193" s="10" t="n">
        <x:f>EOMONTH(J193-'Сводка'!$B$11,-1)</x:f>
        <x:v>46022</x:v>
      </x:c>
      <x:c r="U193" s="4" t="n">
        <x:f>MATCH(J193,'Сводка'!$R$3:$R$397,0)</x:f>
        <x:v>204</x:v>
      </x:c>
      <x:c r="V193" s="4" t="n">
        <x:f>MATCH(J193-'Сводка'!$B$11,'Сводка'!$R$3:$R$397,0)</x:f>
        <x:v>203</x:v>
      </x:c>
      <x:c r="W193" s="4" t="n">
        <x:f>MATCH(T193,$J$388:$J$400,0)</x:f>
        <x:v>7</x:v>
      </x:c>
      <x:c r="X193" s="3"/>
      <x:c r="Y193" s="3"/>
      <x:c r="Z193" s="3"/>
    </x:row>
    <x:row r="194" ht="15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10" t="n">
        <x:v>46045</x:v>
      </x:c>
      <x:c r="K194" s="8" t="n">
        <x:f>INDEX('Сводка'!$S$3:$S$397,U194)</x:f>
        <x:v>-37</x:v>
      </x:c>
      <x:c r="L194" s="8" t="n">
        <x:f>INDEX('Сводка'!$S$3:$S$397,V194)</x:f>
        <x:v>-41</x:v>
      </x:c>
      <x:c r="M194" s="8" t="n">
        <x:f>INDEX($K$388:$N$400,W194,1)*((J194-$T$405+1)/1000)^INDEX($K$388:$N$400,W194,2)</x:f>
        <x:v>163.53191667986738</x:v>
      </x:c>
      <x:c r="N194" s="8" t="n">
        <x:f>K194-M194</x:f>
        <x:v>-200.53191667986738</x:v>
      </x:c>
      <x:c r="O194" s="8" t="n">
        <x:f>ABS(N194)</x:f>
        <x:v>200.53191667986738</x:v>
      </x:c>
      <x:c r="P194" s="8" t="n">
        <x:f>N194^2</x:f>
        <x:v>40213.04960730128</x:v>
      </x:c>
      <x:c r="Q194" s="8" t="n">
        <x:f>K194-L194</x:f>
        <x:v>4</x:v>
      </x:c>
      <x:c r="R194" s="9" t="n">
        <x:f>IF(AND(INDEX('Сводка'!$T$3:$T$397,U194)=0,INDEX('Сводка'!$T$3:$T$397,V194)=0),1,0)</x:f>
        <x:v>1</x:v>
      </x:c>
      <x:c r="S194" s="9" t="n">
        <x:f>IF(AND(R194=1,O194&lt;=$G$13),1,0)</x:f>
        <x:v>0</x:v>
      </x:c>
      <x:c r="T194" s="10" t="n">
        <x:f>EOMONTH(J194-'Сводка'!$B$11,-1)</x:f>
        <x:v>46022</x:v>
      </x:c>
      <x:c r="U194" s="4" t="n">
        <x:f>MATCH(J194,'Сводка'!$R$3:$R$397,0)</x:f>
        <x:v>205</x:v>
      </x:c>
      <x:c r="V194" s="4" t="n">
        <x:f>MATCH(J194-'Сводка'!$B$11,'Сводка'!$R$3:$R$397,0)</x:f>
        <x:v>204</x:v>
      </x:c>
      <x:c r="W194" s="4" t="n">
        <x:f>MATCH(T194,$J$388:$J$400,0)</x:f>
        <x:v>7</x:v>
      </x:c>
      <x:c r="X194" s="3"/>
      <x:c r="Y194" s="3"/>
      <x:c r="Z194" s="3"/>
    </x:row>
    <x:row r="195" ht="15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10" t="n">
        <x:v>46046</x:v>
      </x:c>
      <x:c r="K195" s="8" t="n">
        <x:f>INDEX('Сводка'!$S$3:$S$397,U195)</x:f>
        <x:v>-39</x:v>
      </x:c>
      <x:c r="L195" s="8" t="n">
        <x:f>INDEX('Сводка'!$S$3:$S$397,V195)</x:f>
        <x:v>-37</x:v>
      </x:c>
      <x:c r="M195" s="8" t="n">
        <x:f>INDEX($K$388:$N$400,W195,1)*((J195-$T$405+1)/1000)^INDEX($K$388:$N$400,W195,2)</x:f>
        <x:v>163.55330250845134</x:v>
      </x:c>
      <x:c r="N195" s="8" t="n">
        <x:f>K195-M195</x:f>
        <x:v>-202.55330250845134</x:v>
      </x:c>
      <x:c r="O195" s="8" t="n">
        <x:f>ABS(N195)</x:f>
        <x:v>202.55330250845134</x:v>
      </x:c>
      <x:c r="P195" s="8" t="n">
        <x:f>N195^2</x:f>
        <x:v>41027.8403570802</x:v>
      </x:c>
      <x:c r="Q195" s="8" t="n">
        <x:f>K195-L195</x:f>
        <x:v>-2</x:v>
      </x:c>
      <x:c r="R195" s="9" t="n">
        <x:f>IF(AND(INDEX('Сводка'!$T$3:$T$397,U195)=0,INDEX('Сводка'!$T$3:$T$397,V195)=0),1,0)</x:f>
        <x:v>1</x:v>
      </x:c>
      <x:c r="S195" s="9" t="n">
        <x:f>IF(AND(R195=1,O195&lt;=$G$13),1,0)</x:f>
        <x:v>0</x:v>
      </x:c>
      <x:c r="T195" s="10" t="n">
        <x:f>EOMONTH(J195-'Сводка'!$B$11,-1)</x:f>
        <x:v>46022</x:v>
      </x:c>
      <x:c r="U195" s="4" t="n">
        <x:f>MATCH(J195,'Сводка'!$R$3:$R$397,0)</x:f>
        <x:v>206</x:v>
      </x:c>
      <x:c r="V195" s="4" t="n">
        <x:f>MATCH(J195-'Сводка'!$B$11,'Сводка'!$R$3:$R$397,0)</x:f>
        <x:v>205</x:v>
      </x:c>
      <x:c r="W195" s="4" t="n">
        <x:f>MATCH(T195,$J$388:$J$400,0)</x:f>
        <x:v>7</x:v>
      </x:c>
      <x:c r="X195" s="3"/>
      <x:c r="Y195" s="3"/>
      <x:c r="Z195" s="3"/>
    </x:row>
    <x:row r="196" ht="15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10" t="n">
        <x:v>46047</x:v>
      </x:c>
      <x:c r="K196" s="8" t="n">
        <x:f>INDEX('Сводка'!$S$3:$S$397,U196)</x:f>
        <x:v>-36</x:v>
      </x:c>
      <x:c r="L196" s="8" t="n">
        <x:f>INDEX('Сводка'!$S$3:$S$397,V196)</x:f>
        <x:v>-39</x:v>
      </x:c>
      <x:c r="M196" s="8" t="n">
        <x:f>INDEX($K$388:$N$400,W196,1)*((J196-$T$405+1)/1000)^INDEX($K$388:$N$400,W196,2)</x:f>
        <x:v>163.57468870044812</x:v>
      </x:c>
      <x:c r="N196" s="8" t="n">
        <x:f>K196-M196</x:f>
        <x:v>-199.57468870044812</x:v>
      </x:c>
      <x:c r="O196" s="8" t="n">
        <x:f>ABS(N196)</x:f>
        <x:v>199.57468870044812</x:v>
      </x:c>
      <x:c r="P196" s="8" t="n">
        <x:f>N196^2</x:f>
        <x:v>39830.056369880775</x:v>
      </x:c>
      <x:c r="Q196" s="8" t="n">
        <x:f>K196-L196</x:f>
        <x:v>3</x:v>
      </x:c>
      <x:c r="R196" s="9" t="n">
        <x:f>IF(AND(INDEX('Сводка'!$T$3:$T$397,U196)=0,INDEX('Сводка'!$T$3:$T$397,V196)=0),1,0)</x:f>
        <x:v>1</x:v>
      </x:c>
      <x:c r="S196" s="9" t="n">
        <x:f>IF(AND(R196=1,O196&lt;=$G$13),1,0)</x:f>
        <x:v>0</x:v>
      </x:c>
      <x:c r="T196" s="10" t="n">
        <x:f>EOMONTH(J196-'Сводка'!$B$11,-1)</x:f>
        <x:v>46022</x:v>
      </x:c>
      <x:c r="U196" s="4" t="n">
        <x:f>MATCH(J196,'Сводка'!$R$3:$R$397,0)</x:f>
        <x:v>207</x:v>
      </x:c>
      <x:c r="V196" s="4" t="n">
        <x:f>MATCH(J196-'Сводка'!$B$11,'Сводка'!$R$3:$R$397,0)</x:f>
        <x:v>206</x:v>
      </x:c>
      <x:c r="W196" s="4" t="n">
        <x:f>MATCH(T196,$J$388:$J$400,0)</x:f>
        <x:v>7</x:v>
      </x:c>
      <x:c r="X196" s="3"/>
      <x:c r="Y196" s="3"/>
      <x:c r="Z196" s="3"/>
    </x:row>
    <x:row r="197" ht="15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10" t="n">
        <x:v>46048</x:v>
      </x:c>
      <x:c r="K197" s="8" t="n">
        <x:f>INDEX('Сводка'!$S$3:$S$397,U197)</x:f>
        <x:v>-36</x:v>
      </x:c>
      <x:c r="L197" s="8" t="n">
        <x:f>INDEX('Сводка'!$S$3:$S$397,V197)</x:f>
        <x:v>-36</x:v>
      </x:c>
      <x:c r="M197" s="8" t="n">
        <x:f>INDEX($K$388:$N$400,W197,1)*((J197-$T$405+1)/1000)^INDEX($K$388:$N$400,W197,2)</x:f>
        <x:v>163.59607525582248</x:v>
      </x:c>
      <x:c r="N197" s="8" t="n">
        <x:f>K197-M197</x:f>
        <x:v>-199.59607525582248</x:v>
      </x:c>
      <x:c r="O197" s="8" t="n">
        <x:f>ABS(N197)</x:f>
        <x:v>199.59607525582248</x:v>
      </x:c>
      <x:c r="P197" s="8" t="n">
        <x:f>N197^2</x:f>
        <x:v>39838.59325752795</x:v>
      </x:c>
      <x:c r="Q197" s="8" t="n">
        <x:f>K197-L197</x:f>
        <x:v>0</x:v>
      </x:c>
      <x:c r="R197" s="9" t="n">
        <x:f>IF(AND(INDEX('Сводка'!$T$3:$T$397,U197)=0,INDEX('Сводка'!$T$3:$T$397,V197)=0),1,0)</x:f>
        <x:v>1</x:v>
      </x:c>
      <x:c r="S197" s="9" t="n">
        <x:f>IF(AND(R197=1,O197&lt;=$G$13),1,0)</x:f>
        <x:v>0</x:v>
      </x:c>
      <x:c r="T197" s="10" t="n">
        <x:f>EOMONTH(J197-'Сводка'!$B$11,-1)</x:f>
        <x:v>46022</x:v>
      </x:c>
      <x:c r="U197" s="4" t="n">
        <x:f>MATCH(J197,'Сводка'!$R$3:$R$397,0)</x:f>
        <x:v>208</x:v>
      </x:c>
      <x:c r="V197" s="4" t="n">
        <x:f>MATCH(J197-'Сводка'!$B$11,'Сводка'!$R$3:$R$397,0)</x:f>
        <x:v>207</x:v>
      </x:c>
      <x:c r="W197" s="4" t="n">
        <x:f>MATCH(T197,$J$388:$J$400,0)</x:f>
        <x:v>7</x:v>
      </x:c>
      <x:c r="X197" s="3"/>
      <x:c r="Y197" s="3"/>
      <x:c r="Z197" s="3"/>
    </x:row>
    <x:row r="198" ht="15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10" t="n">
        <x:v>46049</x:v>
      </x:c>
      <x:c r="K198" s="8" t="n">
        <x:f>INDEX('Сводка'!$S$3:$S$397,U198)</x:f>
        <x:v>-38</x:v>
      </x:c>
      <x:c r="L198" s="8" t="n">
        <x:f>INDEX('Сводка'!$S$3:$S$397,V198)</x:f>
        <x:v>-36</x:v>
      </x:c>
      <x:c r="M198" s="8" t="n">
        <x:f>INDEX($K$388:$N$400,W198,1)*((J198-$T$405+1)/1000)^INDEX($K$388:$N$400,W198,2)</x:f>
        <x:v>163.61746217453933</x:v>
      </x:c>
      <x:c r="N198" s="8" t="n">
        <x:f>K198-M198</x:f>
        <x:v>-201.61746217453933</x:v>
      </x:c>
      <x:c r="O198" s="8" t="n">
        <x:f>ABS(N198)</x:f>
        <x:v>201.61746217453933</x:v>
      </x:c>
      <x:c r="P198" s="8" t="n">
        <x:f>N198^2</x:f>
        <x:v>40649.601053701794</x:v>
      </x:c>
      <x:c r="Q198" s="8" t="n">
        <x:f>K198-L198</x:f>
        <x:v>-2</x:v>
      </x:c>
      <x:c r="R198" s="9" t="n">
        <x:f>IF(AND(INDEX('Сводка'!$T$3:$T$397,U198)=0,INDEX('Сводка'!$T$3:$T$397,V198)=0),1,0)</x:f>
        <x:v>1</x:v>
      </x:c>
      <x:c r="S198" s="9" t="n">
        <x:f>IF(AND(R198=1,O198&lt;=$G$13),1,0)</x:f>
        <x:v>0</x:v>
      </x:c>
      <x:c r="T198" s="10" t="n">
        <x:f>EOMONTH(J198-'Сводка'!$B$11,-1)</x:f>
        <x:v>46022</x:v>
      </x:c>
      <x:c r="U198" s="4" t="n">
        <x:f>MATCH(J198,'Сводка'!$R$3:$R$397,0)</x:f>
        <x:v>209</x:v>
      </x:c>
      <x:c r="V198" s="4" t="n">
        <x:f>MATCH(J198-'Сводка'!$B$11,'Сводка'!$R$3:$R$397,0)</x:f>
        <x:v>208</x:v>
      </x:c>
      <x:c r="W198" s="4" t="n">
        <x:f>MATCH(T198,$J$388:$J$400,0)</x:f>
        <x:v>7</x:v>
      </x:c>
      <x:c r="X198" s="3"/>
      <x:c r="Y198" s="3"/>
      <x:c r="Z198" s="3"/>
    </x:row>
    <x:row r="199" ht="15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10" t="n">
        <x:v>46050</x:v>
      </x:c>
      <x:c r="K199" s="8" t="n">
        <x:f>INDEX('Сводка'!$S$3:$S$397,U199)</x:f>
        <x:v>-33</x:v>
      </x:c>
      <x:c r="L199" s="8" t="n">
        <x:f>INDEX('Сводка'!$S$3:$S$397,V199)</x:f>
        <x:v>-38</x:v>
      </x:c>
      <x:c r="M199" s="8" t="n">
        <x:f>INDEX($K$388:$N$400,W199,1)*((J199-$T$405+1)/1000)^INDEX($K$388:$N$400,W199,2)</x:f>
        <x:v>163.63884945656355</x:v>
      </x:c>
      <x:c r="N199" s="8" t="n">
        <x:f>K199-M199</x:f>
        <x:v>-196.63884945656355</x:v>
      </x:c>
      <x:c r="O199" s="8" t="n">
        <x:f>ABS(N199)</x:f>
        <x:v>196.63884945656355</x:v>
      </x:c>
      <x:c r="P199" s="8" t="n">
        <x:f>N199^2</x:f>
        <x:v>38666.83711560106</x:v>
      </x:c>
      <x:c r="Q199" s="8" t="n">
        <x:f>K199-L199</x:f>
        <x:v>5</x:v>
      </x:c>
      <x:c r="R199" s="9" t="n">
        <x:f>IF(AND(INDEX('Сводка'!$T$3:$T$397,U199)=0,INDEX('Сводка'!$T$3:$T$397,V199)=0),1,0)</x:f>
        <x:v>1</x:v>
      </x:c>
      <x:c r="S199" s="9" t="n">
        <x:f>IF(AND(R199=1,O199&lt;=$G$13),1,0)</x:f>
        <x:v>0</x:v>
      </x:c>
      <x:c r="T199" s="10" t="n">
        <x:f>EOMONTH(J199-'Сводка'!$B$11,-1)</x:f>
        <x:v>46022</x:v>
      </x:c>
      <x:c r="U199" s="4" t="n">
        <x:f>MATCH(J199,'Сводка'!$R$3:$R$397,0)</x:f>
        <x:v>210</x:v>
      </x:c>
      <x:c r="V199" s="4" t="n">
        <x:f>MATCH(J199-'Сводка'!$B$11,'Сводка'!$R$3:$R$397,0)</x:f>
        <x:v>209</x:v>
      </x:c>
      <x:c r="W199" s="4" t="n">
        <x:f>MATCH(T199,$J$388:$J$400,0)</x:f>
        <x:v>7</x:v>
      </x:c>
      <x:c r="X199" s="3"/>
      <x:c r="Y199" s="3"/>
      <x:c r="Z199" s="3"/>
    </x:row>
    <x:row r="200" ht="15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10" t="n">
        <x:v>46051</x:v>
      </x:c>
      <x:c r="K200" s="8" t="n">
        <x:f>INDEX('Сводка'!$S$3:$S$397,U200)</x:f>
        <x:v>-33</x:v>
      </x:c>
      <x:c r="L200" s="8" t="n">
        <x:f>INDEX('Сводка'!$S$3:$S$397,V200)</x:f>
        <x:v>-33</x:v>
      </x:c>
      <x:c r="M200" s="8" t="n">
        <x:f>INDEX($K$388:$N$400,W200,1)*((J200-$T$405+1)/1000)^INDEX($K$388:$N$400,W200,2)</x:f>
        <x:v>163.66023710185988</x:v>
      </x:c>
      <x:c r="N200" s="8" t="n">
        <x:f>K200-M200</x:f>
        <x:v>-196.66023710185988</x:v>
      </x:c>
      <x:c r="O200" s="8" t="n">
        <x:f>ABS(N200)</x:f>
        <x:v>196.66023710185988</x:v>
      </x:c>
      <x:c r="P200" s="8" t="n">
        <x:f>N200^2</x:f>
        <x:v>38675.24885695974</x:v>
      </x:c>
      <x:c r="Q200" s="8" t="n">
        <x:f>K200-L200</x:f>
        <x:v>0</x:v>
      </x:c>
      <x:c r="R200" s="9" t="n">
        <x:f>IF(AND(INDEX('Сводка'!$T$3:$T$397,U200)=0,INDEX('Сводка'!$T$3:$T$397,V200)=0),1,0)</x:f>
        <x:v>1</x:v>
      </x:c>
      <x:c r="S200" s="9" t="n">
        <x:f>IF(AND(R200=1,O200&lt;=$G$13),1,0)</x:f>
        <x:v>0</x:v>
      </x:c>
      <x:c r="T200" s="10" t="n">
        <x:f>EOMONTH(J200-'Сводка'!$B$11,-1)</x:f>
        <x:v>46022</x:v>
      </x:c>
      <x:c r="U200" s="4" t="n">
        <x:f>MATCH(J200,'Сводка'!$R$3:$R$397,0)</x:f>
        <x:v>211</x:v>
      </x:c>
      <x:c r="V200" s="4" t="n">
        <x:f>MATCH(J200-'Сводка'!$B$11,'Сводка'!$R$3:$R$397,0)</x:f>
        <x:v>210</x:v>
      </x:c>
      <x:c r="W200" s="4" t="n">
        <x:f>MATCH(T200,$J$388:$J$400,0)</x:f>
        <x:v>7</x:v>
      </x:c>
      <x:c r="X200" s="3"/>
      <x:c r="Y200" s="3"/>
      <x:c r="Z200" s="3"/>
    </x:row>
    <x:row r="201" ht="15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10" t="n">
        <x:v>46052</x:v>
      </x:c>
      <x:c r="K201" s="8" t="n">
        <x:f>INDEX('Сводка'!$S$3:$S$397,U201)</x:f>
        <x:v>-36</x:v>
      </x:c>
      <x:c r="L201" s="8" t="n">
        <x:f>INDEX('Сводка'!$S$3:$S$397,V201)</x:f>
        <x:v>-33</x:v>
      </x:c>
      <x:c r="M201" s="8" t="n">
        <x:f>INDEX($K$388:$N$400,W201,1)*((J201-$T$405+1)/1000)^INDEX($K$388:$N$400,W201,2)</x:f>
        <x:v>163.68162511039327</x:v>
      </x:c>
      <x:c r="N201" s="8" t="n">
        <x:f>K201-M201</x:f>
        <x:v>-199.68162511039327</x:v>
      </x:c>
      <x:c r="O201" s="8" t="n">
        <x:f>ABS(N201)</x:f>
        <x:v>199.68162511039327</x:v>
      </x:c>
      <x:c r="P201" s="8" t="n">
        <x:f>N201^2</x:f>
        <x:v>39872.75140672764</x:v>
      </x:c>
      <x:c r="Q201" s="8" t="n">
        <x:f>K201-L201</x:f>
        <x:v>-3</x:v>
      </x:c>
      <x:c r="R201" s="9" t="n">
        <x:f>IF(AND(INDEX('Сводка'!$T$3:$T$397,U201)=0,INDEX('Сводка'!$T$3:$T$397,V201)=0),1,0)</x:f>
        <x:v>1</x:v>
      </x:c>
      <x:c r="S201" s="9" t="n">
        <x:f>IF(AND(R201=1,O201&lt;=$G$13),1,0)</x:f>
        <x:v>0</x:v>
      </x:c>
      <x:c r="T201" s="10" t="n">
        <x:f>EOMONTH(J201-'Сводка'!$B$11,-1)</x:f>
        <x:v>46022</x:v>
      </x:c>
      <x:c r="U201" s="4" t="n">
        <x:f>MATCH(J201,'Сводка'!$R$3:$R$397,0)</x:f>
        <x:v>212</x:v>
      </x:c>
      <x:c r="V201" s="4" t="n">
        <x:f>MATCH(J201-'Сводка'!$B$11,'Сводка'!$R$3:$R$397,0)</x:f>
        <x:v>211</x:v>
      </x:c>
      <x:c r="W201" s="4" t="n">
        <x:f>MATCH(T201,$J$388:$J$400,0)</x:f>
        <x:v>7</x:v>
      </x:c>
      <x:c r="X201" s="3"/>
      <x:c r="Y201" s="3"/>
      <x:c r="Z201" s="3"/>
    </x:row>
    <x:row r="202" ht="15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10" t="n">
        <x:v>46053</x:v>
      </x:c>
      <x:c r="K202" s="8" t="n">
        <x:f>INDEX('Сводка'!$S$3:$S$397,U202)</x:f>
        <x:v>-32</x:v>
      </x:c>
      <x:c r="L202" s="8" t="n">
        <x:f>INDEX('Сводка'!$S$3:$S$397,V202)</x:f>
        <x:v>-36</x:v>
      </x:c>
      <x:c r="M202" s="8" t="n">
        <x:f>INDEX($K$388:$N$400,W202,1)*((J202-$T$405+1)/1000)^INDEX($K$388:$N$400,W202,2)</x:f>
        <x:v>163.7030134821286</x:v>
      </x:c>
      <x:c r="N202" s="8" t="n">
        <x:f>K202-M202</x:f>
        <x:v>-195.7030134821286</x:v>
      </x:c>
      <x:c r="O202" s="8" t="n">
        <x:f>ABS(N202)</x:f>
        <x:v>195.7030134821286</x:v>
      </x:c>
      <x:c r="P202" s="8" t="n">
        <x:f>N202^2</x:f>
        <x:v>38299.66948598621</x:v>
      </x:c>
      <x:c r="Q202" s="8" t="n">
        <x:f>K202-L202</x:f>
        <x:v>4</x:v>
      </x:c>
      <x:c r="R202" s="9" t="n">
        <x:f>IF(AND(INDEX('Сводка'!$T$3:$T$397,U202)=0,INDEX('Сводка'!$T$3:$T$397,V202)=0),1,0)</x:f>
        <x:v>1</x:v>
      </x:c>
      <x:c r="S202" s="9" t="n">
        <x:f>IF(AND(R202=1,O202&lt;=$G$13),1,0)</x:f>
        <x:v>0</x:v>
      </x:c>
      <x:c r="T202" s="10" t="n">
        <x:f>EOMONTH(J202-'Сводка'!$B$11,-1)</x:f>
        <x:v>46022</x:v>
      </x:c>
      <x:c r="U202" s="4" t="n">
        <x:f>MATCH(J202,'Сводка'!$R$3:$R$397,0)</x:f>
        <x:v>213</x:v>
      </x:c>
      <x:c r="V202" s="4" t="n">
        <x:f>MATCH(J202-'Сводка'!$B$11,'Сводка'!$R$3:$R$397,0)</x:f>
        <x:v>212</x:v>
      </x:c>
      <x:c r="W202" s="4" t="n">
        <x:f>MATCH(T202,$J$388:$J$400,0)</x:f>
        <x:v>7</x:v>
      </x:c>
      <x:c r="X202" s="3"/>
      <x:c r="Y202" s="3"/>
      <x:c r="Z202" s="3"/>
    </x:row>
    <x:row r="203" ht="15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10" t="n">
        <x:v>46054</x:v>
      </x:c>
      <x:c r="K203" s="8" t="n">
        <x:f>INDEX('Сводка'!$S$3:$S$397,U203)</x:f>
        <x:v>-34</x:v>
      </x:c>
      <x:c r="L203" s="8" t="n">
        <x:f>INDEX('Сводка'!$S$3:$S$397,V203)</x:f>
        <x:v>-32</x:v>
      </x:c>
      <x:c r="M203" s="8" t="n">
        <x:f>INDEX($K$388:$N$400,W203,1)*((J203-$T$405+1)/1000)^INDEX($K$388:$N$400,W203,2)</x:f>
        <x:v>163.7244022170307</x:v>
      </x:c>
      <x:c r="N203" s="8" t="n">
        <x:f>K203-M203</x:f>
        <x:v>-197.7244022170307</x:v>
      </x:c>
      <x:c r="O203" s="8" t="n">
        <x:f>ABS(N203)</x:f>
        <x:v>197.7244022170307</x:v>
      </x:c>
      <x:c r="P203" s="8" t="n">
        <x:f>N203^2</x:f>
        <x:v>39094.939232082135</x:v>
      </x:c>
      <x:c r="Q203" s="8" t="n">
        <x:f>K203-L203</x:f>
        <x:v>-2</x:v>
      </x:c>
      <x:c r="R203" s="9" t="n">
        <x:f>IF(AND(INDEX('Сводка'!$T$3:$T$397,U203)=0,INDEX('Сводка'!$T$3:$T$397,V203)=0),1,0)</x:f>
        <x:v>1</x:v>
      </x:c>
      <x:c r="S203" s="9" t="n">
        <x:f>IF(AND(R203=1,O203&lt;=$G$13),1,0)</x:f>
        <x:v>0</x:v>
      </x:c>
      <x:c r="T203" s="10" t="n">
        <x:f>EOMONTH(J203-'Сводка'!$B$11,-1)</x:f>
        <x:v>46022</x:v>
      </x:c>
      <x:c r="U203" s="4" t="n">
        <x:f>MATCH(J203,'Сводка'!$R$3:$R$397,0)</x:f>
        <x:v>214</x:v>
      </x:c>
      <x:c r="V203" s="4" t="n">
        <x:f>MATCH(J203-'Сводка'!$B$11,'Сводка'!$R$3:$R$397,0)</x:f>
        <x:v>213</x:v>
      </x:c>
      <x:c r="W203" s="4" t="n">
        <x:f>MATCH(T203,$J$388:$J$400,0)</x:f>
        <x:v>7</x:v>
      </x:c>
      <x:c r="X203" s="3"/>
      <x:c r="Y203" s="3"/>
      <x:c r="Z203" s="3"/>
    </x:row>
    <x:row r="204" ht="15" customHeight="1">
      <x:c r="A204" s="3"/>
      <x:c r="B204" s="3"/>
      <x:c r="C204" s="3"/>
      <x:c r="D204" s="3"/>
      <x:c r="E204" s="3"/>
      <x:c r="F204" s="3"/>
      <x:c r="G204" s="3"/>
      <x:c r="H204" s="3"/>
      <x:c r="I204" s="3"/>
      <x:c r="J204" s="10" t="n">
        <x:v>46055</x:v>
      </x:c>
      <x:c r="K204" s="8" t="n">
        <x:f>INDEX('Сводка'!$S$3:$S$397,U204)</x:f>
        <x:v>-33</x:v>
      </x:c>
      <x:c r="L204" s="8" t="n">
        <x:f>INDEX('Сводка'!$S$3:$S$397,V204)</x:f>
        <x:v>-34</x:v>
      </x:c>
      <x:c r="M204" s="8" t="n">
        <x:f>INDEX($K$388:$N$400,W204,1)*((J204-$T$405+1)/1000)^INDEX($K$388:$N$400,W204,2)</x:f>
        <x:v>159.7400968626523</x:v>
      </x:c>
      <x:c r="N204" s="8" t="n">
        <x:f>K204-M204</x:f>
        <x:v>-192.7400968626523</x:v>
      </x:c>
      <x:c r="O204" s="8" t="n">
        <x:f>ABS(N204)</x:f>
        <x:v>192.7400968626523</x:v>
      </x:c>
      <x:c r="P204" s="8" t="n">
        <x:f>N204^2</x:f>
        <x:v>37148.74493862459</x:v>
      </x:c>
      <x:c r="Q204" s="8" t="n">
        <x:f>K204-L204</x:f>
        <x:v>1</x:v>
      </x:c>
      <x:c r="R204" s="9" t="n">
        <x:f>IF(AND(INDEX('Сводка'!$T$3:$T$397,U204)=0,INDEX('Сводка'!$T$3:$T$397,V204)=0),1,0)</x:f>
        <x:v>1</x:v>
      </x:c>
      <x:c r="S204" s="9" t="n">
        <x:f>IF(AND(R204=1,O204&lt;=$G$13),1,0)</x:f>
        <x:v>0</x:v>
      </x:c>
      <x:c r="T204" s="10" t="n">
        <x:f>EOMONTH(J204-'Сводка'!$B$11,-1)</x:f>
        <x:v>46053</x:v>
      </x:c>
      <x:c r="U204" s="4" t="n">
        <x:f>MATCH(J204,'Сводка'!$R$3:$R$397,0)</x:f>
        <x:v>215</x:v>
      </x:c>
      <x:c r="V204" s="4" t="n">
        <x:f>MATCH(J204-'Сводка'!$B$11,'Сводка'!$R$3:$R$397,0)</x:f>
        <x:v>214</x:v>
      </x:c>
      <x:c r="W204" s="4" t="n">
        <x:f>MATCH(T204,$J$388:$J$400,0)</x:f>
        <x:v>8</x:v>
      </x:c>
      <x:c r="X204" s="3"/>
      <x:c r="Y204" s="3"/>
      <x:c r="Z204" s="3"/>
    </x:row>
    <x:row r="205" ht="15" customHeight="1">
      <x:c r="A205" s="3"/>
      <x:c r="B205" s="3"/>
      <x:c r="C205" s="3"/>
      <x:c r="D205" s="3"/>
      <x:c r="E205" s="3"/>
      <x:c r="F205" s="3"/>
      <x:c r="G205" s="3"/>
      <x:c r="H205" s="3"/>
      <x:c r="I205" s="3"/>
      <x:c r="J205" s="10" t="n">
        <x:v>46056</x:v>
      </x:c>
      <x:c r="K205" s="8" t="n">
        <x:f>INDEX('Сводка'!$S$3:$S$397,U205)</x:f>
        <x:v>-36</x:v>
      </x:c>
      <x:c r="L205" s="8" t="n">
        <x:f>INDEX('Сводка'!$S$3:$S$397,V205)</x:f>
        <x:v>-33</x:v>
      </x:c>
      <x:c r="M205" s="8" t="n">
        <x:f>INDEX($K$388:$N$400,W205,1)*((J205-$T$405+1)/1000)^INDEX($K$388:$N$400,W205,2)</x:f>
        <x:v>159.76036956504694</x:v>
      </x:c>
      <x:c r="N205" s="8" t="n">
        <x:f>K205-M205</x:f>
        <x:v>-195.76036956504694</x:v>
      </x:c>
      <x:c r="O205" s="8" t="n">
        <x:f>ABS(N205)</x:f>
        <x:v>195.76036956504694</x:v>
      </x:c>
      <x:c r="P205" s="8" t="n">
        <x:f>N205^2</x:f>
        <x:v>38322.12229224376</x:v>
      </x:c>
      <x:c r="Q205" s="8" t="n">
        <x:f>K205-L205</x:f>
        <x:v>-3</x:v>
      </x:c>
      <x:c r="R205" s="9" t="n">
        <x:f>IF(AND(INDEX('Сводка'!$T$3:$T$397,U205)=0,INDEX('Сводка'!$T$3:$T$397,V205)=0),1,0)</x:f>
        <x:v>1</x:v>
      </x:c>
      <x:c r="S205" s="9" t="n">
        <x:f>IF(AND(R205=1,O205&lt;=$G$13),1,0)</x:f>
        <x:v>0</x:v>
      </x:c>
      <x:c r="T205" s="10" t="n">
        <x:f>EOMONTH(J205-'Сводка'!$B$11,-1)</x:f>
        <x:v>46053</x:v>
      </x:c>
      <x:c r="U205" s="4" t="n">
        <x:f>MATCH(J205,'Сводка'!$R$3:$R$397,0)</x:f>
        <x:v>216</x:v>
      </x:c>
      <x:c r="V205" s="4" t="n">
        <x:f>MATCH(J205-'Сводка'!$B$11,'Сводка'!$R$3:$R$397,0)</x:f>
        <x:v>215</x:v>
      </x:c>
      <x:c r="W205" s="4" t="n">
        <x:f>MATCH(T205,$J$388:$J$400,0)</x:f>
        <x:v>8</x:v>
      </x:c>
      <x:c r="X205" s="3"/>
      <x:c r="Y205" s="3"/>
      <x:c r="Z205" s="3"/>
    </x:row>
    <x:row r="206" ht="15" customHeight="1">
      <x:c r="A206" s="3"/>
      <x:c r="B206" s="3"/>
      <x:c r="C206" s="3"/>
      <x:c r="D206" s="3"/>
      <x:c r="E206" s="3"/>
      <x:c r="F206" s="3"/>
      <x:c r="G206" s="3"/>
      <x:c r="H206" s="3"/>
      <x:c r="I206" s="3"/>
      <x:c r="J206" s="10" t="n">
        <x:v>46057</x:v>
      </x:c>
      <x:c r="K206" s="8" t="n">
        <x:f>INDEX('Сводка'!$S$3:$S$397,U206)</x:f>
        <x:v>-34</x:v>
      </x:c>
      <x:c r="L206" s="8" t="n">
        <x:f>INDEX('Сводка'!$S$3:$S$397,V206)</x:f>
        <x:v>-36</x:v>
      </x:c>
      <x:c r="M206" s="8" t="n">
        <x:f>INDEX($K$388:$N$400,W206,1)*((J206-$T$405+1)/1000)^INDEX($K$388:$N$400,W206,2)</x:f>
        <x:v>159.7806425362374</x:v>
      </x:c>
      <x:c r="N206" s="8" t="n">
        <x:f>K206-M206</x:f>
        <x:v>-193.7806425362374</x:v>
      </x:c>
      <x:c r="O206" s="8" t="n">
        <x:f>ABS(N206)</x:f>
        <x:v>193.7806425362374</x:v>
      </x:c>
      <x:c r="P206" s="8" t="n">
        <x:f>N206^2</x:f>
        <x:v>37550.937421757015</x:v>
      </x:c>
      <x:c r="Q206" s="8" t="n">
        <x:f>K206-L206</x:f>
        <x:v>2</x:v>
      </x:c>
      <x:c r="R206" s="9" t="n">
        <x:f>IF(AND(INDEX('Сводка'!$T$3:$T$397,U206)=0,INDEX('Сводка'!$T$3:$T$397,V206)=0),1,0)</x:f>
        <x:v>1</x:v>
      </x:c>
      <x:c r="S206" s="9" t="n">
        <x:f>IF(AND(R206=1,O206&lt;=$G$13),1,0)</x:f>
        <x:v>0</x:v>
      </x:c>
      <x:c r="T206" s="10" t="n">
        <x:f>EOMONTH(J206-'Сводка'!$B$11,-1)</x:f>
        <x:v>46053</x:v>
      </x:c>
      <x:c r="U206" s="4" t="n">
        <x:f>MATCH(J206,'Сводка'!$R$3:$R$397,0)</x:f>
        <x:v>217</x:v>
      </x:c>
      <x:c r="V206" s="4" t="n">
        <x:f>MATCH(J206-'Сводка'!$B$11,'Сводка'!$R$3:$R$397,0)</x:f>
        <x:v>216</x:v>
      </x:c>
      <x:c r="W206" s="4" t="n">
        <x:f>MATCH(T206,$J$388:$J$400,0)</x:f>
        <x:v>8</x:v>
      </x:c>
      <x:c r="X206" s="3"/>
      <x:c r="Y206" s="3"/>
      <x:c r="Z206" s="3"/>
    </x:row>
    <x:row r="207" ht="15" customHeight="1">
      <x:c r="A207" s="3"/>
      <x:c r="B207" s="3"/>
      <x:c r="C207" s="3"/>
      <x:c r="D207" s="3"/>
      <x:c r="E207" s="3"/>
      <x:c r="F207" s="3"/>
      <x:c r="G207" s="3"/>
      <x:c r="H207" s="3"/>
      <x:c r="I207" s="3"/>
      <x:c r="J207" s="10" t="n">
        <x:v>46058</x:v>
      </x:c>
      <x:c r="K207" s="8" t="n">
        <x:f>INDEX('Сводка'!$S$3:$S$397,U207)</x:f>
        <x:v>-35</x:v>
      </x:c>
      <x:c r="L207" s="8" t="n">
        <x:f>INDEX('Сводка'!$S$3:$S$397,V207)</x:f>
        <x:v>-34</x:v>
      </x:c>
      <x:c r="M207" s="8" t="n">
        <x:f>INDEX($K$388:$N$400,W207,1)*((J207-$T$405+1)/1000)^INDEX($K$388:$N$400,W207,2)</x:f>
        <x:v>159.80091577619672</x:v>
      </x:c>
      <x:c r="N207" s="8" t="n">
        <x:f>K207-M207</x:f>
        <x:v>-194.80091577619672</x:v>
      </x:c>
      <x:c r="O207" s="8" t="n">
        <x:f>ABS(N207)</x:f>
        <x:v>194.80091577619672</x:v>
      </x:c>
      <x:c r="P207" s="8" t="n">
        <x:f>N207^2</x:f>
        <x:v>37947.396787244885</x:v>
      </x:c>
      <x:c r="Q207" s="8" t="n">
        <x:f>K207-L207</x:f>
        <x:v>-1</x:v>
      </x:c>
      <x:c r="R207" s="9" t="n">
        <x:f>IF(AND(INDEX('Сводка'!$T$3:$T$397,U207)=0,INDEX('Сводка'!$T$3:$T$397,V207)=0),1,0)</x:f>
        <x:v>1</x:v>
      </x:c>
      <x:c r="S207" s="9" t="n">
        <x:f>IF(AND(R207=1,O207&lt;=$G$13),1,0)</x:f>
        <x:v>0</x:v>
      </x:c>
      <x:c r="T207" s="10" t="n">
        <x:f>EOMONTH(J207-'Сводка'!$B$11,-1)</x:f>
        <x:v>46053</x:v>
      </x:c>
      <x:c r="U207" s="4" t="n">
        <x:f>MATCH(J207,'Сводка'!$R$3:$R$397,0)</x:f>
        <x:v>218</x:v>
      </x:c>
      <x:c r="V207" s="4" t="n">
        <x:f>MATCH(J207-'Сводка'!$B$11,'Сводка'!$R$3:$R$397,0)</x:f>
        <x:v>217</x:v>
      </x:c>
      <x:c r="W207" s="4" t="n">
        <x:f>MATCH(T207,$J$388:$J$400,0)</x:f>
        <x:v>8</x:v>
      </x:c>
      <x:c r="X207" s="3"/>
      <x:c r="Y207" s="3"/>
      <x:c r="Z207" s="3"/>
    </x:row>
    <x:row r="208" ht="15" customHeight="1">
      <x:c r="A208" s="3"/>
      <x:c r="B208" s="3"/>
      <x:c r="C208" s="3"/>
      <x:c r="D208" s="3"/>
      <x:c r="E208" s="3"/>
      <x:c r="F208" s="3"/>
      <x:c r="G208" s="3"/>
      <x:c r="H208" s="3"/>
      <x:c r="I208" s="3"/>
      <x:c r="J208" s="10" t="n">
        <x:v>46059</x:v>
      </x:c>
      <x:c r="K208" s="8" t="n">
        <x:f>INDEX('Сводка'!$S$3:$S$397,U208)</x:f>
        <x:v>-38</x:v>
      </x:c>
      <x:c r="L208" s="8" t="n">
        <x:f>INDEX('Сводка'!$S$3:$S$397,V208)</x:f>
        <x:v>-35</x:v>
      </x:c>
      <x:c r="M208" s="8" t="n">
        <x:f>INDEX($K$388:$N$400,W208,1)*((J208-$T$405+1)/1000)^INDEX($K$388:$N$400,W208,2)</x:f>
        <x:v>159.82118928489797</x:v>
      </x:c>
      <x:c r="N208" s="8" t="n">
        <x:f>K208-M208</x:f>
        <x:v>-197.82118928489797</x:v>
      </x:c>
      <x:c r="O208" s="8" t="n">
        <x:f>ABS(N208)</x:f>
        <x:v>197.82118928489797</x:v>
      </x:c>
      <x:c r="P208" s="8" t="n">
        <x:f>N208^2</x:f>
        <x:v>39133.22293009143</x:v>
      </x:c>
      <x:c r="Q208" s="8" t="n">
        <x:f>K208-L208</x:f>
        <x:v>-3</x:v>
      </x:c>
      <x:c r="R208" s="9" t="n">
        <x:f>IF(AND(INDEX('Сводка'!$T$3:$T$397,U208)=0,INDEX('Сводка'!$T$3:$T$397,V208)=0),1,0)</x:f>
        <x:v>1</x:v>
      </x:c>
      <x:c r="S208" s="9" t="n">
        <x:f>IF(AND(R208=1,O208&lt;=$G$13),1,0)</x:f>
        <x:v>0</x:v>
      </x:c>
      <x:c r="T208" s="10" t="n">
        <x:f>EOMONTH(J208-'Сводка'!$B$11,-1)</x:f>
        <x:v>46053</x:v>
      </x:c>
      <x:c r="U208" s="4" t="n">
        <x:f>MATCH(J208,'Сводка'!$R$3:$R$397,0)</x:f>
        <x:v>219</x:v>
      </x:c>
      <x:c r="V208" s="4" t="n">
        <x:f>MATCH(J208-'Сводка'!$B$11,'Сводка'!$R$3:$R$397,0)</x:f>
        <x:v>218</x:v>
      </x:c>
      <x:c r="W208" s="4" t="n">
        <x:f>MATCH(T208,$J$388:$J$400,0)</x:f>
        <x:v>8</x:v>
      </x:c>
      <x:c r="X208" s="3"/>
      <x:c r="Y208" s="3"/>
      <x:c r="Z208" s="3"/>
    </x:row>
    <x:row r="209" ht="15" customHeight="1">
      <x:c r="A209" s="3"/>
      <x:c r="B209" s="3"/>
      <x:c r="C209" s="3"/>
      <x:c r="D209" s="3"/>
      <x:c r="E209" s="3"/>
      <x:c r="F209" s="3"/>
      <x:c r="G209" s="3"/>
      <x:c r="H209" s="3"/>
      <x:c r="I209" s="3"/>
      <x:c r="J209" s="10" t="n">
        <x:v>46060</x:v>
      </x:c>
      <x:c r="K209" s="8" t="n">
        <x:f>INDEX('Сводка'!$S$3:$S$397,U209)</x:f>
        <x:v>-41</x:v>
      </x:c>
      <x:c r="L209" s="8" t="n">
        <x:f>INDEX('Сводка'!$S$3:$S$397,V209)</x:f>
        <x:v>-38</x:v>
      </x:c>
      <x:c r="M209" s="8" t="n">
        <x:f>INDEX($K$388:$N$400,W209,1)*((J209-$T$405+1)/1000)^INDEX($K$388:$N$400,W209,2)</x:f>
        <x:v>159.84146306231412</x:v>
      </x:c>
      <x:c r="N209" s="8" t="n">
        <x:f>K209-M209</x:f>
        <x:v>-200.84146306231412</x:v>
      </x:c>
      <x:c r="O209" s="8" t="n">
        <x:f>ABS(N209)</x:f>
        <x:v>200.84146306231412</x:v>
      </x:c>
      <x:c r="P209" s="8" t="n">
        <x:f>N209^2</x:f>
        <x:v>40337.293285010885</x:v>
      </x:c>
      <x:c r="Q209" s="8" t="n">
        <x:f>K209-L209</x:f>
        <x:v>-3</x:v>
      </x:c>
      <x:c r="R209" s="9" t="n">
        <x:f>IF(AND(INDEX('Сводка'!$T$3:$T$397,U209)=0,INDEX('Сводка'!$T$3:$T$397,V209)=0),1,0)</x:f>
        <x:v>1</x:v>
      </x:c>
      <x:c r="S209" s="9" t="n">
        <x:f>IF(AND(R209=1,O209&lt;=$G$13),1,0)</x:f>
        <x:v>0</x:v>
      </x:c>
      <x:c r="T209" s="10" t="n">
        <x:f>EOMONTH(J209-'Сводка'!$B$11,-1)</x:f>
        <x:v>46053</x:v>
      </x:c>
      <x:c r="U209" s="4" t="n">
        <x:f>MATCH(J209,'Сводка'!$R$3:$R$397,0)</x:f>
        <x:v>220</x:v>
      </x:c>
      <x:c r="V209" s="4" t="n">
        <x:f>MATCH(J209-'Сводка'!$B$11,'Сводка'!$R$3:$R$397,0)</x:f>
        <x:v>219</x:v>
      </x:c>
      <x:c r="W209" s="4" t="n">
        <x:f>MATCH(T209,$J$388:$J$400,0)</x:f>
        <x:v>8</x:v>
      </x:c>
      <x:c r="X209" s="3"/>
      <x:c r="Y209" s="3"/>
      <x:c r="Z209" s="3"/>
    </x:row>
    <x:row r="210" ht="15" customHeight="1">
      <x:c r="A210" s="3"/>
      <x:c r="B210" s="3"/>
      <x:c r="C210" s="3"/>
      <x:c r="D210" s="3"/>
      <x:c r="E210" s="3"/>
      <x:c r="F210" s="3"/>
      <x:c r="G210" s="3"/>
      <x:c r="H210" s="3"/>
      <x:c r="I210" s="3"/>
      <x:c r="J210" s="10" t="n">
        <x:v>46061</x:v>
      </x:c>
      <x:c r="K210" s="8" t="n">
        <x:f>INDEX('Сводка'!$S$3:$S$397,U210)</x:f>
        <x:v>-43</x:v>
      </x:c>
      <x:c r="L210" s="8" t="n">
        <x:f>INDEX('Сводка'!$S$3:$S$397,V210)</x:f>
        <x:v>-41</x:v>
      </x:c>
      <x:c r="M210" s="8" t="n">
        <x:f>INDEX($K$388:$N$400,W210,1)*((J210-$T$405+1)/1000)^INDEX($K$388:$N$400,W210,2)</x:f>
        <x:v>159.8617371084182</x:v>
      </x:c>
      <x:c r="N210" s="8" t="n">
        <x:f>K210-M210</x:f>
        <x:v>-202.8617371084182</x:v>
      </x:c>
      <x:c r="O210" s="8" t="n">
        <x:f>ABS(N210)</x:f>
        <x:v>202.8617371084182</x:v>
      </x:c>
      <x:c r="P210" s="8" t="n">
        <x:f>N210^2</x:f>
        <x:v>41152.884382644974</x:v>
      </x:c>
      <x:c r="Q210" s="8" t="n">
        <x:f>K210-L210</x:f>
        <x:v>-2</x:v>
      </x:c>
      <x:c r="R210" s="9" t="n">
        <x:f>IF(AND(INDEX('Сводка'!$T$3:$T$397,U210)=0,INDEX('Сводка'!$T$3:$T$397,V210)=0),1,0)</x:f>
        <x:v>1</x:v>
      </x:c>
      <x:c r="S210" s="9" t="n">
        <x:f>IF(AND(R210=1,O210&lt;=$G$13),1,0)</x:f>
        <x:v>0</x:v>
      </x:c>
      <x:c r="T210" s="10" t="n">
        <x:f>EOMONTH(J210-'Сводка'!$B$11,-1)</x:f>
        <x:v>46053</x:v>
      </x:c>
      <x:c r="U210" s="4" t="n">
        <x:f>MATCH(J210,'Сводка'!$R$3:$R$397,0)</x:f>
        <x:v>221</x:v>
      </x:c>
      <x:c r="V210" s="4" t="n">
        <x:f>MATCH(J210-'Сводка'!$B$11,'Сводка'!$R$3:$R$397,0)</x:f>
        <x:v>220</x:v>
      </x:c>
      <x:c r="W210" s="4" t="n">
        <x:f>MATCH(T210,$J$388:$J$400,0)</x:f>
        <x:v>8</x:v>
      </x:c>
      <x:c r="X210" s="3"/>
      <x:c r="Y210" s="3"/>
      <x:c r="Z210" s="3"/>
    </x:row>
    <x:row r="211" ht="15" customHeight="1">
      <x:c r="A211" s="3"/>
      <x:c r="B211" s="3"/>
      <x:c r="C211" s="3"/>
      <x:c r="D211" s="3"/>
      <x:c r="E211" s="3"/>
      <x:c r="F211" s="3"/>
      <x:c r="G211" s="3"/>
      <x:c r="H211" s="3"/>
      <x:c r="I211" s="3"/>
      <x:c r="J211" s="10" t="n">
        <x:v>46062</x:v>
      </x:c>
      <x:c r="K211" s="8" t="n">
        <x:f>INDEX('Сводка'!$S$3:$S$397,U211)</x:f>
        <x:v>-43</x:v>
      </x:c>
      <x:c r="L211" s="8" t="n">
        <x:f>INDEX('Сводка'!$S$3:$S$397,V211)</x:f>
        <x:v>-43</x:v>
      </x:c>
      <x:c r="M211" s="8" t="n">
        <x:f>INDEX($K$388:$N$400,W211,1)*((J211-$T$405+1)/1000)^INDEX($K$388:$N$400,W211,2)</x:f>
        <x:v>159.88201142318331</x:v>
      </x:c>
      <x:c r="N211" s="8" t="n">
        <x:f>K211-M211</x:f>
        <x:v>-202.88201142318331</x:v>
      </x:c>
      <x:c r="O211" s="8" t="n">
        <x:f>ABS(N211)</x:f>
        <x:v>202.88201142318331</x:v>
      </x:c>
      <x:c r="P211" s="8" t="n">
        <x:f>N211^2</x:f>
        <x:v>41161.110559116685</x:v>
      </x:c>
      <x:c r="Q211" s="8" t="n">
        <x:f>K211-L211</x:f>
        <x:v>0</x:v>
      </x:c>
      <x:c r="R211" s="9" t="n">
        <x:f>IF(AND(INDEX('Сводка'!$T$3:$T$397,U211)=0,INDEX('Сводка'!$T$3:$T$397,V211)=0),1,0)</x:f>
        <x:v>1</x:v>
      </x:c>
      <x:c r="S211" s="9" t="n">
        <x:f>IF(AND(R211=1,O211&lt;=$G$13),1,0)</x:f>
        <x:v>0</x:v>
      </x:c>
      <x:c r="T211" s="10" t="n">
        <x:f>EOMONTH(J211-'Сводка'!$B$11,-1)</x:f>
        <x:v>46053</x:v>
      </x:c>
      <x:c r="U211" s="4" t="n">
        <x:f>MATCH(J211,'Сводка'!$R$3:$R$397,0)</x:f>
        <x:v>222</x:v>
      </x:c>
      <x:c r="V211" s="4" t="n">
        <x:f>MATCH(J211-'Сводка'!$B$11,'Сводка'!$R$3:$R$397,0)</x:f>
        <x:v>221</x:v>
      </x:c>
      <x:c r="W211" s="4" t="n">
        <x:f>MATCH(T211,$J$388:$J$400,0)</x:f>
        <x:v>8</x:v>
      </x:c>
      <x:c r="X211" s="3"/>
      <x:c r="Y211" s="3"/>
      <x:c r="Z211" s="3"/>
    </x:row>
    <x:row r="212" ht="15" customHeight="1">
      <x:c r="A212" s="3"/>
      <x:c r="B212" s="3"/>
      <x:c r="C212" s="3"/>
      <x:c r="D212" s="3"/>
      <x:c r="E212" s="3"/>
      <x:c r="F212" s="3"/>
      <x:c r="G212" s="3"/>
      <x:c r="H212" s="3"/>
      <x:c r="I212" s="3"/>
      <x:c r="J212" s="10" t="n">
        <x:v>46063</x:v>
      </x:c>
      <x:c r="K212" s="8" t="n">
        <x:f>INDEX('Сводка'!$S$3:$S$397,U212)</x:f>
        <x:v>-44</x:v>
      </x:c>
      <x:c r="L212" s="8" t="n">
        <x:f>INDEX('Сводка'!$S$3:$S$397,V212)</x:f>
        <x:v>-43</x:v>
      </x:c>
      <x:c r="M212" s="8" t="n">
        <x:f>INDEX($K$388:$N$400,W212,1)*((J212-$T$405+1)/1000)^INDEX($K$388:$N$400,W212,2)</x:f>
        <x:v>159.90228600658253</x:v>
      </x:c>
      <x:c r="N212" s="8" t="n">
        <x:f>K212-M212</x:f>
        <x:v>-203.90228600658253</x:v>
      </x:c>
      <x:c r="O212" s="8" t="n">
        <x:f>ABS(N212)</x:f>
        <x:v>203.90228600658253</x:v>
      </x:c>
      <x:c r="P212" s="8" t="n">
        <x:f>N212^2</x:f>
        <x:v>41576.142238710185</x:v>
      </x:c>
      <x:c r="Q212" s="8" t="n">
        <x:f>K212-L212</x:f>
        <x:v>-1</x:v>
      </x:c>
      <x:c r="R212" s="9" t="n">
        <x:f>IF(AND(INDEX('Сводка'!$T$3:$T$397,U212)=0,INDEX('Сводка'!$T$3:$T$397,V212)=0),1,0)</x:f>
        <x:v>1</x:v>
      </x:c>
      <x:c r="S212" s="9" t="n">
        <x:f>IF(AND(R212=1,O212&lt;=$G$13),1,0)</x:f>
        <x:v>0</x:v>
      </x:c>
      <x:c r="T212" s="10" t="n">
        <x:f>EOMONTH(J212-'Сводка'!$B$11,-1)</x:f>
        <x:v>46053</x:v>
      </x:c>
      <x:c r="U212" s="4" t="n">
        <x:f>MATCH(J212,'Сводка'!$R$3:$R$397,0)</x:f>
        <x:v>223</x:v>
      </x:c>
      <x:c r="V212" s="4" t="n">
        <x:f>MATCH(J212-'Сводка'!$B$11,'Сводка'!$R$3:$R$397,0)</x:f>
        <x:v>222</x:v>
      </x:c>
      <x:c r="W212" s="4" t="n">
        <x:f>MATCH(T212,$J$388:$J$400,0)</x:f>
        <x:v>8</x:v>
      </x:c>
      <x:c r="X212" s="3"/>
      <x:c r="Y212" s="3"/>
      <x:c r="Z212" s="3"/>
    </x:row>
    <x:row r="213" ht="15" customHeight="1">
      <x:c r="A213" s="3"/>
      <x:c r="B213" s="3"/>
      <x:c r="C213" s="3"/>
      <x:c r="D213" s="3"/>
      <x:c r="E213" s="3"/>
      <x:c r="F213" s="3"/>
      <x:c r="G213" s="3"/>
      <x:c r="H213" s="3"/>
      <x:c r="I213" s="3"/>
      <x:c r="J213" s="10" t="n">
        <x:v>46064</x:v>
      </x:c>
      <x:c r="K213" s="8" t="n">
        <x:f>INDEX('Сводка'!$S$3:$S$397,U213)</x:f>
        <x:v>-44</x:v>
      </x:c>
      <x:c r="L213" s="8" t="n">
        <x:f>INDEX('Сводка'!$S$3:$S$397,V213)</x:f>
        <x:v>-44</x:v>
      </x:c>
      <x:c r="M213" s="8" t="n">
        <x:f>INDEX($K$388:$N$400,W213,1)*((J213-$T$405+1)/1000)^INDEX($K$388:$N$400,W213,2)</x:f>
        <x:v>159.92256085858884</x:v>
      </x:c>
      <x:c r="N213" s="8" t="n">
        <x:f>K213-M213</x:f>
        <x:v>-203.92256085858884</x:v>
      </x:c>
      <x:c r="O213" s="8" t="n">
        <x:f>ABS(N213)</x:f>
        <x:v>203.92256085858884</x:v>
      </x:c>
      <x:c r="P213" s="8" t="n">
        <x:f>N213^2</x:f>
        <x:v>41584.41082712487</x:v>
      </x:c>
      <x:c r="Q213" s="8" t="n">
        <x:f>K213-L213</x:f>
        <x:v>0</x:v>
      </x:c>
      <x:c r="R213" s="9" t="n">
        <x:f>IF(AND(INDEX('Сводка'!$T$3:$T$397,U213)=0,INDEX('Сводка'!$T$3:$T$397,V213)=0),1,0)</x:f>
        <x:v>1</x:v>
      </x:c>
      <x:c r="S213" s="9" t="n">
        <x:f>IF(AND(R213=1,O213&lt;=$G$13),1,0)</x:f>
        <x:v>0</x:v>
      </x:c>
      <x:c r="T213" s="10" t="n">
        <x:f>EOMONTH(J213-'Сводка'!$B$11,-1)</x:f>
        <x:v>46053</x:v>
      </x:c>
      <x:c r="U213" s="4" t="n">
        <x:f>MATCH(J213,'Сводка'!$R$3:$R$397,0)</x:f>
        <x:v>224</x:v>
      </x:c>
      <x:c r="V213" s="4" t="n">
        <x:f>MATCH(J213-'Сводка'!$B$11,'Сводка'!$R$3:$R$397,0)</x:f>
        <x:v>223</x:v>
      </x:c>
      <x:c r="W213" s="4" t="n">
        <x:f>MATCH(T213,$J$388:$J$400,0)</x:f>
        <x:v>8</x:v>
      </x:c>
      <x:c r="X213" s="3"/>
      <x:c r="Y213" s="3"/>
      <x:c r="Z213" s="3"/>
    </x:row>
    <x:row r="214" ht="15" customHeight="1">
      <x:c r="A214" s="3"/>
      <x:c r="B214" s="3"/>
      <x:c r="C214" s="3"/>
      <x:c r="D214" s="3"/>
      <x:c r="E214" s="3"/>
      <x:c r="F214" s="3"/>
      <x:c r="G214" s="3"/>
      <x:c r="H214" s="3"/>
      <x:c r="I214" s="3"/>
      <x:c r="J214" s="10" t="n">
        <x:v>46065</x:v>
      </x:c>
      <x:c r="K214" s="8" t="n">
        <x:f>INDEX('Сводка'!$S$3:$S$397,U214)</x:f>
        <x:v>-44</x:v>
      </x:c>
      <x:c r="L214" s="8" t="n">
        <x:f>INDEX('Сводка'!$S$3:$S$397,V214)</x:f>
        <x:v>-44</x:v>
      </x:c>
      <x:c r="M214" s="8" t="n">
        <x:f>INDEX($K$388:$N$400,W214,1)*((J214-$T$405+1)/1000)^INDEX($K$388:$N$400,W214,2)</x:f>
        <x:v>159.94283597917533</x:v>
      </x:c>
      <x:c r="N214" s="8" t="n">
        <x:f>K214-M214</x:f>
        <x:v>-203.94283597917533</x:v>
      </x:c>
      <x:c r="O214" s="8" t="n">
        <x:f>ABS(N214)</x:f>
        <x:v>203.94283597917533</x:v>
      </x:c>
      <x:c r="P214" s="8" t="n">
        <x:f>N214^2</x:f>
        <x:v>41592.68034722881</x:v>
      </x:c>
      <x:c r="Q214" s="8" t="n">
        <x:f>K214-L214</x:f>
        <x:v>0</x:v>
      </x:c>
      <x:c r="R214" s="9" t="n">
        <x:f>IF(AND(INDEX('Сводка'!$T$3:$T$397,U214)=0,INDEX('Сводка'!$T$3:$T$397,V214)=0),1,0)</x:f>
        <x:v>1</x:v>
      </x:c>
      <x:c r="S214" s="9" t="n">
        <x:f>IF(AND(R214=1,O214&lt;=$G$13),1,0)</x:f>
        <x:v>0</x:v>
      </x:c>
      <x:c r="T214" s="10" t="n">
        <x:f>EOMONTH(J214-'Сводка'!$B$11,-1)</x:f>
        <x:v>46053</x:v>
      </x:c>
      <x:c r="U214" s="4" t="n">
        <x:f>MATCH(J214,'Сводка'!$R$3:$R$397,0)</x:f>
        <x:v>225</x:v>
      </x:c>
      <x:c r="V214" s="4" t="n">
        <x:f>MATCH(J214-'Сводка'!$B$11,'Сводка'!$R$3:$R$397,0)</x:f>
        <x:v>224</x:v>
      </x:c>
      <x:c r="W214" s="4" t="n">
        <x:f>MATCH(T214,$J$388:$J$400,0)</x:f>
        <x:v>8</x:v>
      </x:c>
      <x:c r="X214" s="3"/>
      <x:c r="Y214" s="3"/>
      <x:c r="Z214" s="3"/>
    </x:row>
    <x:row r="215" ht="15" customHeight="1">
      <x:c r="A215" s="3"/>
      <x:c r="B215" s="3"/>
      <x:c r="C215" s="3"/>
      <x:c r="D215" s="3"/>
      <x:c r="E215" s="3"/>
      <x:c r="F215" s="3"/>
      <x:c r="G215" s="3"/>
      <x:c r="H215" s="3"/>
      <x:c r="I215" s="3"/>
      <x:c r="J215" s="10" t="n">
        <x:v>46066</x:v>
      </x:c>
      <x:c r="K215" s="8" t="n">
        <x:f>INDEX('Сводка'!$S$3:$S$397,U215)</x:f>
        <x:v>-41</x:v>
      </x:c>
      <x:c r="L215" s="8" t="n">
        <x:f>INDEX('Сводка'!$S$3:$S$397,V215)</x:f>
        <x:v>-44</x:v>
      </x:c>
      <x:c r="M215" s="8" t="n">
        <x:f>INDEX($K$388:$N$400,W215,1)*((J215-$T$405+1)/1000)^INDEX($K$388:$N$400,W215,2)</x:f>
        <x:v>159.96311136831505</x:v>
      </x:c>
      <x:c r="N215" s="8" t="n">
        <x:f>K215-M215</x:f>
        <x:v>-200.96311136831505</x:v>
      </x:c>
      <x:c r="O215" s="8" t="n">
        <x:f>ABS(N215)</x:f>
        <x:v>200.96311136831505</x:v>
      </x:c>
      <x:c r="P215" s="8" t="n">
        <x:f>N215^2</x:f>
        <x:v>40386.1721308338</x:v>
      </x:c>
      <x:c r="Q215" s="8" t="n">
        <x:f>K215-L215</x:f>
        <x:v>3</x:v>
      </x:c>
      <x:c r="R215" s="9" t="n">
        <x:f>IF(AND(INDEX('Сводка'!$T$3:$T$397,U215)=0,INDEX('Сводка'!$T$3:$T$397,V215)=0),1,0)</x:f>
        <x:v>1</x:v>
      </x:c>
      <x:c r="S215" s="9" t="n">
        <x:f>IF(AND(R215=1,O215&lt;=$G$13),1,0)</x:f>
        <x:v>0</x:v>
      </x:c>
      <x:c r="T215" s="10" t="n">
        <x:f>EOMONTH(J215-'Сводка'!$B$11,-1)</x:f>
        <x:v>46053</x:v>
      </x:c>
      <x:c r="U215" s="4" t="n">
        <x:f>MATCH(J215,'Сводка'!$R$3:$R$397,0)</x:f>
        <x:v>226</x:v>
      </x:c>
      <x:c r="V215" s="4" t="n">
        <x:f>MATCH(J215-'Сводка'!$B$11,'Сводка'!$R$3:$R$397,0)</x:f>
        <x:v>225</x:v>
      </x:c>
      <x:c r="W215" s="4" t="n">
        <x:f>MATCH(T215,$J$388:$J$400,0)</x:f>
        <x:v>8</x:v>
      </x:c>
      <x:c r="X215" s="3"/>
      <x:c r="Y215" s="3"/>
      <x:c r="Z215" s="3"/>
    </x:row>
    <x:row r="216" ht="15" customHeight="1">
      <x:c r="A216" s="3"/>
      <x:c r="B216" s="3"/>
      <x:c r="C216" s="3"/>
      <x:c r="D216" s="3"/>
      <x:c r="E216" s="3"/>
      <x:c r="F216" s="3"/>
      <x:c r="G216" s="3"/>
      <x:c r="H216" s="3"/>
      <x:c r="I216" s="3"/>
      <x:c r="J216" s="10" t="n">
        <x:v>46067</x:v>
      </x:c>
      <x:c r="K216" s="8" t="n">
        <x:f>INDEX('Сводка'!$S$3:$S$397,U216)</x:f>
        <x:v>-39</x:v>
      </x:c>
      <x:c r="L216" s="8" t="n">
        <x:f>INDEX('Сводка'!$S$3:$S$397,V216)</x:f>
        <x:v>-41</x:v>
      </x:c>
      <x:c r="M216" s="8" t="n">
        <x:f>INDEX($K$388:$N$400,W216,1)*((J216-$T$405+1)/1000)^INDEX($K$388:$N$400,W216,2)</x:f>
        <x:v>159.9833870259811</x:v>
      </x:c>
      <x:c r="N216" s="8" t="n">
        <x:f>K216-M216</x:f>
        <x:v>-198.9833870259811</x:v>
      </x:c>
      <x:c r="O216" s="8" t="n">
        <x:f>ABS(N216)</x:f>
        <x:v>198.9833870259811</x:v>
      </x:c>
      <x:c r="P216" s="8" t="n">
        <x:f>N216^2</x:f>
        <x:v>39594.388312331386</x:v>
      </x:c>
      <x:c r="Q216" s="8" t="n">
        <x:f>K216-L216</x:f>
        <x:v>2</x:v>
      </x:c>
      <x:c r="R216" s="9" t="n">
        <x:f>IF(AND(INDEX('Сводка'!$T$3:$T$397,U216)=0,INDEX('Сводка'!$T$3:$T$397,V216)=0),1,0)</x:f>
        <x:v>1</x:v>
      </x:c>
      <x:c r="S216" s="9" t="n">
        <x:f>IF(AND(R216=1,O216&lt;=$G$13),1,0)</x:f>
        <x:v>0</x:v>
      </x:c>
      <x:c r="T216" s="10" t="n">
        <x:f>EOMONTH(J216-'Сводка'!$B$11,-1)</x:f>
        <x:v>46053</x:v>
      </x:c>
      <x:c r="U216" s="4" t="n">
        <x:f>MATCH(J216,'Сводка'!$R$3:$R$397,0)</x:f>
        <x:v>227</x:v>
      </x:c>
      <x:c r="V216" s="4" t="n">
        <x:f>MATCH(J216-'Сводка'!$B$11,'Сводка'!$R$3:$R$397,0)</x:f>
        <x:v>226</x:v>
      </x:c>
      <x:c r="W216" s="4" t="n">
        <x:f>MATCH(T216,$J$388:$J$400,0)</x:f>
        <x:v>8</x:v>
      </x:c>
      <x:c r="X216" s="3"/>
      <x:c r="Y216" s="3"/>
      <x:c r="Z216" s="3"/>
    </x:row>
    <x:row r="217" ht="15" customHeight="1">
      <x:c r="A217" s="3"/>
      <x:c r="B217" s="3"/>
      <x:c r="C217" s="3"/>
      <x:c r="D217" s="3"/>
      <x:c r="E217" s="3"/>
      <x:c r="F217" s="3"/>
      <x:c r="G217" s="3"/>
      <x:c r="H217" s="3"/>
      <x:c r="I217" s="3"/>
      <x:c r="J217" s="10" t="n">
        <x:v>46068</x:v>
      </x:c>
      <x:c r="K217" s="8" t="n">
        <x:f>INDEX('Сводка'!$S$3:$S$397,U217)</x:f>
        <x:v>-38</x:v>
      </x:c>
      <x:c r="L217" s="8" t="n">
        <x:f>INDEX('Сводка'!$S$3:$S$397,V217)</x:f>
        <x:v>-39</x:v>
      </x:c>
      <x:c r="M217" s="8" t="n">
        <x:f>INDEX($K$388:$N$400,W217,1)*((J217-$T$405+1)/1000)^INDEX($K$388:$N$400,W217,2)</x:f>
        <x:v>160.00366295214658</x:v>
      </x:c>
      <x:c r="N217" s="8" t="n">
        <x:f>K217-M217</x:f>
        <x:v>-198.00366295214658</x:v>
      </x:c>
      <x:c r="O217" s="8" t="n">
        <x:f>ABS(N217)</x:f>
        <x:v>198.00366295214658</x:v>
      </x:c>
      <x:c r="P217" s="8" t="n">
        <x:f>N217^2</x:f>
        <x:v>39205.45054246727</x:v>
      </x:c>
      <x:c r="Q217" s="8" t="n">
        <x:f>K217-L217</x:f>
        <x:v>1</x:v>
      </x:c>
      <x:c r="R217" s="9" t="n">
        <x:f>IF(AND(INDEX('Сводка'!$T$3:$T$397,U217)=0,INDEX('Сводка'!$T$3:$T$397,V217)=0),1,0)</x:f>
        <x:v>1</x:v>
      </x:c>
      <x:c r="S217" s="9" t="n">
        <x:f>IF(AND(R217=1,O217&lt;=$G$13),1,0)</x:f>
        <x:v>0</x:v>
      </x:c>
      <x:c r="T217" s="10" t="n">
        <x:f>EOMONTH(J217-'Сводка'!$B$11,-1)</x:f>
        <x:v>46053</x:v>
      </x:c>
      <x:c r="U217" s="4" t="n">
        <x:f>MATCH(J217,'Сводка'!$R$3:$R$397,0)</x:f>
        <x:v>228</x:v>
      </x:c>
      <x:c r="V217" s="4" t="n">
        <x:f>MATCH(J217-'Сводка'!$B$11,'Сводка'!$R$3:$R$397,0)</x:f>
        <x:v>227</x:v>
      </x:c>
      <x:c r="W217" s="4" t="n">
        <x:f>MATCH(T217,$J$388:$J$400,0)</x:f>
        <x:v>8</x:v>
      </x:c>
      <x:c r="X217" s="3"/>
      <x:c r="Y217" s="3"/>
      <x:c r="Z217" s="3"/>
    </x:row>
    <x:row r="218" ht="15" customHeight="1">
      <x:c r="A218" s="3"/>
      <x:c r="B218" s="3"/>
      <x:c r="C218" s="3"/>
      <x:c r="D218" s="3"/>
      <x:c r="E218" s="3"/>
      <x:c r="F218" s="3"/>
      <x:c r="G218" s="3"/>
      <x:c r="H218" s="3"/>
      <x:c r="I218" s="3"/>
      <x:c r="J218" s="10" t="n">
        <x:v>46069</x:v>
      </x:c>
      <x:c r="K218" s="8" t="n">
        <x:f>INDEX('Сводка'!$S$3:$S$397,U218)</x:f>
        <x:v>-38</x:v>
      </x:c>
      <x:c r="L218" s="8" t="n">
        <x:f>INDEX('Сводка'!$S$3:$S$397,V218)</x:f>
        <x:v>-38</x:v>
      </x:c>
      <x:c r="M218" s="8" t="n">
        <x:f>INDEX($K$388:$N$400,W218,1)*((J218-$T$405+1)/1000)^INDEX($K$388:$N$400,W218,2)</x:f>
        <x:v>160.02393914678453</x:v>
      </x:c>
      <x:c r="N218" s="8" t="n">
        <x:f>K218-M218</x:f>
        <x:v>-198.02393914678453</x:v>
      </x:c>
      <x:c r="O218" s="8" t="n">
        <x:f>ABS(N218)</x:f>
        <x:v>198.02393914678453</x:v>
      </x:c>
      <x:c r="P218" s="8" t="n">
        <x:f>N218^2</x:f>
        <x:v>39213.48047520942</x:v>
      </x:c>
      <x:c r="Q218" s="8" t="n">
        <x:f>K218-L218</x:f>
        <x:v>0</x:v>
      </x:c>
      <x:c r="R218" s="9" t="n">
        <x:f>IF(AND(INDEX('Сводка'!$T$3:$T$397,U218)=0,INDEX('Сводка'!$T$3:$T$397,V218)=0),1,0)</x:f>
        <x:v>1</x:v>
      </x:c>
      <x:c r="S218" s="9" t="n">
        <x:f>IF(AND(R218=1,O218&lt;=$G$13),1,0)</x:f>
        <x:v>0</x:v>
      </x:c>
      <x:c r="T218" s="10" t="n">
        <x:f>EOMONTH(J218-'Сводка'!$B$11,-1)</x:f>
        <x:v>46053</x:v>
      </x:c>
      <x:c r="U218" s="4" t="n">
        <x:f>MATCH(J218,'Сводка'!$R$3:$R$397,0)</x:f>
        <x:v>229</x:v>
      </x:c>
      <x:c r="V218" s="4" t="n">
        <x:f>MATCH(J218-'Сводка'!$B$11,'Сводка'!$R$3:$R$397,0)</x:f>
        <x:v>228</x:v>
      </x:c>
      <x:c r="W218" s="4" t="n">
        <x:f>MATCH(T218,$J$388:$J$400,0)</x:f>
        <x:v>8</x:v>
      </x:c>
      <x:c r="X218" s="3"/>
      <x:c r="Y218" s="3"/>
      <x:c r="Z218" s="3"/>
    </x:row>
    <x:row r="219" ht="15" customHeight="1">
      <x:c r="A219" s="3"/>
      <x:c r="B219" s="3"/>
      <x:c r="C219" s="3"/>
      <x:c r="D219" s="3"/>
      <x:c r="E219" s="3"/>
      <x:c r="F219" s="3"/>
      <x:c r="G219" s="3"/>
      <x:c r="H219" s="3"/>
      <x:c r="I219" s="3"/>
      <x:c r="J219" s="10" t="n">
        <x:v>46070</x:v>
      </x:c>
      <x:c r="K219" s="8" t="n">
        <x:f>INDEX('Сводка'!$S$3:$S$397,U219)</x:f>
        <x:v>-40</x:v>
      </x:c>
      <x:c r="L219" s="8" t="n">
        <x:f>INDEX('Сводка'!$S$3:$S$397,V219)</x:f>
        <x:v>-38</x:v>
      </x:c>
      <x:c r="M219" s="8" t="n">
        <x:f>INDEX($K$388:$N$400,W219,1)*((J219-$T$405+1)/1000)^INDEX($K$388:$N$400,W219,2)</x:f>
        <x:v>160.04421560986805</x:v>
      </x:c>
      <x:c r="N219" s="8" t="n">
        <x:f>K219-M219</x:f>
        <x:v>-200.04421560986805</x:v>
      </x:c>
      <x:c r="O219" s="8" t="n">
        <x:f>ABS(N219)</x:f>
        <x:v>200.04421560986805</x:v>
      </x:c>
      <x:c r="P219" s="8" t="n">
        <x:f>N219^2</x:f>
        <x:v>40017.68819896738</x:v>
      </x:c>
      <x:c r="Q219" s="8" t="n">
        <x:f>K219-L219</x:f>
        <x:v>-2</x:v>
      </x:c>
      <x:c r="R219" s="9" t="n">
        <x:f>IF(AND(INDEX('Сводка'!$T$3:$T$397,U219)=0,INDEX('Сводка'!$T$3:$T$397,V219)=0),1,0)</x:f>
        <x:v>1</x:v>
      </x:c>
      <x:c r="S219" s="9" t="n">
        <x:f>IF(AND(R219=1,O219&lt;=$G$13),1,0)</x:f>
        <x:v>0</x:v>
      </x:c>
      <x:c r="T219" s="10" t="n">
        <x:f>EOMONTH(J219-'Сводка'!$B$11,-1)</x:f>
        <x:v>46053</x:v>
      </x:c>
      <x:c r="U219" s="4" t="n">
        <x:f>MATCH(J219,'Сводка'!$R$3:$R$397,0)</x:f>
        <x:v>230</x:v>
      </x:c>
      <x:c r="V219" s="4" t="n">
        <x:f>MATCH(J219-'Сводка'!$B$11,'Сводка'!$R$3:$R$397,0)</x:f>
        <x:v>229</x:v>
      </x:c>
      <x:c r="W219" s="4" t="n">
        <x:f>MATCH(T219,$J$388:$J$400,0)</x:f>
        <x:v>8</x:v>
      </x:c>
      <x:c r="X219" s="3"/>
      <x:c r="Y219" s="3"/>
      <x:c r="Z219" s="3"/>
    </x:row>
    <x:row r="220" ht="15" customHeight="1">
      <x:c r="A220" s="3"/>
      <x:c r="B220" s="3"/>
      <x:c r="C220" s="3"/>
      <x:c r="D220" s="3"/>
      <x:c r="E220" s="3"/>
      <x:c r="F220" s="3"/>
      <x:c r="G220" s="3"/>
      <x:c r="H220" s="3"/>
      <x:c r="I220" s="3"/>
      <x:c r="J220" s="10" t="n">
        <x:v>46071</x:v>
      </x:c>
      <x:c r="K220" s="8" t="n">
        <x:f>INDEX('Сводка'!$S$3:$S$397,U220)</x:f>
        <x:v>-40</x:v>
      </x:c>
      <x:c r="L220" s="8" t="n">
        <x:f>INDEX('Сводка'!$S$3:$S$397,V220)</x:f>
        <x:v>-40</x:v>
      </x:c>
      <x:c r="M220" s="8" t="n">
        <x:f>INDEX($K$388:$N$400,W220,1)*((J220-$T$405+1)/1000)^INDEX($K$388:$N$400,W220,2)</x:f>
        <x:v>160.06449234137023</x:v>
      </x:c>
      <x:c r="N220" s="8" t="n">
        <x:f>K220-M220</x:f>
        <x:v>-200.06449234137023</x:v>
      </x:c>
      <x:c r="O220" s="8" t="n">
        <x:f>ABS(N220)</x:f>
        <x:v>200.06449234137023</x:v>
      </x:c>
      <x:c r="P220" s="8" t="n">
        <x:f>N220^2</x:f>
        <x:v>40025.80109581019</x:v>
      </x:c>
      <x:c r="Q220" s="8" t="n">
        <x:f>K220-L220</x:f>
        <x:v>0</x:v>
      </x:c>
      <x:c r="R220" s="9" t="n">
        <x:f>IF(AND(INDEX('Сводка'!$T$3:$T$397,U220)=0,INDEX('Сводка'!$T$3:$T$397,V220)=0),1,0)</x:f>
        <x:v>1</x:v>
      </x:c>
      <x:c r="S220" s="9" t="n">
        <x:f>IF(AND(R220=1,O220&lt;=$G$13),1,0)</x:f>
        <x:v>0</x:v>
      </x:c>
      <x:c r="T220" s="10" t="n">
        <x:f>EOMONTH(J220-'Сводка'!$B$11,-1)</x:f>
        <x:v>46053</x:v>
      </x:c>
      <x:c r="U220" s="4" t="n">
        <x:f>MATCH(J220,'Сводка'!$R$3:$R$397,0)</x:f>
        <x:v>231</x:v>
      </x:c>
      <x:c r="V220" s="4" t="n">
        <x:f>MATCH(J220-'Сводка'!$B$11,'Сводка'!$R$3:$R$397,0)</x:f>
        <x:v>230</x:v>
      </x:c>
      <x:c r="W220" s="4" t="n">
        <x:f>MATCH(T220,$J$388:$J$400,0)</x:f>
        <x:v>8</x:v>
      </x:c>
      <x:c r="X220" s="3"/>
      <x:c r="Y220" s="3"/>
      <x:c r="Z220" s="3"/>
    </x:row>
    <x:row r="221" ht="15" customHeight="1">
      <x:c r="A221" s="3"/>
      <x:c r="B221" s="3"/>
      <x:c r="C221" s="3"/>
      <x:c r="D221" s="3"/>
      <x:c r="E221" s="3"/>
      <x:c r="F221" s="3"/>
      <x:c r="G221" s="3"/>
      <x:c r="H221" s="3"/>
      <x:c r="I221" s="3"/>
      <x:c r="J221" s="10" t="n">
        <x:v>46072</x:v>
      </x:c>
      <x:c r="K221" s="8" t="n">
        <x:f>INDEX('Сводка'!$S$3:$S$397,U221)</x:f>
        <x:v>-42</x:v>
      </x:c>
      <x:c r="L221" s="8" t="n">
        <x:f>INDEX('Сводка'!$S$3:$S$397,V221)</x:f>
        <x:v>-40</x:v>
      </x:c>
      <x:c r="M221" s="8" t="n">
        <x:f>INDEX($K$388:$N$400,W221,1)*((J221-$T$405+1)/1000)^INDEX($K$388:$N$400,W221,2)</x:f>
        <x:v>160.08476934126423</x:v>
      </x:c>
      <x:c r="N221" s="8" t="n">
        <x:f>K221-M221</x:f>
        <x:v>-202.08476934126423</x:v>
      </x:c>
      <x:c r="O221" s="8" t="n">
        <x:f>ABS(N221)</x:f>
        <x:v>202.08476934126423</x:v>
      </x:c>
      <x:c r="P221" s="8" t="n">
        <x:f>N221^2</x:f>
        <x:v>40838.25399971197</x:v>
      </x:c>
      <x:c r="Q221" s="8" t="n">
        <x:f>K221-L221</x:f>
        <x:v>-2</x:v>
      </x:c>
      <x:c r="R221" s="9" t="n">
        <x:f>IF(AND(INDEX('Сводка'!$T$3:$T$397,U221)=0,INDEX('Сводка'!$T$3:$T$397,V221)=0),1,0)</x:f>
        <x:v>1</x:v>
      </x:c>
      <x:c r="S221" s="9" t="n">
        <x:f>IF(AND(R221=1,O221&lt;=$G$13),1,0)</x:f>
        <x:v>0</x:v>
      </x:c>
      <x:c r="T221" s="10" t="n">
        <x:f>EOMONTH(J221-'Сводка'!$B$11,-1)</x:f>
        <x:v>46053</x:v>
      </x:c>
      <x:c r="U221" s="4" t="n">
        <x:f>MATCH(J221,'Сводка'!$R$3:$R$397,0)</x:f>
        <x:v>232</x:v>
      </x:c>
      <x:c r="V221" s="4" t="n">
        <x:f>MATCH(J221-'Сводка'!$B$11,'Сводка'!$R$3:$R$397,0)</x:f>
        <x:v>231</x:v>
      </x:c>
      <x:c r="W221" s="4" t="n">
        <x:f>MATCH(T221,$J$388:$J$400,0)</x:f>
        <x:v>8</x:v>
      </x:c>
      <x:c r="X221" s="3"/>
      <x:c r="Y221" s="3"/>
      <x:c r="Z221" s="3"/>
    </x:row>
    <x:row r="222" ht="15" customHeight="1">
      <x:c r="A222" s="3"/>
      <x:c r="B222" s="3"/>
      <x:c r="C222" s="3"/>
      <x:c r="D222" s="3"/>
      <x:c r="E222" s="3"/>
      <x:c r="F222" s="3"/>
      <x:c r="G222" s="3"/>
      <x:c r="H222" s="3"/>
      <x:c r="I222" s="3"/>
      <x:c r="J222" s="10" t="n">
        <x:v>46073</x:v>
      </x:c>
      <x:c r="K222" s="8" t="n">
        <x:f>INDEX('Сводка'!$S$3:$S$397,U222)</x:f>
        <x:v>-43</x:v>
      </x:c>
      <x:c r="L222" s="8" t="n">
        <x:f>INDEX('Сводка'!$S$3:$S$397,V222)</x:f>
        <x:v>-42</x:v>
      </x:c>
      <x:c r="M222" s="8" t="n">
        <x:f>INDEX($K$388:$N$400,W222,1)*((J222-$T$405+1)/1000)^INDEX($K$388:$N$400,W222,2)</x:f>
        <x:v>160.1050466095231</x:v>
      </x:c>
      <x:c r="N222" s="8" t="n">
        <x:f>K222-M222</x:f>
        <x:v>-203.1050466095231</x:v>
      </x:c>
      <x:c r="O222" s="8" t="n">
        <x:f>ABS(N222)</x:f>
        <x:v>203.1050466095231</x:v>
      </x:c>
      <x:c r="P222" s="8" t="n">
        <x:f>N222^2</x:f>
        <x:v>41251.659958256554</x:v>
      </x:c>
      <x:c r="Q222" s="8" t="n">
        <x:f>K222-L222</x:f>
        <x:v>-1</x:v>
      </x:c>
      <x:c r="R222" s="9" t="n">
        <x:f>IF(AND(INDEX('Сводка'!$T$3:$T$397,U222)=0,INDEX('Сводка'!$T$3:$T$397,V222)=0),1,0)</x:f>
        <x:v>1</x:v>
      </x:c>
      <x:c r="S222" s="9" t="n">
        <x:f>IF(AND(R222=1,O222&lt;=$G$13),1,0)</x:f>
        <x:v>0</x:v>
      </x:c>
      <x:c r="T222" s="10" t="n">
        <x:f>EOMONTH(J222-'Сводка'!$B$11,-1)</x:f>
        <x:v>46053</x:v>
      </x:c>
      <x:c r="U222" s="4" t="n">
        <x:f>MATCH(J222,'Сводка'!$R$3:$R$397,0)</x:f>
        <x:v>233</x:v>
      </x:c>
      <x:c r="V222" s="4" t="n">
        <x:f>MATCH(J222-'Сводка'!$B$11,'Сводка'!$R$3:$R$397,0)</x:f>
        <x:v>232</x:v>
      </x:c>
      <x:c r="W222" s="4" t="n">
        <x:f>MATCH(T222,$J$388:$J$400,0)</x:f>
        <x:v>8</x:v>
      </x:c>
      <x:c r="X222" s="3"/>
      <x:c r="Y222" s="3"/>
      <x:c r="Z222" s="3"/>
    </x:row>
    <x:row r="223" ht="15" customHeight="1">
      <x:c r="A223" s="3"/>
      <x:c r="B223" s="3"/>
      <x:c r="C223" s="3"/>
      <x:c r="D223" s="3"/>
      <x:c r="E223" s="3"/>
      <x:c r="F223" s="3"/>
      <x:c r="G223" s="3"/>
      <x:c r="H223" s="3"/>
      <x:c r="I223" s="3"/>
      <x:c r="J223" s="10" t="n">
        <x:v>46074</x:v>
      </x:c>
      <x:c r="K223" s="8" t="n">
        <x:f>INDEX('Сводка'!$S$3:$S$397,U223)</x:f>
        <x:v>-43</x:v>
      </x:c>
      <x:c r="L223" s="8" t="n">
        <x:f>INDEX('Сводка'!$S$3:$S$397,V223)</x:f>
        <x:v>-43</x:v>
      </x:c>
      <x:c r="M223" s="8" t="n">
        <x:f>INDEX($K$388:$N$400,W223,1)*((J223-$T$405+1)/1000)^INDEX($K$388:$N$400,W223,2)</x:f>
        <x:v>160.12532414611994</x:v>
      </x:c>
      <x:c r="N223" s="8" t="n">
        <x:f>K223-M223</x:f>
        <x:v>-203.12532414611994</x:v>
      </x:c>
      <x:c r="O223" s="8" t="n">
        <x:f>ABS(N223)</x:f>
        <x:v>203.12532414611994</x:v>
      </x:c>
      <x:c r="P223" s="8" t="n">
        <x:f>N223^2</x:f>
        <x:v>41259.897309466294</x:v>
      </x:c>
      <x:c r="Q223" s="8" t="n">
        <x:f>K223-L223</x:f>
        <x:v>0</x:v>
      </x:c>
      <x:c r="R223" s="9" t="n">
        <x:f>IF(AND(INDEX('Сводка'!$T$3:$T$397,U223)=0,INDEX('Сводка'!$T$3:$T$397,V223)=0),1,0)</x:f>
        <x:v>1</x:v>
      </x:c>
      <x:c r="S223" s="9" t="n">
        <x:f>IF(AND(R223=1,O223&lt;=$G$13),1,0)</x:f>
        <x:v>0</x:v>
      </x:c>
      <x:c r="T223" s="10" t="n">
        <x:f>EOMONTH(J223-'Сводка'!$B$11,-1)</x:f>
        <x:v>46053</x:v>
      </x:c>
      <x:c r="U223" s="4" t="n">
        <x:f>MATCH(J223,'Сводка'!$R$3:$R$397,0)</x:f>
        <x:v>234</x:v>
      </x:c>
      <x:c r="V223" s="4" t="n">
        <x:f>MATCH(J223-'Сводка'!$B$11,'Сводка'!$R$3:$R$397,0)</x:f>
        <x:v>233</x:v>
      </x:c>
      <x:c r="W223" s="4" t="n">
        <x:f>MATCH(T223,$J$388:$J$400,0)</x:f>
        <x:v>8</x:v>
      </x:c>
      <x:c r="X223" s="3"/>
      <x:c r="Y223" s="3"/>
      <x:c r="Z223" s="3"/>
    </x:row>
    <x:row r="224" ht="15" customHeight="1">
      <x:c r="A224" s="3"/>
      <x:c r="B224" s="3"/>
      <x:c r="C224" s="3"/>
      <x:c r="D224" s="3"/>
      <x:c r="E224" s="3"/>
      <x:c r="F224" s="3"/>
      <x:c r="G224" s="3"/>
      <x:c r="H224" s="3"/>
      <x:c r="I224" s="3"/>
      <x:c r="J224" s="10" t="n">
        <x:v>46075</x:v>
      </x:c>
      <x:c r="K224" s="8" t="n">
        <x:f>INDEX('Сводка'!$S$3:$S$397,U224)</x:f>
        <x:v>-43</x:v>
      </x:c>
      <x:c r="L224" s="8" t="n">
        <x:f>INDEX('Сводка'!$S$3:$S$397,V224)</x:f>
        <x:v>-43</x:v>
      </x:c>
      <x:c r="M224" s="8" t="n">
        <x:f>INDEX($K$388:$N$400,W224,1)*((J224-$T$405+1)/1000)^INDEX($K$388:$N$400,W224,2)</x:f>
        <x:v>160.14560195102794</x:v>
      </x:c>
      <x:c r="N224" s="8" t="n">
        <x:f>K224-M224</x:f>
        <x:v>-203.14560195102794</x:v>
      </x:c>
      <x:c r="O224" s="8" t="n">
        <x:f>ABS(N224)</x:f>
        <x:v>203.14560195102794</x:v>
      </x:c>
      <x:c r="P224" s="8" t="n">
        <x:f>N224^2</x:f>
        <x:v>41268.13559204549</x:v>
      </x:c>
      <x:c r="Q224" s="8" t="n">
        <x:f>K224-L224</x:f>
        <x:v>0</x:v>
      </x:c>
      <x:c r="R224" s="9" t="n">
        <x:f>IF(AND(INDEX('Сводка'!$T$3:$T$397,U224)=0,INDEX('Сводка'!$T$3:$T$397,V224)=0),1,0)</x:f>
        <x:v>1</x:v>
      </x:c>
      <x:c r="S224" s="9" t="n">
        <x:f>IF(AND(R224=1,O224&lt;=$G$13),1,0)</x:f>
        <x:v>0</x:v>
      </x:c>
      <x:c r="T224" s="10" t="n">
        <x:f>EOMONTH(J224-'Сводка'!$B$11,-1)</x:f>
        <x:v>46053</x:v>
      </x:c>
      <x:c r="U224" s="4" t="n">
        <x:f>MATCH(J224,'Сводка'!$R$3:$R$397,0)</x:f>
        <x:v>235</x:v>
      </x:c>
      <x:c r="V224" s="4" t="n">
        <x:f>MATCH(J224-'Сводка'!$B$11,'Сводка'!$R$3:$R$397,0)</x:f>
        <x:v>234</x:v>
      </x:c>
      <x:c r="W224" s="4" t="n">
        <x:f>MATCH(T224,$J$388:$J$400,0)</x:f>
        <x:v>8</x:v>
      </x:c>
      <x:c r="X224" s="3"/>
      <x:c r="Y224" s="3"/>
      <x:c r="Z224" s="3"/>
    </x:row>
    <x:row r="225" ht="15" customHeight="1">
      <x:c r="A225" s="3"/>
      <x:c r="B225" s="3"/>
      <x:c r="C225" s="3"/>
      <x:c r="D225" s="3"/>
      <x:c r="E225" s="3"/>
      <x:c r="F225" s="3"/>
      <x:c r="G225" s="3"/>
      <x:c r="H225" s="3"/>
      <x:c r="I225" s="3"/>
      <x:c r="J225" s="10" t="n">
        <x:v>46076</x:v>
      </x:c>
      <x:c r="K225" s="8" t="n">
        <x:f>INDEX('Сводка'!$S$3:$S$397,U225)</x:f>
        <x:v>-44</x:v>
      </x:c>
      <x:c r="L225" s="8" t="n">
        <x:f>INDEX('Сводка'!$S$3:$S$397,V225)</x:f>
        <x:v>-43</x:v>
      </x:c>
      <x:c r="M225" s="8" t="n">
        <x:f>INDEX($K$388:$N$400,W225,1)*((J225-$T$405+1)/1000)^INDEX($K$388:$N$400,W225,2)</x:f>
        <x:v>160.16588002422014</x:v>
      </x:c>
      <x:c r="N225" s="8" t="n">
        <x:f>K225-M225</x:f>
        <x:v>-204.16588002422014</x:v>
      </x:c>
      <x:c r="O225" s="8" t="n">
        <x:f>ABS(N225)</x:f>
        <x:v>204.16588002422014</x:v>
      </x:c>
      <x:c r="P225" s="8" t="n">
        <x:f>N225^2</x:f>
        <x:v>41683.706566064255</x:v>
      </x:c>
      <x:c r="Q225" s="8" t="n">
        <x:f>K225-L225</x:f>
        <x:v>-1</x:v>
      </x:c>
      <x:c r="R225" s="9" t="n">
        <x:f>IF(AND(INDEX('Сводка'!$T$3:$T$397,U225)=0,INDEX('Сводка'!$T$3:$T$397,V225)=0),1,0)</x:f>
        <x:v>1</x:v>
      </x:c>
      <x:c r="S225" s="9" t="n">
        <x:f>IF(AND(R225=1,O225&lt;=$G$13),1,0)</x:f>
        <x:v>0</x:v>
      </x:c>
      <x:c r="T225" s="10" t="n">
        <x:f>EOMONTH(J225-'Сводка'!$B$11,-1)</x:f>
        <x:v>46053</x:v>
      </x:c>
      <x:c r="U225" s="4" t="n">
        <x:f>MATCH(J225,'Сводка'!$R$3:$R$397,0)</x:f>
        <x:v>236</x:v>
      </x:c>
      <x:c r="V225" s="4" t="n">
        <x:f>MATCH(J225-'Сводка'!$B$11,'Сводка'!$R$3:$R$397,0)</x:f>
        <x:v>235</x:v>
      </x:c>
      <x:c r="W225" s="4" t="n">
        <x:f>MATCH(T225,$J$388:$J$400,0)</x:f>
        <x:v>8</x:v>
      </x:c>
      <x:c r="X225" s="3"/>
      <x:c r="Y225" s="3"/>
      <x:c r="Z225" s="3"/>
    </x:row>
    <x:row r="226" ht="15" customHeight="1">
      <x:c r="A226" s="3"/>
      <x:c r="B226" s="3"/>
      <x:c r="C226" s="3"/>
      <x:c r="D226" s="3"/>
      <x:c r="E226" s="3"/>
      <x:c r="F226" s="3"/>
      <x:c r="G226" s="3"/>
      <x:c r="H226" s="3"/>
      <x:c r="I226" s="3"/>
      <x:c r="J226" s="10" t="n">
        <x:v>46077</x:v>
      </x:c>
      <x:c r="K226" s="8" t="n">
        <x:f>INDEX('Сводка'!$S$3:$S$397,U226)</x:f>
        <x:v>-46</x:v>
      </x:c>
      <x:c r="L226" s="8" t="n">
        <x:f>INDEX('Сводка'!$S$3:$S$397,V226)</x:f>
        <x:v>-44</x:v>
      </x:c>
      <x:c r="M226" s="8" t="n">
        <x:f>INDEX($K$388:$N$400,W226,1)*((J226-$T$405+1)/1000)^INDEX($K$388:$N$400,W226,2)</x:f>
        <x:v>160.18615836566974</x:v>
      </x:c>
      <x:c r="N226" s="8" t="n">
        <x:f>K226-M226</x:f>
        <x:v>-206.18615836566974</x:v>
      </x:c>
      <x:c r="O226" s="8" t="n">
        <x:f>ABS(N226)</x:f>
        <x:v>206.18615836566974</x:v>
      </x:c>
      <x:c r="P226" s="8" t="n">
        <x:f>N226^2</x:f>
        <x:v>42512.73190159304</x:v>
      </x:c>
      <x:c r="Q226" s="8" t="n">
        <x:f>K226-L226</x:f>
        <x:v>-2</x:v>
      </x:c>
      <x:c r="R226" s="9" t="n">
        <x:f>IF(AND(INDEX('Сводка'!$T$3:$T$397,U226)=0,INDEX('Сводка'!$T$3:$T$397,V226)=0),1,0)</x:f>
        <x:v>1</x:v>
      </x:c>
      <x:c r="S226" s="9" t="n">
        <x:f>IF(AND(R226=1,O226&lt;=$G$13),1,0)</x:f>
        <x:v>0</x:v>
      </x:c>
      <x:c r="T226" s="10" t="n">
        <x:f>EOMONTH(J226-'Сводка'!$B$11,-1)</x:f>
        <x:v>46053</x:v>
      </x:c>
      <x:c r="U226" s="4" t="n">
        <x:f>MATCH(J226,'Сводка'!$R$3:$R$397,0)</x:f>
        <x:v>237</x:v>
      </x:c>
      <x:c r="V226" s="4" t="n">
        <x:f>MATCH(J226-'Сводка'!$B$11,'Сводка'!$R$3:$R$397,0)</x:f>
        <x:v>236</x:v>
      </x:c>
      <x:c r="W226" s="4" t="n">
        <x:f>MATCH(T226,$J$388:$J$400,0)</x:f>
        <x:v>8</x:v>
      </x:c>
      <x:c r="X226" s="3"/>
      <x:c r="Y226" s="3"/>
      <x:c r="Z226" s="3"/>
    </x:row>
    <x:row r="227" ht="15" customHeight="1">
      <x:c r="A227" s="3"/>
      <x:c r="B227" s="3"/>
      <x:c r="C227" s="3"/>
      <x:c r="D227" s="3"/>
      <x:c r="E227" s="3"/>
      <x:c r="F227" s="3"/>
      <x:c r="G227" s="3"/>
      <x:c r="H227" s="3"/>
      <x:c r="I227" s="3"/>
      <x:c r="J227" s="10" t="n">
        <x:v>46078</x:v>
      </x:c>
      <x:c r="K227" s="8" t="n">
        <x:f>INDEX('Сводка'!$S$3:$S$397,U227)</x:f>
        <x:v>-46</x:v>
      </x:c>
      <x:c r="L227" s="8" t="n">
        <x:f>INDEX('Сводка'!$S$3:$S$397,V227)</x:f>
        <x:v>-46</x:v>
      </x:c>
      <x:c r="M227" s="8" t="n">
        <x:f>INDEX($K$388:$N$400,W227,1)*((J227-$T$405+1)/1000)^INDEX($K$388:$N$400,W227,2)</x:f>
        <x:v>160.20643697534985</x:v>
      </x:c>
      <x:c r="N227" s="8" t="n">
        <x:f>K227-M227</x:f>
        <x:v>-206.20643697534985</x:v>
      </x:c>
      <x:c r="O227" s="8" t="n">
        <x:f>ABS(N227)</x:f>
        <x:v>206.20643697534985</x:v>
      </x:c>
      <x:c r="P227" s="8" t="n">
        <x:f>N227^2</x:f>
        <x:v>42521.09465006893</x:v>
      </x:c>
      <x:c r="Q227" s="8" t="n">
        <x:f>K227-L227</x:f>
        <x:v>0</x:v>
      </x:c>
      <x:c r="R227" s="9" t="n">
        <x:f>IF(AND(INDEX('Сводка'!$T$3:$T$397,U227)=0,INDEX('Сводка'!$T$3:$T$397,V227)=0),1,0)</x:f>
        <x:v>1</x:v>
      </x:c>
      <x:c r="S227" s="9" t="n">
        <x:f>IF(AND(R227=1,O227&lt;=$G$13),1,0)</x:f>
        <x:v>0</x:v>
      </x:c>
      <x:c r="T227" s="10" t="n">
        <x:f>EOMONTH(J227-'Сводка'!$B$11,-1)</x:f>
        <x:v>46053</x:v>
      </x:c>
      <x:c r="U227" s="4" t="n">
        <x:f>MATCH(J227,'Сводка'!$R$3:$R$397,0)</x:f>
        <x:v>238</x:v>
      </x:c>
      <x:c r="V227" s="4" t="n">
        <x:f>MATCH(J227-'Сводка'!$B$11,'Сводка'!$R$3:$R$397,0)</x:f>
        <x:v>237</x:v>
      </x:c>
      <x:c r="W227" s="4" t="n">
        <x:f>MATCH(T227,$J$388:$J$400,0)</x:f>
        <x:v>8</x:v>
      </x:c>
      <x:c r="X227" s="3"/>
      <x:c r="Y227" s="3"/>
      <x:c r="Z227" s="3"/>
    </x:row>
    <x:row r="228" ht="15" customHeight="1">
      <x:c r="A228" s="3"/>
      <x:c r="B228" s="3"/>
      <x:c r="C228" s="3"/>
      <x:c r="D228" s="3"/>
      <x:c r="E228" s="3"/>
      <x:c r="F228" s="3"/>
      <x:c r="G228" s="3"/>
      <x:c r="H228" s="3"/>
      <x:c r="I228" s="3"/>
      <x:c r="J228" s="10" t="n">
        <x:v>46079</x:v>
      </x:c>
      <x:c r="K228" s="8" t="n">
        <x:f>INDEX('Сводка'!$S$3:$S$397,U228)</x:f>
        <x:v>-48</x:v>
      </x:c>
      <x:c r="L228" s="8" t="n">
        <x:f>INDEX('Сводка'!$S$3:$S$397,V228)</x:f>
        <x:v>-46</x:v>
      </x:c>
      <x:c r="M228" s="8" t="n">
        <x:f>INDEX($K$388:$N$400,W228,1)*((J228-$T$405+1)/1000)^INDEX($K$388:$N$400,W228,2)</x:f>
        <x:v>160.22671585323363</x:v>
      </x:c>
      <x:c r="N228" s="8" t="n">
        <x:f>K228-M228</x:f>
        <x:v>-208.22671585323363</x:v>
      </x:c>
      <x:c r="O228" s="8" t="n">
        <x:f>ABS(N228)</x:f>
        <x:v>208.22671585323363</x:v>
      </x:c>
      <x:c r="P228" s="8" t="n">
        <x:f>N228^2</x:f>
        <x:v>43358.365195023296</x:v>
      </x:c>
      <x:c r="Q228" s="8" t="n">
        <x:f>K228-L228</x:f>
        <x:v>-2</x:v>
      </x:c>
      <x:c r="R228" s="9" t="n">
        <x:f>IF(AND(INDEX('Сводка'!$T$3:$T$397,U228)=0,INDEX('Сводка'!$T$3:$T$397,V228)=0),1,0)</x:f>
        <x:v>1</x:v>
      </x:c>
      <x:c r="S228" s="9" t="n">
        <x:f>IF(AND(R228=1,O228&lt;=$G$13),1,0)</x:f>
        <x:v>0</x:v>
      </x:c>
      <x:c r="T228" s="10" t="n">
        <x:f>EOMONTH(J228-'Сводка'!$B$11,-1)</x:f>
        <x:v>46053</x:v>
      </x:c>
      <x:c r="U228" s="4" t="n">
        <x:f>MATCH(J228,'Сводка'!$R$3:$R$397,0)</x:f>
        <x:v>239</x:v>
      </x:c>
      <x:c r="V228" s="4" t="n">
        <x:f>MATCH(J228-'Сводка'!$B$11,'Сводка'!$R$3:$R$397,0)</x:f>
        <x:v>238</x:v>
      </x:c>
      <x:c r="W228" s="4" t="n">
        <x:f>MATCH(T228,$J$388:$J$400,0)</x:f>
        <x:v>8</x:v>
      </x:c>
      <x:c r="X228" s="3"/>
      <x:c r="Y228" s="3"/>
      <x:c r="Z228" s="3"/>
    </x:row>
    <x:row r="229" ht="15" customHeight="1">
      <x:c r="A229" s="3"/>
      <x:c r="B229" s="3"/>
      <x:c r="C229" s="3"/>
      <x:c r="D229" s="3"/>
      <x:c r="E229" s="3"/>
      <x:c r="F229" s="3"/>
      <x:c r="G229" s="3"/>
      <x:c r="H229" s="3"/>
      <x:c r="I229" s="3"/>
      <x:c r="J229" s="10" t="n">
        <x:v>46080</x:v>
      </x:c>
      <x:c r="K229" s="8" t="n">
        <x:f>INDEX('Сводка'!$S$3:$S$397,U229)</x:f>
        <x:v>-51</x:v>
      </x:c>
      <x:c r="L229" s="8" t="n">
        <x:f>INDEX('Сводка'!$S$3:$S$397,V229)</x:f>
        <x:v>-48</x:v>
      </x:c>
      <x:c r="M229" s="8" t="n">
        <x:f>INDEX($K$388:$N$400,W229,1)*((J229-$T$405+1)/1000)^INDEX($K$388:$N$400,W229,2)</x:f>
        <x:v>160.24699499929417</x:v>
      </x:c>
      <x:c r="N229" s="8" t="n">
        <x:f>K229-M229</x:f>
        <x:v>-211.24699499929417</x:v>
      </x:c>
      <x:c r="O229" s="8" t="n">
        <x:f>ABS(N229)</x:f>
        <x:v>211.24699499929417</x:v>
      </x:c>
      <x:c r="P229" s="8" t="n">
        <x:f>N229^2</x:f>
        <x:v>44625.29289623182</x:v>
      </x:c>
      <x:c r="Q229" s="8" t="n">
        <x:f>K229-L229</x:f>
        <x:v>-3</x:v>
      </x:c>
      <x:c r="R229" s="9" t="n">
        <x:f>IF(AND(INDEX('Сводка'!$T$3:$T$397,U229)=0,INDEX('Сводка'!$T$3:$T$397,V229)=0),1,0)</x:f>
        <x:v>1</x:v>
      </x:c>
      <x:c r="S229" s="9" t="n">
        <x:f>IF(AND(R229=1,O229&lt;=$G$13),1,0)</x:f>
        <x:v>0</x:v>
      </x:c>
      <x:c r="T229" s="10" t="n">
        <x:f>EOMONTH(J229-'Сводка'!$B$11,-1)</x:f>
        <x:v>46053</x:v>
      </x:c>
      <x:c r="U229" s="4" t="n">
        <x:f>MATCH(J229,'Сводка'!$R$3:$R$397,0)</x:f>
        <x:v>240</x:v>
      </x:c>
      <x:c r="V229" s="4" t="n">
        <x:f>MATCH(J229-'Сводка'!$B$11,'Сводка'!$R$3:$R$397,0)</x:f>
        <x:v>239</x:v>
      </x:c>
      <x:c r="W229" s="4" t="n">
        <x:f>MATCH(T229,$J$388:$J$400,0)</x:f>
        <x:v>8</x:v>
      </x:c>
      <x:c r="X229" s="3"/>
      <x:c r="Y229" s="3"/>
      <x:c r="Z229" s="3"/>
    </x:row>
    <x:row r="230" ht="15" customHeight="1">
      <x:c r="A230" s="3"/>
      <x:c r="B230" s="3"/>
      <x:c r="C230" s="3"/>
      <x:c r="D230" s="3"/>
      <x:c r="E230" s="3"/>
      <x:c r="F230" s="3"/>
      <x:c r="G230" s="3"/>
      <x:c r="H230" s="3"/>
      <x:c r="I230" s="3"/>
      <x:c r="J230" s="10" t="n">
        <x:v>46081</x:v>
      </x:c>
      <x:c r="K230" s="8" t="n">
        <x:f>INDEX('Сводка'!$S$3:$S$397,U230)</x:f>
        <x:v>-54</x:v>
      </x:c>
      <x:c r="L230" s="8" t="n">
        <x:f>INDEX('Сводка'!$S$3:$S$397,V230)</x:f>
        <x:v>-51</x:v>
      </x:c>
      <x:c r="M230" s="8" t="n">
        <x:f>INDEX($K$388:$N$400,W230,1)*((J230-$T$405+1)/1000)^INDEX($K$388:$N$400,W230,2)</x:f>
        <x:v>160.2672744135047</x:v>
      </x:c>
      <x:c r="N230" s="8" t="n">
        <x:f>K230-M230</x:f>
        <x:v>-214.2672744135047</x:v>
      </x:c>
      <x:c r="O230" s="8" t="n">
        <x:f>ABS(N230)</x:f>
        <x:v>214.2672744135047</x:v>
      </x:c>
      <x:c r="P230" s="8" t="n">
        <x:f>N230^2</x:f>
        <x:v>45910.46488459213</x:v>
      </x:c>
      <x:c r="Q230" s="8" t="n">
        <x:f>K230-L230</x:f>
        <x:v>-3</x:v>
      </x:c>
      <x:c r="R230" s="9" t="n">
        <x:f>IF(AND(INDEX('Сводка'!$T$3:$T$397,U230)=0,INDEX('Сводка'!$T$3:$T$397,V230)=0),1,0)</x:f>
        <x:v>1</x:v>
      </x:c>
      <x:c r="S230" s="9" t="n">
        <x:f>IF(AND(R230=1,O230&lt;=$G$13),1,0)</x:f>
        <x:v>0</x:v>
      </x:c>
      <x:c r="T230" s="10" t="n">
        <x:f>EOMONTH(J230-'Сводка'!$B$11,-1)</x:f>
        <x:v>46053</x:v>
      </x:c>
      <x:c r="U230" s="4" t="n">
        <x:f>MATCH(J230,'Сводка'!$R$3:$R$397,0)</x:f>
        <x:v>241</x:v>
      </x:c>
      <x:c r="V230" s="4" t="n">
        <x:f>MATCH(J230-'Сводка'!$B$11,'Сводка'!$R$3:$R$397,0)</x:f>
        <x:v>240</x:v>
      </x:c>
      <x:c r="W230" s="4" t="n">
        <x:f>MATCH(T230,$J$388:$J$400,0)</x:f>
        <x:v>8</x:v>
      </x:c>
      <x:c r="X230" s="3"/>
      <x:c r="Y230" s="3"/>
      <x:c r="Z230" s="3"/>
    </x:row>
    <x:row r="231" ht="15" customHeight="1">
      <x:c r="A231" s="3"/>
      <x:c r="B231" s="3"/>
      <x:c r="C231" s="3"/>
      <x:c r="D231" s="3"/>
      <x:c r="E231" s="3"/>
      <x:c r="F231" s="3"/>
      <x:c r="G231" s="3"/>
      <x:c r="H231" s="3"/>
      <x:c r="I231" s="3"/>
      <x:c r="J231" s="10" t="n">
        <x:v>46082</x:v>
      </x:c>
      <x:c r="K231" s="8" t="n">
        <x:f>INDEX('Сводка'!$S$3:$S$397,U231)</x:f>
        <x:v>-55</x:v>
      </x:c>
      <x:c r="L231" s="8" t="n">
        <x:f>INDEX('Сводка'!$S$3:$S$397,V231)</x:f>
        <x:v>-54</x:v>
      </x:c>
      <x:c r="M231" s="8" t="n">
        <x:f>INDEX($K$388:$N$400,W231,1)*((J231-$T$405+1)/1000)^INDEX($K$388:$N$400,W231,2)</x:f>
        <x:v>160.28755409583837</x:v>
      </x:c>
      <x:c r="N231" s="8" t="n">
        <x:f>K231-M231</x:f>
        <x:v>-215.28755409583837</x:v>
      </x:c>
      <x:c r="O231" s="8" t="n">
        <x:f>ABS(N231)</x:f>
        <x:v>215.28755409583837</x:v>
      </x:c>
      <x:c r="P231" s="8" t="n">
        <x:f>N231^2</x:f>
        <x:v>46348.73094856853</x:v>
      </x:c>
      <x:c r="Q231" s="8" t="n">
        <x:f>K231-L231</x:f>
        <x:v>-1</x:v>
      </x:c>
      <x:c r="R231" s="9" t="n">
        <x:f>IF(AND(INDEX('Сводка'!$T$3:$T$397,U231)=0,INDEX('Сводка'!$T$3:$T$397,V231)=0),1,0)</x:f>
        <x:v>1</x:v>
      </x:c>
      <x:c r="S231" s="9" t="n">
        <x:f>IF(AND(R231=1,O231&lt;=$G$13),1,0)</x:f>
        <x:v>0</x:v>
      </x:c>
      <x:c r="T231" s="10" t="n">
        <x:f>EOMONTH(J231-'Сводка'!$B$11,-1)</x:f>
        <x:v>46053</x:v>
      </x:c>
      <x:c r="U231" s="4" t="n">
        <x:f>MATCH(J231,'Сводка'!$R$3:$R$397,0)</x:f>
        <x:v>242</x:v>
      </x:c>
      <x:c r="V231" s="4" t="n">
        <x:f>MATCH(J231-'Сводка'!$B$11,'Сводка'!$R$3:$R$397,0)</x:f>
        <x:v>241</x:v>
      </x:c>
      <x:c r="W231" s="4" t="n">
        <x:f>MATCH(T231,$J$388:$J$400,0)</x:f>
        <x:v>8</x:v>
      </x:c>
      <x:c r="X231" s="3"/>
      <x:c r="Y231" s="3"/>
      <x:c r="Z231" s="3"/>
    </x:row>
    <x:row r="232" ht="15" customHeight="1">
      <x:c r="A232" s="3"/>
      <x:c r="B232" s="3"/>
      <x:c r="C232" s="3"/>
      <x:c r="D232" s="3"/>
      <x:c r="E232" s="3"/>
      <x:c r="F232" s="3"/>
      <x:c r="G232" s="3"/>
      <x:c r="H232" s="3"/>
      <x:c r="I232" s="3"/>
      <x:c r="J232" s="10" t="n">
        <x:v>46083</x:v>
      </x:c>
      <x:c r="K232" s="8" t="n">
        <x:f>INDEX('Сводка'!$S$3:$S$397,U232)</x:f>
        <x:v>-57</x:v>
      </x:c>
      <x:c r="L232" s="8" t="n">
        <x:f>INDEX('Сводка'!$S$3:$S$397,V232)</x:f>
        <x:v>-55</x:v>
      </x:c>
      <x:c r="M232" s="8" t="n">
        <x:f>INDEX($K$388:$N$400,W232,1)*((J232-$T$405+1)/1000)^INDEX($K$388:$N$400,W232,2)</x:f>
        <x:v>156.50137308168166</x:v>
      </x:c>
      <x:c r="N232" s="8" t="n">
        <x:f>K232-M232</x:f>
        <x:v>-213.50137308168166</x:v>
      </x:c>
      <x:c r="O232" s="8" t="n">
        <x:f>ABS(N232)</x:f>
        <x:v>213.50137308168166</x:v>
      </x:c>
      <x:c r="P232" s="8" t="n">
        <x:f>N232^2</x:f>
        <x:v>45582.83630776342</x:v>
      </x:c>
      <x:c r="Q232" s="8" t="n">
        <x:f>K232-L232</x:f>
        <x:v>-2</x:v>
      </x:c>
      <x:c r="R232" s="9" t="n">
        <x:f>IF(AND(INDEX('Сводка'!$T$3:$T$397,U232)=0,INDEX('Сводка'!$T$3:$T$397,V232)=0),1,0)</x:f>
        <x:v>1</x:v>
      </x:c>
      <x:c r="S232" s="9" t="n">
        <x:f>IF(AND(R232=1,O232&lt;=$G$13),1,0)</x:f>
        <x:v>0</x:v>
      </x:c>
      <x:c r="T232" s="10" t="n">
        <x:f>EOMONTH(J232-'Сводка'!$B$11,-1)</x:f>
        <x:v>46081</x:v>
      </x:c>
      <x:c r="U232" s="4" t="n">
        <x:f>MATCH(J232,'Сводка'!$R$3:$R$397,0)</x:f>
        <x:v>243</x:v>
      </x:c>
      <x:c r="V232" s="4" t="n">
        <x:f>MATCH(J232-'Сводка'!$B$11,'Сводка'!$R$3:$R$397,0)</x:f>
        <x:v>242</x:v>
      </x:c>
      <x:c r="W232" s="4" t="n">
        <x:f>MATCH(T232,$J$388:$J$400,0)</x:f>
        <x:v>9</x:v>
      </x:c>
      <x:c r="X232" s="3"/>
      <x:c r="Y232" s="3"/>
      <x:c r="Z232" s="3"/>
    </x:row>
    <x:row r="233" ht="15" customHeight="1">
      <x:c r="A233" s="3"/>
      <x:c r="B233" s="3"/>
      <x:c r="C233" s="3"/>
      <x:c r="D233" s="3"/>
      <x:c r="E233" s="3"/>
      <x:c r="F233" s="3"/>
      <x:c r="G233" s="3"/>
      <x:c r="H233" s="3"/>
      <x:c r="I233" s="3"/>
      <x:c r="J233" s="10" t="n">
        <x:v>46084</x:v>
      </x:c>
      <x:c r="K233" s="8" t="n">
        <x:f>INDEX('Сводка'!$S$3:$S$397,U233)</x:f>
        <x:v>-58</x:v>
      </x:c>
      <x:c r="L233" s="8" t="n">
        <x:f>INDEX('Сводка'!$S$3:$S$397,V233)</x:f>
        <x:v>-57</x:v>
      </x:c>
      <x:c r="M233" s="8" t="n">
        <x:f>INDEX($K$388:$N$400,W233,1)*((J233-$T$405+1)/1000)^INDEX($K$388:$N$400,W233,2)</x:f>
        <x:v>156.5206267672954</x:v>
      </x:c>
      <x:c r="N233" s="8" t="n">
        <x:f>K233-M233</x:f>
        <x:v>-214.5206267672954</x:v>
      </x:c>
      <x:c r="O233" s="8" t="n">
        <x:f>ABS(N233)</x:f>
        <x:v>214.5206267672954</x:v>
      </x:c>
      <x:c r="P233" s="8" t="n">
        <x:f>N233^2</x:f>
        <x:v>46019.09930863325</x:v>
      </x:c>
      <x:c r="Q233" s="8" t="n">
        <x:f>K233-L233</x:f>
        <x:v>-1</x:v>
      </x:c>
      <x:c r="R233" s="9" t="n">
        <x:f>IF(AND(INDEX('Сводка'!$T$3:$T$397,U233)=0,INDEX('Сводка'!$T$3:$T$397,V233)=0),1,0)</x:f>
        <x:v>1</x:v>
      </x:c>
      <x:c r="S233" s="9" t="n">
        <x:f>IF(AND(R233=1,O233&lt;=$G$13),1,0)</x:f>
        <x:v>0</x:v>
      </x:c>
      <x:c r="T233" s="10" t="n">
        <x:f>EOMONTH(J233-'Сводка'!$B$11,-1)</x:f>
        <x:v>46081</x:v>
      </x:c>
      <x:c r="U233" s="4" t="n">
        <x:f>MATCH(J233,'Сводка'!$R$3:$R$397,0)</x:f>
        <x:v>244</x:v>
      </x:c>
      <x:c r="V233" s="4" t="n">
        <x:f>MATCH(J233-'Сводка'!$B$11,'Сводка'!$R$3:$R$397,0)</x:f>
        <x:v>243</x:v>
      </x:c>
      <x:c r="W233" s="4" t="n">
        <x:f>MATCH(T233,$J$388:$J$400,0)</x:f>
        <x:v>9</x:v>
      </x:c>
      <x:c r="X233" s="3"/>
      <x:c r="Y233" s="3"/>
      <x:c r="Z233" s="3"/>
    </x:row>
    <x:row r="234" ht="15" customHeight="1">
      <x:c r="A234" s="3"/>
      <x:c r="B234" s="3"/>
      <x:c r="C234" s="3"/>
      <x:c r="D234" s="3"/>
      <x:c r="E234" s="3"/>
      <x:c r="F234" s="3"/>
      <x:c r="G234" s="3"/>
      <x:c r="H234" s="3"/>
      <x:c r="I234" s="3"/>
      <x:c r="J234" s="10" t="n">
        <x:v>46085</x:v>
      </x:c>
      <x:c r="K234" s="8" t="n">
        <x:f>INDEX('Сводка'!$S$3:$S$397,U234)</x:f>
        <x:v>-58</x:v>
      </x:c>
      <x:c r="L234" s="8" t="n">
        <x:f>INDEX('Сводка'!$S$3:$S$397,V234)</x:f>
        <x:v>-58</x:v>
      </x:c>
      <x:c r="M234" s="8" t="n">
        <x:f>INDEX($K$388:$N$400,W234,1)*((J234-$T$405+1)/1000)^INDEX($K$388:$N$400,W234,2)</x:f>
        <x:v>156.53988064034843</x:v>
      </x:c>
      <x:c r="N234" s="8" t="n">
        <x:f>K234-M234</x:f>
        <x:v>-214.53988064034843</x:v>
      </x:c>
      <x:c r="O234" s="8" t="n">
        <x:f>ABS(N234)</x:f>
        <x:v>214.53988064034843</x:v>
      </x:c>
      <x:c r="P234" s="8" t="n">
        <x:f>N234^2</x:f>
        <x:v>46027.36038517495</x:v>
      </x:c>
      <x:c r="Q234" s="8" t="n">
        <x:f>K234-L234</x:f>
        <x:v>0</x:v>
      </x:c>
      <x:c r="R234" s="9" t="n">
        <x:f>IF(AND(INDEX('Сводка'!$T$3:$T$397,U234)=0,INDEX('Сводка'!$T$3:$T$397,V234)=0),1,0)</x:f>
        <x:v>1</x:v>
      </x:c>
      <x:c r="S234" s="9" t="n">
        <x:f>IF(AND(R234=1,O234&lt;=$G$13),1,0)</x:f>
        <x:v>0</x:v>
      </x:c>
      <x:c r="T234" s="10" t="n">
        <x:f>EOMONTH(J234-'Сводка'!$B$11,-1)</x:f>
        <x:v>46081</x:v>
      </x:c>
      <x:c r="U234" s="4" t="n">
        <x:f>MATCH(J234,'Сводка'!$R$3:$R$397,0)</x:f>
        <x:v>245</x:v>
      </x:c>
      <x:c r="V234" s="4" t="n">
        <x:f>MATCH(J234-'Сводка'!$B$11,'Сводка'!$R$3:$R$397,0)</x:f>
        <x:v>244</x:v>
      </x:c>
      <x:c r="W234" s="4" t="n">
        <x:f>MATCH(T234,$J$388:$J$400,0)</x:f>
        <x:v>9</x:v>
      </x:c>
      <x:c r="X234" s="3"/>
      <x:c r="Y234" s="3"/>
      <x:c r="Z234" s="3"/>
    </x:row>
    <x:row r="235" ht="15" customHeight="1">
      <x:c r="A235" s="3"/>
      <x:c r="B235" s="3"/>
      <x:c r="C235" s="3"/>
      <x:c r="D235" s="3"/>
      <x:c r="E235" s="3"/>
      <x:c r="F235" s="3"/>
      <x:c r="G235" s="3"/>
      <x:c r="H235" s="3"/>
      <x:c r="I235" s="3"/>
      <x:c r="J235" s="10" t="n">
        <x:v>46086</x:v>
      </x:c>
      <x:c r="K235" s="8" t="n">
        <x:f>INDEX('Сводка'!$S$3:$S$397,U235)</x:f>
        <x:v>-58</x:v>
      </x:c>
      <x:c r="L235" s="8" t="n">
        <x:f>INDEX('Сводка'!$S$3:$S$397,V235)</x:f>
        <x:v>-58</x:v>
      </x:c>
      <x:c r="M235" s="8" t="n">
        <x:f>INDEX($K$388:$N$400,W235,1)*((J235-$T$405+1)/1000)^INDEX($K$388:$N$400,W235,2)</x:f>
        <x:v>156.5591347008212</x:v>
      </x:c>
      <x:c r="N235" s="8" t="n">
        <x:f>K235-M235</x:f>
        <x:v>-214.5591347008212</x:v>
      </x:c>
      <x:c r="O235" s="8" t="n">
        <x:f>ABS(N235)</x:f>
        <x:v>214.5591347008212</x:v>
      </x:c>
      <x:c r="P235" s="8" t="n">
        <x:f>N235^2</x:f>
        <x:v>46035.622283565135</x:v>
      </x:c>
      <x:c r="Q235" s="8" t="n">
        <x:f>K235-L235</x:f>
        <x:v>0</x:v>
      </x:c>
      <x:c r="R235" s="9" t="n">
        <x:f>IF(AND(INDEX('Сводка'!$T$3:$T$397,U235)=0,INDEX('Сводка'!$T$3:$T$397,V235)=0),1,0)</x:f>
        <x:v>1</x:v>
      </x:c>
      <x:c r="S235" s="9" t="n">
        <x:f>IF(AND(R235=1,O235&lt;=$G$13),1,0)</x:f>
        <x:v>0</x:v>
      </x:c>
      <x:c r="T235" s="10" t="n">
        <x:f>EOMONTH(J235-'Сводка'!$B$11,-1)</x:f>
        <x:v>46081</x:v>
      </x:c>
      <x:c r="U235" s="4" t="n">
        <x:f>MATCH(J235,'Сводка'!$R$3:$R$397,0)</x:f>
        <x:v>246</x:v>
      </x:c>
      <x:c r="V235" s="4" t="n">
        <x:f>MATCH(J235-'Сводка'!$B$11,'Сводка'!$R$3:$R$397,0)</x:f>
        <x:v>245</x:v>
      </x:c>
      <x:c r="W235" s="4" t="n">
        <x:f>MATCH(T235,$J$388:$J$400,0)</x:f>
        <x:v>9</x:v>
      </x:c>
      <x:c r="X235" s="3"/>
      <x:c r="Y235" s="3"/>
      <x:c r="Z235" s="3"/>
    </x:row>
    <x:row r="236" ht="15" customHeight="1">
      <x:c r="A236" s="3"/>
      <x:c r="B236" s="3"/>
      <x:c r="C236" s="3"/>
      <x:c r="D236" s="3"/>
      <x:c r="E236" s="3"/>
      <x:c r="F236" s="3"/>
      <x:c r="G236" s="3"/>
      <x:c r="H236" s="3"/>
      <x:c r="I236" s="3"/>
      <x:c r="J236" s="10" t="n">
        <x:v>46087</x:v>
      </x:c>
      <x:c r="K236" s="8" t="n">
        <x:f>INDEX('Сводка'!$S$3:$S$397,U236)</x:f>
        <x:v>-57</x:v>
      </x:c>
      <x:c r="L236" s="8" t="n">
        <x:f>INDEX('Сводка'!$S$3:$S$397,V236)</x:f>
        <x:v>-58</x:v>
      </x:c>
      <x:c r="M236" s="8" t="n">
        <x:f>INDEX($K$388:$N$400,W236,1)*((J236-$T$405+1)/1000)^INDEX($K$388:$N$400,W236,2)</x:f>
        <x:v>156.57838894869442</x:v>
      </x:c>
      <x:c r="N236" s="8" t="n">
        <x:f>K236-M236</x:f>
        <x:v>-213.57838894869442</x:v>
      </x:c>
      <x:c r="O236" s="8" t="n">
        <x:f>ABS(N236)</x:f>
        <x:v>213.57838894869442</x:v>
      </x:c>
      <x:c r="P236" s="8" t="n">
        <x:f>N236^2</x:f>
        <x:v>45615.7282259198</x:v>
      </x:c>
      <x:c r="Q236" s="8" t="n">
        <x:f>K236-L236</x:f>
        <x:v>1</x:v>
      </x:c>
      <x:c r="R236" s="9" t="n">
        <x:f>IF(AND(INDEX('Сводка'!$T$3:$T$397,U236)=0,INDEX('Сводка'!$T$3:$T$397,V236)=0),1,0)</x:f>
        <x:v>1</x:v>
      </x:c>
      <x:c r="S236" s="9" t="n">
        <x:f>IF(AND(R236=1,O236&lt;=$G$13),1,0)</x:f>
        <x:v>0</x:v>
      </x:c>
      <x:c r="T236" s="10" t="n">
        <x:f>EOMONTH(J236-'Сводка'!$B$11,-1)</x:f>
        <x:v>46081</x:v>
      </x:c>
      <x:c r="U236" s="4" t="n">
        <x:f>MATCH(J236,'Сводка'!$R$3:$R$397,0)</x:f>
        <x:v>247</x:v>
      </x:c>
      <x:c r="V236" s="4" t="n">
        <x:f>MATCH(J236-'Сводка'!$B$11,'Сводка'!$R$3:$R$397,0)</x:f>
        <x:v>246</x:v>
      </x:c>
      <x:c r="W236" s="4" t="n">
        <x:f>MATCH(T236,$J$388:$J$400,0)</x:f>
        <x:v>9</x:v>
      </x:c>
      <x:c r="X236" s="3"/>
      <x:c r="Y236" s="3"/>
      <x:c r="Z236" s="3"/>
    </x:row>
    <x:row r="237" ht="15" customHeight="1">
      <x:c r="A237" s="3"/>
      <x:c r="B237" s="3"/>
      <x:c r="C237" s="3"/>
      <x:c r="D237" s="3"/>
      <x:c r="E237" s="3"/>
      <x:c r="F237" s="3"/>
      <x:c r="G237" s="3"/>
      <x:c r="H237" s="3"/>
      <x:c r="I237" s="3"/>
      <x:c r="J237" s="10" t="n">
        <x:v>46088</x:v>
      </x:c>
      <x:c r="K237" s="8" t="n">
        <x:f>INDEX('Сводка'!$S$3:$S$397,U237)</x:f>
        <x:v>-57</x:v>
      </x:c>
      <x:c r="L237" s="8" t="n">
        <x:f>INDEX('Сводка'!$S$3:$S$397,V237)</x:f>
        <x:v>-57</x:v>
      </x:c>
      <x:c r="M237" s="8" t="n">
        <x:f>INDEX($K$388:$N$400,W237,1)*((J237-$T$405+1)/1000)^INDEX($K$388:$N$400,W237,2)</x:f>
        <x:v>156.59764338394865</x:v>
      </x:c>
      <x:c r="N237" s="8" t="n">
        <x:f>K237-M237</x:f>
        <x:v>-213.59764338394865</x:v>
      </x:c>
      <x:c r="O237" s="8" t="n">
        <x:f>ABS(N237)</x:f>
        <x:v>213.59764338394865</x:v>
      </x:c>
      <x:c r="P237" s="8" t="n">
        <x:f>N237^2</x:f>
        <x:v>45623.9532591765</x:v>
      </x:c>
      <x:c r="Q237" s="8" t="n">
        <x:f>K237-L237</x:f>
        <x:v>0</x:v>
      </x:c>
      <x:c r="R237" s="9" t="n">
        <x:f>IF(AND(INDEX('Сводка'!$T$3:$T$397,U237)=0,INDEX('Сводка'!$T$3:$T$397,V237)=0),1,0)</x:f>
        <x:v>1</x:v>
      </x:c>
      <x:c r="S237" s="9" t="n">
        <x:f>IF(AND(R237=1,O237&lt;=$G$13),1,0)</x:f>
        <x:v>0</x:v>
      </x:c>
      <x:c r="T237" s="10" t="n">
        <x:f>EOMONTH(J237-'Сводка'!$B$11,-1)</x:f>
        <x:v>46081</x:v>
      </x:c>
      <x:c r="U237" s="4" t="n">
        <x:f>MATCH(J237,'Сводка'!$R$3:$R$397,0)</x:f>
        <x:v>248</x:v>
      </x:c>
      <x:c r="V237" s="4" t="n">
        <x:f>MATCH(J237-'Сводка'!$B$11,'Сводка'!$R$3:$R$397,0)</x:f>
        <x:v>247</x:v>
      </x:c>
      <x:c r="W237" s="4" t="n">
        <x:f>MATCH(T237,$J$388:$J$400,0)</x:f>
        <x:v>9</x:v>
      </x:c>
      <x:c r="X237" s="3"/>
      <x:c r="Y237" s="3"/>
      <x:c r="Z237" s="3"/>
    </x:row>
    <x:row r="238" ht="15" customHeight="1">
      <x:c r="A238" s="3"/>
      <x:c r="B238" s="3"/>
      <x:c r="C238" s="3"/>
      <x:c r="D238" s="3"/>
      <x:c r="E238" s="3"/>
      <x:c r="F238" s="3"/>
      <x:c r="G238" s="3"/>
      <x:c r="H238" s="3"/>
      <x:c r="I238" s="3"/>
      <x:c r="J238" s="10" t="n">
        <x:v>46089</x:v>
      </x:c>
      <x:c r="K238" s="8" t="n">
        <x:f>INDEX('Сводка'!$S$3:$S$397,U238)</x:f>
        <x:v>-59</x:v>
      </x:c>
      <x:c r="L238" s="8" t="n">
        <x:f>INDEX('Сводка'!$S$3:$S$397,V238)</x:f>
        <x:v>-57</x:v>
      </x:c>
      <x:c r="M238" s="8" t="n">
        <x:f>INDEX($K$388:$N$400,W238,1)*((J238-$T$405+1)/1000)^INDEX($K$388:$N$400,W238,2)</x:f>
        <x:v>156.6168980065645</x:v>
      </x:c>
      <x:c r="N238" s="8" t="n">
        <x:f>K238-M238</x:f>
        <x:v>-215.6168980065645</x:v>
      </x:c>
      <x:c r="O238" s="8" t="n">
        <x:f>ABS(N238)</x:f>
        <x:v>215.6168980065645</x:v>
      </x:c>
      <x:c r="P238" s="8" t="n">
        <x:f>N238^2</x:f>
        <x:v>46490.64670597324</x:v>
      </x:c>
      <x:c r="Q238" s="8" t="n">
        <x:f>K238-L238</x:f>
        <x:v>-2</x:v>
      </x:c>
      <x:c r="R238" s="9" t="n">
        <x:f>IF(AND(INDEX('Сводка'!$T$3:$T$397,U238)=0,INDEX('Сводка'!$T$3:$T$397,V238)=0),1,0)</x:f>
        <x:v>1</x:v>
      </x:c>
      <x:c r="S238" s="9" t="n">
        <x:f>IF(AND(R238=1,O238&lt;=$G$13),1,0)</x:f>
        <x:v>0</x:v>
      </x:c>
      <x:c r="T238" s="10" t="n">
        <x:f>EOMONTH(J238-'Сводка'!$B$11,-1)</x:f>
        <x:v>46081</x:v>
      </x:c>
      <x:c r="U238" s="4" t="n">
        <x:f>MATCH(J238,'Сводка'!$R$3:$R$397,0)</x:f>
        <x:v>249</x:v>
      </x:c>
      <x:c r="V238" s="4" t="n">
        <x:f>MATCH(J238-'Сводка'!$B$11,'Сводка'!$R$3:$R$397,0)</x:f>
        <x:v>248</x:v>
      </x:c>
      <x:c r="W238" s="4" t="n">
        <x:f>MATCH(T238,$J$388:$J$400,0)</x:f>
        <x:v>9</x:v>
      </x:c>
      <x:c r="X238" s="3"/>
      <x:c r="Y238" s="3"/>
      <x:c r="Z238" s="3"/>
    </x:row>
    <x:row r="239" ht="15" customHeight="1">
      <x:c r="A239" s="3"/>
      <x:c r="B239" s="3"/>
      <x:c r="C239" s="3"/>
      <x:c r="D239" s="3"/>
      <x:c r="E239" s="3"/>
      <x:c r="F239" s="3"/>
      <x:c r="G239" s="3"/>
      <x:c r="H239" s="3"/>
      <x:c r="I239" s="3"/>
      <x:c r="J239" s="10" t="n">
        <x:v>46090</x:v>
      </x:c>
      <x:c r="K239" s="8" t="n">
        <x:f>INDEX('Сводка'!$S$3:$S$397,U239)</x:f>
        <x:v>-61</x:v>
      </x:c>
      <x:c r="L239" s="8" t="n">
        <x:f>INDEX('Сводка'!$S$3:$S$397,V239)</x:f>
        <x:v>-59</x:v>
      </x:c>
      <x:c r="M239" s="8" t="n">
        <x:f>INDEX($K$388:$N$400,W239,1)*((J239-$T$405+1)/1000)^INDEX($K$388:$N$400,W239,2)</x:f>
        <x:v>156.63615281652258</x:v>
      </x:c>
      <x:c r="N239" s="8" t="n">
        <x:f>K239-M239</x:f>
        <x:v>-217.63615281652258</x:v>
      </x:c>
      <x:c r="O239" s="8" t="n">
        <x:f>ABS(N239)</x:f>
        <x:v>217.63615281652258</x:v>
      </x:c>
      <x:c r="P239" s="8" t="n">
        <x:f>N239^2</x:f>
        <x:v>47365.49501277677</x:v>
      </x:c>
      <x:c r="Q239" s="8" t="n">
        <x:f>K239-L239</x:f>
        <x:v>-2</x:v>
      </x:c>
      <x:c r="R239" s="9" t="n">
        <x:f>IF(AND(INDEX('Сводка'!$T$3:$T$397,U239)=0,INDEX('Сводка'!$T$3:$T$397,V239)=0),1,0)</x:f>
        <x:v>1</x:v>
      </x:c>
      <x:c r="S239" s="9" t="n">
        <x:f>IF(AND(R239=1,O239&lt;=$G$13),1,0)</x:f>
        <x:v>0</x:v>
      </x:c>
      <x:c r="T239" s="10" t="n">
        <x:f>EOMONTH(J239-'Сводка'!$B$11,-1)</x:f>
        <x:v>46081</x:v>
      </x:c>
      <x:c r="U239" s="4" t="n">
        <x:f>MATCH(J239,'Сводка'!$R$3:$R$397,0)</x:f>
        <x:v>250</x:v>
      </x:c>
      <x:c r="V239" s="4" t="n">
        <x:f>MATCH(J239-'Сводка'!$B$11,'Сводка'!$R$3:$R$397,0)</x:f>
        <x:v>249</x:v>
      </x:c>
      <x:c r="W239" s="4" t="n">
        <x:f>MATCH(T239,$J$388:$J$400,0)</x:f>
        <x:v>9</x:v>
      </x:c>
      <x:c r="X239" s="3"/>
      <x:c r="Y239" s="3"/>
      <x:c r="Z239" s="3"/>
    </x:row>
    <x:row r="240" ht="15" customHeight="1">
      <x:c r="A240" s="3"/>
      <x:c r="B240" s="3"/>
      <x:c r="C240" s="3"/>
      <x:c r="D240" s="3"/>
      <x:c r="E240" s="3"/>
      <x:c r="F240" s="3"/>
      <x:c r="G240" s="3"/>
      <x:c r="H240" s="3"/>
      <x:c r="I240" s="3"/>
      <x:c r="J240" s="10" t="n">
        <x:v>46091</x:v>
      </x:c>
      <x:c r="K240" s="8" t="n">
        <x:f>INDEX('Сводка'!$S$3:$S$397,U240)</x:f>
        <x:v>-64</x:v>
      </x:c>
      <x:c r="L240" s="8" t="n">
        <x:f>INDEX('Сводка'!$S$3:$S$397,V240)</x:f>
        <x:v>-61</x:v>
      </x:c>
      <x:c r="M240" s="8" t="n">
        <x:f>INDEX($K$388:$N$400,W240,1)*((J240-$T$405+1)/1000)^INDEX($K$388:$N$400,W240,2)</x:f>
        <x:v>156.65540781380352</x:v>
      </x:c>
      <x:c r="N240" s="8" t="n">
        <x:f>K240-M240</x:f>
        <x:v>-220.65540781380352</x:v>
      </x:c>
      <x:c r="O240" s="8" t="n">
        <x:f>ABS(N240)</x:f>
        <x:v>220.65540781380352</x:v>
      </x:c>
      <x:c r="P240" s="8" t="n">
        <x:f>N240^2</x:f>
        <x:v>48688.80899747594</x:v>
      </x:c>
      <x:c r="Q240" s="8" t="n">
        <x:f>K240-L240</x:f>
        <x:v>-3</x:v>
      </x:c>
      <x:c r="R240" s="9" t="n">
        <x:f>IF(AND(INDEX('Сводка'!$T$3:$T$397,U240)=0,INDEX('Сводка'!$T$3:$T$397,V240)=0),1,0)</x:f>
        <x:v>1</x:v>
      </x:c>
      <x:c r="S240" s="9" t="n">
        <x:f>IF(AND(R240=1,O240&lt;=$G$13),1,0)</x:f>
        <x:v>0</x:v>
      </x:c>
      <x:c r="T240" s="10" t="n">
        <x:f>EOMONTH(J240-'Сводка'!$B$11,-1)</x:f>
        <x:v>46081</x:v>
      </x:c>
      <x:c r="U240" s="4" t="n">
        <x:f>MATCH(J240,'Сводка'!$R$3:$R$397,0)</x:f>
        <x:v>251</x:v>
      </x:c>
      <x:c r="V240" s="4" t="n">
        <x:f>MATCH(J240-'Сводка'!$B$11,'Сводка'!$R$3:$R$397,0)</x:f>
        <x:v>250</x:v>
      </x:c>
      <x:c r="W240" s="4" t="n">
        <x:f>MATCH(T240,$J$388:$J$400,0)</x:f>
        <x:v>9</x:v>
      </x:c>
      <x:c r="X240" s="3"/>
      <x:c r="Y240" s="3"/>
      <x:c r="Z240" s="3"/>
    </x:row>
    <x:row r="241" ht="15" customHeight="1">
      <x:c r="A241" s="3"/>
      <x:c r="B241" s="3"/>
      <x:c r="C241" s="3"/>
      <x:c r="D241" s="3"/>
      <x:c r="E241" s="3"/>
      <x:c r="F241" s="3"/>
      <x:c r="G241" s="3"/>
      <x:c r="H241" s="3"/>
      <x:c r="I241" s="3"/>
      <x:c r="J241" s="10" t="n">
        <x:v>46092</x:v>
      </x:c>
      <x:c r="K241" s="8" t="n">
        <x:f>INDEX('Сводка'!$S$3:$S$397,U241)</x:f>
        <x:v>-69</x:v>
      </x:c>
      <x:c r="L241" s="8" t="n">
        <x:f>INDEX('Сводка'!$S$3:$S$397,V241)</x:f>
        <x:v>-64</x:v>
      </x:c>
      <x:c r="M241" s="8" t="n">
        <x:f>INDEX($K$388:$N$400,W241,1)*((J241-$T$405+1)/1000)^INDEX($K$388:$N$400,W241,2)</x:f>
        <x:v>156.67466299838793</x:v>
      </x:c>
      <x:c r="N241" s="8" t="n">
        <x:f>K241-M241</x:f>
        <x:v>-225.67466299838793</x:v>
      </x:c>
      <x:c r="O241" s="8" t="n">
        <x:f>ABS(N241)</x:f>
        <x:v>225.67466299838793</x:v>
      </x:c>
      <x:c r="P241" s="8" t="n">
        <x:f>N241^2</x:f>
        <x:v>50929.05351943596</x:v>
      </x:c>
      <x:c r="Q241" s="8" t="n">
        <x:f>K241-L241</x:f>
        <x:v>-5</x:v>
      </x:c>
      <x:c r="R241" s="9" t="n">
        <x:f>IF(AND(INDEX('Сводка'!$T$3:$T$397,U241)=0,INDEX('Сводка'!$T$3:$T$397,V241)=0),1,0)</x:f>
        <x:v>1</x:v>
      </x:c>
      <x:c r="S241" s="9" t="n">
        <x:f>IF(AND(R241=1,O241&lt;=$G$13),1,0)</x:f>
        <x:v>0</x:v>
      </x:c>
      <x:c r="T241" s="10" t="n">
        <x:f>EOMONTH(J241-'Сводка'!$B$11,-1)</x:f>
        <x:v>46081</x:v>
      </x:c>
      <x:c r="U241" s="4" t="n">
        <x:f>MATCH(J241,'Сводка'!$R$3:$R$397,0)</x:f>
        <x:v>252</x:v>
      </x:c>
      <x:c r="V241" s="4" t="n">
        <x:f>MATCH(J241-'Сводка'!$B$11,'Сводка'!$R$3:$R$397,0)</x:f>
        <x:v>251</x:v>
      </x:c>
      <x:c r="W241" s="4" t="n">
        <x:f>MATCH(T241,$J$388:$J$400,0)</x:f>
        <x:v>9</x:v>
      </x:c>
      <x:c r="X241" s="3"/>
      <x:c r="Y241" s="3"/>
      <x:c r="Z241" s="3"/>
    </x:row>
    <x:row r="242" ht="15" customHeight="1">
      <x:c r="A242" s="3"/>
      <x:c r="B242" s="3"/>
      <x:c r="C242" s="3"/>
      <x:c r="D242" s="3"/>
      <x:c r="E242" s="3"/>
      <x:c r="F242" s="3"/>
      <x:c r="G242" s="3"/>
      <x:c r="H242" s="3"/>
      <x:c r="I242" s="3"/>
      <x:c r="J242" s="10" t="n">
        <x:v>46093</x:v>
      </x:c>
      <x:c r="K242" s="8" t="n">
        <x:f>INDEX('Сводка'!$S$3:$S$397,U242)</x:f>
        <x:v>-73</x:v>
      </x:c>
      <x:c r="L242" s="8" t="n">
        <x:f>INDEX('Сводка'!$S$3:$S$397,V242)</x:f>
        <x:v>-69</x:v>
      </x:c>
      <x:c r="M242" s="8" t="n">
        <x:f>INDEX($K$388:$N$400,W242,1)*((J242-$T$405+1)/1000)^INDEX($K$388:$N$400,W242,2)</x:f>
        <x:v>156.69391837025637</x:v>
      </x:c>
      <x:c r="N242" s="8" t="n">
        <x:f>K242-M242</x:f>
        <x:v>-229.69391837025637</x:v>
      </x:c>
      <x:c r="O242" s="8" t="n">
        <x:f>ABS(N242)</x:f>
        <x:v>229.69391837025637</x:v>
      </x:c>
      <x:c r="P242" s="8" t="n">
        <x:f>N242^2</x:f>
        <x:v>52759.296136282</x:v>
      </x:c>
      <x:c r="Q242" s="8" t="n">
        <x:f>K242-L242</x:f>
        <x:v>-4</x:v>
      </x:c>
      <x:c r="R242" s="9" t="n">
        <x:f>IF(AND(INDEX('Сводка'!$T$3:$T$397,U242)=0,INDEX('Сводка'!$T$3:$T$397,V242)=0),1,0)</x:f>
        <x:v>1</x:v>
      </x:c>
      <x:c r="S242" s="9" t="n">
        <x:f>IF(AND(R242=1,O242&lt;=$G$13),1,0)</x:f>
        <x:v>0</x:v>
      </x:c>
      <x:c r="T242" s="10" t="n">
        <x:f>EOMONTH(J242-'Сводка'!$B$11,-1)</x:f>
        <x:v>46081</x:v>
      </x:c>
      <x:c r="U242" s="4" t="n">
        <x:f>MATCH(J242,'Сводка'!$R$3:$R$397,0)</x:f>
        <x:v>253</x:v>
      </x:c>
      <x:c r="V242" s="4" t="n">
        <x:f>MATCH(J242-'Сводка'!$B$11,'Сводка'!$R$3:$R$397,0)</x:f>
        <x:v>252</x:v>
      </x:c>
      <x:c r="W242" s="4" t="n">
        <x:f>MATCH(T242,$J$388:$J$400,0)</x:f>
        <x:v>9</x:v>
      </x:c>
      <x:c r="X242" s="3"/>
      <x:c r="Y242" s="3"/>
      <x:c r="Z242" s="3"/>
    </x:row>
    <x:row r="243" ht="15" customHeight="1">
      <x:c r="A243" s="3"/>
      <x:c r="B243" s="3"/>
      <x:c r="C243" s="3"/>
      <x:c r="D243" s="3"/>
      <x:c r="E243" s="3"/>
      <x:c r="F243" s="3"/>
      <x:c r="G243" s="3"/>
      <x:c r="H243" s="3"/>
      <x:c r="I243" s="3"/>
      <x:c r="J243" s="10" t="n">
        <x:v>46094</x:v>
      </x:c>
      <x:c r="K243" s="8" t="n">
        <x:f>INDEX('Сводка'!$S$3:$S$397,U243)</x:f>
        <x:v>-73</x:v>
      </x:c>
      <x:c r="L243" s="8" t="n">
        <x:f>INDEX('Сводка'!$S$3:$S$397,V243)</x:f>
        <x:v>-73</x:v>
      </x:c>
      <x:c r="M243" s="8" t="n">
        <x:f>INDEX($K$388:$N$400,W243,1)*((J243-$T$405+1)/1000)^INDEX($K$388:$N$400,W243,2)</x:f>
        <x:v>156.71317392938957</x:v>
      </x:c>
      <x:c r="N243" s="8" t="n">
        <x:f>K243-M243</x:f>
        <x:v>-229.71317392938957</x:v>
      </x:c>
      <x:c r="O243" s="8" t="n">
        <x:f>ABS(N243)</x:f>
        <x:v>229.71317392938957</x:v>
      </x:c>
      <x:c r="P243" s="8" t="n">
        <x:f>N243^2</x:f>
        <x:v>52768.14227671398</x:v>
      </x:c>
      <x:c r="Q243" s="8" t="n">
        <x:f>K243-L243</x:f>
        <x:v>0</x:v>
      </x:c>
      <x:c r="R243" s="9" t="n">
        <x:f>IF(AND(INDEX('Сводка'!$T$3:$T$397,U243)=0,INDEX('Сводка'!$T$3:$T$397,V243)=0),1,0)</x:f>
        <x:v>1</x:v>
      </x:c>
      <x:c r="S243" s="9" t="n">
        <x:f>IF(AND(R243=1,O243&lt;=$G$13),1,0)</x:f>
        <x:v>0</x:v>
      </x:c>
      <x:c r="T243" s="10" t="n">
        <x:f>EOMONTH(J243-'Сводка'!$B$11,-1)</x:f>
        <x:v>46081</x:v>
      </x:c>
      <x:c r="U243" s="4" t="n">
        <x:f>MATCH(J243,'Сводка'!$R$3:$R$397,0)</x:f>
        <x:v>254</x:v>
      </x:c>
      <x:c r="V243" s="4" t="n">
        <x:f>MATCH(J243-'Сводка'!$B$11,'Сводка'!$R$3:$R$397,0)</x:f>
        <x:v>253</x:v>
      </x:c>
      <x:c r="W243" s="4" t="n">
        <x:f>MATCH(T243,$J$388:$J$400,0)</x:f>
        <x:v>9</x:v>
      </x:c>
      <x:c r="X243" s="3"/>
      <x:c r="Y243" s="3"/>
      <x:c r="Z243" s="3"/>
    </x:row>
    <x:row r="244" ht="15" customHeight="1">
      <x:c r="A244" s="3"/>
      <x:c r="B244" s="3"/>
      <x:c r="C244" s="3"/>
      <x:c r="D244" s="3"/>
      <x:c r="E244" s="3"/>
      <x:c r="F244" s="3"/>
      <x:c r="G244" s="3"/>
      <x:c r="H244" s="3"/>
      <x:c r="I244" s="3"/>
      <x:c r="J244" s="10" t="n">
        <x:v>46095</x:v>
      </x:c>
      <x:c r="K244" s="8" t="n">
        <x:f>INDEX('Сводка'!$S$3:$S$397,U244)</x:f>
        <x:v>-75</x:v>
      </x:c>
      <x:c r="L244" s="8" t="n">
        <x:f>INDEX('Сводка'!$S$3:$S$397,V244)</x:f>
        <x:v>-73</x:v>
      </x:c>
      <x:c r="M244" s="8" t="n">
        <x:f>INDEX($K$388:$N$400,W244,1)*((J244-$T$405+1)/1000)^INDEX($K$388:$N$400,W244,2)</x:f>
        <x:v>156.73242967576815</x:v>
      </x:c>
      <x:c r="N244" s="8" t="n">
        <x:f>K244-M244</x:f>
        <x:v>-231.73242967576815</x:v>
      </x:c>
      <x:c r="O244" s="8" t="n">
        <x:f>ABS(N244)</x:f>
        <x:v>231.73242967576815</x:v>
      </x:c>
      <x:c r="P244" s="8" t="n">
        <x:f>N244^2</x:f>
        <x:v>53699.91896343483</x:v>
      </x:c>
      <x:c r="Q244" s="8" t="n">
        <x:f>K244-L244</x:f>
        <x:v>-2</x:v>
      </x:c>
      <x:c r="R244" s="9" t="n">
        <x:f>IF(AND(INDEX('Сводка'!$T$3:$T$397,U244)=0,INDEX('Сводка'!$T$3:$T$397,V244)=0),1,0)</x:f>
        <x:v>1</x:v>
      </x:c>
      <x:c r="S244" s="9" t="n">
        <x:f>IF(AND(R244=1,O244&lt;=$G$13),1,0)</x:f>
        <x:v>0</x:v>
      </x:c>
      <x:c r="T244" s="10" t="n">
        <x:f>EOMONTH(J244-'Сводка'!$B$11,-1)</x:f>
        <x:v>46081</x:v>
      </x:c>
      <x:c r="U244" s="4" t="n">
        <x:f>MATCH(J244,'Сводка'!$R$3:$R$397,0)</x:f>
        <x:v>255</x:v>
      </x:c>
      <x:c r="V244" s="4" t="n">
        <x:f>MATCH(J244-'Сводка'!$B$11,'Сводка'!$R$3:$R$397,0)</x:f>
        <x:v>254</x:v>
      </x:c>
      <x:c r="W244" s="4" t="n">
        <x:f>MATCH(T244,$J$388:$J$400,0)</x:f>
        <x:v>9</x:v>
      </x:c>
      <x:c r="X244" s="3"/>
      <x:c r="Y244" s="3"/>
      <x:c r="Z244" s="3"/>
    </x:row>
    <x:row r="245" ht="15" customHeight="1">
      <x:c r="A245" s="3"/>
      <x:c r="B245" s="3"/>
      <x:c r="C245" s="3"/>
      <x:c r="D245" s="3"/>
      <x:c r="E245" s="3"/>
      <x:c r="F245" s="3"/>
      <x:c r="G245" s="3"/>
      <x:c r="H245" s="3"/>
      <x:c r="I245" s="3"/>
      <x:c r="J245" s="10" t="n">
        <x:v>46096</x:v>
      </x:c>
      <x:c r="K245" s="8" t="n">
        <x:f>INDEX('Сводка'!$S$3:$S$397,U245)</x:f>
        <x:v>-76</x:v>
      </x:c>
      <x:c r="L245" s="8" t="n">
        <x:f>INDEX('Сводка'!$S$3:$S$397,V245)</x:f>
        <x:v>-75</x:v>
      </x:c>
      <x:c r="M245" s="8" t="n">
        <x:f>INDEX($K$388:$N$400,W245,1)*((J245-$T$405+1)/1000)^INDEX($K$388:$N$400,W245,2)</x:f>
        <x:v>156.7516856093727</x:v>
      </x:c>
      <x:c r="N245" s="8" t="n">
        <x:f>K245-M245</x:f>
        <x:v>-232.7516856093727</x:v>
      </x:c>
      <x:c r="O245" s="8" t="n">
        <x:f>ABS(N245)</x:f>
        <x:v>232.7516856093727</x:v>
      </x:c>
      <x:c r="P245" s="8" t="n">
        <x:f>N245^2</x:f>
        <x:v>54173.34715400427</x:v>
      </x:c>
      <x:c r="Q245" s="8" t="n">
        <x:f>K245-L245</x:f>
        <x:v>-1</x:v>
      </x:c>
      <x:c r="R245" s="9" t="n">
        <x:f>IF(AND(INDEX('Сводка'!$T$3:$T$397,U245)=0,INDEX('Сводка'!$T$3:$T$397,V245)=0),1,0)</x:f>
        <x:v>1</x:v>
      </x:c>
      <x:c r="S245" s="9" t="n">
        <x:f>IF(AND(R245=1,O245&lt;=$G$13),1,0)</x:f>
        <x:v>0</x:v>
      </x:c>
      <x:c r="T245" s="10" t="n">
        <x:f>EOMONTH(J245-'Сводка'!$B$11,-1)</x:f>
        <x:v>46081</x:v>
      </x:c>
      <x:c r="U245" s="4" t="n">
        <x:f>MATCH(J245,'Сводка'!$R$3:$R$397,0)</x:f>
        <x:v>256</x:v>
      </x:c>
      <x:c r="V245" s="4" t="n">
        <x:f>MATCH(J245-'Сводка'!$B$11,'Сводка'!$R$3:$R$397,0)</x:f>
        <x:v>255</x:v>
      </x:c>
      <x:c r="W245" s="4" t="n">
        <x:f>MATCH(T245,$J$388:$J$400,0)</x:f>
        <x:v>9</x:v>
      </x:c>
      <x:c r="X245" s="3"/>
      <x:c r="Y245" s="3"/>
      <x:c r="Z245" s="3"/>
    </x:row>
    <x:row r="246" ht="15" customHeight="1">
      <x:c r="A246" s="3"/>
      <x:c r="B246" s="3"/>
      <x:c r="C246" s="3"/>
      <x:c r="D246" s="3"/>
      <x:c r="E246" s="3"/>
      <x:c r="F246" s="3"/>
      <x:c r="G246" s="3"/>
      <x:c r="H246" s="3"/>
      <x:c r="I246" s="3"/>
      <x:c r="J246" s="10" t="n">
        <x:v>46097</x:v>
      </x:c>
      <x:c r="K246" s="8" t="n">
        <x:f>INDEX('Сводка'!$S$3:$S$397,U246)</x:f>
        <x:v>-76</x:v>
      </x:c>
      <x:c r="L246" s="8" t="n">
        <x:f>INDEX('Сводка'!$S$3:$S$397,V246)</x:f>
        <x:v>-76</x:v>
      </x:c>
      <x:c r="M246" s="8" t="n">
        <x:f>INDEX($K$388:$N$400,W246,1)*((J246-$T$405+1)/1000)^INDEX($K$388:$N$400,W246,2)</x:f>
        <x:v>156.77094173018386</x:v>
      </x:c>
      <x:c r="N246" s="8" t="n">
        <x:f>K246-M246</x:f>
        <x:v>-232.77094173018386</x:v>
      </x:c>
      <x:c r="O246" s="8" t="n">
        <x:f>ABS(N246)</x:f>
        <x:v>232.77094173018386</x:v>
      </x:c>
      <x:c r="P246" s="8" t="n">
        <x:f>N246^2</x:f>
        <x:v>54182.31131395665</x:v>
      </x:c>
      <x:c r="Q246" s="8" t="n">
        <x:f>K246-L246</x:f>
        <x:v>0</x:v>
      </x:c>
      <x:c r="R246" s="9" t="n">
        <x:f>IF(AND(INDEX('Сводка'!$T$3:$T$397,U246)=0,INDEX('Сводка'!$T$3:$T$397,V246)=0),1,0)</x:f>
        <x:v>1</x:v>
      </x:c>
      <x:c r="S246" s="9" t="n">
        <x:f>IF(AND(R246=1,O246&lt;=$G$13),1,0)</x:f>
        <x:v>0</x:v>
      </x:c>
      <x:c r="T246" s="10" t="n">
        <x:f>EOMONTH(J246-'Сводка'!$B$11,-1)</x:f>
        <x:v>46081</x:v>
      </x:c>
      <x:c r="U246" s="4" t="n">
        <x:f>MATCH(J246,'Сводка'!$R$3:$R$397,0)</x:f>
        <x:v>257</x:v>
      </x:c>
      <x:c r="V246" s="4" t="n">
        <x:f>MATCH(J246-'Сводка'!$B$11,'Сводка'!$R$3:$R$397,0)</x:f>
        <x:v>256</x:v>
      </x:c>
      <x:c r="W246" s="4" t="n">
        <x:f>MATCH(T246,$J$388:$J$400,0)</x:f>
        <x:v>9</x:v>
      </x:c>
      <x:c r="X246" s="3"/>
      <x:c r="Y246" s="3"/>
      <x:c r="Z246" s="3"/>
    </x:row>
    <x:row r="247" ht="15" customHeight="1">
      <x:c r="A247" s="3"/>
      <x:c r="B247" s="3"/>
      <x:c r="C247" s="3"/>
      <x:c r="D247" s="3"/>
      <x:c r="E247" s="3"/>
      <x:c r="F247" s="3"/>
      <x:c r="G247" s="3"/>
      <x:c r="H247" s="3"/>
      <x:c r="I247" s="3"/>
      <x:c r="J247" s="10" t="n">
        <x:v>46098</x:v>
      </x:c>
      <x:c r="K247" s="8" t="n">
        <x:f>INDEX('Сводка'!$S$3:$S$397,U247)</x:f>
        <x:v>-76</x:v>
      </x:c>
      <x:c r="L247" s="8" t="n">
        <x:f>INDEX('Сводка'!$S$3:$S$397,V247)</x:f>
        <x:v>-76</x:v>
      </x:c>
      <x:c r="M247" s="8" t="n">
        <x:f>INDEX($K$388:$N$400,W247,1)*((J247-$T$405+1)/1000)^INDEX($K$388:$N$400,W247,2)</x:f>
        <x:v>156.79019803818233</x:v>
      </x:c>
      <x:c r="N247" s="8" t="n">
        <x:f>K247-M247</x:f>
        <x:v>-232.79019803818233</x:v>
      </x:c>
      <x:c r="O247" s="8" t="n">
        <x:f>ABS(N247)</x:f>
        <x:v>232.79019803818233</x:v>
      </x:c>
      <x:c r="P247" s="8" t="n">
        <x:f>N247^2</x:f>
        <x:v>54191.276302656144</x:v>
      </x:c>
      <x:c r="Q247" s="8" t="n">
        <x:f>K247-L247</x:f>
        <x:v>0</x:v>
      </x:c>
      <x:c r="R247" s="9" t="n">
        <x:f>IF(AND(INDEX('Сводка'!$T$3:$T$397,U247)=0,INDEX('Сводка'!$T$3:$T$397,V247)=0),1,0)</x:f>
        <x:v>1</x:v>
      </x:c>
      <x:c r="S247" s="9" t="n">
        <x:f>IF(AND(R247=1,O247&lt;=$G$13),1,0)</x:f>
        <x:v>0</x:v>
      </x:c>
      <x:c r="T247" s="10" t="n">
        <x:f>EOMONTH(J247-'Сводка'!$B$11,-1)</x:f>
        <x:v>46081</x:v>
      </x:c>
      <x:c r="U247" s="4" t="n">
        <x:f>MATCH(J247,'Сводка'!$R$3:$R$397,0)</x:f>
        <x:v>258</x:v>
      </x:c>
      <x:c r="V247" s="4" t="n">
        <x:f>MATCH(J247-'Сводка'!$B$11,'Сводка'!$R$3:$R$397,0)</x:f>
        <x:v>257</x:v>
      </x:c>
      <x:c r="W247" s="4" t="n">
        <x:f>MATCH(T247,$J$388:$J$400,0)</x:f>
        <x:v>9</x:v>
      </x:c>
      <x:c r="X247" s="3"/>
      <x:c r="Y247" s="3"/>
      <x:c r="Z247" s="3"/>
    </x:row>
    <x:row r="248" ht="15" customHeight="1">
      <x:c r="A248" s="3"/>
      <x:c r="B248" s="3"/>
      <x:c r="C248" s="3"/>
      <x:c r="D248" s="3"/>
      <x:c r="E248" s="3"/>
      <x:c r="F248" s="3"/>
      <x:c r="G248" s="3"/>
      <x:c r="H248" s="3"/>
      <x:c r="I248" s="3"/>
      <x:c r="J248" s="10" t="n">
        <x:v>46099</x:v>
      </x:c>
      <x:c r="K248" s="8" t="n">
        <x:f>INDEX('Сводка'!$S$3:$S$397,U248)</x:f>
        <x:v>-74</x:v>
      </x:c>
      <x:c r="L248" s="8" t="n">
        <x:f>INDEX('Сводка'!$S$3:$S$397,V248)</x:f>
        <x:v>-76</x:v>
      </x:c>
      <x:c r="M248" s="8" t="n">
        <x:f>INDEX($K$388:$N$400,W248,1)*((J248-$T$405+1)/1000)^INDEX($K$388:$N$400,W248,2)</x:f>
        <x:v>156.8094545333487</x:v>
      </x:c>
      <x:c r="N248" s="8" t="n">
        <x:f>K248-M248</x:f>
        <x:v>-230.8094545333487</x:v>
      </x:c>
      <x:c r="O248" s="8" t="n">
        <x:f>ABS(N248)</x:f>
        <x:v>230.8094545333487</x:v>
      </x:c>
      <x:c r="P248" s="8" t="n">
        <x:f>N248^2</x:f>
        <x:v>53273.004301981964</x:v>
      </x:c>
      <x:c r="Q248" s="8" t="n">
        <x:f>K248-L248</x:f>
        <x:v>2</x:v>
      </x:c>
      <x:c r="R248" s="9" t="n">
        <x:f>IF(AND(INDEX('Сводка'!$T$3:$T$397,U248)=0,INDEX('Сводка'!$T$3:$T$397,V248)=0),1,0)</x:f>
        <x:v>1</x:v>
      </x:c>
      <x:c r="S248" s="9" t="n">
        <x:f>IF(AND(R248=1,O248&lt;=$G$13),1,0)</x:f>
        <x:v>0</x:v>
      </x:c>
      <x:c r="T248" s="10" t="n">
        <x:f>EOMONTH(J248-'Сводка'!$B$11,-1)</x:f>
        <x:v>46081</x:v>
      </x:c>
      <x:c r="U248" s="4" t="n">
        <x:f>MATCH(J248,'Сводка'!$R$3:$R$397,0)</x:f>
        <x:v>259</x:v>
      </x:c>
      <x:c r="V248" s="4" t="n">
        <x:f>MATCH(J248-'Сводка'!$B$11,'Сводка'!$R$3:$R$397,0)</x:f>
        <x:v>258</x:v>
      </x:c>
      <x:c r="W248" s="4" t="n">
        <x:f>MATCH(T248,$J$388:$J$400,0)</x:f>
        <x:v>9</x:v>
      </x:c>
      <x:c r="X248" s="3"/>
      <x:c r="Y248" s="3"/>
      <x:c r="Z248" s="3"/>
    </x:row>
    <x:row r="249" ht="15" customHeight="1">
      <x:c r="A249" s="3"/>
      <x:c r="B249" s="3"/>
      <x:c r="C249" s="3"/>
      <x:c r="D249" s="3"/>
      <x:c r="E249" s="3"/>
      <x:c r="F249" s="3"/>
      <x:c r="G249" s="3"/>
      <x:c r="H249" s="3"/>
      <x:c r="I249" s="3"/>
      <x:c r="J249" s="10" t="n">
        <x:v>46100</x:v>
      </x:c>
      <x:c r="K249" s="8" t="n">
        <x:f>INDEX('Сводка'!$S$3:$S$397,U249)</x:f>
        <x:v>-73</x:v>
      </x:c>
      <x:c r="L249" s="8" t="n">
        <x:f>INDEX('Сводка'!$S$3:$S$397,V249)</x:f>
        <x:v>-74</x:v>
      </x:c>
      <x:c r="M249" s="8" t="n">
        <x:f>INDEX($K$388:$N$400,W249,1)*((J249-$T$405+1)/1000)^INDEX($K$388:$N$400,W249,2)</x:f>
        <x:v>156.82871121566365</x:v>
      </x:c>
      <x:c r="N249" s="8" t="n">
        <x:f>K249-M249</x:f>
        <x:v>-229.82871121566365</x:v>
      </x:c>
      <x:c r="O249" s="8" t="n">
        <x:f>ABS(N249)</x:f>
        <x:v>229.82871121566365</x:v>
      </x:c>
      <x:c r="P249" s="8" t="n">
        <x:f>N249^2</x:f>
        <x:v>52821.23649905292</x:v>
      </x:c>
      <x:c r="Q249" s="8" t="n">
        <x:f>K249-L249</x:f>
        <x:v>1</x:v>
      </x:c>
      <x:c r="R249" s="9" t="n">
        <x:f>IF(AND(INDEX('Сводка'!$T$3:$T$397,U249)=0,INDEX('Сводка'!$T$3:$T$397,V249)=0),1,0)</x:f>
        <x:v>1</x:v>
      </x:c>
      <x:c r="S249" s="9" t="n">
        <x:f>IF(AND(R249=1,O249&lt;=$G$13),1,0)</x:f>
        <x:v>0</x:v>
      </x:c>
      <x:c r="T249" s="10" t="n">
        <x:f>EOMONTH(J249-'Сводка'!$B$11,-1)</x:f>
        <x:v>46081</x:v>
      </x:c>
      <x:c r="U249" s="4" t="n">
        <x:f>MATCH(J249,'Сводка'!$R$3:$R$397,0)</x:f>
        <x:v>260</x:v>
      </x:c>
      <x:c r="V249" s="4" t="n">
        <x:f>MATCH(J249-'Сводка'!$B$11,'Сводка'!$R$3:$R$397,0)</x:f>
        <x:v>259</x:v>
      </x:c>
      <x:c r="W249" s="4" t="n">
        <x:f>MATCH(T249,$J$388:$J$400,0)</x:f>
        <x:v>9</x:v>
      </x:c>
      <x:c r="X249" s="3"/>
      <x:c r="Y249" s="3"/>
      <x:c r="Z249" s="3"/>
    </x:row>
    <x:row r="250" ht="15" customHeight="1">
      <x:c r="A250" s="3"/>
      <x:c r="B250" s="3"/>
      <x:c r="C250" s="3"/>
      <x:c r="D250" s="3"/>
      <x:c r="E250" s="3"/>
      <x:c r="F250" s="3"/>
      <x:c r="G250" s="3"/>
      <x:c r="H250" s="3"/>
      <x:c r="I250" s="3"/>
      <x:c r="J250" s="10" t="n">
        <x:v>46101</x:v>
      </x:c>
      <x:c r="K250" s="8" t="n">
        <x:f>INDEX('Сводка'!$S$3:$S$397,U250)</x:f>
        <x:v>-73</x:v>
      </x:c>
      <x:c r="L250" s="8" t="n">
        <x:f>INDEX('Сводка'!$S$3:$S$397,V250)</x:f>
        <x:v>-73</x:v>
      </x:c>
      <x:c r="M250" s="8" t="n">
        <x:f>INDEX($K$388:$N$400,W250,1)*((J250-$T$405+1)/1000)^INDEX($K$388:$N$400,W250,2)</x:f>
        <x:v>156.84796808510782</x:v>
      </x:c>
      <x:c r="N250" s="8" t="n">
        <x:f>K250-M250</x:f>
        <x:v>-229.84796808510782</x:v>
      </x:c>
      <x:c r="O250" s="8" t="n">
        <x:f>ABS(N250)</x:f>
        <x:v>229.84796808510782</x:v>
      </x:c>
      <x:c r="P250" s="8" t="n">
        <x:f>N250^2</x:f>
        <x:v>52830.088432852746</x:v>
      </x:c>
      <x:c r="Q250" s="8" t="n">
        <x:f>K250-L250</x:f>
        <x:v>0</x:v>
      </x:c>
      <x:c r="R250" s="9" t="n">
        <x:f>IF(AND(INDEX('Сводка'!$T$3:$T$397,U250)=0,INDEX('Сводка'!$T$3:$T$397,V250)=0),1,0)</x:f>
        <x:v>1</x:v>
      </x:c>
      <x:c r="S250" s="9" t="n">
        <x:f>IF(AND(R250=1,O250&lt;=$G$13),1,0)</x:f>
        <x:v>0</x:v>
      </x:c>
      <x:c r="T250" s="10" t="n">
        <x:f>EOMONTH(J250-'Сводка'!$B$11,-1)</x:f>
        <x:v>46081</x:v>
      </x:c>
      <x:c r="U250" s="4" t="n">
        <x:f>MATCH(J250,'Сводка'!$R$3:$R$397,0)</x:f>
        <x:v>261</x:v>
      </x:c>
      <x:c r="V250" s="4" t="n">
        <x:f>MATCH(J250-'Сводка'!$B$11,'Сводка'!$R$3:$R$397,0)</x:f>
        <x:v>260</x:v>
      </x:c>
      <x:c r="W250" s="4" t="n">
        <x:f>MATCH(T250,$J$388:$J$400,0)</x:f>
        <x:v>9</x:v>
      </x:c>
      <x:c r="X250" s="3"/>
      <x:c r="Y250" s="3"/>
      <x:c r="Z250" s="3"/>
    </x:row>
    <x:row r="251" ht="15" customHeight="1">
      <x:c r="A251" s="3"/>
      <x:c r="B251" s="3"/>
      <x:c r="C251" s="3"/>
      <x:c r="D251" s="3"/>
      <x:c r="E251" s="3"/>
      <x:c r="F251" s="3"/>
      <x:c r="G251" s="3"/>
      <x:c r="H251" s="3"/>
      <x:c r="I251" s="3"/>
      <x:c r="J251" s="10" t="n">
        <x:v>46102</x:v>
      </x:c>
      <x:c r="K251" s="8" t="n">
        <x:f>INDEX('Сводка'!$S$3:$S$397,U251)</x:f>
        <x:v>-71</x:v>
      </x:c>
      <x:c r="L251" s="8" t="n">
        <x:f>INDEX('Сводка'!$S$3:$S$397,V251)</x:f>
        <x:v>-73</x:v>
      </x:c>
      <x:c r="M251" s="8" t="n">
        <x:f>INDEX($K$388:$N$400,W251,1)*((J251-$T$405+1)/1000)^INDEX($K$388:$N$400,W251,2)</x:f>
        <x:v>156.86722514166192</x:v>
      </x:c>
      <x:c r="N251" s="8" t="n">
        <x:f>K251-M251</x:f>
        <x:v>-227.86722514166192</x:v>
      </x:c>
      <x:c r="O251" s="8" t="n">
        <x:f>ABS(N251)</x:f>
        <x:v>227.86722514166192</x:v>
      </x:c>
      <x:c r="P251" s="8" t="n">
        <x:f>N251^2</x:f>
        <x:v>51923.47229376084</x:v>
      </x:c>
      <x:c r="Q251" s="8" t="n">
        <x:f>K251-L251</x:f>
        <x:v>2</x:v>
      </x:c>
      <x:c r="R251" s="9" t="n">
        <x:f>IF(AND(INDEX('Сводка'!$T$3:$T$397,U251)=0,INDEX('Сводка'!$T$3:$T$397,V251)=0),1,0)</x:f>
        <x:v>1</x:v>
      </x:c>
      <x:c r="S251" s="9" t="n">
        <x:f>IF(AND(R251=1,O251&lt;=$G$13),1,0)</x:f>
        <x:v>0</x:v>
      </x:c>
      <x:c r="T251" s="10" t="n">
        <x:f>EOMONTH(J251-'Сводка'!$B$11,-1)</x:f>
        <x:v>46081</x:v>
      </x:c>
      <x:c r="U251" s="4" t="n">
        <x:f>MATCH(J251,'Сводка'!$R$3:$R$397,0)</x:f>
        <x:v>262</x:v>
      </x:c>
      <x:c r="V251" s="4" t="n">
        <x:f>MATCH(J251-'Сводка'!$B$11,'Сводка'!$R$3:$R$397,0)</x:f>
        <x:v>261</x:v>
      </x:c>
      <x:c r="W251" s="4" t="n">
        <x:f>MATCH(T251,$J$388:$J$400,0)</x:f>
        <x:v>9</x:v>
      </x:c>
      <x:c r="X251" s="3"/>
      <x:c r="Y251" s="3"/>
      <x:c r="Z251" s="3"/>
    </x:row>
    <x:row r="252" ht="15" customHeight="1">
      <x:c r="A252" s="3"/>
      <x:c r="B252" s="3"/>
      <x:c r="C252" s="3"/>
      <x:c r="D252" s="3"/>
      <x:c r="E252" s="3"/>
      <x:c r="F252" s="3"/>
      <x:c r="G252" s="3"/>
      <x:c r="H252" s="3"/>
      <x:c r="I252" s="3"/>
      <x:c r="J252" s="10" t="n">
        <x:v>46103</x:v>
      </x:c>
      <x:c r="K252" s="8" t="n">
        <x:f>INDEX('Сводка'!$S$3:$S$397,U252)</x:f>
        <x:v>-71</x:v>
      </x:c>
      <x:c r="L252" s="8" t="n">
        <x:f>INDEX('Сводка'!$S$3:$S$397,V252)</x:f>
        <x:v>-71</x:v>
      </x:c>
      <x:c r="M252" s="8" t="n">
        <x:f>INDEX($K$388:$N$400,W252,1)*((J252-$T$405+1)/1000)^INDEX($K$388:$N$400,W252,2)</x:f>
        <x:v>156.88648238530652</x:v>
      </x:c>
      <x:c r="N252" s="8" t="n">
        <x:f>K252-M252</x:f>
        <x:v>-227.88648238530652</x:v>
      </x:c>
      <x:c r="O252" s="8" t="n">
        <x:f>ABS(N252)</x:f>
        <x:v>227.88648238530652</x:v>
      </x:c>
      <x:c r="P252" s="8" t="n">
        <x:f>N252^2</x:f>
        <x:v>51932.24885394862</x:v>
      </x:c>
      <x:c r="Q252" s="8" t="n">
        <x:f>K252-L252</x:f>
        <x:v>0</x:v>
      </x:c>
      <x:c r="R252" s="9" t="n">
        <x:f>IF(AND(INDEX('Сводка'!$T$3:$T$397,U252)=0,INDEX('Сводка'!$T$3:$T$397,V252)=0),1,0)</x:f>
        <x:v>1</x:v>
      </x:c>
      <x:c r="S252" s="9" t="n">
        <x:f>IF(AND(R252=1,O252&lt;=$G$13),1,0)</x:f>
        <x:v>0</x:v>
      </x:c>
      <x:c r="T252" s="10" t="n">
        <x:f>EOMONTH(J252-'Сводка'!$B$11,-1)</x:f>
        <x:v>46081</x:v>
      </x:c>
      <x:c r="U252" s="4" t="n">
        <x:f>MATCH(J252,'Сводка'!$R$3:$R$397,0)</x:f>
        <x:v>263</x:v>
      </x:c>
      <x:c r="V252" s="4" t="n">
        <x:f>MATCH(J252-'Сводка'!$B$11,'Сводка'!$R$3:$R$397,0)</x:f>
        <x:v>262</x:v>
      </x:c>
      <x:c r="W252" s="4" t="n">
        <x:f>MATCH(T252,$J$388:$J$400,0)</x:f>
        <x:v>9</x:v>
      </x:c>
      <x:c r="X252" s="3"/>
      <x:c r="Y252" s="3"/>
      <x:c r="Z252" s="3"/>
    </x:row>
    <x:row r="253" ht="15" customHeight="1">
      <x:c r="A253" s="3"/>
      <x:c r="B253" s="3"/>
      <x:c r="C253" s="3"/>
      <x:c r="D253" s="3"/>
      <x:c r="E253" s="3"/>
      <x:c r="F253" s="3"/>
      <x:c r="G253" s="3"/>
      <x:c r="H253" s="3"/>
      <x:c r="I253" s="3"/>
      <x:c r="J253" s="10" t="n">
        <x:v>46104</x:v>
      </x:c>
      <x:c r="K253" s="8" t="n">
        <x:f>INDEX('Сводка'!$S$3:$S$397,U253)</x:f>
        <x:v>-71</x:v>
      </x:c>
      <x:c r="L253" s="8" t="n">
        <x:f>INDEX('Сводка'!$S$3:$S$397,V253)</x:f>
        <x:v>-71</x:v>
      </x:c>
      <x:c r="M253" s="8" t="n">
        <x:f>INDEX($K$388:$N$400,W253,1)*((J253-$T$405+1)/1000)^INDEX($K$388:$N$400,W253,2)</x:f>
        <x:v>156.90573981602242</x:v>
      </x:c>
      <x:c r="N253" s="8" t="n">
        <x:f>K253-M253</x:f>
        <x:v>-227.90573981602242</x:v>
      </x:c>
      <x:c r="O253" s="8" t="n">
        <x:f>ABS(N253)</x:f>
        <x:v>227.90573981602242</x:v>
      </x:c>
      <x:c r="P253" s="8" t="n">
        <x:f>N253^2</x:f>
        <x:v>51941.026241088504</x:v>
      </x:c>
      <x:c r="Q253" s="8" t="n">
        <x:f>K253-L253</x:f>
        <x:v>0</x:v>
      </x:c>
      <x:c r="R253" s="9" t="n">
        <x:f>IF(AND(INDEX('Сводка'!$T$3:$T$397,U253)=0,INDEX('Сводка'!$T$3:$T$397,V253)=0),1,0)</x:f>
        <x:v>1</x:v>
      </x:c>
      <x:c r="S253" s="9" t="n">
        <x:f>IF(AND(R253=1,O253&lt;=$G$13),1,0)</x:f>
        <x:v>0</x:v>
      </x:c>
      <x:c r="T253" s="10" t="n">
        <x:f>EOMONTH(J253-'Сводка'!$B$11,-1)</x:f>
        <x:v>46081</x:v>
      </x:c>
      <x:c r="U253" s="4" t="n">
        <x:f>MATCH(J253,'Сводка'!$R$3:$R$397,0)</x:f>
        <x:v>264</x:v>
      </x:c>
      <x:c r="V253" s="4" t="n">
        <x:f>MATCH(J253-'Сводка'!$B$11,'Сводка'!$R$3:$R$397,0)</x:f>
        <x:v>263</x:v>
      </x:c>
      <x:c r="W253" s="4" t="n">
        <x:f>MATCH(T253,$J$388:$J$400,0)</x:f>
        <x:v>9</x:v>
      </x:c>
      <x:c r="X253" s="3"/>
      <x:c r="Y253" s="3"/>
      <x:c r="Z253" s="3"/>
    </x:row>
    <x:row r="254" ht="15" customHeight="1">
      <x:c r="A254" s="3"/>
      <x:c r="B254" s="3"/>
      <x:c r="C254" s="3"/>
      <x:c r="D254" s="3"/>
      <x:c r="E254" s="3"/>
      <x:c r="F254" s="3"/>
      <x:c r="G254" s="3"/>
      <x:c r="H254" s="3"/>
      <x:c r="I254" s="3"/>
      <x:c r="J254" s="10" t="n">
        <x:v>46105</x:v>
      </x:c>
      <x:c r="K254" s="8" t="n">
        <x:f>INDEX('Сводка'!$S$3:$S$397,U254)</x:f>
        <x:v>-71</x:v>
      </x:c>
      <x:c r="L254" s="8" t="n">
        <x:f>INDEX('Сводка'!$S$3:$S$397,V254)</x:f>
        <x:v>-71</x:v>
      </x:c>
      <x:c r="M254" s="8" t="n">
        <x:f>INDEX($K$388:$N$400,W254,1)*((J254-$T$405+1)/1000)^INDEX($K$388:$N$400,W254,2)</x:f>
        <x:v>156.9249974337902</x:v>
      </x:c>
      <x:c r="N254" s="8" t="n">
        <x:f>K254-M254</x:f>
        <x:v>-227.9249974337902</x:v>
      </x:c>
      <x:c r="O254" s="8" t="n">
        <x:f>ABS(N254)</x:f>
        <x:v>227.9249974337902</x:v>
      </x:c>
      <x:c r="P254" s="8" t="n">
        <x:f>N254^2</x:f>
        <x:v>51949.80445519327</x:v>
      </x:c>
      <x:c r="Q254" s="8" t="n">
        <x:f>K254-L254</x:f>
        <x:v>0</x:v>
      </x:c>
      <x:c r="R254" s="9" t="n">
        <x:f>IF(AND(INDEX('Сводка'!$T$3:$T$397,U254)=0,INDEX('Сводка'!$T$3:$T$397,V254)=0),1,0)</x:f>
        <x:v>1</x:v>
      </x:c>
      <x:c r="S254" s="9" t="n">
        <x:f>IF(AND(R254=1,O254&lt;=$G$13),1,0)</x:f>
        <x:v>0</x:v>
      </x:c>
      <x:c r="T254" s="10" t="n">
        <x:f>EOMONTH(J254-'Сводка'!$B$11,-1)</x:f>
        <x:v>46081</x:v>
      </x:c>
      <x:c r="U254" s="4" t="n">
        <x:f>MATCH(J254,'Сводка'!$R$3:$R$397,0)</x:f>
        <x:v>265</x:v>
      </x:c>
      <x:c r="V254" s="4" t="n">
        <x:f>MATCH(J254-'Сводка'!$B$11,'Сводка'!$R$3:$R$397,0)</x:f>
        <x:v>264</x:v>
      </x:c>
      <x:c r="W254" s="4" t="n">
        <x:f>MATCH(T254,$J$388:$J$400,0)</x:f>
        <x:v>9</x:v>
      </x:c>
      <x:c r="X254" s="3"/>
      <x:c r="Y254" s="3"/>
      <x:c r="Z254" s="3"/>
    </x:row>
    <x:row r="255" ht="15" customHeight="1">
      <x:c r="A255" s="3"/>
      <x:c r="B255" s="3"/>
      <x:c r="C255" s="3"/>
      <x:c r="D255" s="3"/>
      <x:c r="E255" s="3"/>
      <x:c r="F255" s="3"/>
      <x:c r="G255" s="3"/>
      <x:c r="H255" s="3"/>
      <x:c r="I255" s="3"/>
      <x:c r="J255" s="10" t="n">
        <x:v>46106</x:v>
      </x:c>
      <x:c r="K255" s="8" t="n">
        <x:f>INDEX('Сводка'!$S$3:$S$397,U255)</x:f>
        <x:v>-72</x:v>
      </x:c>
      <x:c r="L255" s="8" t="n">
        <x:f>INDEX('Сводка'!$S$3:$S$397,V255)</x:f>
        <x:v>-71</x:v>
      </x:c>
      <x:c r="M255" s="8" t="n">
        <x:f>INDEX($K$388:$N$400,W255,1)*((J255-$T$405+1)/1000)^INDEX($K$388:$N$400,W255,2)</x:f>
        <x:v>156.94425523859056</x:v>
      </x:c>
      <x:c r="N255" s="8" t="n">
        <x:f>K255-M255</x:f>
        <x:v>-228.94425523859056</x:v>
      </x:c>
      <x:c r="O255" s="8" t="n">
        <x:f>ABS(N255)</x:f>
        <x:v>228.94425523859056</x:v>
      </x:c>
      <x:c r="P255" s="8" t="n">
        <x:f>N255^2</x:f>
        <x:v>52415.4720067529</x:v>
      </x:c>
      <x:c r="Q255" s="8" t="n">
        <x:f>K255-L255</x:f>
        <x:v>-1</x:v>
      </x:c>
      <x:c r="R255" s="9" t="n">
        <x:f>IF(AND(INDEX('Сводка'!$T$3:$T$397,U255)=0,INDEX('Сводка'!$T$3:$T$397,V255)=0),1,0)</x:f>
        <x:v>1</x:v>
      </x:c>
      <x:c r="S255" s="9" t="n">
        <x:f>IF(AND(R255=1,O255&lt;=$G$13),1,0)</x:f>
        <x:v>0</x:v>
      </x:c>
      <x:c r="T255" s="10" t="n">
        <x:f>EOMONTH(J255-'Сводка'!$B$11,-1)</x:f>
        <x:v>46081</x:v>
      </x:c>
      <x:c r="U255" s="4" t="n">
        <x:f>MATCH(J255,'Сводка'!$R$3:$R$397,0)</x:f>
        <x:v>266</x:v>
      </x:c>
      <x:c r="V255" s="4" t="n">
        <x:f>MATCH(J255-'Сводка'!$B$11,'Сводка'!$R$3:$R$397,0)</x:f>
        <x:v>265</x:v>
      </x:c>
      <x:c r="W255" s="4" t="n">
        <x:f>MATCH(T255,$J$388:$J$400,0)</x:f>
        <x:v>9</x:v>
      </x:c>
      <x:c r="X255" s="3"/>
      <x:c r="Y255" s="3"/>
      <x:c r="Z255" s="3"/>
    </x:row>
    <x:row r="256" ht="15" customHeight="1">
      <x:c r="A256" s="3"/>
      <x:c r="B256" s="3"/>
      <x:c r="C256" s="3"/>
      <x:c r="D256" s="3"/>
      <x:c r="E256" s="3"/>
      <x:c r="F256" s="3"/>
      <x:c r="G256" s="3"/>
      <x:c r="H256" s="3"/>
      <x:c r="I256" s="3"/>
      <x:c r="J256" s="10" t="n">
        <x:v>46107</x:v>
      </x:c>
      <x:c r="K256" s="8" t="n">
        <x:f>INDEX('Сводка'!$S$3:$S$397,U256)</x:f>
        <x:v>-72</x:v>
      </x:c>
      <x:c r="L256" s="8" t="n">
        <x:f>INDEX('Сводка'!$S$3:$S$397,V256)</x:f>
        <x:v>-72</x:v>
      </x:c>
      <x:c r="M256" s="8" t="n">
        <x:f>INDEX($K$388:$N$400,W256,1)*((J256-$T$405+1)/1000)^INDEX($K$388:$N$400,W256,2)</x:f>
        <x:v>156.9635132304042</x:v>
      </x:c>
      <x:c r="N256" s="8" t="n">
        <x:f>K256-M256</x:f>
        <x:v>-228.9635132304042</x:v>
      </x:c>
      <x:c r="O256" s="8" t="n">
        <x:f>ABS(N256)</x:f>
        <x:v>228.9635132304042</x:v>
      </x:c>
      <x:c r="P256" s="8" t="n">
        <x:f>N256^2</x:f>
        <x:v>52424.29039080948</x:v>
      </x:c>
      <x:c r="Q256" s="8" t="n">
        <x:f>K256-L256</x:f>
        <x:v>0</x:v>
      </x:c>
      <x:c r="R256" s="9" t="n">
        <x:f>IF(AND(INDEX('Сводка'!$T$3:$T$397,U256)=0,INDEX('Сводка'!$T$3:$T$397,V256)=0),1,0)</x:f>
        <x:v>1</x:v>
      </x:c>
      <x:c r="S256" s="9" t="n">
        <x:f>IF(AND(R256=1,O256&lt;=$G$13),1,0)</x:f>
        <x:v>0</x:v>
      </x:c>
      <x:c r="T256" s="10" t="n">
        <x:f>EOMONTH(J256-'Сводка'!$B$11,-1)</x:f>
        <x:v>46081</x:v>
      </x:c>
      <x:c r="U256" s="4" t="n">
        <x:f>MATCH(J256,'Сводка'!$R$3:$R$397,0)</x:f>
        <x:v>267</x:v>
      </x:c>
      <x:c r="V256" s="4" t="n">
        <x:f>MATCH(J256-'Сводка'!$B$11,'Сводка'!$R$3:$R$397,0)</x:f>
        <x:v>266</x:v>
      </x:c>
      <x:c r="W256" s="4" t="n">
        <x:f>MATCH(T256,$J$388:$J$400,0)</x:f>
        <x:v>9</x:v>
      </x:c>
      <x:c r="X256" s="3"/>
      <x:c r="Y256" s="3"/>
      <x:c r="Z256" s="3"/>
    </x:row>
    <x:row r="257" ht="15" customHeight="1">
      <x:c r="A257" s="3"/>
      <x:c r="B257" s="3"/>
      <x:c r="C257" s="3"/>
      <x:c r="D257" s="3"/>
      <x:c r="E257" s="3"/>
      <x:c r="F257" s="3"/>
      <x:c r="G257" s="3"/>
      <x:c r="H257" s="3"/>
      <x:c r="I257" s="3"/>
      <x:c r="J257" s="10" t="n">
        <x:v>46108</x:v>
      </x:c>
      <x:c r="K257" s="8" t="n">
        <x:f>INDEX('Сводка'!$S$3:$S$397,U257)</x:f>
        <x:v>-71</x:v>
      </x:c>
      <x:c r="L257" s="8" t="n">
        <x:f>INDEX('Сводка'!$S$3:$S$397,V257)</x:f>
        <x:v>-72</x:v>
      </x:c>
      <x:c r="M257" s="8" t="n">
        <x:f>INDEX($K$388:$N$400,W257,1)*((J257-$T$405+1)/1000)^INDEX($K$388:$N$400,W257,2)</x:f>
        <x:v>156.98277140921175</x:v>
      </x:c>
      <x:c r="N257" s="8" t="n">
        <x:f>K257-M257</x:f>
        <x:v>-227.98277140921175</x:v>
      </x:c>
      <x:c r="O257" s="8" t="n">
        <x:f>ABS(N257)</x:f>
        <x:v>227.98277140921175</x:v>
      </x:c>
      <x:c r="P257" s="8" t="n">
        <x:f>N257^2</x:f>
        <x:v>51976.1440594249</x:v>
      </x:c>
      <x:c r="Q257" s="8" t="n">
        <x:f>K257-L257</x:f>
        <x:v>1</x:v>
      </x:c>
      <x:c r="R257" s="9" t="n">
        <x:f>IF(AND(INDEX('Сводка'!$T$3:$T$397,U257)=0,INDEX('Сводка'!$T$3:$T$397,V257)=0),1,0)</x:f>
        <x:v>1</x:v>
      </x:c>
      <x:c r="S257" s="9" t="n">
        <x:f>IF(AND(R257=1,O257&lt;=$G$13),1,0)</x:f>
        <x:v>0</x:v>
      </x:c>
      <x:c r="T257" s="10" t="n">
        <x:f>EOMONTH(J257-'Сводка'!$B$11,-1)</x:f>
        <x:v>46081</x:v>
      </x:c>
      <x:c r="U257" s="4" t="n">
        <x:f>MATCH(J257,'Сводка'!$R$3:$R$397,0)</x:f>
        <x:v>268</x:v>
      </x:c>
      <x:c r="V257" s="4" t="n">
        <x:f>MATCH(J257-'Сводка'!$B$11,'Сводка'!$R$3:$R$397,0)</x:f>
        <x:v>267</x:v>
      </x:c>
      <x:c r="W257" s="4" t="n">
        <x:f>MATCH(T257,$J$388:$J$400,0)</x:f>
        <x:v>9</x:v>
      </x:c>
      <x:c r="X257" s="3"/>
      <x:c r="Y257" s="3"/>
      <x:c r="Z257" s="3"/>
    </x:row>
    <x:row r="258" ht="15" customHeight="1">
      <x:c r="A258" s="3"/>
      <x:c r="B258" s="3"/>
      <x:c r="C258" s="3"/>
      <x:c r="D258" s="3"/>
      <x:c r="E258" s="3"/>
      <x:c r="F258" s="3"/>
      <x:c r="G258" s="3"/>
      <x:c r="H258" s="3"/>
      <x:c r="I258" s="3"/>
      <x:c r="J258" s="10" t="n">
        <x:v>46109</x:v>
      </x:c>
      <x:c r="K258" s="8" t="n">
        <x:f>INDEX('Сводка'!$S$3:$S$397,U258)</x:f>
        <x:v>-71</x:v>
      </x:c>
      <x:c r="L258" s="8" t="n">
        <x:f>INDEX('Сводка'!$S$3:$S$397,V258)</x:f>
        <x:v>-71</x:v>
      </x:c>
      <x:c r="M258" s="8" t="n">
        <x:f>INDEX($K$388:$N$400,W258,1)*((J258-$T$405+1)/1000)^INDEX($K$388:$N$400,W258,2)</x:f>
        <x:v>157.00202977499396</x:v>
      </x:c>
      <x:c r="N258" s="8" t="n">
        <x:f>K258-M258</x:f>
        <x:v>-228.00202977499396</x:v>
      </x:c>
      <x:c r="O258" s="8" t="n">
        <x:f>ABS(N258)</x:f>
        <x:v>228.00202977499396</x:v>
      </x:c>
      <x:c r="P258" s="8" t="n">
        <x:f>N258^2</x:f>
        <x:v>51984.92558151723</x:v>
      </x:c>
      <x:c r="Q258" s="8" t="n">
        <x:f>K258-L258</x:f>
        <x:v>0</x:v>
      </x:c>
      <x:c r="R258" s="9" t="n">
        <x:f>IF(AND(INDEX('Сводка'!$T$3:$T$397,U258)=0,INDEX('Сводка'!$T$3:$T$397,V258)=0),1,0)</x:f>
        <x:v>1</x:v>
      </x:c>
      <x:c r="S258" s="9" t="n">
        <x:f>IF(AND(R258=1,O258&lt;=$G$13),1,0)</x:f>
        <x:v>0</x:v>
      </x:c>
      <x:c r="T258" s="10" t="n">
        <x:f>EOMONTH(J258-'Сводка'!$B$11,-1)</x:f>
        <x:v>46081</x:v>
      </x:c>
      <x:c r="U258" s="4" t="n">
        <x:f>MATCH(J258,'Сводка'!$R$3:$R$397,0)</x:f>
        <x:v>269</x:v>
      </x:c>
      <x:c r="V258" s="4" t="n">
        <x:f>MATCH(J258-'Сводка'!$B$11,'Сводка'!$R$3:$R$397,0)</x:f>
        <x:v>268</x:v>
      </x:c>
      <x:c r="W258" s="4" t="n">
        <x:f>MATCH(T258,$J$388:$J$400,0)</x:f>
        <x:v>9</x:v>
      </x:c>
      <x:c r="X258" s="3"/>
      <x:c r="Y258" s="3"/>
      <x:c r="Z258" s="3"/>
    </x:row>
    <x:row r="259" ht="15" customHeight="1">
      <x:c r="A259" s="3"/>
      <x:c r="B259" s="3"/>
      <x:c r="C259" s="3"/>
      <x:c r="D259" s="3"/>
      <x:c r="E259" s="3"/>
      <x:c r="F259" s="3"/>
      <x:c r="G259" s="3"/>
      <x:c r="H259" s="3"/>
      <x:c r="I259" s="3"/>
      <x:c r="J259" s="10" t="n">
        <x:v>46110</x:v>
      </x:c>
      <x:c r="K259" s="8" t="n">
        <x:f>INDEX('Сводка'!$S$3:$S$397,U259)</x:f>
        <x:v>-71</x:v>
      </x:c>
      <x:c r="L259" s="8" t="n">
        <x:f>INDEX('Сводка'!$S$3:$S$397,V259)</x:f>
        <x:v>-71</x:v>
      </x:c>
      <x:c r="M259" s="8" t="n">
        <x:f>INDEX($K$388:$N$400,W259,1)*((J259-$T$405+1)/1000)^INDEX($K$388:$N$400,W259,2)</x:f>
        <x:v>157.02128832773153</x:v>
      </x:c>
      <x:c r="N259" s="8" t="n">
        <x:f>K259-M259</x:f>
        <x:v>-228.02128832773153</x:v>
      </x:c>
      <x:c r="O259" s="8" t="n">
        <x:f>ABS(N259)</x:f>
        <x:v>228.02128832773153</x:v>
      </x:c>
      <x:c r="P259" s="8" t="n">
        <x:f>N259^2</x:f>
        <x:v>51993.70793063848</x:v>
      </x:c>
      <x:c r="Q259" s="8" t="n">
        <x:f>K259-L259</x:f>
        <x:v>0</x:v>
      </x:c>
      <x:c r="R259" s="9" t="n">
        <x:f>IF(AND(INDEX('Сводка'!$T$3:$T$397,U259)=0,INDEX('Сводка'!$T$3:$T$397,V259)=0),1,0)</x:f>
        <x:v>1</x:v>
      </x:c>
      <x:c r="S259" s="9" t="n">
        <x:f>IF(AND(R259=1,O259&lt;=$G$13),1,0)</x:f>
        <x:v>0</x:v>
      </x:c>
      <x:c r="T259" s="10" t="n">
        <x:f>EOMONTH(J259-'Сводка'!$B$11,-1)</x:f>
        <x:v>46081</x:v>
      </x:c>
      <x:c r="U259" s="4" t="n">
        <x:f>MATCH(J259,'Сводка'!$R$3:$R$397,0)</x:f>
        <x:v>270</x:v>
      </x:c>
      <x:c r="V259" s="4" t="n">
        <x:f>MATCH(J259-'Сводка'!$B$11,'Сводка'!$R$3:$R$397,0)</x:f>
        <x:v>269</x:v>
      </x:c>
      <x:c r="W259" s="4" t="n">
        <x:f>MATCH(T259,$J$388:$J$400,0)</x:f>
        <x:v>9</x:v>
      </x:c>
      <x:c r="X259" s="3"/>
      <x:c r="Y259" s="3"/>
      <x:c r="Z259" s="3"/>
    </x:row>
    <x:row r="260" ht="15" customHeight="1">
      <x:c r="A260" s="3"/>
      <x:c r="B260" s="3"/>
      <x:c r="C260" s="3"/>
      <x:c r="D260" s="3"/>
      <x:c r="E260" s="3"/>
      <x:c r="F260" s="3"/>
      <x:c r="G260" s="3"/>
      <x:c r="H260" s="3"/>
      <x:c r="I260" s="3"/>
      <x:c r="J260" s="10" t="n">
        <x:v>46111</x:v>
      </x:c>
      <x:c r="K260" s="8" t="n">
        <x:f>INDEX('Сводка'!$S$3:$S$397,U260)</x:f>
        <x:v>-69</x:v>
      </x:c>
      <x:c r="L260" s="8" t="n">
        <x:f>INDEX('Сводка'!$S$3:$S$397,V260)</x:f>
        <x:v>-71</x:v>
      </x:c>
      <x:c r="M260" s="8" t="n">
        <x:f>INDEX($K$388:$N$400,W260,1)*((J260-$T$405+1)/1000)^INDEX($K$388:$N$400,W260,2)</x:f>
        <x:v>157.04054706740513</x:v>
      </x:c>
      <x:c r="N260" s="8" t="n">
        <x:f>K260-M260</x:f>
        <x:v>-226.04054706740513</x:v>
      </x:c>
      <x:c r="O260" s="8" t="n">
        <x:f>ABS(N260)</x:f>
        <x:v>226.04054706740513</x:v>
      </x:c>
      <x:c r="P260" s="8" t="n">
        <x:f>N260^2</x:f>
        <x:v>51094.32891853179</x:v>
      </x:c>
      <x:c r="Q260" s="8" t="n">
        <x:f>K260-L260</x:f>
        <x:v>2</x:v>
      </x:c>
      <x:c r="R260" s="9" t="n">
        <x:f>IF(AND(INDEX('Сводка'!$T$3:$T$397,U260)=0,INDEX('Сводка'!$T$3:$T$397,V260)=0),1,0)</x:f>
        <x:v>1</x:v>
      </x:c>
      <x:c r="S260" s="9" t="n">
        <x:f>IF(AND(R260=1,O260&lt;=$G$13),1,0)</x:f>
        <x:v>0</x:v>
      </x:c>
      <x:c r="T260" s="10" t="n">
        <x:f>EOMONTH(J260-'Сводка'!$B$11,-1)</x:f>
        <x:v>46081</x:v>
      </x:c>
      <x:c r="U260" s="4" t="n">
        <x:f>MATCH(J260,'Сводка'!$R$3:$R$397,0)</x:f>
        <x:v>271</x:v>
      </x:c>
      <x:c r="V260" s="4" t="n">
        <x:f>MATCH(J260-'Сводка'!$B$11,'Сводка'!$R$3:$R$397,0)</x:f>
        <x:v>270</x:v>
      </x:c>
      <x:c r="W260" s="4" t="n">
        <x:f>MATCH(T260,$J$388:$J$400,0)</x:f>
        <x:v>9</x:v>
      </x:c>
      <x:c r="X260" s="3"/>
      <x:c r="Y260" s="3"/>
      <x:c r="Z260" s="3"/>
    </x:row>
    <x:row r="261" ht="15" customHeight="1">
      <x:c r="A261" s="3"/>
      <x:c r="B261" s="3"/>
      <x:c r="C261" s="3"/>
      <x:c r="D261" s="3"/>
      <x:c r="E261" s="3"/>
      <x:c r="F261" s="3"/>
      <x:c r="G261" s="3"/>
      <x:c r="H261" s="3"/>
      <x:c r="I261" s="3"/>
      <x:c r="J261" s="10" t="n">
        <x:v>46112</x:v>
      </x:c>
      <x:c r="K261" s="8" t="n">
        <x:f>INDEX('Сводка'!$S$3:$S$397,U261)</x:f>
        <x:v>-67</x:v>
      </x:c>
      <x:c r="L261" s="8" t="n">
        <x:f>INDEX('Сводка'!$S$3:$S$397,V261)</x:f>
        <x:v>-69</x:v>
      </x:c>
      <x:c r="M261" s="8" t="n">
        <x:f>INDEX($K$388:$N$400,W261,1)*((J261-$T$405+1)/1000)^INDEX($K$388:$N$400,W261,2)</x:f>
        <x:v>157.0598059939955</x:v>
      </x:c>
      <x:c r="N261" s="8" t="n">
        <x:f>K261-M261</x:f>
        <x:v>-224.0598059939955</x:v>
      </x:c>
      <x:c r="O261" s="8" t="n">
        <x:f>ABS(N261)</x:f>
        <x:v>224.0598059939955</x:v>
      </x:c>
      <x:c r="P261" s="8" t="n">
        <x:f>N261^2</x:f>
        <x:v>50202.7966620669</x:v>
      </x:c>
      <x:c r="Q261" s="8" t="n">
        <x:f>K261-L261</x:f>
        <x:v>2</x:v>
      </x:c>
      <x:c r="R261" s="9" t="n">
        <x:f>IF(AND(INDEX('Сводка'!$T$3:$T$397,U261)=0,INDEX('Сводка'!$T$3:$T$397,V261)=0),1,0)</x:f>
        <x:v>1</x:v>
      </x:c>
      <x:c r="S261" s="9" t="n">
        <x:f>IF(AND(R261=1,O261&lt;=$G$13),1,0)</x:f>
        <x:v>0</x:v>
      </x:c>
      <x:c r="T261" s="10" t="n">
        <x:f>EOMONTH(J261-'Сводка'!$B$11,-1)</x:f>
        <x:v>46081</x:v>
      </x:c>
      <x:c r="U261" s="4" t="n">
        <x:f>MATCH(J261,'Сводка'!$R$3:$R$397,0)</x:f>
        <x:v>272</x:v>
      </x:c>
      <x:c r="V261" s="4" t="n">
        <x:f>MATCH(J261-'Сводка'!$B$11,'Сводка'!$R$3:$R$397,0)</x:f>
        <x:v>271</x:v>
      </x:c>
      <x:c r="W261" s="4" t="n">
        <x:f>MATCH(T261,$J$388:$J$400,0)</x:f>
        <x:v>9</x:v>
      </x:c>
      <x:c r="X261" s="3"/>
      <x:c r="Y261" s="3"/>
      <x:c r="Z261" s="3"/>
    </x:row>
    <x:row r="262" ht="15" customHeight="1">
      <x:c r="A262" s="3"/>
      <x:c r="B262" s="3"/>
      <x:c r="C262" s="3"/>
      <x:c r="D262" s="3"/>
      <x:c r="E262" s="3"/>
      <x:c r="F262" s="3"/>
      <x:c r="G262" s="3"/>
      <x:c r="H262" s="3"/>
      <x:c r="I262" s="3"/>
      <x:c r="J262" s="10" t="n">
        <x:v>46113</x:v>
      </x:c>
      <x:c r="K262" s="8" t="n">
        <x:f>INDEX('Сводка'!$S$3:$S$397,U262)</x:f>
        <x:v>-65</x:v>
      </x:c>
      <x:c r="L262" s="8" t="n">
        <x:f>INDEX('Сводка'!$S$3:$S$397,V262)</x:f>
        <x:v>-67</x:v>
      </x:c>
      <x:c r="M262" s="8" t="n">
        <x:f>INDEX($K$388:$N$400,W262,1)*((J262-$T$405+1)/1000)^INDEX($K$388:$N$400,W262,2)</x:f>
        <x:v>157.07906510748325</x:v>
      </x:c>
      <x:c r="N262" s="8" t="n">
        <x:f>K262-M262</x:f>
        <x:v>-222.07906510748325</x:v>
      </x:c>
      <x:c r="O262" s="8" t="n">
        <x:f>ABS(N262)</x:f>
        <x:v>222.07906510748325</x:v>
      </x:c>
      <x:c r="P262" s="8" t="n">
        <x:f>N262^2</x:f>
        <x:v>49319.11115901378</x:v>
      </x:c>
      <x:c r="Q262" s="8" t="n">
        <x:f>K262-L262</x:f>
        <x:v>2</x:v>
      </x:c>
      <x:c r="R262" s="9" t="n">
        <x:f>IF(AND(INDEX('Сводка'!$T$3:$T$397,U262)=0,INDEX('Сводка'!$T$3:$T$397,V262)=0),1,0)</x:f>
        <x:v>1</x:v>
      </x:c>
      <x:c r="S262" s="9" t="n">
        <x:f>IF(AND(R262=1,O262&lt;=$G$13),1,0)</x:f>
        <x:v>0</x:v>
      </x:c>
      <x:c r="T262" s="10" t="n">
        <x:f>EOMONTH(J262-'Сводка'!$B$11,-1)</x:f>
        <x:v>46081</x:v>
      </x:c>
      <x:c r="U262" s="4" t="n">
        <x:f>MATCH(J262,'Сводка'!$R$3:$R$397,0)</x:f>
        <x:v>273</x:v>
      </x:c>
      <x:c r="V262" s="4" t="n">
        <x:f>MATCH(J262-'Сводка'!$B$11,'Сводка'!$R$3:$R$397,0)</x:f>
        <x:v>272</x:v>
      </x:c>
      <x:c r="W262" s="4" t="n">
        <x:f>MATCH(T262,$J$388:$J$400,0)</x:f>
        <x:v>9</x:v>
      </x:c>
      <x:c r="X262" s="3"/>
      <x:c r="Y262" s="3"/>
      <x:c r="Z262" s="3"/>
    </x:row>
    <x:row r="263" ht="15" customHeight="1">
      <x:c r="A263" s="3"/>
      <x:c r="B263" s="3"/>
      <x:c r="C263" s="3"/>
      <x:c r="D263" s="3"/>
      <x:c r="E263" s="3"/>
      <x:c r="F263" s="3"/>
      <x:c r="G263" s="3"/>
      <x:c r="H263" s="3"/>
      <x:c r="I263" s="3"/>
      <x:c r="J263" s="10" t="n">
        <x:v>46114</x:v>
      </x:c>
      <x:c r="K263" s="8" t="n">
        <x:f>INDEX('Сводка'!$S$3:$S$397,U263)</x:f>
        <x:v>-59</x:v>
      </x:c>
      <x:c r="L263" s="8" t="n">
        <x:f>INDEX('Сводка'!$S$3:$S$397,V263)</x:f>
        <x:v>-65</x:v>
      </x:c>
      <x:c r="M263" s="8" t="n">
        <x:f>INDEX($K$388:$N$400,W263,1)*((J263-$T$405+1)/1000)^INDEX($K$388:$N$400,W263,2)</x:f>
        <x:v>152.5751707906034</x:v>
      </x:c>
      <x:c r="N263" s="8" t="n">
        <x:f>K263-M263</x:f>
        <x:v>-211.5751707906034</x:v>
      </x:c>
      <x:c r="O263" s="8" t="n">
        <x:f>ABS(N263)</x:f>
        <x:v>211.5751707906034</x:v>
      </x:c>
      <x:c r="P263" s="8" t="n">
        <x:f>N263^2</x:f>
        <x:v>44764.052895073</x:v>
      </x:c>
      <x:c r="Q263" s="8" t="n">
        <x:f>K263-L263</x:f>
        <x:v>6</x:v>
      </x:c>
      <x:c r="R263" s="9" t="n">
        <x:f>IF(AND(INDEX('Сводка'!$T$3:$T$397,U263)=0,INDEX('Сводка'!$T$3:$T$397,V263)=0),1,0)</x:f>
        <x:v>1</x:v>
      </x:c>
      <x:c r="S263" s="9" t="n">
        <x:f>IF(AND(R263=1,O263&lt;=$G$13),1,0)</x:f>
        <x:v>0</x:v>
      </x:c>
      <x:c r="T263" s="10" t="n">
        <x:f>EOMONTH(J263-'Сводка'!$B$11,-1)</x:f>
        <x:v>46112</x:v>
      </x:c>
      <x:c r="U263" s="4" t="n">
        <x:f>MATCH(J263,'Сводка'!$R$3:$R$397,0)</x:f>
        <x:v>274</x:v>
      </x:c>
      <x:c r="V263" s="4" t="n">
        <x:f>MATCH(J263-'Сводка'!$B$11,'Сводка'!$R$3:$R$397,0)</x:f>
        <x:v>273</x:v>
      </x:c>
      <x:c r="W263" s="4" t="n">
        <x:f>MATCH(T263,$J$388:$J$400,0)</x:f>
        <x:v>10</x:v>
      </x:c>
      <x:c r="X263" s="3"/>
      <x:c r="Y263" s="3"/>
      <x:c r="Z263" s="3"/>
    </x:row>
    <x:row r="264" ht="15" customHeight="1">
      <x:c r="A264" s="3"/>
      <x:c r="B264" s="3"/>
      <x:c r="C264" s="3"/>
      <x:c r="D264" s="3"/>
      <x:c r="E264" s="3"/>
      <x:c r="F264" s="3"/>
      <x:c r="G264" s="3"/>
      <x:c r="H264" s="3"/>
      <x:c r="I264" s="3"/>
      <x:c r="J264" s="10" t="n">
        <x:v>46115</x:v>
      </x:c>
      <x:c r="K264" s="8" t="n">
        <x:f>INDEX('Сводка'!$S$3:$S$397,U264)</x:f>
        <x:v>-52</x:v>
      </x:c>
      <x:c r="L264" s="8" t="n">
        <x:f>INDEX('Сводка'!$S$3:$S$397,V264)</x:f>
        <x:v>-59</x:v>
      </x:c>
      <x:c r="M264" s="8" t="n">
        <x:f>INDEX($K$388:$N$400,W264,1)*((J264-$T$405+1)/1000)^INDEX($K$388:$N$400,W264,2)</x:f>
        <x:v>152.593253807313</x:v>
      </x:c>
      <x:c r="N264" s="8" t="n">
        <x:f>K264-M264</x:f>
        <x:v>-204.593253807313</x:v>
      </x:c>
      <x:c r="O264" s="8" t="n">
        <x:f>ABS(N264)</x:f>
        <x:v>204.593253807313</x:v>
      </x:c>
      <x:c r="P264" s="8" t="n">
        <x:f>N264^2</x:f>
        <x:v>41858.399503463595</x:v>
      </x:c>
      <x:c r="Q264" s="8" t="n">
        <x:f>K264-L264</x:f>
        <x:v>7</x:v>
      </x:c>
      <x:c r="R264" s="9" t="n">
        <x:f>IF(AND(INDEX('Сводка'!$T$3:$T$397,U264)=0,INDEX('Сводка'!$T$3:$T$397,V264)=0),1,0)</x:f>
        <x:v>1</x:v>
      </x:c>
      <x:c r="S264" s="9" t="n">
        <x:f>IF(AND(R264=1,O264&lt;=$G$13),1,0)</x:f>
        <x:v>0</x:v>
      </x:c>
      <x:c r="T264" s="10" t="n">
        <x:f>EOMONTH(J264-'Сводка'!$B$11,-1)</x:f>
        <x:v>46112</x:v>
      </x:c>
      <x:c r="U264" s="4" t="n">
        <x:f>MATCH(J264,'Сводка'!$R$3:$R$397,0)</x:f>
        <x:v>275</x:v>
      </x:c>
      <x:c r="V264" s="4" t="n">
        <x:f>MATCH(J264-'Сводка'!$B$11,'Сводка'!$R$3:$R$397,0)</x:f>
        <x:v>274</x:v>
      </x:c>
      <x:c r="W264" s="4" t="n">
        <x:f>MATCH(T264,$J$388:$J$400,0)</x:f>
        <x:v>10</x:v>
      </x:c>
      <x:c r="X264" s="3"/>
      <x:c r="Y264" s="3"/>
      <x:c r="Z264" s="3"/>
    </x:row>
    <x:row r="265" ht="15" customHeight="1">
      <x:c r="A265" s="3"/>
      <x:c r="B265" s="3"/>
      <x:c r="C265" s="3"/>
      <x:c r="D265" s="3"/>
      <x:c r="E265" s="3"/>
      <x:c r="F265" s="3"/>
      <x:c r="G265" s="3"/>
      <x:c r="H265" s="3"/>
      <x:c r="I265" s="3"/>
      <x:c r="J265" s="10" t="n">
        <x:v>46116</x:v>
      </x:c>
      <x:c r="K265" s="8" t="n">
        <x:f>INDEX('Сводка'!$S$3:$S$397,U265)</x:f>
        <x:v>-42</x:v>
      </x:c>
      <x:c r="L265" s="8" t="n">
        <x:f>INDEX('Сводка'!$S$3:$S$397,V265)</x:f>
        <x:v>-52</x:v>
      </x:c>
      <x:c r="M265" s="8" t="n">
        <x:f>INDEX($K$388:$N$400,W265,1)*((J265-$T$405+1)/1000)^INDEX($K$388:$N$400,W265,2)</x:f>
        <x:v>152.61133692574836</x:v>
      </x:c>
      <x:c r="N265" s="8" t="n">
        <x:f>K265-M265</x:f>
        <x:v>-194.61133692574836</x:v>
      </x:c>
      <x:c r="O265" s="8" t="n">
        <x:f>ABS(N265)</x:f>
        <x:v>194.61133692574836</x:v>
      </x:c>
      <x:c r="P265" s="8" t="n">
        <x:f>N265^2</x:f>
        <x:v>37873.57246002715</x:v>
      </x:c>
      <x:c r="Q265" s="8" t="n">
        <x:f>K265-L265</x:f>
        <x:v>10</x:v>
      </x:c>
      <x:c r="R265" s="9" t="n">
        <x:f>IF(AND(INDEX('Сводка'!$T$3:$T$397,U265)=0,INDEX('Сводка'!$T$3:$T$397,V265)=0),1,0)</x:f>
        <x:v>1</x:v>
      </x:c>
      <x:c r="S265" s="9" t="n">
        <x:f>IF(AND(R265=1,O265&lt;=$G$13),1,0)</x:f>
        <x:v>0</x:v>
      </x:c>
      <x:c r="T265" s="10" t="n">
        <x:f>EOMONTH(J265-'Сводка'!$B$11,-1)</x:f>
        <x:v>46112</x:v>
      </x:c>
      <x:c r="U265" s="4" t="n">
        <x:f>MATCH(J265,'Сводка'!$R$3:$R$397,0)</x:f>
        <x:v>276</x:v>
      </x:c>
      <x:c r="V265" s="4" t="n">
        <x:f>MATCH(J265-'Сводка'!$B$11,'Сводка'!$R$3:$R$397,0)</x:f>
        <x:v>275</x:v>
      </x:c>
      <x:c r="W265" s="4" t="n">
        <x:f>MATCH(T265,$J$388:$J$400,0)</x:f>
        <x:v>10</x:v>
      </x:c>
      <x:c r="X265" s="3"/>
      <x:c r="Y265" s="3"/>
      <x:c r="Z265" s="3"/>
    </x:row>
    <x:row r="266" ht="15" customHeight="1">
      <x:c r="A266" s="3"/>
      <x:c r="B266" s="3"/>
      <x:c r="C266" s="3"/>
      <x:c r="D266" s="3"/>
      <x:c r="E266" s="3"/>
      <x:c r="F266" s="3"/>
      <x:c r="G266" s="3"/>
      <x:c r="H266" s="3"/>
      <x:c r="I266" s="3"/>
      <x:c r="J266" s="10" t="n">
        <x:v>46117</x:v>
      </x:c>
      <x:c r="K266" s="8" t="n">
        <x:f>INDEX('Сводка'!$S$3:$S$397,U266)</x:f>
        <x:v>-35</x:v>
      </x:c>
      <x:c r="L266" s="8" t="n">
        <x:f>INDEX('Сводка'!$S$3:$S$397,V266)</x:f>
        <x:v>-42</x:v>
      </x:c>
      <x:c r="M266" s="8" t="n">
        <x:f>INDEX($K$388:$N$400,W266,1)*((J266-$T$405+1)/1000)^INDEX($K$388:$N$400,W266,2)</x:f>
        <x:v>152.62942014589854</x:v>
      </x:c>
      <x:c r="N266" s="8" t="n">
        <x:f>K266-M266</x:f>
        <x:v>-187.62942014589854</x:v>
      </x:c>
      <x:c r="O266" s="8" t="n">
        <x:f>ABS(N266)</x:f>
        <x:v>187.62942014589854</x:v>
      </x:c>
      <x:c r="P266" s="8" t="n">
        <x:f>N266^2</x:f>
        <x:v>35204.79930428611</x:v>
      </x:c>
      <x:c r="Q266" s="8" t="n">
        <x:f>K266-L266</x:f>
        <x:v>7</x:v>
      </x:c>
      <x:c r="R266" s="9" t="n">
        <x:f>IF(AND(INDEX('Сводка'!$T$3:$T$397,U266)=0,INDEX('Сводка'!$T$3:$T$397,V266)=0),1,0)</x:f>
        <x:v>1</x:v>
      </x:c>
      <x:c r="S266" s="9" t="n">
        <x:f>IF(AND(R266=1,O266&lt;=$G$13),1,0)</x:f>
        <x:v>0</x:v>
      </x:c>
      <x:c r="T266" s="10" t="n">
        <x:f>EOMONTH(J266-'Сводка'!$B$11,-1)</x:f>
        <x:v>46112</x:v>
      </x:c>
      <x:c r="U266" s="4" t="n">
        <x:f>MATCH(J266,'Сводка'!$R$3:$R$397,0)</x:f>
        <x:v>277</x:v>
      </x:c>
      <x:c r="V266" s="4" t="n">
        <x:f>MATCH(J266-'Сводка'!$B$11,'Сводка'!$R$3:$R$397,0)</x:f>
        <x:v>276</x:v>
      </x:c>
      <x:c r="W266" s="4" t="n">
        <x:f>MATCH(T266,$J$388:$J$400,0)</x:f>
        <x:v>10</x:v>
      </x:c>
      <x:c r="X266" s="3"/>
      <x:c r="Y266" s="3"/>
      <x:c r="Z266" s="3"/>
    </x:row>
    <x:row r="267" ht="15" customHeight="1">
      <x:c r="A267" s="3"/>
      <x:c r="B267" s="3"/>
      <x:c r="C267" s="3"/>
      <x:c r="D267" s="3"/>
      <x:c r="E267" s="3"/>
      <x:c r="F267" s="3"/>
      <x:c r="G267" s="3"/>
      <x:c r="H267" s="3"/>
      <x:c r="I267" s="3"/>
      <x:c r="J267" s="10" t="n">
        <x:v>46118</x:v>
      </x:c>
      <x:c r="K267" s="8" t="n">
        <x:f>INDEX('Сводка'!$S$3:$S$397,U267)</x:f>
        <x:v>-17</x:v>
      </x:c>
      <x:c r="L267" s="8" t="n">
        <x:f>INDEX('Сводка'!$S$3:$S$397,V267)</x:f>
        <x:v>-35</x:v>
      </x:c>
      <x:c r="M267" s="8" t="n">
        <x:f>INDEX($K$388:$N$400,W267,1)*((J267-$T$405+1)/1000)^INDEX($K$388:$N$400,W267,2)</x:f>
        <x:v>152.6475034677526</x:v>
      </x:c>
      <x:c r="N267" s="8" t="n">
        <x:f>K267-M267</x:f>
        <x:v>-169.6475034677526</x:v>
      </x:c>
      <x:c r="O267" s="8" t="n">
        <x:f>ABS(N267)</x:f>
        <x:v>169.6475034677526</x:v>
      </x:c>
      <x:c r="P267" s="8" t="n">
        <x:f>N267^2</x:f>
        <x:v>28780.275432841136</x:v>
      </x:c>
      <x:c r="Q267" s="8" t="n">
        <x:f>K267-L267</x:f>
        <x:v>18</x:v>
      </x:c>
      <x:c r="R267" s="9" t="n">
        <x:f>IF(AND(INDEX('Сводка'!$T$3:$T$397,U267)=0,INDEX('Сводка'!$T$3:$T$397,V267)=0),1,0)</x:f>
        <x:v>1</x:v>
      </x:c>
      <x:c r="S267" s="9" t="n">
        <x:f>IF(AND(R267=1,O267&lt;=$G$13),1,0)</x:f>
        <x:v>0</x:v>
      </x:c>
      <x:c r="T267" s="10" t="n">
        <x:f>EOMONTH(J267-'Сводка'!$B$11,-1)</x:f>
        <x:v>46112</x:v>
      </x:c>
      <x:c r="U267" s="4" t="n">
        <x:f>MATCH(J267,'Сводка'!$R$3:$R$397,0)</x:f>
        <x:v>278</x:v>
      </x:c>
      <x:c r="V267" s="4" t="n">
        <x:f>MATCH(J267-'Сводка'!$B$11,'Сводка'!$R$3:$R$397,0)</x:f>
        <x:v>277</x:v>
      </x:c>
      <x:c r="W267" s="4" t="n">
        <x:f>MATCH(T267,$J$388:$J$400,0)</x:f>
        <x:v>10</x:v>
      </x:c>
      <x:c r="X267" s="3"/>
      <x:c r="Y267" s="3"/>
      <x:c r="Z267" s="3"/>
    </x:row>
    <x:row r="268" ht="15" customHeight="1">
      <x:c r="A268" s="3"/>
      <x:c r="B268" s="3"/>
      <x:c r="C268" s="3"/>
      <x:c r="D268" s="3"/>
      <x:c r="E268" s="3"/>
      <x:c r="F268" s="3"/>
      <x:c r="G268" s="3"/>
      <x:c r="H268" s="3"/>
      <x:c r="I268" s="3"/>
      <x:c r="J268" s="10" t="n">
        <x:v>46119</x:v>
      </x:c>
      <x:c r="K268" s="8" t="n">
        <x:f>INDEX('Сводка'!$S$3:$S$397,U268)</x:f>
        <x:v>-3</x:v>
      </x:c>
      <x:c r="L268" s="8" t="n">
        <x:f>INDEX('Сводка'!$S$3:$S$397,V268)</x:f>
        <x:v>-17</x:v>
      </x:c>
      <x:c r="M268" s="8" t="n">
        <x:f>INDEX($K$388:$N$400,W268,1)*((J268-$T$405+1)/1000)^INDEX($K$388:$N$400,W268,2)</x:f>
        <x:v>152.66558689129968</x:v>
      </x:c>
      <x:c r="N268" s="8" t="n">
        <x:f>K268-M268</x:f>
        <x:v>-155.66558689129968</x:v>
      </x:c>
      <x:c r="O268" s="8" t="n">
        <x:f>ABS(N268)</x:f>
        <x:v>155.66558689129968</x:v>
      </x:c>
      <x:c r="P268" s="8" t="n">
        <x:f>N268^2</x:f>
        <x:v>24231.77494221277</x:v>
      </x:c>
      <x:c r="Q268" s="8" t="n">
        <x:f>K268-L268</x:f>
        <x:v>14</x:v>
      </x:c>
      <x:c r="R268" s="9" t="n">
        <x:f>IF(AND(INDEX('Сводка'!$T$3:$T$397,U268)=0,INDEX('Сводка'!$T$3:$T$397,V268)=0),1,0)</x:f>
        <x:v>1</x:v>
      </x:c>
      <x:c r="S268" s="9" t="n">
        <x:f>IF(AND(R268=1,O268&lt;=$G$13),1,0)</x:f>
        <x:v>0</x:v>
      </x:c>
      <x:c r="T268" s="10" t="n">
        <x:f>EOMONTH(J268-'Сводка'!$B$11,-1)</x:f>
        <x:v>46112</x:v>
      </x:c>
      <x:c r="U268" s="4" t="n">
        <x:f>MATCH(J268,'Сводка'!$R$3:$R$397,0)</x:f>
        <x:v>279</x:v>
      </x:c>
      <x:c r="V268" s="4" t="n">
        <x:f>MATCH(J268-'Сводка'!$B$11,'Сводка'!$R$3:$R$397,0)</x:f>
        <x:v>278</x:v>
      </x:c>
      <x:c r="W268" s="4" t="n">
        <x:f>MATCH(T268,$J$388:$J$400,0)</x:f>
        <x:v>10</x:v>
      </x:c>
      <x:c r="X268" s="3"/>
      <x:c r="Y268" s="3"/>
      <x:c r="Z268" s="3"/>
    </x:row>
    <x:row r="269" ht="15" customHeight="1">
      <x:c r="A269" s="3"/>
      <x:c r="B269" s="3"/>
      <x:c r="C269" s="3"/>
      <x:c r="D269" s="3"/>
      <x:c r="E269" s="3"/>
      <x:c r="F269" s="3"/>
      <x:c r="G269" s="3"/>
      <x:c r="H269" s="3"/>
      <x:c r="I269" s="3"/>
      <x:c r="J269" s="10" t="n">
        <x:v>46120</x:v>
      </x:c>
      <x:c r="K269" s="8" t="n">
        <x:f>INDEX('Сводка'!$S$3:$S$397,U269)</x:f>
        <x:v>17</x:v>
      </x:c>
      <x:c r="L269" s="8" t="n">
        <x:f>INDEX('Сводка'!$S$3:$S$397,V269)</x:f>
        <x:v>-3</x:v>
      </x:c>
      <x:c r="M269" s="8" t="n">
        <x:f>INDEX($K$388:$N$400,W269,1)*((J269-$T$405+1)/1000)^INDEX($K$388:$N$400,W269,2)</x:f>
        <x:v>152.68367041652894</x:v>
      </x:c>
      <x:c r="N269" s="8" t="n">
        <x:f>K269-M269</x:f>
        <x:v>-135.68367041652894</x:v>
      </x:c>
      <x:c r="O269" s="8" t="n">
        <x:f>ABS(N269)</x:f>
        <x:v>135.68367041652894</x:v>
      </x:c>
      <x:c r="P269" s="8" t="n">
        <x:f>N269^2</x:f>
        <x:v>18410.05841770125</x:v>
      </x:c>
      <x:c r="Q269" s="8" t="n">
        <x:f>K269-L269</x:f>
        <x:v>20</x:v>
      </x:c>
      <x:c r="R269" s="9" t="n">
        <x:f>IF(AND(INDEX('Сводка'!$T$3:$T$397,U269)=0,INDEX('Сводка'!$T$3:$T$397,V269)=0),1,0)</x:f>
        <x:v>1</x:v>
      </x:c>
      <x:c r="S269" s="9" t="n">
        <x:f>IF(AND(R269=1,O269&lt;=$G$13),1,0)</x:f>
        <x:v>0</x:v>
      </x:c>
      <x:c r="T269" s="10" t="n">
        <x:f>EOMONTH(J269-'Сводка'!$B$11,-1)</x:f>
        <x:v>46112</x:v>
      </x:c>
      <x:c r="U269" s="4" t="n">
        <x:f>MATCH(J269,'Сводка'!$R$3:$R$397,0)</x:f>
        <x:v>280</x:v>
      </x:c>
      <x:c r="V269" s="4" t="n">
        <x:f>MATCH(J269-'Сводка'!$B$11,'Сводка'!$R$3:$R$397,0)</x:f>
        <x:v>279</x:v>
      </x:c>
      <x:c r="W269" s="4" t="n">
        <x:f>MATCH(T269,$J$388:$J$400,0)</x:f>
        <x:v>10</x:v>
      </x:c>
      <x:c r="X269" s="3"/>
      <x:c r="Y269" s="3"/>
      <x:c r="Z269" s="3"/>
    </x:row>
    <x:row r="270" ht="15" customHeight="1">
      <x:c r="A270" s="3"/>
      <x:c r="B270" s="3"/>
      <x:c r="C270" s="3"/>
      <x:c r="D270" s="3"/>
      <x:c r="E270" s="3"/>
      <x:c r="F270" s="3"/>
      <x:c r="G270" s="3"/>
      <x:c r="H270" s="3"/>
      <x:c r="I270" s="3"/>
      <x:c r="J270" s="10" t="n">
        <x:v>46121</x:v>
      </x:c>
      <x:c r="K270" s="8" t="n">
        <x:f>INDEX('Сводка'!$S$3:$S$397,U270)</x:f>
        <x:v>44</x:v>
      </x:c>
      <x:c r="L270" s="8" t="n">
        <x:f>INDEX('Сводка'!$S$3:$S$397,V270)</x:f>
        <x:v>17</x:v>
      </x:c>
      <x:c r="M270" s="8" t="n">
        <x:f>INDEX($K$388:$N$400,W270,1)*((J270-$T$405+1)/1000)^INDEX($K$388:$N$400,W270,2)</x:f>
        <x:v>152.70175404342933</x:v>
      </x:c>
      <x:c r="N270" s="8" t="n">
        <x:f>K270-M270</x:f>
        <x:v>-108.70175404342933</x:v>
      </x:c>
      <x:c r="O270" s="8" t="n">
        <x:f>ABS(N270)</x:f>
        <x:v>108.70175404342933</x:v>
      </x:c>
      <x:c r="P270" s="8" t="n">
        <x:f>N270^2</x:f>
        <x:v>11816.071332118205</x:v>
      </x:c>
      <x:c r="Q270" s="8" t="n">
        <x:f>K270-L270</x:f>
        <x:v>27</x:v>
      </x:c>
      <x:c r="R270" s="9" t="n">
        <x:f>IF(AND(INDEX('Сводка'!$T$3:$T$397,U270)=0,INDEX('Сводка'!$T$3:$T$397,V270)=0),1,0)</x:f>
        <x:v>1</x:v>
      </x:c>
      <x:c r="S270" s="9" t="n">
        <x:f>IF(AND(R270=1,O270&lt;=$G$13),1,0)</x:f>
        <x:v>0</x:v>
      </x:c>
      <x:c r="T270" s="10" t="n">
        <x:f>EOMONTH(J270-'Сводка'!$B$11,-1)</x:f>
        <x:v>46112</x:v>
      </x:c>
      <x:c r="U270" s="4" t="n">
        <x:f>MATCH(J270,'Сводка'!$R$3:$R$397,0)</x:f>
        <x:v>281</x:v>
      </x:c>
      <x:c r="V270" s="4" t="n">
        <x:f>MATCH(J270-'Сводка'!$B$11,'Сводка'!$R$3:$R$397,0)</x:f>
        <x:v>280</x:v>
      </x:c>
      <x:c r="W270" s="4" t="n">
        <x:f>MATCH(T270,$J$388:$J$400,0)</x:f>
        <x:v>10</x:v>
      </x:c>
      <x:c r="X270" s="3"/>
      <x:c r="Y270" s="3"/>
      <x:c r="Z270" s="3"/>
    </x:row>
    <x:row r="271" ht="15" customHeight="1">
      <x:c r="A271" s="3"/>
      <x:c r="B271" s="3"/>
      <x:c r="C271" s="3"/>
      <x:c r="D271" s="3"/>
      <x:c r="E271" s="3"/>
      <x:c r="F271" s="3"/>
      <x:c r="G271" s="3"/>
      <x:c r="H271" s="3"/>
      <x:c r="I271" s="3"/>
      <x:c r="J271" s="10" t="n">
        <x:v>46122</x:v>
      </x:c>
      <x:c r="K271" s="8" t="n">
        <x:f>INDEX('Сводка'!$S$3:$S$397,U271)</x:f>
        <x:v>82</x:v>
      </x:c>
      <x:c r="L271" s="8" t="n">
        <x:f>INDEX('Сводка'!$S$3:$S$397,V271)</x:f>
        <x:v>44</x:v>
      </x:c>
      <x:c r="M271" s="8" t="n">
        <x:f>INDEX($K$388:$N$400,W271,1)*((J271-$T$405+1)/1000)^INDEX($K$388:$N$400,W271,2)</x:f>
        <x:v>152.71983777199006</x:v>
      </x:c>
      <x:c r="N271" s="8" t="n">
        <x:f>K271-M271</x:f>
        <x:v>-70.71983777199006</x:v>
      </x:c>
      <x:c r="O271" s="8" t="n">
        <x:f>ABS(N271)</x:f>
        <x:v>70.71983777199006</x:v>
      </x:c>
      <x:c r="P271" s="8" t="n">
        <x:f>N271^2</x:f>
        <x:v>5001.295454496591</x:v>
      </x:c>
      <x:c r="Q271" s="8" t="n">
        <x:f>K271-L271</x:f>
        <x:v>38</x:v>
      </x:c>
      <x:c r="R271" s="9" t="n">
        <x:f>IF(AND(INDEX('Сводка'!$T$3:$T$397,U271)=0,INDEX('Сводка'!$T$3:$T$397,V271)=0),1,0)</x:f>
        <x:v>1</x:v>
      </x:c>
      <x:c r="S271" s="9" t="n">
        <x:f>IF(AND(R271=1,O271&lt;=$G$13),1,0)</x:f>
        <x:v>0</x:v>
      </x:c>
      <x:c r="T271" s="10" t="n">
        <x:f>EOMONTH(J271-'Сводка'!$B$11,-1)</x:f>
        <x:v>46112</x:v>
      </x:c>
      <x:c r="U271" s="4" t="n">
        <x:f>MATCH(J271,'Сводка'!$R$3:$R$397,0)</x:f>
        <x:v>282</x:v>
      </x:c>
      <x:c r="V271" s="4" t="n">
        <x:f>MATCH(J271-'Сводка'!$B$11,'Сводка'!$R$3:$R$397,0)</x:f>
        <x:v>281</x:v>
      </x:c>
      <x:c r="W271" s="4" t="n">
        <x:f>MATCH(T271,$J$388:$J$400,0)</x:f>
        <x:v>10</x:v>
      </x:c>
      <x:c r="X271" s="3"/>
      <x:c r="Y271" s="3"/>
      <x:c r="Z271" s="3"/>
    </x:row>
    <x:row r="272" ht="15" customHeight="1">
      <x:c r="A272" s="3"/>
      <x:c r="B272" s="3"/>
      <x:c r="C272" s="3"/>
      <x:c r="D272" s="3"/>
      <x:c r="E272" s="3"/>
      <x:c r="F272" s="3"/>
      <x:c r="G272" s="3"/>
      <x:c r="H272" s="3"/>
      <x:c r="I272" s="3"/>
      <x:c r="J272" s="10" t="n">
        <x:v>46123</x:v>
      </x:c>
      <x:c r="K272" s="8" t="n">
        <x:f>INDEX('Сводка'!$S$3:$S$397,U272)</x:f>
        <x:v>96</x:v>
      </x:c>
      <x:c r="L272" s="8" t="n">
        <x:f>INDEX('Сводка'!$S$3:$S$397,V272)</x:f>
        <x:v>82</x:v>
      </x:c>
      <x:c r="M272" s="8" t="n">
        <x:f>INDEX($K$388:$N$400,W272,1)*((J272-$T$405+1)/1000)^INDEX($K$388:$N$400,W272,2)</x:f>
        <x:v>152.73792160220023</x:v>
      </x:c>
      <x:c r="N272" s="8" t="n">
        <x:f>K272-M272</x:f>
        <x:v>-56.73792160220023</x:v>
      </x:c>
      <x:c r="O272" s="8" t="n">
        <x:f>ABS(N272)</x:f>
        <x:v>56.73792160220023</x:v>
      </x:c>
      <x:c r="P272" s="8" t="n">
        <x:f>N272^2</x:f>
        <x:v>3219.1917477374195</x:v>
      </x:c>
      <x:c r="Q272" s="8" t="n">
        <x:f>K272-L272</x:f>
        <x:v>14</x:v>
      </x:c>
      <x:c r="R272" s="9" t="n">
        <x:f>IF(AND(INDEX('Сводка'!$T$3:$T$397,U272)=0,INDEX('Сводка'!$T$3:$T$397,V272)=0),1,0)</x:f>
        <x:v>1</x:v>
      </x:c>
      <x:c r="S272" s="9" t="n">
        <x:f>IF(AND(R272=1,O272&lt;=$G$13),1,0)</x:f>
        <x:v>0</x:v>
      </x:c>
      <x:c r="T272" s="10" t="n">
        <x:f>EOMONTH(J272-'Сводка'!$B$11,-1)</x:f>
        <x:v>46112</x:v>
      </x:c>
      <x:c r="U272" s="4" t="n">
        <x:f>MATCH(J272,'Сводка'!$R$3:$R$397,0)</x:f>
        <x:v>283</x:v>
      </x:c>
      <x:c r="V272" s="4" t="n">
        <x:f>MATCH(J272-'Сводка'!$B$11,'Сводка'!$R$3:$R$397,0)</x:f>
        <x:v>282</x:v>
      </x:c>
      <x:c r="W272" s="4" t="n">
        <x:f>MATCH(T272,$J$388:$J$400,0)</x:f>
        <x:v>10</x:v>
      </x:c>
      <x:c r="X272" s="3"/>
      <x:c r="Y272" s="3"/>
      <x:c r="Z272" s="3"/>
    </x:row>
    <x:row r="273" ht="15" customHeight="1">
      <x:c r="A273" s="3"/>
      <x:c r="B273" s="3"/>
      <x:c r="C273" s="3"/>
      <x:c r="D273" s="3"/>
      <x:c r="E273" s="3"/>
      <x:c r="F273" s="3"/>
      <x:c r="G273" s="3"/>
      <x:c r="H273" s="3"/>
      <x:c r="I273" s="3"/>
      <x:c r="J273" s="10" t="n">
        <x:v>46124</x:v>
      </x:c>
      <x:c r="K273" s="8" t="n">
        <x:f>INDEX('Сводка'!$S$3:$S$397,U273)</x:f>
        <x:v>163</x:v>
      </x:c>
      <x:c r="L273" s="8" t="n">
        <x:f>INDEX('Сводка'!$S$3:$S$397,V273)</x:f>
        <x:v>96</x:v>
      </x:c>
      <x:c r="M273" s="8" t="n">
        <x:f>INDEX($K$388:$N$400,W273,1)*((J273-$T$405+1)/1000)^INDEX($K$388:$N$400,W273,2)</x:f>
        <x:v>152.7560055340489</x:v>
      </x:c>
      <x:c r="N273" s="8" t="n">
        <x:f>K273-M273</x:f>
        <x:v>10.24399446595109</x:v>
      </x:c>
      <x:c r="O273" s="8" t="n">
        <x:f>ABS(N273)</x:f>
        <x:v>10.24399446595109</x:v>
      </x:c>
      <x:c r="P273" s="8" t="n">
        <x:f>N273^2</x:f>
        <x:v>104.93942261843655</x:v>
      </x:c>
      <x:c r="Q273" s="8" t="n">
        <x:f>K273-L273</x:f>
        <x:v>67</x:v>
      </x:c>
      <x:c r="R273" s="9" t="n">
        <x:f>IF(AND(INDEX('Сводка'!$T$3:$T$397,U273)=0,INDEX('Сводка'!$T$3:$T$397,V273)=0),1,0)</x:f>
        <x:v>1</x:v>
      </x:c>
      <x:c r="S273" s="9" t="n">
        <x:f>IF(AND(R273=1,O273&lt;=$G$13),1,0)</x:f>
        <x:v>0</x:v>
      </x:c>
      <x:c r="T273" s="10" t="n">
        <x:f>EOMONTH(J273-'Сводка'!$B$11,-1)</x:f>
        <x:v>46112</x:v>
      </x:c>
      <x:c r="U273" s="4" t="n">
        <x:f>MATCH(J273,'Сводка'!$R$3:$R$397,0)</x:f>
        <x:v>284</x:v>
      </x:c>
      <x:c r="V273" s="4" t="n">
        <x:f>MATCH(J273-'Сводка'!$B$11,'Сводка'!$R$3:$R$397,0)</x:f>
        <x:v>283</x:v>
      </x:c>
      <x:c r="W273" s="4" t="n">
        <x:f>MATCH(T273,$J$388:$J$400,0)</x:f>
        <x:v>10</x:v>
      </x:c>
      <x:c r="X273" s="3"/>
      <x:c r="Y273" s="3"/>
      <x:c r="Z273" s="3"/>
    </x:row>
    <x:row r="274" ht="15" customHeight="1">
      <x:c r="A274" s="3"/>
      <x:c r="B274" s="3"/>
      <x:c r="C274" s="3"/>
      <x:c r="D274" s="3"/>
      <x:c r="E274" s="3"/>
      <x:c r="F274" s="3"/>
      <x:c r="G274" s="3"/>
      <x:c r="H274" s="3"/>
      <x:c r="I274" s="3"/>
      <x:c r="J274" s="10" t="n">
        <x:v>46125</x:v>
      </x:c>
      <x:c r="K274" s="8" t="n">
        <x:f>INDEX('Сводка'!$S$3:$S$397,U274)</x:f>
        <x:v>100</x:v>
      </x:c>
      <x:c r="L274" s="8" t="n">
        <x:f>INDEX('Сводка'!$S$3:$S$397,V274)</x:f>
        <x:v>163</x:v>
      </x:c>
      <x:c r="M274" s="8" t="n">
        <x:f>INDEX($K$388:$N$400,W274,1)*((J274-$T$405+1)/1000)^INDEX($K$388:$N$400,W274,2)</x:f>
        <x:v>152.7740895675252</x:v>
      </x:c>
      <x:c r="N274" s="8" t="n">
        <x:f>K274-M274</x:f>
        <x:v>-52.77408956752521</x:v>
      </x:c>
      <x:c r="O274" s="8" t="n">
        <x:f>ABS(N274)</x:f>
        <x:v>52.77408956752521</x:v>
      </x:c>
      <x:c r="P274" s="8" t="n">
        <x:f>N274^2</x:f>
        <x:v>2785.104529681173</x:v>
      </x:c>
      <x:c r="Q274" s="8" t="n">
        <x:f>K274-L274</x:f>
        <x:v>-63</x:v>
      </x:c>
      <x:c r="R274" s="9" t="n">
        <x:f>IF(AND(INDEX('Сводка'!$T$3:$T$397,U274)=0,INDEX('Сводка'!$T$3:$T$397,V274)=0),1,0)</x:f>
        <x:v>1</x:v>
      </x:c>
      <x:c r="S274" s="9" t="n">
        <x:f>IF(AND(R274=1,O274&lt;=$G$13),1,0)</x:f>
        <x:v>0</x:v>
      </x:c>
      <x:c r="T274" s="10" t="n">
        <x:f>EOMONTH(J274-'Сводка'!$B$11,-1)</x:f>
        <x:v>46112</x:v>
      </x:c>
      <x:c r="U274" s="4" t="n">
        <x:f>MATCH(J274,'Сводка'!$R$3:$R$397,0)</x:f>
        <x:v>285</x:v>
      </x:c>
      <x:c r="V274" s="4" t="n">
        <x:f>MATCH(J274-'Сводка'!$B$11,'Сводка'!$R$3:$R$397,0)</x:f>
        <x:v>284</x:v>
      </x:c>
      <x:c r="W274" s="4" t="n">
        <x:f>MATCH(T274,$J$388:$J$400,0)</x:f>
        <x:v>10</x:v>
      </x:c>
      <x:c r="X274" s="3"/>
      <x:c r="Y274" s="3"/>
      <x:c r="Z274" s="3"/>
    </x:row>
    <x:row r="275" ht="15" customHeight="1">
      <x:c r="A275" s="3"/>
      <x:c r="B275" s="3"/>
      <x:c r="C275" s="3"/>
      <x:c r="D275" s="3"/>
      <x:c r="E275" s="3"/>
      <x:c r="F275" s="3"/>
      <x:c r="G275" s="3"/>
      <x:c r="H275" s="3"/>
      <x:c r="I275" s="3"/>
      <x:c r="J275" s="10" t="n">
        <x:v>46126</x:v>
      </x:c>
      <x:c r="K275" s="8" t="n">
        <x:f>INDEX('Сводка'!$S$3:$S$397,U275)</x:f>
        <x:v>36</x:v>
      </x:c>
      <x:c r="L275" s="8" t="n">
        <x:f>INDEX('Сводка'!$S$3:$S$397,V275)</x:f>
        <x:v>100</x:v>
      </x:c>
      <x:c r="M275" s="8" t="n">
        <x:f>INDEX($K$388:$N$400,W275,1)*((J275-$T$405+1)/1000)^INDEX($K$388:$N$400,W275,2)</x:f>
        <x:v>152.7921737026183</x:v>
      </x:c>
      <x:c r="N275" s="8" t="n">
        <x:f>K275-M275</x:f>
        <x:v>-116.7921737026183</x:v>
      </x:c>
      <x:c r="O275" s="8" t="n">
        <x:f>ABS(N275)</x:f>
        <x:v>116.7921737026183</x:v>
      </x:c>
      <x:c r="P275" s="8" t="n">
        <x:f>N275^2</x:f>
        <x:v>13640.411838182565</x:v>
      </x:c>
      <x:c r="Q275" s="8" t="n">
        <x:f>K275-L275</x:f>
        <x:v>-64</x:v>
      </x:c>
      <x:c r="R275" s="9" t="n">
        <x:f>IF(AND(INDEX('Сводка'!$T$3:$T$397,U275)=0,INDEX('Сводка'!$T$3:$T$397,V275)=0),1,0)</x:f>
        <x:v>1</x:v>
      </x:c>
      <x:c r="S275" s="9" t="n">
        <x:f>IF(AND(R275=1,O275&lt;=$G$13),1,0)</x:f>
        <x:v>0</x:v>
      </x:c>
      <x:c r="T275" s="10" t="n">
        <x:f>EOMONTH(J275-'Сводка'!$B$11,-1)</x:f>
        <x:v>46112</x:v>
      </x:c>
      <x:c r="U275" s="4" t="n">
        <x:f>MATCH(J275,'Сводка'!$R$3:$R$397,0)</x:f>
        <x:v>286</x:v>
      </x:c>
      <x:c r="V275" s="4" t="n">
        <x:f>MATCH(J275-'Сводка'!$B$11,'Сводка'!$R$3:$R$397,0)</x:f>
        <x:v>285</x:v>
      </x:c>
      <x:c r="W275" s="4" t="n">
        <x:f>MATCH(T275,$J$388:$J$400,0)</x:f>
        <x:v>10</x:v>
      </x:c>
      <x:c r="X275" s="3"/>
      <x:c r="Y275" s="3"/>
      <x:c r="Z275" s="3"/>
    </x:row>
    <x:row r="276" ht="15" customHeight="1">
      <x:c r="A276" s="3"/>
      <x:c r="B276" s="3"/>
      <x:c r="C276" s="3"/>
      <x:c r="D276" s="3"/>
      <x:c r="E276" s="3"/>
      <x:c r="F276" s="3"/>
      <x:c r="G276" s="3"/>
      <x:c r="H276" s="3"/>
      <x:c r="I276" s="3"/>
      <x:c r="J276" s="10" t="n">
        <x:v>46127</x:v>
      </x:c>
      <x:c r="K276" s="8" t="n">
        <x:f>INDEX('Сводка'!$S$3:$S$397,U276)</x:f>
        <x:v>-4</x:v>
      </x:c>
      <x:c r="L276" s="8" t="n">
        <x:f>INDEX('Сводка'!$S$3:$S$397,V276)</x:f>
        <x:v>36</x:v>
      </x:c>
      <x:c r="M276" s="8" t="n">
        <x:f>INDEX($K$388:$N$400,W276,1)*((J276-$T$405+1)/1000)^INDEX($K$388:$N$400,W276,2)</x:f>
        <x:v>152.81025793931724</x:v>
      </x:c>
      <x:c r="N276" s="8" t="n">
        <x:f>K276-M276</x:f>
        <x:v>-156.81025793931724</x:v>
      </x:c>
      <x:c r="O276" s="8" t="n">
        <x:f>ABS(N276)</x:f>
        <x:v>156.81025793931724</x:v>
      </x:c>
      <x:c r="P276" s="8" t="n">
        <x:f>N276^2</x:f>
        <x:v>24589.456994995206</x:v>
      </x:c>
      <x:c r="Q276" s="8" t="n">
        <x:f>K276-L276</x:f>
        <x:v>-40</x:v>
      </x:c>
      <x:c r="R276" s="9" t="n">
        <x:f>IF(AND(INDEX('Сводка'!$T$3:$T$397,U276)=0,INDEX('Сводка'!$T$3:$T$397,V276)=0),1,0)</x:f>
        <x:v>1</x:v>
      </x:c>
      <x:c r="S276" s="9" t="n">
        <x:f>IF(AND(R276=1,O276&lt;=$G$13),1,0)</x:f>
        <x:v>0</x:v>
      </x:c>
      <x:c r="T276" s="10" t="n">
        <x:f>EOMONTH(J276-'Сводка'!$B$11,-1)</x:f>
        <x:v>46112</x:v>
      </x:c>
      <x:c r="U276" s="4" t="n">
        <x:f>MATCH(J276,'Сводка'!$R$3:$R$397,0)</x:f>
        <x:v>287</x:v>
      </x:c>
      <x:c r="V276" s="4" t="n">
        <x:f>MATCH(J276-'Сводка'!$B$11,'Сводка'!$R$3:$R$397,0)</x:f>
        <x:v>286</x:v>
      </x:c>
      <x:c r="W276" s="4" t="n">
        <x:f>MATCH(T276,$J$388:$J$400,0)</x:f>
        <x:v>10</x:v>
      </x:c>
      <x:c r="X276" s="3"/>
      <x:c r="Y276" s="3"/>
      <x:c r="Z276" s="3"/>
    </x:row>
    <x:row r="277" ht="15" customHeight="1">
      <x:c r="A277" s="3"/>
      <x:c r="B277" s="3"/>
      <x:c r="C277" s="3"/>
      <x:c r="D277" s="3"/>
      <x:c r="E277" s="3"/>
      <x:c r="F277" s="3"/>
      <x:c r="G277" s="3"/>
      <x:c r="H277" s="3"/>
      <x:c r="I277" s="3"/>
      <x:c r="J277" s="10" t="n">
        <x:v>46128</x:v>
      </x:c>
      <x:c r="K277" s="8" t="n">
        <x:f>INDEX('Сводка'!$S$3:$S$397,U277)</x:f>
        <x:v>-14</x:v>
      </x:c>
      <x:c r="L277" s="8" t="n">
        <x:f>INDEX('Сводка'!$S$3:$S$397,V277)</x:f>
        <x:v>-4</x:v>
      </x:c>
      <x:c r="M277" s="8" t="n">
        <x:f>INDEX($K$388:$N$400,W277,1)*((J277-$T$405+1)/1000)^INDEX($K$388:$N$400,W277,2)</x:f>
        <x:v>152.82834227761114</x:v>
      </x:c>
      <x:c r="N277" s="8" t="n">
        <x:f>K277-M277</x:f>
        <x:v>-166.82834227761114</x:v>
      </x:c>
      <x:c r="O277" s="8" t="n">
        <x:f>ABS(N277)</x:f>
        <x:v>166.82834227761114</x:v>
      </x:c>
      <x:c r="P277" s="8" t="n">
        <x:f>N277^2</x:f>
        <x:v>27831.695787095778</x:v>
      </x:c>
      <x:c r="Q277" s="8" t="n">
        <x:f>K277-L277</x:f>
        <x:v>-10</x:v>
      </x:c>
      <x:c r="R277" s="9" t="n">
        <x:f>IF(AND(INDEX('Сводка'!$T$3:$T$397,U277)=0,INDEX('Сводка'!$T$3:$T$397,V277)=0),1,0)</x:f>
        <x:v>1</x:v>
      </x:c>
      <x:c r="S277" s="9" t="n">
        <x:f>IF(AND(R277=1,O277&lt;=$G$13),1,0)</x:f>
        <x:v>0</x:v>
      </x:c>
      <x:c r="T277" s="10" t="n">
        <x:f>EOMONTH(J277-'Сводка'!$B$11,-1)</x:f>
        <x:v>46112</x:v>
      </x:c>
      <x:c r="U277" s="4" t="n">
        <x:f>MATCH(J277,'Сводка'!$R$3:$R$397,0)</x:f>
        <x:v>288</x:v>
      </x:c>
      <x:c r="V277" s="4" t="n">
        <x:f>MATCH(J277-'Сводка'!$B$11,'Сводка'!$R$3:$R$397,0)</x:f>
        <x:v>287</x:v>
      </x:c>
      <x:c r="W277" s="4" t="n">
        <x:f>MATCH(T277,$J$388:$J$400,0)</x:f>
        <x:v>10</x:v>
      </x:c>
      <x:c r="X277" s="3"/>
      <x:c r="Y277" s="3"/>
      <x:c r="Z277" s="3"/>
    </x:row>
    <x:row r="278" ht="15" customHeight="1">
      <x:c r="A278" s="3"/>
      <x:c r="B278" s="3"/>
      <x:c r="C278" s="3"/>
      <x:c r="D278" s="3"/>
      <x:c r="E278" s="3"/>
      <x:c r="F278" s="3"/>
      <x:c r="G278" s="3"/>
      <x:c r="H278" s="3"/>
      <x:c r="I278" s="3"/>
      <x:c r="J278" s="10" t="n">
        <x:v>46129</x:v>
      </x:c>
      <x:c r="K278" s="8" t="n">
        <x:f>INDEX('Сводка'!$S$3:$S$397,U278)</x:f>
        <x:v>-6</x:v>
      </x:c>
      <x:c r="L278" s="8" t="n">
        <x:f>INDEX('Сводка'!$S$3:$S$397,V278)</x:f>
        <x:v>-14</x:v>
      </x:c>
      <x:c r="M278" s="8" t="n">
        <x:f>INDEX($K$388:$N$400,W278,1)*((J278-$T$405+1)/1000)^INDEX($K$388:$N$400,W278,2)</x:f>
        <x:v>152.84642671748915</x:v>
      </x:c>
      <x:c r="N278" s="8" t="n">
        <x:f>K278-M278</x:f>
        <x:v>-158.84642671748915</x:v>
      </x:c>
      <x:c r="O278" s="8" t="n">
        <x:f>ABS(N278)</x:f>
        <x:v>158.84642671748915</x:v>
      </x:c>
      <x:c r="P278" s="8" t="n">
        <x:f>N278^2</x:f>
        <x:v>25232.18728091465</x:v>
      </x:c>
      <x:c r="Q278" s="8" t="n">
        <x:f>K278-L278</x:f>
        <x:v>8</x:v>
      </x:c>
      <x:c r="R278" s="9" t="n">
        <x:f>IF(AND(INDEX('Сводка'!$T$3:$T$397,U278)=0,INDEX('Сводка'!$T$3:$T$397,V278)=0),1,0)</x:f>
        <x:v>1</x:v>
      </x:c>
      <x:c r="S278" s="9" t="n">
        <x:f>IF(AND(R278=1,O278&lt;=$G$13),1,0)</x:f>
        <x:v>0</x:v>
      </x:c>
      <x:c r="T278" s="10" t="n">
        <x:f>EOMONTH(J278-'Сводка'!$B$11,-1)</x:f>
        <x:v>46112</x:v>
      </x:c>
      <x:c r="U278" s="4" t="n">
        <x:f>MATCH(J278,'Сводка'!$R$3:$R$397,0)</x:f>
        <x:v>289</x:v>
      </x:c>
      <x:c r="V278" s="4" t="n">
        <x:f>MATCH(J278-'Сводка'!$B$11,'Сводка'!$R$3:$R$397,0)</x:f>
        <x:v>288</x:v>
      </x:c>
      <x:c r="W278" s="4" t="n">
        <x:f>MATCH(T278,$J$388:$J$400,0)</x:f>
        <x:v>10</x:v>
      </x:c>
      <x:c r="X278" s="3"/>
      <x:c r="Y278" s="3"/>
      <x:c r="Z278" s="3"/>
    </x:row>
    <x:row r="279" ht="15" customHeight="1">
      <x:c r="A279" s="3"/>
      <x:c r="B279" s="3"/>
      <x:c r="C279" s="3"/>
      <x:c r="D279" s="3"/>
      <x:c r="E279" s="3"/>
      <x:c r="F279" s="3"/>
      <x:c r="G279" s="3"/>
      <x:c r="H279" s="3"/>
      <x:c r="I279" s="3"/>
      <x:c r="J279" s="10" t="n">
        <x:v>46130</x:v>
      </x:c>
      <x:c r="K279" s="8" t="n">
        <x:f>INDEX('Сводка'!$S$3:$S$397,U279)</x:f>
        <x:v>-4</x:v>
      </x:c>
      <x:c r="L279" s="8" t="n">
        <x:f>INDEX('Сводка'!$S$3:$S$397,V279)</x:f>
        <x:v>-6</x:v>
      </x:c>
      <x:c r="M279" s="8" t="n">
        <x:f>INDEX($K$388:$N$400,W279,1)*((J279-$T$405+1)/1000)^INDEX($K$388:$N$400,W279,2)</x:f>
        <x:v>152.86451125894044</x:v>
      </x:c>
      <x:c r="N279" s="8" t="n">
        <x:f>K279-M279</x:f>
        <x:v>-156.86451125894044</x:v>
      </x:c>
      <x:c r="O279" s="8" t="n">
        <x:f>ABS(N279)</x:f>
        <x:v>156.86451125894044</x:v>
      </x:c>
      <x:c r="P279" s="8" t="n">
        <x:f>N279^2</x:f>
        <x:v>24606.474892506252</x:v>
      </x:c>
      <x:c r="Q279" s="8" t="n">
        <x:f>K279-L279</x:f>
        <x:v>2</x:v>
      </x:c>
      <x:c r="R279" s="9" t="n">
        <x:f>IF(AND(INDEX('Сводка'!$T$3:$T$397,U279)=0,INDEX('Сводка'!$T$3:$T$397,V279)=0),1,0)</x:f>
        <x:v>1</x:v>
      </x:c>
      <x:c r="S279" s="9" t="n">
        <x:f>IF(AND(R279=1,O279&lt;=$G$13),1,0)</x:f>
        <x:v>0</x:v>
      </x:c>
      <x:c r="T279" s="10" t="n">
        <x:f>EOMONTH(J279-'Сводка'!$B$11,-1)</x:f>
        <x:v>46112</x:v>
      </x:c>
      <x:c r="U279" s="4" t="n">
        <x:f>MATCH(J279,'Сводка'!$R$3:$R$397,0)</x:f>
        <x:v>290</x:v>
      </x:c>
      <x:c r="V279" s="4" t="n">
        <x:f>MATCH(J279-'Сводка'!$B$11,'Сводка'!$R$3:$R$397,0)</x:f>
        <x:v>289</x:v>
      </x:c>
      <x:c r="W279" s="4" t="n">
        <x:f>MATCH(T279,$J$388:$J$400,0)</x:f>
        <x:v>10</x:v>
      </x:c>
      <x:c r="X279" s="3"/>
      <x:c r="Y279" s="3"/>
      <x:c r="Z279" s="3"/>
    </x:row>
    <x:row r="280" ht="15" customHeight="1">
      <x:c r="A280" s="3"/>
      <x:c r="B280" s="3"/>
      <x:c r="C280" s="3"/>
      <x:c r="D280" s="3"/>
      <x:c r="E280" s="3"/>
      <x:c r="F280" s="3"/>
      <x:c r="G280" s="3"/>
      <x:c r="H280" s="3"/>
      <x:c r="I280" s="3"/>
      <x:c r="J280" s="10" t="n">
        <x:v>46131</x:v>
      </x:c>
      <x:c r="K280" s="8" t="n">
        <x:f>INDEX('Сводка'!$S$3:$S$397,U280)</x:f>
        <x:v>64</x:v>
      </x:c>
      <x:c r="L280" s="8" t="n">
        <x:f>INDEX('Сводка'!$S$3:$S$397,V280)</x:f>
        <x:v>-4</x:v>
      </x:c>
      <x:c r="M280" s="8" t="n">
        <x:f>INDEX($K$388:$N$400,W280,1)*((J280-$T$405+1)/1000)^INDEX($K$388:$N$400,W280,2)</x:f>
        <x:v>152.88259590195398</x:v>
      </x:c>
      <x:c r="N280" s="8" t="n">
        <x:f>K280-M280</x:f>
        <x:v>-88.88259590195398</x:v>
      </x:c>
      <x:c r="O280" s="8" t="n">
        <x:f>ABS(N280)</x:f>
        <x:v>88.88259590195398</x:v>
      </x:c>
      <x:c r="P280" s="8" t="n">
        <x:f>N280^2</x:f>
        <x:v>7900.115854270046</x:v>
      </x:c>
      <x:c r="Q280" s="8" t="n">
        <x:f>K280-L280</x:f>
        <x:v>68</x:v>
      </x:c>
      <x:c r="R280" s="9" t="n">
        <x:f>IF(AND(INDEX('Сводка'!$T$3:$T$397,U280)=0,INDEX('Сводка'!$T$3:$T$397,V280)=0),1,0)</x:f>
        <x:v>1</x:v>
      </x:c>
      <x:c r="S280" s="9" t="n">
        <x:f>IF(AND(R280=1,O280&lt;=$G$13),1,0)</x:f>
        <x:v>0</x:v>
      </x:c>
      <x:c r="T280" s="10" t="n">
        <x:f>EOMONTH(J280-'Сводка'!$B$11,-1)</x:f>
        <x:v>46112</x:v>
      </x:c>
      <x:c r="U280" s="4" t="n">
        <x:f>MATCH(J280,'Сводка'!$R$3:$R$397,0)</x:f>
        <x:v>291</x:v>
      </x:c>
      <x:c r="V280" s="4" t="n">
        <x:f>MATCH(J280-'Сводка'!$B$11,'Сводка'!$R$3:$R$397,0)</x:f>
        <x:v>290</x:v>
      </x:c>
      <x:c r="W280" s="4" t="n">
        <x:f>MATCH(T280,$J$388:$J$400,0)</x:f>
        <x:v>10</x:v>
      </x:c>
      <x:c r="X280" s="3"/>
      <x:c r="Y280" s="3"/>
      <x:c r="Z280" s="3"/>
    </x:row>
    <x:row r="281" ht="15" customHeight="1">
      <x:c r="A281" s="3"/>
      <x:c r="B281" s="3"/>
      <x:c r="C281" s="3"/>
      <x:c r="D281" s="3"/>
      <x:c r="E281" s="3"/>
      <x:c r="F281" s="3"/>
      <x:c r="G281" s="3"/>
      <x:c r="H281" s="3"/>
      <x:c r="I281" s="3"/>
      <x:c r="J281" s="10" t="n">
        <x:v>46132</x:v>
      </x:c>
      <x:c r="K281" s="8" t="n">
        <x:f>INDEX('Сводка'!$S$3:$S$397,U281)</x:f>
        <x:v>82</x:v>
      </x:c>
      <x:c r="L281" s="8" t="n">
        <x:f>INDEX('Сводка'!$S$3:$S$397,V281)</x:f>
        <x:v>64</x:v>
      </x:c>
      <x:c r="M281" s="8" t="n">
        <x:f>INDEX($K$388:$N$400,W281,1)*((J281-$T$405+1)/1000)^INDEX($K$388:$N$400,W281,2)</x:f>
        <x:v>152.90068064651902</x:v>
      </x:c>
      <x:c r="N281" s="8" t="n">
        <x:f>K281-M281</x:f>
        <x:v>-70.90068064651902</x:v>
      </x:c>
      <x:c r="O281" s="8" t="n">
        <x:f>ABS(N281)</x:f>
        <x:v>70.90068064651902</x:v>
      </x:c>
      <x:c r="P281" s="8" t="n">
        <x:f>N281^2</x:f>
        <x:v>5026.906516139677</x:v>
      </x:c>
      <x:c r="Q281" s="8" t="n">
        <x:f>K281-L281</x:f>
        <x:v>18</x:v>
      </x:c>
      <x:c r="R281" s="9" t="n">
        <x:f>IF(AND(INDEX('Сводка'!$T$3:$T$397,U281)=0,INDEX('Сводка'!$T$3:$T$397,V281)=0),1,0)</x:f>
        <x:v>1</x:v>
      </x:c>
      <x:c r="S281" s="9" t="n">
        <x:f>IF(AND(R281=1,O281&lt;=$G$13),1,0)</x:f>
        <x:v>0</x:v>
      </x:c>
      <x:c r="T281" s="10" t="n">
        <x:f>EOMONTH(J281-'Сводка'!$B$11,-1)</x:f>
        <x:v>46112</x:v>
      </x:c>
      <x:c r="U281" s="4" t="n">
        <x:f>MATCH(J281,'Сводка'!$R$3:$R$397,0)</x:f>
        <x:v>292</x:v>
      </x:c>
      <x:c r="V281" s="4" t="n">
        <x:f>MATCH(J281-'Сводка'!$B$11,'Сводка'!$R$3:$R$397,0)</x:f>
        <x:v>291</x:v>
      </x:c>
      <x:c r="W281" s="4" t="n">
        <x:f>MATCH(T281,$J$388:$J$400,0)</x:f>
        <x:v>10</x:v>
      </x:c>
      <x:c r="X281" s="3"/>
      <x:c r="Y281" s="3"/>
      <x:c r="Z281" s="3"/>
    </x:row>
    <x:row r="282" ht="15" customHeight="1">
      <x:c r="A282" s="3"/>
      <x:c r="B282" s="3"/>
      <x:c r="C282" s="3"/>
      <x:c r="D282" s="3"/>
      <x:c r="E282" s="3"/>
      <x:c r="F282" s="3"/>
      <x:c r="G282" s="3"/>
      <x:c r="H282" s="3"/>
      <x:c r="I282" s="3"/>
      <x:c r="J282" s="10" t="n">
        <x:v>46133</x:v>
      </x:c>
      <x:c r="K282" s="8" t="n">
        <x:f>INDEX('Сводка'!$S$3:$S$397,U282)</x:f>
        <x:v>64</x:v>
      </x:c>
      <x:c r="L282" s="8" t="n">
        <x:f>INDEX('Сводка'!$S$3:$S$397,V282)</x:f>
        <x:v>82</x:v>
      </x:c>
      <x:c r="M282" s="8" t="n">
        <x:f>INDEX($K$388:$N$400,W282,1)*((J282-$T$405+1)/1000)^INDEX($K$388:$N$400,W282,2)</x:f>
        <x:v>152.91876549262471</x:v>
      </x:c>
      <x:c r="N282" s="8" t="n">
        <x:f>K282-M282</x:f>
        <x:v>-88.91876549262471</x:v>
      </x:c>
      <x:c r="O282" s="8" t="n">
        <x:f>ABS(N282)</x:f>
        <x:v>88.91876549262471</x:v>
      </x:c>
      <x:c r="P282" s="8" t="n">
        <x:f>N282^2</x:f>
        <x:v>7906.546856732388</x:v>
      </x:c>
      <x:c r="Q282" s="8" t="n">
        <x:f>K282-L282</x:f>
        <x:v>-18</x:v>
      </x:c>
      <x:c r="R282" s="9" t="n">
        <x:f>IF(AND(INDEX('Сводка'!$T$3:$T$397,U282)=0,INDEX('Сводка'!$T$3:$T$397,V282)=0),1,0)</x:f>
        <x:v>1</x:v>
      </x:c>
      <x:c r="S282" s="9" t="n">
        <x:f>IF(AND(R282=1,O282&lt;=$G$13),1,0)</x:f>
        <x:v>0</x:v>
      </x:c>
      <x:c r="T282" s="10" t="n">
        <x:f>EOMONTH(J282-'Сводка'!$B$11,-1)</x:f>
        <x:v>46112</x:v>
      </x:c>
      <x:c r="U282" s="4" t="n">
        <x:f>MATCH(J282,'Сводка'!$R$3:$R$397,0)</x:f>
        <x:v>293</x:v>
      </x:c>
      <x:c r="V282" s="4" t="n">
        <x:f>MATCH(J282-'Сводка'!$B$11,'Сводка'!$R$3:$R$397,0)</x:f>
        <x:v>292</x:v>
      </x:c>
      <x:c r="W282" s="4" t="n">
        <x:f>MATCH(T282,$J$388:$J$400,0)</x:f>
        <x:v>10</x:v>
      </x:c>
      <x:c r="X282" s="3"/>
      <x:c r="Y282" s="3"/>
      <x:c r="Z282" s="3"/>
    </x:row>
    <x:row r="283" ht="15" customHeight="1">
      <x:c r="A283" s="3"/>
      <x:c r="B283" s="3"/>
      <x:c r="C283" s="3"/>
      <x:c r="D283" s="3"/>
      <x:c r="E283" s="3"/>
      <x:c r="F283" s="3"/>
      <x:c r="G283" s="3"/>
      <x:c r="H283" s="3"/>
      <x:c r="I283" s="3"/>
      <x:c r="J283" s="10" t="n">
        <x:v>46134</x:v>
      </x:c>
      <x:c r="K283" s="8" t="n">
        <x:f>INDEX('Сводка'!$S$3:$S$397,U283)</x:f>
        <x:v>63</x:v>
      </x:c>
      <x:c r="L283" s="8" t="n">
        <x:f>INDEX('Сводка'!$S$3:$S$397,V283)</x:f>
        <x:v>64</x:v>
      </x:c>
      <x:c r="M283" s="8" t="n">
        <x:f>INDEX($K$388:$N$400,W283,1)*((J283-$T$405+1)/1000)^INDEX($K$388:$N$400,W283,2)</x:f>
        <x:v>152.9368504402601</x:v>
      </x:c>
      <x:c r="N283" s="8" t="n">
        <x:f>K283-M283</x:f>
        <x:v>-89.93685044026009</x:v>
      </x:c>
      <x:c r="O283" s="8" t="n">
        <x:f>ABS(N283)</x:f>
        <x:v>89.93685044026009</x:v>
      </x:c>
      <x:c r="P283" s="8" t="n">
        <x:f>N283^2</x:f>
        <x:v>8088.637067113711</x:v>
      </x:c>
      <x:c r="Q283" s="8" t="n">
        <x:f>K283-L283</x:f>
        <x:v>-1</x:v>
      </x:c>
      <x:c r="R283" s="9" t="n">
        <x:f>IF(AND(INDEX('Сводка'!$T$3:$T$397,U283)=0,INDEX('Сводка'!$T$3:$T$397,V283)=0),1,0)</x:f>
        <x:v>1</x:v>
      </x:c>
      <x:c r="S283" s="9" t="n">
        <x:f>IF(AND(R283=1,O283&lt;=$G$13),1,0)</x:f>
        <x:v>0</x:v>
      </x:c>
      <x:c r="T283" s="10" t="n">
        <x:f>EOMONTH(J283-'Сводка'!$B$11,-1)</x:f>
        <x:v>46112</x:v>
      </x:c>
      <x:c r="U283" s="4" t="n">
        <x:f>MATCH(J283,'Сводка'!$R$3:$R$397,0)</x:f>
        <x:v>294</x:v>
      </x:c>
      <x:c r="V283" s="4" t="n">
        <x:f>MATCH(J283-'Сводка'!$B$11,'Сводка'!$R$3:$R$397,0)</x:f>
        <x:v>293</x:v>
      </x:c>
      <x:c r="W283" s="4" t="n">
        <x:f>MATCH(T283,$J$388:$J$400,0)</x:f>
        <x:v>10</x:v>
      </x:c>
      <x:c r="X283" s="3"/>
      <x:c r="Y283" s="3"/>
      <x:c r="Z283" s="3"/>
    </x:row>
    <x:row r="284" ht="15" customHeight="1">
      <x:c r="A284" s="3"/>
      <x:c r="B284" s="3"/>
      <x:c r="C284" s="3"/>
      <x:c r="D284" s="3"/>
      <x:c r="E284" s="3"/>
      <x:c r="F284" s="3"/>
      <x:c r="G284" s="3"/>
      <x:c r="H284" s="3"/>
      <x:c r="I284" s="3"/>
      <x:c r="J284" s="10" t="n">
        <x:v>46135</x:v>
      </x:c>
      <x:c r="K284" s="8" t="n">
        <x:f>INDEX('Сводка'!$S$3:$S$397,U284)</x:f>
        <x:v>55</x:v>
      </x:c>
      <x:c r="L284" s="8" t="n">
        <x:f>INDEX('Сводка'!$S$3:$S$397,V284)</x:f>
        <x:v>63</x:v>
      </x:c>
      <x:c r="M284" s="8" t="n">
        <x:f>INDEX($K$388:$N$400,W284,1)*((J284-$T$405+1)/1000)^INDEX($K$388:$N$400,W284,2)</x:f>
        <x:v>152.95493548941437</x:v>
      </x:c>
      <x:c r="N284" s="8" t="n">
        <x:f>K284-M284</x:f>
        <x:v>-97.95493548941437</x:v>
      </x:c>
      <x:c r="O284" s="8" t="n">
        <x:f>ABS(N284)</x:f>
        <x:v>97.95493548941437</x:v>
      </x:c>
      <x:c r="P284" s="8" t="n">
        <x:f>N284^2</x:f>
        <x:v>9595.16938673533</x:v>
      </x:c>
      <x:c r="Q284" s="8" t="n">
        <x:f>K284-L284</x:f>
        <x:v>-8</x:v>
      </x:c>
      <x:c r="R284" s="9" t="n">
        <x:f>IF(AND(INDEX('Сводка'!$T$3:$T$397,U284)=0,INDEX('Сводка'!$T$3:$T$397,V284)=0),1,0)</x:f>
        <x:v>1</x:v>
      </x:c>
      <x:c r="S284" s="9" t="n">
        <x:f>IF(AND(R284=1,O284&lt;=$G$13),1,0)</x:f>
        <x:v>0</x:v>
      </x:c>
      <x:c r="T284" s="10" t="n">
        <x:f>EOMONTH(J284-'Сводка'!$B$11,-1)</x:f>
        <x:v>46112</x:v>
      </x:c>
      <x:c r="U284" s="4" t="n">
        <x:f>MATCH(J284,'Сводка'!$R$3:$R$397,0)</x:f>
        <x:v>295</x:v>
      </x:c>
      <x:c r="V284" s="4" t="n">
        <x:f>MATCH(J284-'Сводка'!$B$11,'Сводка'!$R$3:$R$397,0)</x:f>
        <x:v>294</x:v>
      </x:c>
      <x:c r="W284" s="4" t="n">
        <x:f>MATCH(T284,$J$388:$J$400,0)</x:f>
        <x:v>10</x:v>
      </x:c>
      <x:c r="X284" s="3"/>
      <x:c r="Y284" s="3"/>
      <x:c r="Z284" s="3"/>
    </x:row>
    <x:row r="285" ht="15" customHeight="1">
      <x:c r="A285" s="3"/>
      <x:c r="B285" s="3"/>
      <x:c r="C285" s="3"/>
      <x:c r="D285" s="3"/>
      <x:c r="E285" s="3"/>
      <x:c r="F285" s="3"/>
      <x:c r="G285" s="3"/>
      <x:c r="H285" s="3"/>
      <x:c r="I285" s="3"/>
      <x:c r="J285" s="10" t="n">
        <x:v>46136</x:v>
      </x:c>
      <x:c r="K285" s="8" t="n">
        <x:f>INDEX('Сводка'!$S$3:$S$397,U285)</x:f>
        <x:v>53</x:v>
      </x:c>
      <x:c r="L285" s="8" t="n">
        <x:f>INDEX('Сводка'!$S$3:$S$397,V285)</x:f>
        <x:v>55</x:v>
      </x:c>
      <x:c r="M285" s="8" t="n">
        <x:f>INDEX($K$388:$N$400,W285,1)*((J285-$T$405+1)/1000)^INDEX($K$388:$N$400,W285,2)</x:f>
        <x:v>152.97302064007664</x:v>
      </x:c>
      <x:c r="N285" s="8" t="n">
        <x:f>K285-M285</x:f>
        <x:v>-99.97302064007664</x:v>
      </x:c>
      <x:c r="O285" s="8" t="n">
        <x:f>ABS(N285)</x:f>
        <x:v>99.97302064007664</x:v>
      </x:c>
      <x:c r="P285" s="8" t="n">
        <x:f>N285^2</x:f>
        <x:v>9994.60485590119</x:v>
      </x:c>
      <x:c r="Q285" s="8" t="n">
        <x:f>K285-L285</x:f>
        <x:v>-2</x:v>
      </x:c>
      <x:c r="R285" s="9" t="n">
        <x:f>IF(AND(INDEX('Сводка'!$T$3:$T$397,U285)=0,INDEX('Сводка'!$T$3:$T$397,V285)=0),1,0)</x:f>
        <x:v>1</x:v>
      </x:c>
      <x:c r="S285" s="9" t="n">
        <x:f>IF(AND(R285=1,O285&lt;=$G$13),1,0)</x:f>
        <x:v>0</x:v>
      </x:c>
      <x:c r="T285" s="10" t="n">
        <x:f>EOMONTH(J285-'Сводка'!$B$11,-1)</x:f>
        <x:v>46112</x:v>
      </x:c>
      <x:c r="U285" s="4" t="n">
        <x:f>MATCH(J285,'Сводка'!$R$3:$R$397,0)</x:f>
        <x:v>296</x:v>
      </x:c>
      <x:c r="V285" s="4" t="n">
        <x:f>MATCH(J285-'Сводка'!$B$11,'Сводка'!$R$3:$R$397,0)</x:f>
        <x:v>295</x:v>
      </x:c>
      <x:c r="W285" s="4" t="n">
        <x:f>MATCH(T285,$J$388:$J$400,0)</x:f>
        <x:v>10</x:v>
      </x:c>
      <x:c r="X285" s="3"/>
      <x:c r="Y285" s="3"/>
      <x:c r="Z285" s="3"/>
    </x:row>
    <x:row r="286" ht="15" customHeight="1">
      <x:c r="A286" s="3"/>
      <x:c r="B286" s="3"/>
      <x:c r="C286" s="3"/>
      <x:c r="D286" s="3"/>
      <x:c r="E286" s="3"/>
      <x:c r="F286" s="3"/>
      <x:c r="G286" s="3"/>
      <x:c r="H286" s="3"/>
      <x:c r="I286" s="3"/>
      <x:c r="J286" s="10" t="n">
        <x:v>46137</x:v>
      </x:c>
      <x:c r="K286" s="8" t="n">
        <x:f>INDEX('Сводка'!$S$3:$S$397,U286)</x:f>
        <x:v>58</x:v>
      </x:c>
      <x:c r="L286" s="8" t="n">
        <x:f>INDEX('Сводка'!$S$3:$S$397,V286)</x:f>
        <x:v>53</x:v>
      </x:c>
      <x:c r="M286" s="8" t="n">
        <x:f>INDEX($K$388:$N$400,W286,1)*((J286-$T$405+1)/1000)^INDEX($K$388:$N$400,W286,2)</x:f>
        <x:v>152.99110589223605</x:v>
      </x:c>
      <x:c r="N286" s="8" t="n">
        <x:f>K286-M286</x:f>
        <x:v>-94.99110589223605</x:v>
      </x:c>
      <x:c r="O286" s="8" t="n">
        <x:f>ABS(N286)</x:f>
        <x:v>94.99110589223605</x:v>
      </x:c>
      <x:c r="P286" s="8" t="n">
        <x:f>N286^2</x:f>
        <x:v>9023.310198630003</x:v>
      </x:c>
      <x:c r="Q286" s="8" t="n">
        <x:f>K286-L286</x:f>
        <x:v>5</x:v>
      </x:c>
      <x:c r="R286" s="9" t="n">
        <x:f>IF(AND(INDEX('Сводка'!$T$3:$T$397,U286)=0,INDEX('Сводка'!$T$3:$T$397,V286)=0),1,0)</x:f>
        <x:v>1</x:v>
      </x:c>
      <x:c r="S286" s="9" t="n">
        <x:f>IF(AND(R286=1,O286&lt;=$G$13),1,0)</x:f>
        <x:v>0</x:v>
      </x:c>
      <x:c r="T286" s="10" t="n">
        <x:f>EOMONTH(J286-'Сводка'!$B$11,-1)</x:f>
        <x:v>46112</x:v>
      </x:c>
      <x:c r="U286" s="4" t="n">
        <x:f>MATCH(J286,'Сводка'!$R$3:$R$397,0)</x:f>
        <x:v>297</x:v>
      </x:c>
      <x:c r="V286" s="4" t="n">
        <x:f>MATCH(J286-'Сводка'!$B$11,'Сводка'!$R$3:$R$397,0)</x:f>
        <x:v>296</x:v>
      </x:c>
      <x:c r="W286" s="4" t="n">
        <x:f>MATCH(T286,$J$388:$J$400,0)</x:f>
        <x:v>10</x:v>
      </x:c>
      <x:c r="X286" s="3"/>
      <x:c r="Y286" s="3"/>
      <x:c r="Z286" s="3"/>
    </x:row>
    <x:row r="287" ht="15" customHeight="1">
      <x:c r="A287" s="3"/>
      <x:c r="B287" s="3"/>
      <x:c r="C287" s="3"/>
      <x:c r="D287" s="3"/>
      <x:c r="E287" s="3"/>
      <x:c r="F287" s="3"/>
      <x:c r="G287" s="3"/>
      <x:c r="H287" s="3"/>
      <x:c r="I287" s="3"/>
      <x:c r="J287" s="10" t="n">
        <x:v>46138</x:v>
      </x:c>
      <x:c r="K287" s="8" t="n">
        <x:f>INDEX('Сводка'!$S$3:$S$397,U287)</x:f>
        <x:v>58</x:v>
      </x:c>
      <x:c r="L287" s="8" t="n">
        <x:f>INDEX('Сводка'!$S$3:$S$397,V287)</x:f>
        <x:v>58</x:v>
      </x:c>
      <x:c r="M287" s="8" t="n">
        <x:f>INDEX($K$388:$N$400,W287,1)*((J287-$T$405+1)/1000)^INDEX($K$388:$N$400,W287,2)</x:f>
        <x:v>153.00919124588174</x:v>
      </x:c>
      <x:c r="N287" s="8" t="n">
        <x:f>K287-M287</x:f>
        <x:v>-95.00919124588174</x:v>
      </x:c>
      <x:c r="O287" s="8" t="n">
        <x:f>ABS(N287)</x:f>
        <x:v>95.00919124588174</x:v>
      </x:c>
      <x:c r="P287" s="8" t="n">
        <x:f>N287^2</x:f>
        <x:v>9026.74642119653</x:v>
      </x:c>
      <x:c r="Q287" s="8" t="n">
        <x:f>K287-L287</x:f>
        <x:v>0</x:v>
      </x:c>
      <x:c r="R287" s="9" t="n">
        <x:f>IF(AND(INDEX('Сводка'!$T$3:$T$397,U287)=0,INDEX('Сводка'!$T$3:$T$397,V287)=0),1,0)</x:f>
        <x:v>1</x:v>
      </x:c>
      <x:c r="S287" s="9" t="n">
        <x:f>IF(AND(R287=1,O287&lt;=$G$13),1,0)</x:f>
        <x:v>0</x:v>
      </x:c>
      <x:c r="T287" s="10" t="n">
        <x:f>EOMONTH(J287-'Сводка'!$B$11,-1)</x:f>
        <x:v>46112</x:v>
      </x:c>
      <x:c r="U287" s="4" t="n">
        <x:f>MATCH(J287,'Сводка'!$R$3:$R$397,0)</x:f>
        <x:v>298</x:v>
      </x:c>
      <x:c r="V287" s="4" t="n">
        <x:f>MATCH(J287-'Сводка'!$B$11,'Сводка'!$R$3:$R$397,0)</x:f>
        <x:v>297</x:v>
      </x:c>
      <x:c r="W287" s="4" t="n">
        <x:f>MATCH(T287,$J$388:$J$400,0)</x:f>
        <x:v>10</x:v>
      </x:c>
      <x:c r="X287" s="3"/>
      <x:c r="Y287" s="3"/>
      <x:c r="Z287" s="3"/>
    </x:row>
    <x:row r="288" ht="15" customHeight="1">
      <x:c r="A288" s="3"/>
      <x:c r="B288" s="3"/>
      <x:c r="C288" s="3"/>
      <x:c r="D288" s="3"/>
      <x:c r="E288" s="3"/>
      <x:c r="F288" s="3"/>
      <x:c r="G288" s="3"/>
      <x:c r="H288" s="3"/>
      <x:c r="I288" s="3"/>
      <x:c r="J288" s="10" t="n">
        <x:v>46139</x:v>
      </x:c>
      <x:c r="K288" s="8" t="n">
        <x:f>INDEX('Сводка'!$S$3:$S$397,U288)</x:f>
        <x:v>61</x:v>
      </x:c>
      <x:c r="L288" s="8" t="n">
        <x:f>INDEX('Сводка'!$S$3:$S$397,V288)</x:f>
        <x:v>58</x:v>
      </x:c>
      <x:c r="M288" s="8" t="n">
        <x:f>INDEX($K$388:$N$400,W288,1)*((J288-$T$405+1)/1000)^INDEX($K$388:$N$400,W288,2)</x:f>
        <x:v>153.02727670100285</x:v>
      </x:c>
      <x:c r="N288" s="8" t="n">
        <x:f>K288-M288</x:f>
        <x:v>-92.02727670100285</x:v>
      </x:c>
      <x:c r="O288" s="8" t="n">
        <x:f>ABS(N288)</x:f>
        <x:v>92.02727670100285</x:v>
      </x:c>
      <x:c r="P288" s="8" t="n">
        <x:f>N288^2</x:f>
        <x:v>8469.019657002942</x:v>
      </x:c>
      <x:c r="Q288" s="8" t="n">
        <x:f>K288-L288</x:f>
        <x:v>3</x:v>
      </x:c>
      <x:c r="R288" s="9" t="n">
        <x:f>IF(AND(INDEX('Сводка'!$T$3:$T$397,U288)=0,INDEX('Сводка'!$T$3:$T$397,V288)=0),1,0)</x:f>
        <x:v>1</x:v>
      </x:c>
      <x:c r="S288" s="9" t="n">
        <x:f>IF(AND(R288=1,O288&lt;=$G$13),1,0)</x:f>
        <x:v>0</x:v>
      </x:c>
      <x:c r="T288" s="10" t="n">
        <x:f>EOMONTH(J288-'Сводка'!$B$11,-1)</x:f>
        <x:v>46112</x:v>
      </x:c>
      <x:c r="U288" s="4" t="n">
        <x:f>MATCH(J288,'Сводка'!$R$3:$R$397,0)</x:f>
        <x:v>299</x:v>
      </x:c>
      <x:c r="V288" s="4" t="n">
        <x:f>MATCH(J288-'Сводка'!$B$11,'Сводка'!$R$3:$R$397,0)</x:f>
        <x:v>298</x:v>
      </x:c>
      <x:c r="W288" s="4" t="n">
        <x:f>MATCH(T288,$J$388:$J$400,0)</x:f>
        <x:v>10</x:v>
      </x:c>
      <x:c r="X288" s="3"/>
      <x:c r="Y288" s="3"/>
      <x:c r="Z288" s="3"/>
    </x:row>
    <x:row r="289" ht="15" customHeight="1">
      <x:c r="A289" s="3"/>
      <x:c r="B289" s="3"/>
      <x:c r="C289" s="3"/>
      <x:c r="D289" s="3"/>
      <x:c r="E289" s="3"/>
      <x:c r="F289" s="3"/>
      <x:c r="G289" s="3"/>
      <x:c r="H289" s="3"/>
      <x:c r="I289" s="3"/>
      <x:c r="J289" s="10" t="n">
        <x:v>46140</x:v>
      </x:c>
      <x:c r="K289" s="8" t="n">
        <x:f>INDEX('Сводка'!$S$3:$S$397,U289)</x:f>
        <x:v>47</x:v>
      </x:c>
      <x:c r="L289" s="8" t="n">
        <x:f>INDEX('Сводка'!$S$3:$S$397,V289)</x:f>
        <x:v>61</x:v>
      </x:c>
      <x:c r="M289" s="8" t="n">
        <x:f>INDEX($K$388:$N$400,W289,1)*((J289-$T$405+1)/1000)^INDEX($K$388:$N$400,W289,2)</x:f>
        <x:v>153.04536225758855</x:v>
      </x:c>
      <x:c r="N289" s="8" t="n">
        <x:f>K289-M289</x:f>
        <x:v>-106.04536225758855</x:v>
      </x:c>
      <x:c r="O289" s="8" t="n">
        <x:f>ABS(N289)</x:f>
        <x:v>106.04536225758855</x:v>
      </x:c>
      <x:c r="P289" s="8" t="n">
        <x:f>N289^2</x:f>
        <x:v>11245.618856343186</x:v>
      </x:c>
      <x:c r="Q289" s="8" t="n">
        <x:f>K289-L289</x:f>
        <x:v>-14</x:v>
      </x:c>
      <x:c r="R289" s="9" t="n">
        <x:f>IF(AND(INDEX('Сводка'!$T$3:$T$397,U289)=0,INDEX('Сводка'!$T$3:$T$397,V289)=0),1,0)</x:f>
        <x:v>1</x:v>
      </x:c>
      <x:c r="S289" s="9" t="n">
        <x:f>IF(AND(R289=1,O289&lt;=$G$13),1,0)</x:f>
        <x:v>0</x:v>
      </x:c>
      <x:c r="T289" s="10" t="n">
        <x:f>EOMONTH(J289-'Сводка'!$B$11,-1)</x:f>
        <x:v>46112</x:v>
      </x:c>
      <x:c r="U289" s="4" t="n">
        <x:f>MATCH(J289,'Сводка'!$R$3:$R$397,0)</x:f>
        <x:v>300</x:v>
      </x:c>
      <x:c r="V289" s="4" t="n">
        <x:f>MATCH(J289-'Сводка'!$B$11,'Сводка'!$R$3:$R$397,0)</x:f>
        <x:v>299</x:v>
      </x:c>
      <x:c r="W289" s="4" t="n">
        <x:f>MATCH(T289,$J$388:$J$400,0)</x:f>
        <x:v>10</x:v>
      </x:c>
      <x:c r="X289" s="3"/>
      <x:c r="Y289" s="3"/>
      <x:c r="Z289" s="3"/>
    </x:row>
    <x:row r="290" ht="15" customHeight="1">
      <x:c r="A290" s="3"/>
      <x:c r="B290" s="3"/>
      <x:c r="C290" s="3"/>
      <x:c r="D290" s="3"/>
      <x:c r="E290" s="3"/>
      <x:c r="F290" s="3"/>
      <x:c r="G290" s="3"/>
      <x:c r="H290" s="3"/>
      <x:c r="I290" s="3"/>
      <x:c r="J290" s="10" t="n">
        <x:v>46141</x:v>
      </x:c>
      <x:c r="K290" s="8" t="n">
        <x:f>INDEX('Сводка'!$S$3:$S$397,U290)</x:f>
        <x:v>37</x:v>
      </x:c>
      <x:c r="L290" s="8" t="n">
        <x:f>INDEX('Сводка'!$S$3:$S$397,V290)</x:f>
        <x:v>47</x:v>
      </x:c>
      <x:c r="M290" s="8" t="n">
        <x:f>INDEX($K$388:$N$400,W290,1)*((J290-$T$405+1)/1000)^INDEX($K$388:$N$400,W290,2)</x:f>
        <x:v>153.06344791562796</x:v>
      </x:c>
      <x:c r="N290" s="8" t="n">
        <x:f>K290-M290</x:f>
        <x:v>-116.06344791562796</x:v>
      </x:c>
      <x:c r="O290" s="8" t="n">
        <x:f>ABS(N290)</x:f>
        <x:v>116.06344791562796</x:v>
      </x:c>
      <x:c r="P290" s="8" t="n">
        <x:f>N290^2</x:f>
        <x:v>13470.723942063685</x:v>
      </x:c>
      <x:c r="Q290" s="8" t="n">
        <x:f>K290-L290</x:f>
        <x:v>-10</x:v>
      </x:c>
      <x:c r="R290" s="9" t="n">
        <x:f>IF(AND(INDEX('Сводка'!$T$3:$T$397,U290)=0,INDEX('Сводка'!$T$3:$T$397,V290)=0),1,0)</x:f>
        <x:v>1</x:v>
      </x:c>
      <x:c r="S290" s="9" t="n">
        <x:f>IF(AND(R290=1,O290&lt;=$G$13),1,0)</x:f>
        <x:v>0</x:v>
      </x:c>
      <x:c r="T290" s="10" t="n">
        <x:f>EOMONTH(J290-'Сводка'!$B$11,-1)</x:f>
        <x:v>46112</x:v>
      </x:c>
      <x:c r="U290" s="4" t="n">
        <x:f>MATCH(J290,'Сводка'!$R$3:$R$397,0)</x:f>
        <x:v>301</x:v>
      </x:c>
      <x:c r="V290" s="4" t="n">
        <x:f>MATCH(J290-'Сводка'!$B$11,'Сводка'!$R$3:$R$397,0)</x:f>
        <x:v>300</x:v>
      </x:c>
      <x:c r="W290" s="4" t="n">
        <x:f>MATCH(T290,$J$388:$J$400,0)</x:f>
        <x:v>10</x:v>
      </x:c>
      <x:c r="X290" s="3"/>
      <x:c r="Y290" s="3"/>
      <x:c r="Z290" s="3"/>
    </x:row>
    <x:row r="291" ht="15" customHeight="1">
      <x:c r="A291" s="3"/>
      <x:c r="B291" s="3"/>
      <x:c r="C291" s="3"/>
      <x:c r="D291" s="3"/>
      <x:c r="E291" s="3"/>
      <x:c r="F291" s="3"/>
      <x:c r="G291" s="3"/>
      <x:c r="H291" s="3"/>
      <x:c r="I291" s="3"/>
      <x:c r="J291" s="10" t="n">
        <x:v>46142</x:v>
      </x:c>
      <x:c r="K291" s="8" t="n">
        <x:f>INDEX('Сводка'!$S$3:$S$397,U291)</x:f>
        <x:v>33</x:v>
      </x:c>
      <x:c r="L291" s="8" t="n">
        <x:f>INDEX('Сводка'!$S$3:$S$397,V291)</x:f>
        <x:v>37</x:v>
      </x:c>
      <x:c r="M291" s="8" t="n">
        <x:f>INDEX($K$388:$N$400,W291,1)*((J291-$T$405+1)/1000)^INDEX($K$388:$N$400,W291,2)</x:f>
        <x:v>153.08153367511025</x:v>
      </x:c>
      <x:c r="N291" s="8" t="n">
        <x:f>K291-M291</x:f>
        <x:v>-120.08153367511025</x:v>
      </x:c>
      <x:c r="O291" s="8" t="n">
        <x:f>ABS(N291)</x:f>
        <x:v>120.08153367511025</x:v>
      </x:c>
      <x:c r="P291" s="8" t="n">
        <x:f>N291^2</x:f>
        <x:v>14419.574729766637</x:v>
      </x:c>
      <x:c r="Q291" s="8" t="n">
        <x:f>K291-L291</x:f>
        <x:v>-4</x:v>
      </x:c>
      <x:c r="R291" s="9" t="n">
        <x:f>IF(AND(INDEX('Сводка'!$T$3:$T$397,U291)=0,INDEX('Сводка'!$T$3:$T$397,V291)=0),1,0)</x:f>
        <x:v>1</x:v>
      </x:c>
      <x:c r="S291" s="9" t="n">
        <x:f>IF(AND(R291=1,O291&lt;=$G$13),1,0)</x:f>
        <x:v>0</x:v>
      </x:c>
      <x:c r="T291" s="10" t="n">
        <x:f>EOMONTH(J291-'Сводка'!$B$11,-1)</x:f>
        <x:v>46112</x:v>
      </x:c>
      <x:c r="U291" s="4" t="n">
        <x:f>MATCH(J291,'Сводка'!$R$3:$R$397,0)</x:f>
        <x:v>302</x:v>
      </x:c>
      <x:c r="V291" s="4" t="n">
        <x:f>MATCH(J291-'Сводка'!$B$11,'Сводка'!$R$3:$R$397,0)</x:f>
        <x:v>301</x:v>
      </x:c>
      <x:c r="W291" s="4" t="n">
        <x:f>MATCH(T291,$J$388:$J$400,0)</x:f>
        <x:v>10</x:v>
      </x:c>
      <x:c r="X291" s="3"/>
      <x:c r="Y291" s="3"/>
      <x:c r="Z291" s="3"/>
    </x:row>
    <x:row r="292" ht="15" customHeight="1">
      <x:c r="A292" s="3"/>
      <x:c r="B292" s="3"/>
      <x:c r="C292" s="3"/>
      <x:c r="D292" s="3"/>
      <x:c r="E292" s="3"/>
      <x:c r="F292" s="3"/>
      <x:c r="G292" s="3"/>
      <x:c r="H292" s="3"/>
      <x:c r="I292" s="3"/>
      <x:c r="J292" s="10" t="n">
        <x:v>46143</x:v>
      </x:c>
      <x:c r="K292" s="8" t="n">
        <x:f>INDEX('Сводка'!$S$3:$S$397,U292)</x:f>
        <x:v>44</x:v>
      </x:c>
      <x:c r="L292" s="8" t="n">
        <x:f>INDEX('Сводка'!$S$3:$S$397,V292)</x:f>
        <x:v>33</x:v>
      </x:c>
      <x:c r="M292" s="8" t="n">
        <x:f>INDEX($K$388:$N$400,W292,1)*((J292-$T$405+1)/1000)^INDEX($K$388:$N$400,W292,2)</x:f>
        <x:v>153.09961953602456</x:v>
      </x:c>
      <x:c r="N292" s="8" t="n">
        <x:f>K292-M292</x:f>
        <x:v>-109.09961953602456</x:v>
      </x:c>
      <x:c r="O292" s="8" t="n">
        <x:f>ABS(N292)</x:f>
        <x:v>109.09961953602456</x:v>
      </x:c>
      <x:c r="P292" s="8" t="n">
        <x:f>N292^2</x:f>
        <x:v>11902.726982905313</x:v>
      </x:c>
      <x:c r="Q292" s="8" t="n">
        <x:f>K292-L292</x:f>
        <x:v>11</x:v>
      </x:c>
      <x:c r="R292" s="9" t="n">
        <x:f>IF(AND(INDEX('Сводка'!$T$3:$T$397,U292)=0,INDEX('Сводка'!$T$3:$T$397,V292)=0),1,0)</x:f>
        <x:v>1</x:v>
      </x:c>
      <x:c r="S292" s="9" t="n">
        <x:f>IF(AND(R292=1,O292&lt;=$G$13),1,0)</x:f>
        <x:v>0</x:v>
      </x:c>
      <x:c r="T292" s="10" t="n">
        <x:f>EOMONTH(J292-'Сводка'!$B$11,-1)</x:f>
        <x:v>46112</x:v>
      </x:c>
      <x:c r="U292" s="4" t="n">
        <x:f>MATCH(J292,'Сводка'!$R$3:$R$397,0)</x:f>
        <x:v>303</x:v>
      </x:c>
      <x:c r="V292" s="4" t="n">
        <x:f>MATCH(J292-'Сводка'!$B$11,'Сводка'!$R$3:$R$397,0)</x:f>
        <x:v>302</x:v>
      </x:c>
      <x:c r="W292" s="4" t="n">
        <x:f>MATCH(T292,$J$388:$J$400,0)</x:f>
        <x:v>10</x:v>
      </x:c>
      <x:c r="X292" s="3"/>
      <x:c r="Y292" s="3"/>
      <x:c r="Z292" s="3"/>
    </x:row>
    <x:row r="293" ht="15" customHeight="1">
      <x:c r="A293" s="3"/>
      <x:c r="B293" s="3"/>
      <x:c r="C293" s="3"/>
      <x:c r="D293" s="3"/>
      <x:c r="E293" s="3"/>
      <x:c r="F293" s="3"/>
      <x:c r="G293" s="3"/>
      <x:c r="H293" s="3"/>
      <x:c r="I293" s="3"/>
      <x:c r="J293" s="10" t="n">
        <x:v>46144</x:v>
      </x:c>
      <x:c r="K293" s="8" t="n">
        <x:f>INDEX('Сводка'!$S$3:$S$397,U293)</x:f>
        <x:v>61</x:v>
      </x:c>
      <x:c r="L293" s="8" t="n">
        <x:f>INDEX('Сводка'!$S$3:$S$397,V293)</x:f>
        <x:v>44</x:v>
      </x:c>
      <x:c r="M293" s="8" t="n">
        <x:f>INDEX($K$388:$N$400,W293,1)*((J293-$T$405+1)/1000)^INDEX($K$388:$N$400,W293,2)</x:f>
        <x:v>150.80280639891694</x:v>
      </x:c>
      <x:c r="N293" s="8" t="n">
        <x:f>K293-M293</x:f>
        <x:v>-89.80280639891694</x:v>
      </x:c>
      <x:c r="O293" s="8" t="n">
        <x:f>ABS(N293)</x:f>
        <x:v>89.80280639891694</x:v>
      </x:c>
      <x:c r="P293" s="8" t="n">
        <x:f>N293^2</x:f>
        <x:v>8064.544037121358</x:v>
      </x:c>
      <x:c r="Q293" s="8" t="n">
        <x:f>K293-L293</x:f>
        <x:v>17</x:v>
      </x:c>
      <x:c r="R293" s="9" t="n">
        <x:f>IF(AND(INDEX('Сводка'!$T$3:$T$397,U293)=0,INDEX('Сводка'!$T$3:$T$397,V293)=0),1,0)</x:f>
        <x:v>1</x:v>
      </x:c>
      <x:c r="S293" s="9" t="n">
        <x:f>IF(AND(R293=1,O293&lt;=$G$13),1,0)</x:f>
        <x:v>0</x:v>
      </x:c>
      <x:c r="T293" s="10" t="n">
        <x:f>EOMONTH(J293-'Сводка'!$B$11,-1)</x:f>
        <x:v>46142</x:v>
      </x:c>
      <x:c r="U293" s="4" t="n">
        <x:f>MATCH(J293,'Сводка'!$R$3:$R$397,0)</x:f>
        <x:v>304</x:v>
      </x:c>
      <x:c r="V293" s="4" t="n">
        <x:f>MATCH(J293-'Сводка'!$B$11,'Сводка'!$R$3:$R$397,0)</x:f>
        <x:v>303</x:v>
      </x:c>
      <x:c r="W293" s="4" t="n">
        <x:f>MATCH(T293,$J$388:$J$400,0)</x:f>
        <x:v>11</x:v>
      </x:c>
      <x:c r="X293" s="3"/>
      <x:c r="Y293" s="3"/>
      <x:c r="Z293" s="3"/>
    </x:row>
    <x:row r="294" ht="15" customHeight="1">
      <x:c r="A294" s="3"/>
      <x:c r="B294" s="3"/>
      <x:c r="C294" s="3"/>
      <x:c r="D294" s="3"/>
      <x:c r="E294" s="3"/>
      <x:c r="F294" s="3"/>
      <x:c r="G294" s="3"/>
      <x:c r="H294" s="3"/>
      <x:c r="I294" s="3"/>
      <x:c r="J294" s="10" t="n">
        <x:v>46145</x:v>
      </x:c>
      <x:c r="K294" s="8" t="n">
        <x:f>INDEX('Сводка'!$S$3:$S$397,U294)</x:f>
        <x:v>76</x:v>
      </x:c>
      <x:c r="L294" s="8" t="n">
        <x:f>INDEX('Сводка'!$S$3:$S$397,V294)</x:f>
        <x:v>61</x:v>
      </x:c>
      <x:c r="M294" s="8" t="n">
        <x:f>INDEX($K$388:$N$400,W294,1)*((J294-$T$405+1)/1000)^INDEX($K$388:$N$400,W294,2)</x:f>
        <x:v>150.820308416499</x:v>
      </x:c>
      <x:c r="N294" s="8" t="n">
        <x:f>K294-M294</x:f>
        <x:v>-74.82030841649899</x:v>
      </x:c>
      <x:c r="O294" s="8" t="n">
        <x:f>ABS(N294)</x:f>
        <x:v>74.82030841649899</x:v>
      </x:c>
      <x:c r="P294" s="8" t="n">
        <x:f>N294^2</x:f>
        <x:v>5598.078551540029</x:v>
      </x:c>
      <x:c r="Q294" s="8" t="n">
        <x:f>K294-L294</x:f>
        <x:v>15</x:v>
      </x:c>
      <x:c r="R294" s="9" t="n">
        <x:f>IF(AND(INDEX('Сводка'!$T$3:$T$397,U294)=0,INDEX('Сводка'!$T$3:$T$397,V294)=0),1,0)</x:f>
        <x:v>1</x:v>
      </x:c>
      <x:c r="S294" s="9" t="n">
        <x:f>IF(AND(R294=1,O294&lt;=$G$13),1,0)</x:f>
        <x:v>0</x:v>
      </x:c>
      <x:c r="T294" s="10" t="n">
        <x:f>EOMONTH(J294-'Сводка'!$B$11,-1)</x:f>
        <x:v>46142</x:v>
      </x:c>
      <x:c r="U294" s="4" t="n">
        <x:f>MATCH(J294,'Сводка'!$R$3:$R$397,0)</x:f>
        <x:v>305</x:v>
      </x:c>
      <x:c r="V294" s="4" t="n">
        <x:f>MATCH(J294-'Сводка'!$B$11,'Сводка'!$R$3:$R$397,0)</x:f>
        <x:v>304</x:v>
      </x:c>
      <x:c r="W294" s="4" t="n">
        <x:f>MATCH(T294,$J$388:$J$400,0)</x:f>
        <x:v>11</x:v>
      </x:c>
      <x:c r="X294" s="3"/>
      <x:c r="Y294" s="3"/>
      <x:c r="Z294" s="3"/>
    </x:row>
    <x:row r="295" ht="15" customHeight="1">
      <x:c r="A295" s="3"/>
      <x:c r="B295" s="3"/>
      <x:c r="C295" s="3"/>
      <x:c r="D295" s="3"/>
      <x:c r="E295" s="3"/>
      <x:c r="F295" s="3"/>
      <x:c r="G295" s="3"/>
      <x:c r="H295" s="3"/>
      <x:c r="I295" s="3"/>
      <x:c r="J295" s="10" t="n">
        <x:v>46146</x:v>
      </x:c>
      <x:c r="K295" s="8" t="n">
        <x:f>INDEX('Сводка'!$S$3:$S$397,U295)</x:f>
        <x:v>83</x:v>
      </x:c>
      <x:c r="L295" s="8" t="n">
        <x:f>INDEX('Сводка'!$S$3:$S$397,V295)</x:f>
        <x:v>76</x:v>
      </x:c>
      <x:c r="M295" s="8" t="n">
        <x:f>INDEX($K$388:$N$400,W295,1)*((J295-$T$405+1)/1000)^INDEX($K$388:$N$400,W295,2)</x:f>
        <x:v>150.83781049616275</x:v>
      </x:c>
      <x:c r="N295" s="8" t="n">
        <x:f>K295-M295</x:f>
        <x:v>-67.83781049616275</x:v>
      </x:c>
      <x:c r="O295" s="8" t="n">
        <x:f>ABS(N295)</x:f>
        <x:v>67.83781049616275</x:v>
      </x:c>
      <x:c r="P295" s="8" t="n">
        <x:f>N295^2</x:f>
        <x:v>4601.968532913288</x:v>
      </x:c>
      <x:c r="Q295" s="8" t="n">
        <x:f>K295-L295</x:f>
        <x:v>7</x:v>
      </x:c>
      <x:c r="R295" s="9" t="n">
        <x:f>IF(AND(INDEX('Сводка'!$T$3:$T$397,U295)=0,INDEX('Сводка'!$T$3:$T$397,V295)=0),1,0)</x:f>
        <x:v>1</x:v>
      </x:c>
      <x:c r="S295" s="9" t="n">
        <x:f>IF(AND(R295=1,O295&lt;=$G$13),1,0)</x:f>
        <x:v>0</x:v>
      </x:c>
      <x:c r="T295" s="10" t="n">
        <x:f>EOMONTH(J295-'Сводка'!$B$11,-1)</x:f>
        <x:v>46142</x:v>
      </x:c>
      <x:c r="U295" s="4" t="n">
        <x:f>MATCH(J295,'Сводка'!$R$3:$R$397,0)</x:f>
        <x:v>306</x:v>
      </x:c>
      <x:c r="V295" s="4" t="n">
        <x:f>MATCH(J295-'Сводка'!$B$11,'Сводка'!$R$3:$R$397,0)</x:f>
        <x:v>305</x:v>
      </x:c>
      <x:c r="W295" s="4" t="n">
        <x:f>MATCH(T295,$J$388:$J$400,0)</x:f>
        <x:v>11</x:v>
      </x:c>
      <x:c r="X295" s="3"/>
      <x:c r="Y295" s="3"/>
      <x:c r="Z295" s="3"/>
    </x:row>
    <x:row r="296" ht="15" customHeight="1">
      <x:c r="A296" s="3"/>
      <x:c r="B296" s="3"/>
      <x:c r="C296" s="3"/>
      <x:c r="D296" s="3"/>
      <x:c r="E296" s="3"/>
      <x:c r="F296" s="3"/>
      <x:c r="G296" s="3"/>
      <x:c r="H296" s="3"/>
      <x:c r="I296" s="3"/>
      <x:c r="J296" s="10" t="n">
        <x:v>46147</x:v>
      </x:c>
      <x:c r="K296" s="8" t="n">
        <x:f>INDEX('Сводка'!$S$3:$S$397,U296)</x:f>
        <x:v>87</x:v>
      </x:c>
      <x:c r="L296" s="8" t="n">
        <x:f>INDEX('Сводка'!$S$3:$S$397,V296)</x:f>
        <x:v>83</x:v>
      </x:c>
      <x:c r="M296" s="8" t="n">
        <x:f>INDEX($K$388:$N$400,W296,1)*((J296-$T$405+1)/1000)^INDEX($K$388:$N$400,W296,2)</x:f>
        <x:v>150.85531263790133</x:v>
      </x:c>
      <x:c r="N296" s="8" t="n">
        <x:f>K296-M296</x:f>
        <x:v>-63.855312637901335</x:v>
      </x:c>
      <x:c r="O296" s="8" t="n">
        <x:f>ABS(N296)</x:f>
        <x:v>63.855312637901335</x:v>
      </x:c>
      <x:c r="P296" s="8" t="n">
        <x:f>N296^2</x:f>
        <x:v>4077.5009520841218</x:v>
      </x:c>
      <x:c r="Q296" s="8" t="n">
        <x:f>K296-L296</x:f>
        <x:v>4</x:v>
      </x:c>
      <x:c r="R296" s="9" t="n">
        <x:f>IF(AND(INDEX('Сводка'!$T$3:$T$397,U296)=0,INDEX('Сводка'!$T$3:$T$397,V296)=0),1,0)</x:f>
        <x:v>1</x:v>
      </x:c>
      <x:c r="S296" s="9" t="n">
        <x:f>IF(AND(R296=1,O296&lt;=$G$13),1,0)</x:f>
        <x:v>0</x:v>
      </x:c>
      <x:c r="T296" s="10" t="n">
        <x:f>EOMONTH(J296-'Сводка'!$B$11,-1)</x:f>
        <x:v>46142</x:v>
      </x:c>
      <x:c r="U296" s="4" t="n">
        <x:f>MATCH(J296,'Сводка'!$R$3:$R$397,0)</x:f>
        <x:v>307</x:v>
      </x:c>
      <x:c r="V296" s="4" t="n">
        <x:f>MATCH(J296-'Сводка'!$B$11,'Сводка'!$R$3:$R$397,0)</x:f>
        <x:v>306</x:v>
      </x:c>
      <x:c r="W296" s="4" t="n">
        <x:f>MATCH(T296,$J$388:$J$400,0)</x:f>
        <x:v>11</x:v>
      </x:c>
      <x:c r="X296" s="3"/>
      <x:c r="Y296" s="3"/>
      <x:c r="Z296" s="3"/>
    </x:row>
    <x:row r="297" ht="15" customHeight="1">
      <x:c r="A297" s="3"/>
      <x:c r="B297" s="3"/>
      <x:c r="C297" s="3"/>
      <x:c r="D297" s="3"/>
      <x:c r="E297" s="3"/>
      <x:c r="F297" s="3"/>
      <x:c r="G297" s="3"/>
      <x:c r="H297" s="3"/>
      <x:c r="I297" s="3"/>
      <x:c r="J297" s="10" t="n">
        <x:v>46148</x:v>
      </x:c>
      <x:c r="K297" s="8" t="n">
        <x:f>INDEX('Сводка'!$S$3:$S$397,U297)</x:f>
        <x:v>92</x:v>
      </x:c>
      <x:c r="L297" s="8" t="n">
        <x:f>INDEX('Сводка'!$S$3:$S$397,V297)</x:f>
        <x:v>87</x:v>
      </x:c>
      <x:c r="M297" s="8" t="n">
        <x:f>INDEX($K$388:$N$400,W297,1)*((J297-$T$405+1)/1000)^INDEX($K$388:$N$400,W297,2)</x:f>
        <x:v>150.87281484170813</x:v>
      </x:c>
      <x:c r="N297" s="8" t="n">
        <x:f>K297-M297</x:f>
        <x:v>-58.872814841708134</x:v>
      </x:c>
      <x:c r="O297" s="8" t="n">
        <x:f>ABS(N297)</x:f>
        <x:v>58.872814841708134</x:v>
      </x:c>
      <x:c r="P297" s="8" t="n">
        <x:f>N297^2</x:f>
        <x:v>3466.0083273860496</x:v>
      </x:c>
      <x:c r="Q297" s="8" t="n">
        <x:f>K297-L297</x:f>
        <x:v>5</x:v>
      </x:c>
      <x:c r="R297" s="9" t="n">
        <x:f>IF(AND(INDEX('Сводка'!$T$3:$T$397,U297)=0,INDEX('Сводка'!$T$3:$T$397,V297)=0),1,0)</x:f>
        <x:v>1</x:v>
      </x:c>
      <x:c r="S297" s="9" t="n">
        <x:f>IF(AND(R297=1,O297&lt;=$G$13),1,0)</x:f>
        <x:v>0</x:v>
      </x:c>
      <x:c r="T297" s="10" t="n">
        <x:f>EOMONTH(J297-'Сводка'!$B$11,-1)</x:f>
        <x:v>46142</x:v>
      </x:c>
      <x:c r="U297" s="4" t="n">
        <x:f>MATCH(J297,'Сводка'!$R$3:$R$397,0)</x:f>
        <x:v>308</x:v>
      </x:c>
      <x:c r="V297" s="4" t="n">
        <x:f>MATCH(J297-'Сводка'!$B$11,'Сводка'!$R$3:$R$397,0)</x:f>
        <x:v>307</x:v>
      </x:c>
      <x:c r="W297" s="4" t="n">
        <x:f>MATCH(T297,$J$388:$J$400,0)</x:f>
        <x:v>11</x:v>
      </x:c>
      <x:c r="X297" s="3"/>
      <x:c r="Y297" s="3"/>
      <x:c r="Z297" s="3"/>
    </x:row>
    <x:row r="298" ht="15" customHeight="1">
      <x:c r="A298" s="3"/>
      <x:c r="B298" s="3"/>
      <x:c r="C298" s="3"/>
      <x:c r="D298" s="3"/>
      <x:c r="E298" s="3"/>
      <x:c r="F298" s="3"/>
      <x:c r="G298" s="3"/>
      <x:c r="H298" s="3"/>
      <x:c r="I298" s="3"/>
      <x:c r="J298" s="10" t="n">
        <x:v>46149</x:v>
      </x:c>
      <x:c r="K298" s="8" t="n">
        <x:f>INDEX('Сводка'!$S$3:$S$397,U298)</x:f>
        <x:v>99</x:v>
      </x:c>
      <x:c r="L298" s="8" t="n">
        <x:f>INDEX('Сводка'!$S$3:$S$397,V298)</x:f>
        <x:v>92</x:v>
      </x:c>
      <x:c r="M298" s="8" t="n">
        <x:f>INDEX($K$388:$N$400,W298,1)*((J298-$T$405+1)/1000)^INDEX($K$388:$N$400,W298,2)</x:f>
        <x:v>150.8903171075763</x:v>
      </x:c>
      <x:c r="N298" s="8" t="n">
        <x:f>K298-M298</x:f>
        <x:v>-51.890317107576294</x:v>
      </x:c>
      <x:c r="O298" s="8" t="n">
        <x:f>ABS(N298)</x:f>
        <x:v>51.890317107576294</x:v>
      </x:c>
      <x:c r="P298" s="8" t="n">
        <x:f>N298^2</x:f>
        <x:v>2692.605009524825</x:v>
      </x:c>
      <x:c r="Q298" s="8" t="n">
        <x:f>K298-L298</x:f>
        <x:v>7</x:v>
      </x:c>
      <x:c r="R298" s="9" t="n">
        <x:f>IF(AND(INDEX('Сводка'!$T$3:$T$397,U298)=0,INDEX('Сводка'!$T$3:$T$397,V298)=0),1,0)</x:f>
        <x:v>1</x:v>
      </x:c>
      <x:c r="S298" s="9" t="n">
        <x:f>IF(AND(R298=1,O298&lt;=$G$13),1,0)</x:f>
        <x:v>0</x:v>
      </x:c>
      <x:c r="T298" s="10" t="n">
        <x:f>EOMONTH(J298-'Сводка'!$B$11,-1)</x:f>
        <x:v>46142</x:v>
      </x:c>
      <x:c r="U298" s="4" t="n">
        <x:f>MATCH(J298,'Сводка'!$R$3:$R$397,0)</x:f>
        <x:v>309</x:v>
      </x:c>
      <x:c r="V298" s="4" t="n">
        <x:f>MATCH(J298-'Сводка'!$B$11,'Сводка'!$R$3:$R$397,0)</x:f>
        <x:v>308</x:v>
      </x:c>
      <x:c r="W298" s="4" t="n">
        <x:f>MATCH(T298,$J$388:$J$400,0)</x:f>
        <x:v>11</x:v>
      </x:c>
      <x:c r="X298" s="3"/>
      <x:c r="Y298" s="3"/>
      <x:c r="Z298" s="3"/>
    </x:row>
    <x:row r="299" ht="15" customHeight="1">
      <x:c r="A299" s="3"/>
      <x:c r="B299" s="3"/>
      <x:c r="C299" s="3"/>
      <x:c r="D299" s="3"/>
      <x:c r="E299" s="3"/>
      <x:c r="F299" s="3"/>
      <x:c r="G299" s="3"/>
      <x:c r="H299" s="3"/>
      <x:c r="I299" s="3"/>
      <x:c r="J299" s="10" t="n">
        <x:v>46150</x:v>
      </x:c>
      <x:c r="K299" s="8" t="n">
        <x:f>INDEX('Сводка'!$S$3:$S$397,U299)</x:f>
        <x:v>108</x:v>
      </x:c>
      <x:c r="L299" s="8" t="n">
        <x:f>INDEX('Сводка'!$S$3:$S$397,V299)</x:f>
        <x:v>99</x:v>
      </x:c>
      <x:c r="M299" s="8" t="n">
        <x:f>INDEX($K$388:$N$400,W299,1)*((J299-$T$405+1)/1000)^INDEX($K$388:$N$400,W299,2)</x:f>
        <x:v>150.90781943549908</x:v>
      </x:c>
      <x:c r="N299" s="8" t="n">
        <x:f>K299-M299</x:f>
        <x:v>-42.90781943549908</x:v>
      </x:c>
      <x:c r="O299" s="8" t="n">
        <x:f>ABS(N299)</x:f>
        <x:v>42.90781943549908</x:v>
      </x:c>
      <x:c r="P299" s="8" t="n">
        <x:f>N299^2</x:f>
        <x:v>1841.0809687093924</x:v>
      </x:c>
      <x:c r="Q299" s="8" t="n">
        <x:f>K299-L299</x:f>
        <x:v>9</x:v>
      </x:c>
      <x:c r="R299" s="9" t="n">
        <x:f>IF(AND(INDEX('Сводка'!$T$3:$T$397,U299)=0,INDEX('Сводка'!$T$3:$T$397,V299)=0),1,0)</x:f>
        <x:v>1</x:v>
      </x:c>
      <x:c r="S299" s="9" t="n">
        <x:f>IF(AND(R299=1,O299&lt;=$G$13),1,0)</x:f>
        <x:v>0</x:v>
      </x:c>
      <x:c r="T299" s="10" t="n">
        <x:f>EOMONTH(J299-'Сводка'!$B$11,-1)</x:f>
        <x:v>46142</x:v>
      </x:c>
      <x:c r="U299" s="4" t="n">
        <x:f>MATCH(J299,'Сводка'!$R$3:$R$397,0)</x:f>
        <x:v>310</x:v>
      </x:c>
      <x:c r="V299" s="4" t="n">
        <x:f>MATCH(J299-'Сводка'!$B$11,'Сводка'!$R$3:$R$397,0)</x:f>
        <x:v>309</x:v>
      </x:c>
      <x:c r="W299" s="4" t="n">
        <x:f>MATCH(T299,$J$388:$J$400,0)</x:f>
        <x:v>11</x:v>
      </x:c>
      <x:c r="X299" s="3"/>
      <x:c r="Y299" s="3"/>
      <x:c r="Z299" s="3"/>
    </x:row>
    <x:row r="300" ht="15" customHeight="1">
      <x:c r="A300" s="3"/>
      <x:c r="B300" s="3"/>
      <x:c r="C300" s="3"/>
      <x:c r="D300" s="3"/>
      <x:c r="E300" s="3"/>
      <x:c r="F300" s="3"/>
      <x:c r="G300" s="3"/>
      <x:c r="H300" s="3"/>
      <x:c r="I300" s="3"/>
      <x:c r="J300" s="10" t="n">
        <x:v>46151</x:v>
      </x:c>
      <x:c r="K300" s="8" t="n">
        <x:f>INDEX('Сводка'!$S$3:$S$397,U300)</x:f>
        <x:v>120</x:v>
      </x:c>
      <x:c r="L300" s="8" t="n">
        <x:f>INDEX('Сводка'!$S$3:$S$397,V300)</x:f>
        <x:v>108</x:v>
      </x:c>
      <x:c r="M300" s="8" t="n">
        <x:f>INDEX($K$388:$N$400,W300,1)*((J300-$T$405+1)/1000)^INDEX($K$388:$N$400,W300,2)</x:f>
        <x:v>150.9253218254697</x:v>
      </x:c>
      <x:c r="N300" s="8" t="n">
        <x:f>K300-M300</x:f>
        <x:v>-30.925321825469695</x:v>
      </x:c>
      <x:c r="O300" s="8" t="n">
        <x:f>ABS(N300)</x:f>
        <x:v>30.925321825469695</x:v>
      </x:c>
      <x:c r="P300" s="8" t="n">
        <x:f>N300^2</x:f>
        <x:v>956.3755300088723</x:v>
      </x:c>
      <x:c r="Q300" s="8" t="n">
        <x:f>K300-L300</x:f>
        <x:v>12</x:v>
      </x:c>
      <x:c r="R300" s="9" t="n">
        <x:f>IF(AND(INDEX('Сводка'!$T$3:$T$397,U300)=0,INDEX('Сводка'!$T$3:$T$397,V300)=0),1,0)</x:f>
        <x:v>1</x:v>
      </x:c>
      <x:c r="S300" s="9" t="n">
        <x:f>IF(AND(R300=1,O300&lt;=$G$13),1,0)</x:f>
        <x:v>0</x:v>
      </x:c>
      <x:c r="T300" s="10" t="n">
        <x:f>EOMONTH(J300-'Сводка'!$B$11,-1)</x:f>
        <x:v>46142</x:v>
      </x:c>
      <x:c r="U300" s="4" t="n">
        <x:f>MATCH(J300,'Сводка'!$R$3:$R$397,0)</x:f>
        <x:v>311</x:v>
      </x:c>
      <x:c r="V300" s="4" t="n">
        <x:f>MATCH(J300-'Сводка'!$B$11,'Сводка'!$R$3:$R$397,0)</x:f>
        <x:v>310</x:v>
      </x:c>
      <x:c r="W300" s="4" t="n">
        <x:f>MATCH(T300,$J$388:$J$400,0)</x:f>
        <x:v>11</x:v>
      </x:c>
      <x:c r="X300" s="3"/>
      <x:c r="Y300" s="3"/>
      <x:c r="Z300" s="3"/>
    </x:row>
    <x:row r="301" ht="15" customHeight="1">
      <x:c r="A301" s="3"/>
      <x:c r="B301" s="3"/>
      <x:c r="C301" s="3"/>
      <x:c r="D301" s="3"/>
      <x:c r="E301" s="3"/>
      <x:c r="F301" s="3"/>
      <x:c r="G301" s="3"/>
      <x:c r="H301" s="3"/>
      <x:c r="I301" s="3"/>
      <x:c r="J301" s="10" t="n">
        <x:v>46152</x:v>
      </x:c>
      <x:c r="K301" s="8" t="n">
        <x:f>INDEX('Сводка'!$S$3:$S$397,U301)</x:f>
        <x:v>137</x:v>
      </x:c>
      <x:c r="L301" s="8" t="n">
        <x:f>INDEX('Сводка'!$S$3:$S$397,V301)</x:f>
        <x:v>120</x:v>
      </x:c>
      <x:c r="M301" s="8" t="n">
        <x:f>INDEX($K$388:$N$400,W301,1)*((J301-$T$405+1)/1000)^INDEX($K$388:$N$400,W301,2)</x:f>
        <x:v>150.9428242774815</x:v>
      </x:c>
      <x:c r="N301" s="8" t="n">
        <x:f>K301-M301</x:f>
        <x:v>-13.942824277481492</x:v>
      </x:c>
      <x:c r="O301" s="8" t="n">
        <x:f>ABS(N301)</x:f>
        <x:v>13.942824277481492</x:v>
      </x:c>
      <x:c r="P301" s="8" t="n">
        <x:f>N301^2</x:f>
        <x:v>194.40234883272728</x:v>
      </x:c>
      <x:c r="Q301" s="8" t="n">
        <x:f>K301-L301</x:f>
        <x:v>17</x:v>
      </x:c>
      <x:c r="R301" s="9" t="n">
        <x:f>IF(AND(INDEX('Сводка'!$T$3:$T$397,U301)=0,INDEX('Сводка'!$T$3:$T$397,V301)=0),1,0)</x:f>
        <x:v>1</x:v>
      </x:c>
      <x:c r="S301" s="9" t="n">
        <x:f>IF(AND(R301=1,O301&lt;=$G$13),1,0)</x:f>
        <x:v>0</x:v>
      </x:c>
      <x:c r="T301" s="10" t="n">
        <x:f>EOMONTH(J301-'Сводка'!$B$11,-1)</x:f>
        <x:v>46142</x:v>
      </x:c>
      <x:c r="U301" s="4" t="n">
        <x:f>MATCH(J301,'Сводка'!$R$3:$R$397,0)</x:f>
        <x:v>312</x:v>
      </x:c>
      <x:c r="V301" s="4" t="n">
        <x:f>MATCH(J301-'Сводка'!$B$11,'Сводка'!$R$3:$R$397,0)</x:f>
        <x:v>311</x:v>
      </x:c>
      <x:c r="W301" s="4" t="n">
        <x:f>MATCH(T301,$J$388:$J$400,0)</x:f>
        <x:v>11</x:v>
      </x:c>
      <x:c r="X301" s="3"/>
      <x:c r="Y301" s="3"/>
      <x:c r="Z301" s="3"/>
    </x:row>
    <x:row r="302" ht="15" customHeight="1">
      <x:c r="A302" s="3"/>
      <x:c r="B302" s="3"/>
      <x:c r="C302" s="3"/>
      <x:c r="D302" s="3"/>
      <x:c r="E302" s="3"/>
      <x:c r="F302" s="3"/>
      <x:c r="G302" s="3"/>
      <x:c r="H302" s="3"/>
      <x:c r="I302" s="3"/>
      <x:c r="J302" s="10" t="n">
        <x:v>46153</x:v>
      </x:c>
      <x:c r="K302" s="8" t="n">
        <x:f>INDEX('Сводка'!$S$3:$S$397,U302)</x:f>
        <x:v>152</x:v>
      </x:c>
      <x:c r="L302" s="8" t="n">
        <x:f>INDEX('Сводка'!$S$3:$S$397,V302)</x:f>
        <x:v>137</x:v>
      </x:c>
      <x:c r="M302" s="8" t="n">
        <x:f>INDEX($K$388:$N$400,W302,1)*((J302-$T$405+1)/1000)^INDEX($K$388:$N$400,W302,2)</x:f>
        <x:v>150.9603267915276</x:v>
      </x:c>
      <x:c r="N302" s="8" t="n">
        <x:f>K302-M302</x:f>
        <x:v>1.0396732084724079</x:v>
      </x:c>
      <x:c r="O302" s="8" t="n">
        <x:f>ABS(N302)</x:f>
        <x:v>1.0396732084724079</x:v>
      </x:c>
      <x:c r="P302" s="8" t="n">
        <x:f>N302^2</x:f>
        <x:v>1.080920380415311</x:v>
      </x:c>
      <x:c r="Q302" s="8" t="n">
        <x:f>K302-L302</x:f>
        <x:v>15</x:v>
      </x:c>
      <x:c r="R302" s="9" t="n">
        <x:f>IF(AND(INDEX('Сводка'!$T$3:$T$397,U302)=0,INDEX('Сводка'!$T$3:$T$397,V302)=0),1,0)</x:f>
        <x:v>1</x:v>
      </x:c>
      <x:c r="S302" s="9" t="n">
        <x:f>IF(AND(R302=1,O302&lt;=$G$13),1,0)</x:f>
        <x:v>1</x:v>
      </x:c>
      <x:c r="T302" s="10" t="n">
        <x:f>EOMONTH(J302-'Сводка'!$B$11,-1)</x:f>
        <x:v>46142</x:v>
      </x:c>
      <x:c r="U302" s="4" t="n">
        <x:f>MATCH(J302,'Сводка'!$R$3:$R$397,0)</x:f>
        <x:v>313</x:v>
      </x:c>
      <x:c r="V302" s="4" t="n">
        <x:f>MATCH(J302-'Сводка'!$B$11,'Сводка'!$R$3:$R$397,0)</x:f>
        <x:v>312</x:v>
      </x:c>
      <x:c r="W302" s="4" t="n">
        <x:f>MATCH(T302,$J$388:$J$400,0)</x:f>
        <x:v>11</x:v>
      </x:c>
      <x:c r="X302" s="3"/>
      <x:c r="Y302" s="3"/>
      <x:c r="Z302" s="3"/>
    </x:row>
    <x:row r="303" ht="15" customHeight="1">
      <x:c r="A303" s="3"/>
      <x:c r="B303" s="3"/>
      <x:c r="C303" s="3"/>
      <x:c r="D303" s="3"/>
      <x:c r="E303" s="3"/>
      <x:c r="F303" s="3"/>
      <x:c r="G303" s="3"/>
      <x:c r="H303" s="3"/>
      <x:c r="I303" s="3"/>
      <x:c r="J303" s="10" t="n">
        <x:v>46154</x:v>
      </x:c>
      <x:c r="K303" s="8" t="n">
        <x:f>INDEX('Сводка'!$S$3:$S$397,U303)</x:f>
        <x:v>160</x:v>
      </x:c>
      <x:c r="L303" s="8" t="n">
        <x:f>INDEX('Сводка'!$S$3:$S$397,V303)</x:f>
        <x:v>152</x:v>
      </x:c>
      <x:c r="M303" s="8" t="n">
        <x:f>INDEX($K$388:$N$400,W303,1)*((J303-$T$405+1)/1000)^INDEX($K$388:$N$400,W303,2)</x:f>
        <x:v>150.97782936760132</x:v>
      </x:c>
      <x:c r="N303" s="8" t="n">
        <x:f>K303-M303</x:f>
        <x:v>9.022170632398684</x:v>
      </x:c>
      <x:c r="O303" s="8" t="n">
        <x:f>ABS(N303)</x:f>
        <x:v>9.022170632398684</x:v>
      </x:c>
      <x:c r="P303" s="8" t="n">
        <x:f>N303^2</x:f>
        <x:v>81.39956292011726</x:v>
      </x:c>
      <x:c r="Q303" s="8" t="n">
        <x:f>K303-L303</x:f>
        <x:v>8</x:v>
      </x:c>
      <x:c r="R303" s="9" t="n">
        <x:f>IF(AND(INDEX('Сводка'!$T$3:$T$397,U303)=0,INDEX('Сводка'!$T$3:$T$397,V303)=0),1,0)</x:f>
        <x:v>1</x:v>
      </x:c>
      <x:c r="S303" s="9" t="n">
        <x:f>IF(AND(R303=1,O303&lt;=$G$13),1,0)</x:f>
        <x:v>0</x:v>
      </x:c>
      <x:c r="T303" s="10" t="n">
        <x:f>EOMONTH(J303-'Сводка'!$B$11,-1)</x:f>
        <x:v>46142</x:v>
      </x:c>
      <x:c r="U303" s="4" t="n">
        <x:f>MATCH(J303,'Сводка'!$R$3:$R$397,0)</x:f>
        <x:v>314</x:v>
      </x:c>
      <x:c r="V303" s="4" t="n">
        <x:f>MATCH(J303-'Сводка'!$B$11,'Сводка'!$R$3:$R$397,0)</x:f>
        <x:v>313</x:v>
      </x:c>
      <x:c r="W303" s="4" t="n">
        <x:f>MATCH(T303,$J$388:$J$400,0)</x:f>
        <x:v>11</x:v>
      </x:c>
      <x:c r="X303" s="3"/>
      <x:c r="Y303" s="3"/>
      <x:c r="Z303" s="3"/>
    </x:row>
    <x:row r="304" ht="15" customHeight="1">
      <x:c r="A304" s="3"/>
      <x:c r="B304" s="3"/>
      <x:c r="C304" s="3"/>
      <x:c r="D304" s="3"/>
      <x:c r="E304" s="3"/>
      <x:c r="F304" s="3"/>
      <x:c r="G304" s="3"/>
      <x:c r="H304" s="3"/>
      <x:c r="I304" s="3"/>
      <x:c r="J304" s="10" t="n">
        <x:v>46155</x:v>
      </x:c>
      <x:c r="K304" s="8" t="n">
        <x:f>INDEX('Сводка'!$S$3:$S$397,U304)</x:f>
        <x:v>162</x:v>
      </x:c>
      <x:c r="L304" s="8" t="n">
        <x:f>INDEX('Сводка'!$S$3:$S$397,V304)</x:f>
        <x:v>160</x:v>
      </x:c>
      <x:c r="M304" s="8" t="n">
        <x:f>INDEX($K$388:$N$400,W304,1)*((J304-$T$405+1)/1000)^INDEX($K$388:$N$400,W304,2)</x:f>
        <x:v>150.99533200569587</x:v>
      </x:c>
      <x:c r="N304" s="8" t="n">
        <x:f>K304-M304</x:f>
        <x:v>11.004667994304128</x:v>
      </x:c>
      <x:c r="O304" s="8" t="n">
        <x:f>ABS(N304)</x:f>
        <x:v>11.004667994304128</x:v>
      </x:c>
      <x:c r="P304" s="8" t="n">
        <x:f>N304^2</x:f>
        <x:v>121.10271766486164</x:v>
      </x:c>
      <x:c r="Q304" s="8" t="n">
        <x:f>K304-L304</x:f>
        <x:v>2</x:v>
      </x:c>
      <x:c r="R304" s="9" t="n">
        <x:f>IF(AND(INDEX('Сводка'!$T$3:$T$397,U304)=0,INDEX('Сводка'!$T$3:$T$397,V304)=0),1,0)</x:f>
        <x:v>1</x:v>
      </x:c>
      <x:c r="S304" s="9" t="n">
        <x:f>IF(AND(R304=1,O304&lt;=$G$13),1,0)</x:f>
        <x:v>0</x:v>
      </x:c>
      <x:c r="T304" s="10" t="n">
        <x:f>EOMONTH(J304-'Сводка'!$B$11,-1)</x:f>
        <x:v>46142</x:v>
      </x:c>
      <x:c r="U304" s="4" t="n">
        <x:f>MATCH(J304,'Сводка'!$R$3:$R$397,0)</x:f>
        <x:v>315</x:v>
      </x:c>
      <x:c r="V304" s="4" t="n">
        <x:f>MATCH(J304-'Сводка'!$B$11,'Сводка'!$R$3:$R$397,0)</x:f>
        <x:v>314</x:v>
      </x:c>
      <x:c r="W304" s="4" t="n">
        <x:f>MATCH(T304,$J$388:$J$400,0)</x:f>
        <x:v>11</x:v>
      </x:c>
      <x:c r="X304" s="3"/>
      <x:c r="Y304" s="3"/>
      <x:c r="Z304" s="3"/>
    </x:row>
    <x:row r="305" ht="15" customHeight="1">
      <x:c r="A305" s="3"/>
      <x:c r="B305" s="3"/>
      <x:c r="C305" s="3"/>
      <x:c r="D305" s="3"/>
      <x:c r="E305" s="3"/>
      <x:c r="F305" s="3"/>
      <x:c r="G305" s="3"/>
      <x:c r="H305" s="3"/>
      <x:c r="I305" s="3"/>
      <x:c r="J305" s="10" t="n">
        <x:v>46156</x:v>
      </x:c>
      <x:c r="K305" s="8" t="n">
        <x:f>INDEX('Сводка'!$S$3:$S$397,U305)</x:f>
        <x:v>161</x:v>
      </x:c>
      <x:c r="L305" s="8" t="n">
        <x:f>INDEX('Сводка'!$S$3:$S$397,V305)</x:f>
        <x:v>162</x:v>
      </x:c>
      <x:c r="M305" s="8" t="n">
        <x:f>INDEX($K$388:$N$400,W305,1)*((J305-$T$405+1)/1000)^INDEX($K$388:$N$400,W305,2)</x:f>
        <x:v>151.01283470580458</x:v>
      </x:c>
      <x:c r="N305" s="8" t="n">
        <x:f>K305-M305</x:f>
        <x:v>9.987165294195421</x:v>
      </x:c>
      <x:c r="O305" s="8" t="n">
        <x:f>ABS(N305)</x:f>
        <x:v>9.987165294195421</x:v>
      </x:c>
      <x:c r="P305" s="8" t="n">
        <x:f>N305^2</x:f>
        <x:v>99.74347061358151</x:v>
      </x:c>
      <x:c r="Q305" s="8" t="n">
        <x:f>K305-L305</x:f>
        <x:v>-1</x:v>
      </x:c>
      <x:c r="R305" s="9" t="n">
        <x:f>IF(AND(INDEX('Сводка'!$T$3:$T$397,U305)=0,INDEX('Сводка'!$T$3:$T$397,V305)=0),1,0)</x:f>
        <x:v>1</x:v>
      </x:c>
      <x:c r="S305" s="9" t="n">
        <x:f>IF(AND(R305=1,O305&lt;=$G$13),1,0)</x:f>
        <x:v>0</x:v>
      </x:c>
      <x:c r="T305" s="10" t="n">
        <x:f>EOMONTH(J305-'Сводка'!$B$11,-1)</x:f>
        <x:v>46142</x:v>
      </x:c>
      <x:c r="U305" s="4" t="n">
        <x:f>MATCH(J305,'Сводка'!$R$3:$R$397,0)</x:f>
        <x:v>316</x:v>
      </x:c>
      <x:c r="V305" s="4" t="n">
        <x:f>MATCH(J305-'Сводка'!$B$11,'Сводка'!$R$3:$R$397,0)</x:f>
        <x:v>315</x:v>
      </x:c>
      <x:c r="W305" s="4" t="n">
        <x:f>MATCH(T305,$J$388:$J$400,0)</x:f>
        <x:v>11</x:v>
      </x:c>
      <x:c r="X305" s="3"/>
      <x:c r="Y305" s="3"/>
      <x:c r="Z305" s="3"/>
    </x:row>
    <x:row r="306" ht="15" customHeight="1">
      <x:c r="A306" s="3"/>
      <x:c r="B306" s="3"/>
      <x:c r="C306" s="3"/>
      <x:c r="D306" s="3"/>
      <x:c r="E306" s="3"/>
      <x:c r="F306" s="3"/>
      <x:c r="G306" s="3"/>
      <x:c r="H306" s="3"/>
      <x:c r="I306" s="3"/>
      <x:c r="J306" s="10" t="n">
        <x:v>46157</x:v>
      </x:c>
      <x:c r="K306" s="8" t="n">
        <x:f>INDEX('Сводка'!$S$3:$S$397,U306)</x:f>
        <x:v>154</x:v>
      </x:c>
      <x:c r="L306" s="8" t="n">
        <x:f>INDEX('Сводка'!$S$3:$S$397,V306)</x:f>
        <x:v>161</x:v>
      </x:c>
      <x:c r="M306" s="8" t="n">
        <x:f>INDEX($K$388:$N$400,W306,1)*((J306-$T$405+1)/1000)^INDEX($K$388:$N$400,W306,2)</x:f>
        <x:v>151.0303374679206</x:v>
      </x:c>
      <x:c r="N306" s="8" t="n">
        <x:f>K306-M306</x:f>
        <x:v>2.969662532079411</x:v>
      </x:c>
      <x:c r="O306" s="8" t="n">
        <x:f>ABS(N306)</x:f>
        <x:v>2.969662532079411</x:v>
      </x:c>
      <x:c r="P306" s="8" t="n">
        <x:f>N306^2</x:f>
        <x:v>8.8188955544363</x:v>
      </x:c>
      <x:c r="Q306" s="8" t="n">
        <x:f>K306-L306</x:f>
        <x:v>-7</x:v>
      </x:c>
      <x:c r="R306" s="9" t="n">
        <x:f>IF(AND(INDEX('Сводка'!$T$3:$T$397,U306)=0,INDEX('Сводка'!$T$3:$T$397,V306)=0),1,0)</x:f>
        <x:v>1</x:v>
      </x:c>
      <x:c r="S306" s="9" t="n">
        <x:f>IF(AND(R306=1,O306&lt;=$G$13),1,0)</x:f>
        <x:v>1</x:v>
      </x:c>
      <x:c r="T306" s="10" t="n">
        <x:f>EOMONTH(J306-'Сводка'!$B$11,-1)</x:f>
        <x:v>46142</x:v>
      </x:c>
      <x:c r="U306" s="4" t="n">
        <x:f>MATCH(J306,'Сводка'!$R$3:$R$397,0)</x:f>
        <x:v>317</x:v>
      </x:c>
      <x:c r="V306" s="4" t="n">
        <x:f>MATCH(J306-'Сводка'!$B$11,'Сводка'!$R$3:$R$397,0)</x:f>
        <x:v>316</x:v>
      </x:c>
      <x:c r="W306" s="4" t="n">
        <x:f>MATCH(T306,$J$388:$J$400,0)</x:f>
        <x:v>11</x:v>
      </x:c>
      <x:c r="X306" s="3"/>
      <x:c r="Y306" s="3"/>
      <x:c r="Z306" s="3"/>
    </x:row>
    <x:row r="307" ht="15" customHeight="1">
      <x:c r="A307" s="3"/>
      <x:c r="B307" s="3"/>
      <x:c r="C307" s="3"/>
      <x:c r="D307" s="3"/>
      <x:c r="E307" s="3"/>
      <x:c r="F307" s="3"/>
      <x:c r="G307" s="3"/>
      <x:c r="H307" s="3"/>
      <x:c r="I307" s="3"/>
      <x:c r="J307" s="10" t="n">
        <x:v>46158</x:v>
      </x:c>
      <x:c r="K307" s="8" t="n">
        <x:f>INDEX('Сводка'!$S$3:$S$397,U307)</x:f>
        <x:v>148</x:v>
      </x:c>
      <x:c r="L307" s="8" t="n">
        <x:f>INDEX('Сводка'!$S$3:$S$397,V307)</x:f>
        <x:v>154</x:v>
      </x:c>
      <x:c r="M307" s="8" t="n">
        <x:f>INDEX($K$388:$N$400,W307,1)*((J307-$T$405+1)/1000)^INDEX($K$388:$N$400,W307,2)</x:f>
        <x:v>151.04784029203722</x:v>
      </x:c>
      <x:c r="N307" s="8" t="n">
        <x:f>K307-M307</x:f>
        <x:v>-3.047840292037222</x:v>
      </x:c>
      <x:c r="O307" s="8" t="n">
        <x:f>ABS(N307)</x:f>
        <x:v>3.047840292037222</x:v>
      </x:c>
      <x:c r="P307" s="8" t="n">
        <x:f>N307^2</x:f>
        <x:v>9.289330445765538</x:v>
      </x:c>
      <x:c r="Q307" s="8" t="n">
        <x:f>K307-L307</x:f>
        <x:v>-6</x:v>
      </x:c>
      <x:c r="R307" s="9" t="n">
        <x:f>IF(AND(INDEX('Сводка'!$T$3:$T$397,U307)=0,INDEX('Сводка'!$T$3:$T$397,V307)=0),1,0)</x:f>
        <x:v>1</x:v>
      </x:c>
      <x:c r="S307" s="9" t="n">
        <x:f>IF(AND(R307=1,O307&lt;=$G$13),1,0)</x:f>
        <x:v>1</x:v>
      </x:c>
      <x:c r="T307" s="10" t="n">
        <x:f>EOMONTH(J307-'Сводка'!$B$11,-1)</x:f>
        <x:v>46142</x:v>
      </x:c>
      <x:c r="U307" s="4" t="n">
        <x:f>MATCH(J307,'Сводка'!$R$3:$R$397,0)</x:f>
        <x:v>318</x:v>
      </x:c>
      <x:c r="V307" s="4" t="n">
        <x:f>MATCH(J307-'Сводка'!$B$11,'Сводка'!$R$3:$R$397,0)</x:f>
        <x:v>317</x:v>
      </x:c>
      <x:c r="W307" s="4" t="n">
        <x:f>MATCH(T307,$J$388:$J$400,0)</x:f>
        <x:v>11</x:v>
      </x:c>
      <x:c r="X307" s="3"/>
      <x:c r="Y307" s="3"/>
      <x:c r="Z307" s="3"/>
    </x:row>
    <x:row r="308" ht="15" customHeight="1">
      <x:c r="A308" s="3"/>
      <x:c r="B308" s="3"/>
      <x:c r="C308" s="3"/>
      <x:c r="D308" s="3"/>
      <x:c r="E308" s="3"/>
      <x:c r="F308" s="3"/>
      <x:c r="G308" s="3"/>
      <x:c r="H308" s="3"/>
      <x:c r="I308" s="3"/>
      <x:c r="J308" s="10" t="n">
        <x:v>46159</x:v>
      </x:c>
      <x:c r="K308" s="8" t="n">
        <x:f>INDEX('Сводка'!$S$3:$S$397,U308)</x:f>
        <x:v>141</x:v>
      </x:c>
      <x:c r="L308" s="8" t="n">
        <x:f>INDEX('Сводка'!$S$3:$S$397,V308)</x:f>
        <x:v>148</x:v>
      </x:c>
      <x:c r="M308" s="8" t="n">
        <x:f>INDEX($K$388:$N$400,W308,1)*((J308-$T$405+1)/1000)^INDEX($K$388:$N$400,W308,2)</x:f>
        <x:v>151.06534317814774</x:v>
      </x:c>
      <x:c r="N308" s="8" t="n">
        <x:f>K308-M308</x:f>
        <x:v>-10.065343178147742</x:v>
      </x:c>
      <x:c r="O308" s="8" t="n">
        <x:f>ABS(N308)</x:f>
        <x:v>10.065343178147742</x:v>
      </x:c>
      <x:c r="P308" s="8" t="n">
        <x:f>N308^2</x:f>
        <x:v>101.31113329388529</x:v>
      </x:c>
      <x:c r="Q308" s="8" t="n">
        <x:f>K308-L308</x:f>
        <x:v>-7</x:v>
      </x:c>
      <x:c r="R308" s="9" t="n">
        <x:f>IF(AND(INDEX('Сводка'!$T$3:$T$397,U308)=0,INDEX('Сводка'!$T$3:$T$397,V308)=0),1,0)</x:f>
        <x:v>1</x:v>
      </x:c>
      <x:c r="S308" s="9" t="n">
        <x:f>IF(AND(R308=1,O308&lt;=$G$13),1,0)</x:f>
        <x:v>0</x:v>
      </x:c>
      <x:c r="T308" s="10" t="n">
        <x:f>EOMONTH(J308-'Сводка'!$B$11,-1)</x:f>
        <x:v>46142</x:v>
      </x:c>
      <x:c r="U308" s="4" t="n">
        <x:f>MATCH(J308,'Сводка'!$R$3:$R$397,0)</x:f>
        <x:v>319</x:v>
      </x:c>
      <x:c r="V308" s="4" t="n">
        <x:f>MATCH(J308-'Сводка'!$B$11,'Сводка'!$R$3:$R$397,0)</x:f>
        <x:v>318</x:v>
      </x:c>
      <x:c r="W308" s="4" t="n">
        <x:f>MATCH(T308,$J$388:$J$400,0)</x:f>
        <x:v>11</x:v>
      </x:c>
      <x:c r="X308" s="3"/>
      <x:c r="Y308" s="3"/>
      <x:c r="Z308" s="3"/>
    </x:row>
    <x:row r="309" ht="15" customHeight="1">
      <x:c r="A309" s="3"/>
      <x:c r="B309" s="3"/>
      <x:c r="C309" s="3"/>
      <x:c r="D309" s="3"/>
      <x:c r="E309" s="3"/>
      <x:c r="F309" s="3"/>
      <x:c r="G309" s="3"/>
      <x:c r="H309" s="3"/>
      <x:c r="I309" s="3"/>
      <x:c r="J309" s="10" t="n">
        <x:v>46160</x:v>
      </x:c>
      <x:c r="K309" s="8" t="n">
        <x:f>INDEX('Сводка'!$S$3:$S$397,U309)</x:f>
        <x:v>139</x:v>
      </x:c>
      <x:c r="L309" s="8" t="n">
        <x:f>INDEX('Сводка'!$S$3:$S$397,V309)</x:f>
        <x:v>141</x:v>
      </x:c>
      <x:c r="M309" s="8" t="n">
        <x:f>INDEX($K$388:$N$400,W309,1)*((J309-$T$405+1)/1000)^INDEX($K$388:$N$400,W309,2)</x:f>
        <x:v>151.08284612624536</x:v>
      </x:c>
      <x:c r="N309" s="8" t="n">
        <x:f>K309-M309</x:f>
        <x:v>-12.082846126245357</x:v>
      </x:c>
      <x:c r="O309" s="8" t="n">
        <x:f>ABS(N309)</x:f>
        <x:v>12.082846126245357</x:v>
      </x:c>
      <x:c r="P309" s="8" t="n">
        <x:f>N309^2</x:f>
        <x:v>145.99517051052243</x:v>
      </x:c>
      <x:c r="Q309" s="8" t="n">
        <x:f>K309-L309</x:f>
        <x:v>-2</x:v>
      </x:c>
      <x:c r="R309" s="9" t="n">
        <x:f>IF(AND(INDEX('Сводка'!$T$3:$T$397,U309)=0,INDEX('Сводка'!$T$3:$T$397,V309)=0),1,0)</x:f>
        <x:v>1</x:v>
      </x:c>
      <x:c r="S309" s="9" t="n">
        <x:f>IF(AND(R309=1,O309&lt;=$G$13),1,0)</x:f>
        <x:v>0</x:v>
      </x:c>
      <x:c r="T309" s="10" t="n">
        <x:f>EOMONTH(J309-'Сводка'!$B$11,-1)</x:f>
        <x:v>46142</x:v>
      </x:c>
      <x:c r="U309" s="4" t="n">
        <x:f>MATCH(J309,'Сводка'!$R$3:$R$397,0)</x:f>
        <x:v>320</x:v>
      </x:c>
      <x:c r="V309" s="4" t="n">
        <x:f>MATCH(J309-'Сводка'!$B$11,'Сводка'!$R$3:$R$397,0)</x:f>
        <x:v>319</x:v>
      </x:c>
      <x:c r="W309" s="4" t="n">
        <x:f>MATCH(T309,$J$388:$J$400,0)</x:f>
        <x:v>11</x:v>
      </x:c>
      <x:c r="X309" s="3"/>
      <x:c r="Y309" s="3"/>
      <x:c r="Z309" s="3"/>
    </x:row>
    <x:row r="310" ht="15" customHeight="1">
      <x:c r="A310" s="3"/>
      <x:c r="B310" s="3"/>
      <x:c r="C310" s="3"/>
      <x:c r="D310" s="3"/>
      <x:c r="E310" s="3"/>
      <x:c r="F310" s="3"/>
      <x:c r="G310" s="3"/>
      <x:c r="H310" s="3"/>
      <x:c r="I310" s="3"/>
      <x:c r="J310" s="10" t="n">
        <x:v>46161</x:v>
      </x:c>
      <x:c r="K310" s="8" t="n">
        <x:f>INDEX('Сводка'!$S$3:$S$397,U310)</x:f>
        <x:v>135</x:v>
      </x:c>
      <x:c r="L310" s="8" t="n">
        <x:f>INDEX('Сводка'!$S$3:$S$397,V310)</x:f>
        <x:v>139</x:v>
      </x:c>
      <x:c r="M310" s="8" t="n">
        <x:f>INDEX($K$388:$N$400,W310,1)*((J310-$T$405+1)/1000)^INDEX($K$388:$N$400,W310,2)</x:f>
        <x:v>151.10034913632336</x:v>
      </x:c>
      <x:c r="N310" s="8" t="n">
        <x:f>K310-M310</x:f>
        <x:v>-16.10034913632336</x:v>
      </x:c>
      <x:c r="O310" s="8" t="n">
        <x:f>ABS(N310)</x:f>
        <x:v>16.10034913632336</x:v>
      </x:c>
      <x:c r="P310" s="8" t="n">
        <x:f>N310^2</x:f>
        <x:v>259.2212423115083</x:v>
      </x:c>
      <x:c r="Q310" s="8" t="n">
        <x:f>K310-L310</x:f>
        <x:v>-4</x:v>
      </x:c>
      <x:c r="R310" s="9" t="n">
        <x:f>IF(AND(INDEX('Сводка'!$T$3:$T$397,U310)=0,INDEX('Сводка'!$T$3:$T$397,V310)=0),1,0)</x:f>
        <x:v>1</x:v>
      </x:c>
      <x:c r="S310" s="9" t="n">
        <x:f>IF(AND(R310=1,O310&lt;=$G$13),1,0)</x:f>
        <x:v>0</x:v>
      </x:c>
      <x:c r="T310" s="10" t="n">
        <x:f>EOMONTH(J310-'Сводка'!$B$11,-1)</x:f>
        <x:v>46142</x:v>
      </x:c>
      <x:c r="U310" s="4" t="n">
        <x:f>MATCH(J310,'Сводка'!$R$3:$R$397,0)</x:f>
        <x:v>321</x:v>
      </x:c>
      <x:c r="V310" s="4" t="n">
        <x:f>MATCH(J310-'Сводка'!$B$11,'Сводка'!$R$3:$R$397,0)</x:f>
        <x:v>320</x:v>
      </x:c>
      <x:c r="W310" s="4" t="n">
        <x:f>MATCH(T310,$J$388:$J$400,0)</x:f>
        <x:v>11</x:v>
      </x:c>
      <x:c r="X310" s="3"/>
      <x:c r="Y310" s="3"/>
      <x:c r="Z310" s="3"/>
    </x:row>
    <x:row r="311" ht="15" customHeight="1">
      <x:c r="A311" s="3"/>
      <x:c r="B311" s="3"/>
      <x:c r="C311" s="3"/>
      <x:c r="D311" s="3"/>
      <x:c r="E311" s="3"/>
      <x:c r="F311" s="3"/>
      <x:c r="G311" s="3"/>
      <x:c r="H311" s="3"/>
      <x:c r="I311" s="3"/>
      <x:c r="J311" s="10" t="n">
        <x:v>46162</x:v>
      </x:c>
      <x:c r="K311" s="8" t="n">
        <x:f>INDEX('Сводка'!$S$3:$S$397,U311)</x:f>
        <x:v>135</x:v>
      </x:c>
      <x:c r="L311" s="8" t="n">
        <x:f>INDEX('Сводка'!$S$3:$S$397,V311)</x:f>
        <x:v>135</x:v>
      </x:c>
      <x:c r="M311" s="8" t="n">
        <x:f>INDEX($K$388:$N$400,W311,1)*((J311-$T$405+1)/1000)^INDEX($K$388:$N$400,W311,2)</x:f>
        <x:v>151.117852208375</x:v>
      </x:c>
      <x:c r="N311" s="8" t="n">
        <x:f>K311-M311</x:f>
        <x:v>-16.117852208375012</x:v>
      </x:c>
      <x:c r="O311" s="8" t="n">
        <x:f>ABS(N311)</x:f>
        <x:v>16.117852208375012</x:v>
      </x:c>
      <x:c r="P311" s="8" t="n">
        <x:f>N311^2</x:f>
        <x:v>259.78515981101924</x:v>
      </x:c>
      <x:c r="Q311" s="8" t="n">
        <x:f>K311-L311</x:f>
        <x:v>0</x:v>
      </x:c>
      <x:c r="R311" s="9" t="n">
        <x:f>IF(AND(INDEX('Сводка'!$T$3:$T$397,U311)=0,INDEX('Сводка'!$T$3:$T$397,V311)=0),1,0)</x:f>
        <x:v>1</x:v>
      </x:c>
      <x:c r="S311" s="9" t="n">
        <x:f>IF(AND(R311=1,O311&lt;=$G$13),1,0)</x:f>
        <x:v>0</x:v>
      </x:c>
      <x:c r="T311" s="10" t="n">
        <x:f>EOMONTH(J311-'Сводка'!$B$11,-1)</x:f>
        <x:v>46142</x:v>
      </x:c>
      <x:c r="U311" s="4" t="n">
        <x:f>MATCH(J311,'Сводка'!$R$3:$R$397,0)</x:f>
        <x:v>322</x:v>
      </x:c>
      <x:c r="V311" s="4" t="n">
        <x:f>MATCH(J311-'Сводка'!$B$11,'Сводка'!$R$3:$R$397,0)</x:f>
        <x:v>321</x:v>
      </x:c>
      <x:c r="W311" s="4" t="n">
        <x:f>MATCH(T311,$J$388:$J$400,0)</x:f>
        <x:v>11</x:v>
      </x:c>
      <x:c r="X311" s="3"/>
      <x:c r="Y311" s="3"/>
      <x:c r="Z311" s="3"/>
    </x:row>
    <x:row r="312" ht="15" customHeight="1">
      <x:c r="A312" s="3"/>
      <x:c r="B312" s="3"/>
      <x:c r="C312" s="3"/>
      <x:c r="D312" s="3"/>
      <x:c r="E312" s="3"/>
      <x:c r="F312" s="3"/>
      <x:c r="G312" s="3"/>
      <x:c r="H312" s="3"/>
      <x:c r="I312" s="3"/>
      <x:c r="J312" s="10" t="n">
        <x:v>46163</x:v>
      </x:c>
      <x:c r="K312" s="8" t="n">
        <x:f>INDEX('Сводка'!$S$3:$S$397,U312)</x:f>
        <x:v>134</x:v>
      </x:c>
      <x:c r="L312" s="8" t="n">
        <x:f>INDEX('Сводка'!$S$3:$S$397,V312)</x:f>
        <x:v>135</x:v>
      </x:c>
      <x:c r="M312" s="8" t="n">
        <x:f>INDEX($K$388:$N$400,W312,1)*((J312-$T$405+1)/1000)^INDEX($K$388:$N$400,W312,2)</x:f>
        <x:v>151.13535534239355</x:v>
      </x:c>
      <x:c r="N312" s="8" t="n">
        <x:f>K312-M312</x:f>
        <x:v>-17.135355342393552</x:v>
      </x:c>
      <x:c r="O312" s="8" t="n">
        <x:f>ABS(N312)</x:f>
        <x:v>17.135355342393552</x:v>
      </x:c>
      <x:c r="P312" s="8" t="n">
        <x:f>N312^2</x:f>
        <x:v>293.6204027100953</x:v>
      </x:c>
      <x:c r="Q312" s="8" t="n">
        <x:f>K312-L312</x:f>
        <x:v>-1</x:v>
      </x:c>
      <x:c r="R312" s="9" t="n">
        <x:f>IF(AND(INDEX('Сводка'!$T$3:$T$397,U312)=0,INDEX('Сводка'!$T$3:$T$397,V312)=0),1,0)</x:f>
        <x:v>1</x:v>
      </x:c>
      <x:c r="S312" s="9" t="n">
        <x:f>IF(AND(R312=1,O312&lt;=$G$13),1,0)</x:f>
        <x:v>0</x:v>
      </x:c>
      <x:c r="T312" s="10" t="n">
        <x:f>EOMONTH(J312-'Сводка'!$B$11,-1)</x:f>
        <x:v>46142</x:v>
      </x:c>
      <x:c r="U312" s="4" t="n">
        <x:f>MATCH(J312,'Сводка'!$R$3:$R$397,0)</x:f>
        <x:v>323</x:v>
      </x:c>
      <x:c r="V312" s="4" t="n">
        <x:f>MATCH(J312-'Сводка'!$B$11,'Сводка'!$R$3:$R$397,0)</x:f>
        <x:v>322</x:v>
      </x:c>
      <x:c r="W312" s="4" t="n">
        <x:f>MATCH(T312,$J$388:$J$400,0)</x:f>
        <x:v>11</x:v>
      </x:c>
      <x:c r="X312" s="3"/>
      <x:c r="Y312" s="3"/>
      <x:c r="Z312" s="3"/>
    </x:row>
    <x:row r="313" ht="15" customHeight="1">
      <x:c r="A313" s="3"/>
      <x:c r="B313" s="3"/>
      <x:c r="C313" s="3"/>
      <x:c r="D313" s="3"/>
      <x:c r="E313" s="3"/>
      <x:c r="F313" s="3"/>
      <x:c r="G313" s="3"/>
      <x:c r="H313" s="3"/>
      <x:c r="I313" s="3"/>
      <x:c r="J313" s="10" t="n">
        <x:v>46164</x:v>
      </x:c>
      <x:c r="K313" s="8" t="n">
        <x:f>INDEX('Сводка'!$S$3:$S$397,U313)</x:f>
        <x:v>131</x:v>
      </x:c>
      <x:c r="L313" s="8" t="n">
        <x:f>INDEX('Сводка'!$S$3:$S$397,V313)</x:f>
        <x:v>134</x:v>
      </x:c>
      <x:c r="M313" s="8" t="n">
        <x:f>INDEX($K$388:$N$400,W313,1)*((J313-$T$405+1)/1000)^INDEX($K$388:$N$400,W313,2)</x:f>
        <x:v>151.15285853837221</x:v>
      </x:c>
      <x:c r="N313" s="8" t="n">
        <x:f>K313-M313</x:f>
        <x:v>-20.152858538372215</x:v>
      </x:c>
      <x:c r="O313" s="8" t="n">
        <x:f>ABS(N313)</x:f>
        <x:v>20.152858538372215</x:v>
      </x:c>
      <x:c r="P313" s="8" t="n">
        <x:f>N313^2</x:f>
        <x:v>406.1377072676419</x:v>
      </x:c>
      <x:c r="Q313" s="8" t="n">
        <x:f>K313-L313</x:f>
        <x:v>-3</x:v>
      </x:c>
      <x:c r="R313" s="9" t="n">
        <x:f>IF(AND(INDEX('Сводка'!$T$3:$T$397,U313)=0,INDEX('Сводка'!$T$3:$T$397,V313)=0),1,0)</x:f>
        <x:v>1</x:v>
      </x:c>
      <x:c r="S313" s="9" t="n">
        <x:f>IF(AND(R313=1,O313&lt;=$G$13),1,0)</x:f>
        <x:v>0</x:v>
      </x:c>
      <x:c r="T313" s="10" t="n">
        <x:f>EOMONTH(J313-'Сводка'!$B$11,-1)</x:f>
        <x:v>46142</x:v>
      </x:c>
      <x:c r="U313" s="4" t="n">
        <x:f>MATCH(J313,'Сводка'!$R$3:$R$397,0)</x:f>
        <x:v>324</x:v>
      </x:c>
      <x:c r="V313" s="4" t="n">
        <x:f>MATCH(J313-'Сводка'!$B$11,'Сводка'!$R$3:$R$397,0)</x:f>
        <x:v>323</x:v>
      </x:c>
      <x:c r="W313" s="4" t="n">
        <x:f>MATCH(T313,$J$388:$J$400,0)</x:f>
        <x:v>11</x:v>
      </x:c>
      <x:c r="X313" s="3"/>
      <x:c r="Y313" s="3"/>
      <x:c r="Z313" s="3"/>
    </x:row>
    <x:row r="314" ht="15" customHeight="1">
      <x:c r="A314" s="3"/>
      <x:c r="B314" s="3"/>
      <x:c r="C314" s="3"/>
      <x:c r="D314" s="3"/>
      <x:c r="E314" s="3"/>
      <x:c r="F314" s="3"/>
      <x:c r="G314" s="3"/>
      <x:c r="H314" s="3"/>
      <x:c r="I314" s="3"/>
      <x:c r="J314" s="10" t="n">
        <x:v>46165</x:v>
      </x:c>
      <x:c r="K314" s="8" t="n">
        <x:f>INDEX('Сводка'!$S$3:$S$397,U314)</x:f>
        <x:v>126</x:v>
      </x:c>
      <x:c r="L314" s="8" t="n">
        <x:f>INDEX('Сводка'!$S$3:$S$397,V314)</x:f>
        <x:v>131</x:v>
      </x:c>
      <x:c r="M314" s="8" t="n">
        <x:f>INDEX($K$388:$N$400,W314,1)*((J314-$T$405+1)/1000)^INDEX($K$388:$N$400,W314,2)</x:f>
        <x:v>151.17036179630435</x:v>
      </x:c>
      <x:c r="N314" s="8" t="n">
        <x:f>K314-M314</x:f>
        <x:v>-25.17036179630435</x:v>
      </x:c>
      <x:c r="O314" s="8" t="n">
        <x:f>ABS(N314)</x:f>
        <x:v>25.17036179630435</x:v>
      </x:c>
      <x:c r="P314" s="8" t="n">
        <x:f>N314^2</x:f>
        <x:v>633.5471129568575</x:v>
      </x:c>
      <x:c r="Q314" s="8" t="n">
        <x:f>K314-L314</x:f>
        <x:v>-5</x:v>
      </x:c>
      <x:c r="R314" s="9" t="n">
        <x:f>IF(AND(INDEX('Сводка'!$T$3:$T$397,U314)=0,INDEX('Сводка'!$T$3:$T$397,V314)=0),1,0)</x:f>
        <x:v>1</x:v>
      </x:c>
      <x:c r="S314" s="9" t="n">
        <x:f>IF(AND(R314=1,O314&lt;=$G$13),1,0)</x:f>
        <x:v>0</x:v>
      </x:c>
      <x:c r="T314" s="10" t="n">
        <x:f>EOMONTH(J314-'Сводка'!$B$11,-1)</x:f>
        <x:v>46142</x:v>
      </x:c>
      <x:c r="U314" s="4" t="n">
        <x:f>MATCH(J314,'Сводка'!$R$3:$R$397,0)</x:f>
        <x:v>325</x:v>
      </x:c>
      <x:c r="V314" s="4" t="n">
        <x:f>MATCH(J314-'Сводка'!$B$11,'Сводка'!$R$3:$R$397,0)</x:f>
        <x:v>324</x:v>
      </x:c>
      <x:c r="W314" s="4" t="n">
        <x:f>MATCH(T314,$J$388:$J$400,0)</x:f>
        <x:v>11</x:v>
      </x:c>
      <x:c r="X314" s="3"/>
      <x:c r="Y314" s="3"/>
      <x:c r="Z314" s="3"/>
    </x:row>
    <x:row r="315" ht="15" customHeight="1">
      <x:c r="A315" s="3"/>
      <x:c r="B315" s="3"/>
      <x:c r="C315" s="3"/>
      <x:c r="D315" s="3"/>
      <x:c r="E315" s="3"/>
      <x:c r="F315" s="3"/>
      <x:c r="G315" s="3"/>
      <x:c r="H315" s="3"/>
      <x:c r="I315" s="3"/>
      <x:c r="J315" s="10" t="n">
        <x:v>46166</x:v>
      </x:c>
      <x:c r="K315" s="8" t="n">
        <x:f>INDEX('Сводка'!$S$3:$S$397,U315)</x:f>
        <x:v>119</x:v>
      </x:c>
      <x:c r="L315" s="8" t="n">
        <x:f>INDEX('Сводка'!$S$3:$S$397,V315)</x:f>
        <x:v>126</x:v>
      </x:c>
      <x:c r="M315" s="8" t="n">
        <x:f>INDEX($K$388:$N$400,W315,1)*((J315-$T$405+1)/1000)^INDEX($K$388:$N$400,W315,2)</x:f>
        <x:v>151.18786511618316</x:v>
      </x:c>
      <x:c r="N315" s="8" t="n">
        <x:f>K315-M315</x:f>
        <x:v>-32.18786511618316</x:v>
      </x:c>
      <x:c r="O315" s="8" t="n">
        <x:f>ABS(N315)</x:f>
        <x:v>32.18786511618316</x:v>
      </x:c>
      <x:c r="P315" s="8" t="n">
        <x:f>N315^2</x:f>
        <x:v>1036.0586607376008</x:v>
      </x:c>
      <x:c r="Q315" s="8" t="n">
        <x:f>K315-L315</x:f>
        <x:v>-7</x:v>
      </x:c>
      <x:c r="R315" s="9" t="n">
        <x:f>IF(AND(INDEX('Сводка'!$T$3:$T$397,U315)=0,INDEX('Сводка'!$T$3:$T$397,V315)=0),1,0)</x:f>
        <x:v>1</x:v>
      </x:c>
      <x:c r="S315" s="9" t="n">
        <x:f>IF(AND(R315=1,O315&lt;=$G$13),1,0)</x:f>
        <x:v>0</x:v>
      </x:c>
      <x:c r="T315" s="10" t="n">
        <x:f>EOMONTH(J315-'Сводка'!$B$11,-1)</x:f>
        <x:v>46142</x:v>
      </x:c>
      <x:c r="U315" s="4" t="n">
        <x:f>MATCH(J315,'Сводка'!$R$3:$R$397,0)</x:f>
        <x:v>326</x:v>
      </x:c>
      <x:c r="V315" s="4" t="n">
        <x:f>MATCH(J315-'Сводка'!$B$11,'Сводка'!$R$3:$R$397,0)</x:f>
        <x:v>325</x:v>
      </x:c>
      <x:c r="W315" s="4" t="n">
        <x:f>MATCH(T315,$J$388:$J$400,0)</x:f>
        <x:v>11</x:v>
      </x:c>
      <x:c r="X315" s="3"/>
      <x:c r="Y315" s="3"/>
      <x:c r="Z315" s="3"/>
    </x:row>
    <x:row r="316" ht="15" customHeight="1">
      <x:c r="A316" s="3"/>
      <x:c r="B316" s="3"/>
      <x:c r="C316" s="3"/>
      <x:c r="D316" s="3"/>
      <x:c r="E316" s="3"/>
      <x:c r="F316" s="3"/>
      <x:c r="G316" s="3"/>
      <x:c r="H316" s="3"/>
      <x:c r="I316" s="3"/>
      <x:c r="J316" s="10" t="n">
        <x:v>46167</x:v>
      </x:c>
      <x:c r="K316" s="8" t="n">
        <x:f>INDEX('Сводка'!$S$3:$S$397,U316)</x:f>
        <x:v>114</x:v>
      </x:c>
      <x:c r="L316" s="8" t="n">
        <x:f>INDEX('Сводка'!$S$3:$S$397,V316)</x:f>
        <x:v>119</x:v>
      </x:c>
      <x:c r="M316" s="8" t="n">
        <x:f>INDEX($K$388:$N$400,W316,1)*((J316-$T$405+1)/1000)^INDEX($K$388:$N$400,W316,2)</x:f>
        <x:v>151.20536849800192</x:v>
      </x:c>
      <x:c r="N316" s="8" t="n">
        <x:f>K316-M316</x:f>
        <x:v>-37.20536849800192</x:v>
      </x:c>
      <x:c r="O316" s="8" t="n">
        <x:f>ABS(N316)</x:f>
        <x:v>37.20536849800192</x:v>
      </x:c>
      <x:c r="P316" s="8" t="n">
        <x:f>N316^2</x:f>
        <x:v>1384.2394450721133</x:v>
      </x:c>
      <x:c r="Q316" s="8" t="n">
        <x:f>K316-L316</x:f>
        <x:v>-5</x:v>
      </x:c>
      <x:c r="R316" s="9" t="n">
        <x:f>IF(AND(INDEX('Сводка'!$T$3:$T$397,U316)=0,INDEX('Сводка'!$T$3:$T$397,V316)=0),1,0)</x:f>
        <x:v>1</x:v>
      </x:c>
      <x:c r="S316" s="9" t="n">
        <x:f>IF(AND(R316=1,O316&lt;=$G$13),1,0)</x:f>
        <x:v>0</x:v>
      </x:c>
      <x:c r="T316" s="10" t="n">
        <x:f>EOMONTH(J316-'Сводка'!$B$11,-1)</x:f>
        <x:v>46142</x:v>
      </x:c>
      <x:c r="U316" s="4" t="n">
        <x:f>MATCH(J316,'Сводка'!$R$3:$R$397,0)</x:f>
        <x:v>327</x:v>
      </x:c>
      <x:c r="V316" s="4" t="n">
        <x:f>MATCH(J316-'Сводка'!$B$11,'Сводка'!$R$3:$R$397,0)</x:f>
        <x:v>326</x:v>
      </x:c>
      <x:c r="W316" s="4" t="n">
        <x:f>MATCH(T316,$J$388:$J$400,0)</x:f>
        <x:v>11</x:v>
      </x:c>
      <x:c r="X316" s="3"/>
      <x:c r="Y316" s="3"/>
      <x:c r="Z316" s="3"/>
    </x:row>
    <x:row r="317" ht="15" customHeight="1">
      <x:c r="A317" s="3"/>
      <x:c r="B317" s="3"/>
      <x:c r="C317" s="3"/>
      <x:c r="D317" s="3"/>
      <x:c r="E317" s="3"/>
      <x:c r="F317" s="3"/>
      <x:c r="G317" s="3"/>
      <x:c r="H317" s="3"/>
      <x:c r="I317" s="3"/>
      <x:c r="J317" s="10" t="n">
        <x:v>46168</x:v>
      </x:c>
      <x:c r="K317" s="8" t="n">
        <x:f>INDEX('Сводка'!$S$3:$S$397,U317)</x:f>
        <x:v>106</x:v>
      </x:c>
      <x:c r="L317" s="8" t="n">
        <x:f>INDEX('Сводка'!$S$3:$S$397,V317)</x:f>
        <x:v>114</x:v>
      </x:c>
      <x:c r="M317" s="8" t="n">
        <x:f>INDEX($K$388:$N$400,W317,1)*((J317-$T$405+1)/1000)^INDEX($K$388:$N$400,W317,2)</x:f>
        <x:v>151.2228719417539</x:v>
      </x:c>
      <x:c r="N317" s="8" t="n">
        <x:f>K317-M317</x:f>
        <x:v>-45.22287194175391</x:v>
      </x:c>
      <x:c r="O317" s="8" t="n">
        <x:f>ABS(N317)</x:f>
        <x:v>45.22287194175391</x:v>
      </x:c>
      <x:c r="P317" s="8" t="n">
        <x:f>N317^2</x:f>
        <x:v>2045.108146660273</x:v>
      </x:c>
      <x:c r="Q317" s="8" t="n">
        <x:f>K317-L317</x:f>
        <x:v>-8</x:v>
      </x:c>
      <x:c r="R317" s="9" t="n">
        <x:f>IF(AND(INDEX('Сводка'!$T$3:$T$397,U317)=0,INDEX('Сводка'!$T$3:$T$397,V317)=0),1,0)</x:f>
        <x:v>1</x:v>
      </x:c>
      <x:c r="S317" s="9" t="n">
        <x:f>IF(AND(R317=1,O317&lt;=$G$13),1,0)</x:f>
        <x:v>0</x:v>
      </x:c>
      <x:c r="T317" s="10" t="n">
        <x:f>EOMONTH(J317-'Сводка'!$B$11,-1)</x:f>
        <x:v>46142</x:v>
      </x:c>
      <x:c r="U317" s="4" t="n">
        <x:f>MATCH(J317,'Сводка'!$R$3:$R$397,0)</x:f>
        <x:v>328</x:v>
      </x:c>
      <x:c r="V317" s="4" t="n">
        <x:f>MATCH(J317-'Сводка'!$B$11,'Сводка'!$R$3:$R$397,0)</x:f>
        <x:v>327</x:v>
      </x:c>
      <x:c r="W317" s="4" t="n">
        <x:f>MATCH(T317,$J$388:$J$400,0)</x:f>
        <x:v>11</x:v>
      </x:c>
      <x:c r="X317" s="3"/>
      <x:c r="Y317" s="3"/>
      <x:c r="Z317" s="3"/>
    </x:row>
    <x:row r="318" ht="15" customHeight="1">
      <x:c r="A318" s="3"/>
      <x:c r="B318" s="3"/>
      <x:c r="C318" s="3"/>
      <x:c r="D318" s="3"/>
      <x:c r="E318" s="3"/>
      <x:c r="F318" s="3"/>
      <x:c r="G318" s="3"/>
      <x:c r="H318" s="3"/>
      <x:c r="I318" s="3"/>
      <x:c r="J318" s="10" t="n">
        <x:v>46169</x:v>
      </x:c>
      <x:c r="K318" s="8" t="n">
        <x:f>INDEX('Сводка'!$S$3:$S$397,U318)</x:f>
        <x:v>101</x:v>
      </x:c>
      <x:c r="L318" s="8" t="n">
        <x:f>INDEX('Сводка'!$S$3:$S$397,V318)</x:f>
        <x:v>106</x:v>
      </x:c>
      <x:c r="M318" s="8" t="n">
        <x:f>INDEX($K$388:$N$400,W318,1)*((J318-$T$405+1)/1000)^INDEX($K$388:$N$400,W318,2)</x:f>
        <x:v>151.2403754474324</x:v>
      </x:c>
      <x:c r="N318" s="8" t="n">
        <x:f>K318-M318</x:f>
        <x:v>-50.2403754474324</x:v>
      </x:c>
      <x:c r="O318" s="8" t="n">
        <x:f>ABS(N318)</x:f>
        <x:v>50.2403754474324</x:v>
      </x:c>
      <x:c r="P318" s="8" t="n">
        <x:f>N318^2</x:f>
        <x:v>2524.0953250989683</x:v>
      </x:c>
      <x:c r="Q318" s="8" t="n">
        <x:f>K318-L318</x:f>
        <x:v>-5</x:v>
      </x:c>
      <x:c r="R318" s="9" t="n">
        <x:f>IF(AND(INDEX('Сводка'!$T$3:$T$397,U318)=0,INDEX('Сводка'!$T$3:$T$397,V318)=0),1,0)</x:f>
        <x:v>1</x:v>
      </x:c>
      <x:c r="S318" s="9" t="n">
        <x:f>IF(AND(R318=1,O318&lt;=$G$13),1,0)</x:f>
        <x:v>0</x:v>
      </x:c>
      <x:c r="T318" s="10" t="n">
        <x:f>EOMONTH(J318-'Сводка'!$B$11,-1)</x:f>
        <x:v>46142</x:v>
      </x:c>
      <x:c r="U318" s="4" t="n">
        <x:f>MATCH(J318,'Сводка'!$R$3:$R$397,0)</x:f>
        <x:v>329</x:v>
      </x:c>
      <x:c r="V318" s="4" t="n">
        <x:f>MATCH(J318-'Сводка'!$B$11,'Сводка'!$R$3:$R$397,0)</x:f>
        <x:v>328</x:v>
      </x:c>
      <x:c r="W318" s="4" t="n">
        <x:f>MATCH(T318,$J$388:$J$400,0)</x:f>
        <x:v>11</x:v>
      </x:c>
      <x:c r="X318" s="3"/>
      <x:c r="Y318" s="3"/>
      <x:c r="Z318" s="3"/>
    </x:row>
    <x:row r="319" ht="15" customHeight="1">
      <x:c r="A319" s="3"/>
      <x:c r="B319" s="3"/>
      <x:c r="C319" s="3"/>
      <x:c r="D319" s="3"/>
      <x:c r="E319" s="3"/>
      <x:c r="F319" s="3"/>
      <x:c r="G319" s="3"/>
      <x:c r="H319" s="3"/>
      <x:c r="I319" s="3"/>
      <x:c r="J319" s="10" t="n">
        <x:v>46170</x:v>
      </x:c>
      <x:c r="K319" s="8" t="n">
        <x:f>INDEX('Сводка'!$S$3:$S$397,U319)</x:f>
        <x:v>95</x:v>
      </x:c>
      <x:c r="L319" s="8" t="n">
        <x:f>INDEX('Сводка'!$S$3:$S$397,V319)</x:f>
        <x:v>101</x:v>
      </x:c>
      <x:c r="M319" s="8" t="n">
        <x:f>INDEX($K$388:$N$400,W319,1)*((J319-$T$405+1)/1000)^INDEX($K$388:$N$400,W319,2)</x:f>
        <x:v>151.25787901503062</x:v>
      </x:c>
      <x:c r="N319" s="8" t="n">
        <x:f>K319-M319</x:f>
        <x:v>-56.257879015030625</x:v>
      </x:c>
      <x:c r="O319" s="8" t="n">
        <x:f>ABS(N319)</x:f>
        <x:v>56.257879015030625</x:v>
      </x:c>
      <x:c r="P319" s="8" t="n">
        <x:f>N319^2</x:f>
        <x:v>3164.9489512698233</x:v>
      </x:c>
      <x:c r="Q319" s="8" t="n">
        <x:f>K319-L319</x:f>
        <x:v>-6</x:v>
      </x:c>
      <x:c r="R319" s="9" t="n">
        <x:f>IF(AND(INDEX('Сводка'!$T$3:$T$397,U319)=0,INDEX('Сводка'!$T$3:$T$397,V319)=0),1,0)</x:f>
        <x:v>1</x:v>
      </x:c>
      <x:c r="S319" s="9" t="n">
        <x:f>IF(AND(R319=1,O319&lt;=$G$13),1,0)</x:f>
        <x:v>0</x:v>
      </x:c>
      <x:c r="T319" s="10" t="n">
        <x:f>EOMONTH(J319-'Сводка'!$B$11,-1)</x:f>
        <x:v>46142</x:v>
      </x:c>
      <x:c r="U319" s="4" t="n">
        <x:f>MATCH(J319,'Сводка'!$R$3:$R$397,0)</x:f>
        <x:v>330</x:v>
      </x:c>
      <x:c r="V319" s="4" t="n">
        <x:f>MATCH(J319-'Сводка'!$B$11,'Сводка'!$R$3:$R$397,0)</x:f>
        <x:v>329</x:v>
      </x:c>
      <x:c r="W319" s="4" t="n">
        <x:f>MATCH(T319,$J$388:$J$400,0)</x:f>
        <x:v>11</x:v>
      </x:c>
      <x:c r="X319" s="3"/>
      <x:c r="Y319" s="3"/>
      <x:c r="Z319" s="3"/>
    </x:row>
    <x:row r="320" ht="15" customHeight="1">
      <x:c r="A320" s="3"/>
      <x:c r="B320" s="3"/>
      <x:c r="C320" s="3"/>
      <x:c r="D320" s="3"/>
      <x:c r="E320" s="3"/>
      <x:c r="F320" s="3"/>
      <x:c r="G320" s="3"/>
      <x:c r="H320" s="3"/>
      <x:c r="I320" s="3"/>
      <x:c r="J320" s="10" t="n">
        <x:v>46171</x:v>
      </x:c>
      <x:c r="K320" s="8" t="n">
        <x:f>INDEX('Сводка'!$S$3:$S$397,U320)</x:f>
        <x:v>85</x:v>
      </x:c>
      <x:c r="L320" s="8" t="n">
        <x:f>INDEX('Сводка'!$S$3:$S$397,V320)</x:f>
        <x:v>95</x:v>
      </x:c>
      <x:c r="M320" s="8" t="n">
        <x:f>INDEX($K$388:$N$400,W320,1)*((J320-$T$405+1)/1000)^INDEX($K$388:$N$400,W320,2)</x:f>
        <x:v>151.2753826445419</x:v>
      </x:c>
      <x:c r="N320" s="8" t="n">
        <x:f>K320-M320</x:f>
        <x:v>-66.2753826445419</x:v>
      </x:c>
      <x:c r="O320" s="8" t="n">
        <x:f>ABS(N320)</x:f>
        <x:v>66.2753826445419</x:v>
      </x:c>
      <x:c r="P320" s="8" t="n">
        <x:f>N320^2</x:f>
        <x:v>4392.426344680446</x:v>
      </x:c>
      <x:c r="Q320" s="8" t="n">
        <x:f>K320-L320</x:f>
        <x:v>-10</x:v>
      </x:c>
      <x:c r="R320" s="9" t="n">
        <x:f>IF(AND(INDEX('Сводка'!$T$3:$T$397,U320)=0,INDEX('Сводка'!$T$3:$T$397,V320)=0),1,0)</x:f>
        <x:v>1</x:v>
      </x:c>
      <x:c r="S320" s="9" t="n">
        <x:f>IF(AND(R320=1,O320&lt;=$G$13),1,0)</x:f>
        <x:v>0</x:v>
      </x:c>
      <x:c r="T320" s="10" t="n">
        <x:f>EOMONTH(J320-'Сводка'!$B$11,-1)</x:f>
        <x:v>46142</x:v>
      </x:c>
      <x:c r="U320" s="4" t="n">
        <x:f>MATCH(J320,'Сводка'!$R$3:$R$397,0)</x:f>
        <x:v>331</x:v>
      </x:c>
      <x:c r="V320" s="4" t="n">
        <x:f>MATCH(J320-'Сводка'!$B$11,'Сводка'!$R$3:$R$397,0)</x:f>
        <x:v>330</x:v>
      </x:c>
      <x:c r="W320" s="4" t="n">
        <x:f>MATCH(T320,$J$388:$J$400,0)</x:f>
        <x:v>11</x:v>
      </x:c>
      <x:c r="X320" s="3"/>
      <x:c r="Y320" s="3"/>
      <x:c r="Z320" s="3"/>
    </x:row>
    <x:row r="321" ht="15" customHeight="1">
      <x:c r="A321" s="3"/>
      <x:c r="B321" s="3"/>
      <x:c r="C321" s="3"/>
      <x:c r="D321" s="3"/>
      <x:c r="E321" s="3"/>
      <x:c r="F321" s="3"/>
      <x:c r="G321" s="3"/>
      <x:c r="H321" s="3"/>
      <x:c r="I321" s="3"/>
      <x:c r="J321" s="10" t="n">
        <x:v>46172</x:v>
      </x:c>
      <x:c r="K321" s="8" t="n">
        <x:f>INDEX('Сводка'!$S$3:$S$397,U321)</x:f>
        <x:v>77</x:v>
      </x:c>
      <x:c r="L321" s="8" t="n">
        <x:f>INDEX('Сводка'!$S$3:$S$397,V321)</x:f>
        <x:v>85</x:v>
      </x:c>
      <x:c r="M321" s="8" t="n">
        <x:f>INDEX($K$388:$N$400,W321,1)*((J321-$T$405+1)/1000)^INDEX($K$388:$N$400,W321,2)</x:f>
        <x:v>151.2928863359595</x:v>
      </x:c>
      <x:c r="N321" s="8" t="n">
        <x:f>K321-M321</x:f>
        <x:v>-74.29288633595951</x:v>
      </x:c>
      <x:c r="O321" s="8" t="n">
        <x:f>ABS(N321)</x:f>
        <x:v>74.29288633595951</x:v>
      </x:c>
      <x:c r="P321" s="8" t="n">
        <x:f>N321^2</x:f>
        <x:v>5519.432960127799</x:v>
      </x:c>
      <x:c r="Q321" s="8" t="n">
        <x:f>K321-L321</x:f>
        <x:v>-8</x:v>
      </x:c>
      <x:c r="R321" s="9" t="n">
        <x:f>IF(AND(INDEX('Сводка'!$T$3:$T$397,U321)=0,INDEX('Сводка'!$T$3:$T$397,V321)=0),1,0)</x:f>
        <x:v>1</x:v>
      </x:c>
      <x:c r="S321" s="9" t="n">
        <x:f>IF(AND(R321=1,O321&lt;=$G$13),1,0)</x:f>
        <x:v>0</x:v>
      </x:c>
      <x:c r="T321" s="10" t="n">
        <x:f>EOMONTH(J321-'Сводка'!$B$11,-1)</x:f>
        <x:v>46142</x:v>
      </x:c>
      <x:c r="U321" s="4" t="n">
        <x:f>MATCH(J321,'Сводка'!$R$3:$R$397,0)</x:f>
        <x:v>332</x:v>
      </x:c>
      <x:c r="V321" s="4" t="n">
        <x:f>MATCH(J321-'Сводка'!$B$11,'Сводка'!$R$3:$R$397,0)</x:f>
        <x:v>331</x:v>
      </x:c>
      <x:c r="W321" s="4" t="n">
        <x:f>MATCH(T321,$J$388:$J$400,0)</x:f>
        <x:v>11</x:v>
      </x:c>
      <x:c r="X321" s="3"/>
      <x:c r="Y321" s="3"/>
      <x:c r="Z321" s="3"/>
    </x:row>
    <x:row r="322" ht="15" customHeight="1">
      <x:c r="A322" s="3"/>
      <x:c r="B322" s="3"/>
      <x:c r="C322" s="3"/>
      <x:c r="D322" s="3"/>
      <x:c r="E322" s="3"/>
      <x:c r="F322" s="3"/>
      <x:c r="G322" s="3"/>
      <x:c r="H322" s="3"/>
      <x:c r="I322" s="3"/>
      <x:c r="J322" s="10" t="n">
        <x:v>46173</x:v>
      </x:c>
      <x:c r="K322" s="8" t="n">
        <x:f>INDEX('Сводка'!$S$3:$S$397,U322)</x:f>
        <x:v>70</x:v>
      </x:c>
      <x:c r="L322" s="8" t="n">
        <x:f>INDEX('Сводка'!$S$3:$S$397,V322)</x:f>
        <x:v>77</x:v>
      </x:c>
      <x:c r="M322" s="8" t="n">
        <x:f>INDEX($K$388:$N$400,W322,1)*((J322-$T$405+1)/1000)^INDEX($K$388:$N$400,W322,2)</x:f>
        <x:v>151.3103900892767</x:v>
      </x:c>
      <x:c r="N322" s="8" t="n">
        <x:f>K322-M322</x:f>
        <x:v>-81.3103900892767</x:v>
      </x:c>
      <x:c r="O322" s="8" t="n">
        <x:f>ABS(N322)</x:f>
        <x:v>81.3103900892767</x:v>
      </x:c>
      <x:c r="P322" s="8" t="n">
        <x:f>N322^2</x:f>
        <x:v>6611.379536470346</x:v>
      </x:c>
      <x:c r="Q322" s="8" t="n">
        <x:f>K322-L322</x:f>
        <x:v>-7</x:v>
      </x:c>
      <x:c r="R322" s="9" t="n">
        <x:f>IF(AND(INDEX('Сводка'!$T$3:$T$397,U322)=0,INDEX('Сводка'!$T$3:$T$397,V322)=0),1,0)</x:f>
        <x:v>1</x:v>
      </x:c>
      <x:c r="S322" s="9" t="n">
        <x:f>IF(AND(R322=1,O322&lt;=$G$13),1,0)</x:f>
        <x:v>0</x:v>
      </x:c>
      <x:c r="T322" s="10" t="n">
        <x:f>EOMONTH(J322-'Сводка'!$B$11,-1)</x:f>
        <x:v>46142</x:v>
      </x:c>
      <x:c r="U322" s="4" t="n">
        <x:f>MATCH(J322,'Сводка'!$R$3:$R$397,0)</x:f>
        <x:v>333</x:v>
      </x:c>
      <x:c r="V322" s="4" t="n">
        <x:f>MATCH(J322-'Сводка'!$B$11,'Сводка'!$R$3:$R$397,0)</x:f>
        <x:v>332</x:v>
      </x:c>
      <x:c r="W322" s="4" t="n">
        <x:f>MATCH(T322,$J$388:$J$400,0)</x:f>
        <x:v>11</x:v>
      </x:c>
      <x:c r="X322" s="3"/>
      <x:c r="Y322" s="3"/>
      <x:c r="Z322" s="3"/>
    </x:row>
    <x:row r="323" ht="15" customHeight="1">
      <x:c r="A323" s="3"/>
      <x:c r="B323" s="3"/>
      <x:c r="C323" s="3"/>
      <x:c r="D323" s="3"/>
      <x:c r="E323" s="3"/>
      <x:c r="F323" s="3"/>
      <x:c r="G323" s="3"/>
      <x:c r="H323" s="3"/>
      <x:c r="I323" s="3"/>
      <x:c r="J323" s="10" t="n">
        <x:v>46174</x:v>
      </x:c>
      <x:c r="K323" s="8" t="n">
        <x:f>INDEX('Сводка'!$S$3:$S$397,U323)</x:f>
        <x:v>64</x:v>
      </x:c>
      <x:c r="L323" s="8" t="n">
        <x:f>INDEX('Сводка'!$S$3:$S$397,V323)</x:f>
        <x:v>70</x:v>
      </x:c>
      <x:c r="M323" s="8" t="n">
        <x:f>INDEX($K$388:$N$400,W323,1)*((J323-$T$405+1)/1000)^INDEX($K$388:$N$400,W323,2)</x:f>
        <x:v>151.3278939044867</x:v>
      </x:c>
      <x:c r="N323" s="8" t="n">
        <x:f>K323-M323</x:f>
        <x:v>-87.3278939044867</x:v>
      </x:c>
      <x:c r="O323" s="8" t="n">
        <x:f>ABS(N323)</x:f>
        <x:v>87.3278939044867</x:v>
      </x:c>
      <x:c r="P323" s="8" t="n">
        <x:f>N323^2</x:f>
        <x:v>7626.161053793286</x:v>
      </x:c>
      <x:c r="Q323" s="8" t="n">
        <x:f>K323-L323</x:f>
        <x:v>-6</x:v>
      </x:c>
      <x:c r="R323" s="9" t="n">
        <x:f>IF(AND(INDEX('Сводка'!$T$3:$T$397,U323)=0,INDEX('Сводка'!$T$3:$T$397,V323)=0),1,0)</x:f>
        <x:v>1</x:v>
      </x:c>
      <x:c r="S323" s="9" t="n">
        <x:f>IF(AND(R323=1,O323&lt;=$G$13),1,0)</x:f>
        <x:v>0</x:v>
      </x:c>
      <x:c r="T323" s="10" t="n">
        <x:f>EOMONTH(J323-'Сводка'!$B$11,-1)</x:f>
        <x:v>46142</x:v>
      </x:c>
      <x:c r="U323" s="4" t="n">
        <x:f>MATCH(J323,'Сводка'!$R$3:$R$397,0)</x:f>
        <x:v>334</x:v>
      </x:c>
      <x:c r="V323" s="4" t="n">
        <x:f>MATCH(J323-'Сводка'!$B$11,'Сводка'!$R$3:$R$397,0)</x:f>
        <x:v>333</x:v>
      </x:c>
      <x:c r="W323" s="4" t="n">
        <x:f>MATCH(T323,$J$388:$J$400,0)</x:f>
        <x:v>11</x:v>
      </x:c>
      <x:c r="X323" s="3"/>
      <x:c r="Y323" s="3"/>
      <x:c r="Z323" s="3"/>
    </x:row>
    <x:row r="324" ht="15" customHeight="1">
      <x:c r="A324" s="3"/>
      <x:c r="B324" s="3"/>
      <x:c r="C324" s="3"/>
      <x:c r="D324" s="3"/>
      <x:c r="E324" s="3"/>
      <x:c r="F324" s="3"/>
      <x:c r="G324" s="3"/>
      <x:c r="H324" s="3"/>
      <x:c r="I324" s="3"/>
      <x:c r="J324" s="10" t="n">
        <x:v>46175</x:v>
      </x:c>
      <x:c r="K324" s="8" t="n">
        <x:f>INDEX('Сводка'!$S$3:$S$397,U324)</x:f>
        <x:v>62</x:v>
      </x:c>
      <x:c r="L324" s="8" t="n">
        <x:f>INDEX('Сводка'!$S$3:$S$397,V324)</x:f>
        <x:v>64</x:v>
      </x:c>
      <x:c r="M324" s="8" t="n">
        <x:f>INDEX($K$388:$N$400,W324,1)*((J324-$T$405+1)/1000)^INDEX($K$388:$N$400,W324,2)</x:f>
        <x:v>150.643767297924</x:v>
      </x:c>
      <x:c r="N324" s="8" t="n">
        <x:f>K324-M324</x:f>
        <x:v>-88.643767297924</x:v>
      </x:c>
      <x:c r="O324" s="8" t="n">
        <x:f>ABS(N324)</x:f>
        <x:v>88.643767297924</x:v>
      </x:c>
      <x:c r="P324" s="8" t="n">
        <x:f>N324^2</x:f>
        <x:v>7857.7174807685005</x:v>
      </x:c>
      <x:c r="Q324" s="8" t="n">
        <x:f>K324-L324</x:f>
        <x:v>-2</x:v>
      </x:c>
      <x:c r="R324" s="9" t="n">
        <x:f>IF(AND(INDEX('Сводка'!$T$3:$T$397,U324)=0,INDEX('Сводка'!$T$3:$T$397,V324)=0),1,0)</x:f>
        <x:v>1</x:v>
      </x:c>
      <x:c r="S324" s="9" t="n">
        <x:f>IF(AND(R324=1,O324&lt;=$G$13),1,0)</x:f>
        <x:v>0</x:v>
      </x:c>
      <x:c r="T324" s="10" t="n">
        <x:f>EOMONTH(J324-'Сводка'!$B$11,-1)</x:f>
        <x:v>46173</x:v>
      </x:c>
      <x:c r="U324" s="4" t="n">
        <x:f>MATCH(J324,'Сводка'!$R$3:$R$397,0)</x:f>
        <x:v>335</x:v>
      </x:c>
      <x:c r="V324" s="4" t="n">
        <x:f>MATCH(J324-'Сводка'!$B$11,'Сводка'!$R$3:$R$397,0)</x:f>
        <x:v>334</x:v>
      </x:c>
      <x:c r="W324" s="4" t="n">
        <x:f>MATCH(T324,$J$388:$J$400,0)</x:f>
        <x:v>12</x:v>
      </x:c>
      <x:c r="X324" s="3"/>
      <x:c r="Y324" s="3"/>
      <x:c r="Z324" s="3"/>
    </x:row>
    <x:row r="325" ht="15" customHeight="1">
      <x:c r="A325" s="3"/>
      <x:c r="B325" s="3"/>
      <x:c r="C325" s="3"/>
      <x:c r="D325" s="3"/>
      <x:c r="E325" s="3"/>
      <x:c r="F325" s="3"/>
      <x:c r="G325" s="3"/>
      <x:c r="H325" s="3"/>
      <x:c r="I325" s="3"/>
      <x:c r="J325" s="10" t="n">
        <x:v>46176</x:v>
      </x:c>
      <x:c r="K325" s="8" t="n">
        <x:f>INDEX('Сводка'!$S$3:$S$397,U325)</x:f>
        <x:v>61</x:v>
      </x:c>
      <x:c r="L325" s="8" t="n">
        <x:f>INDEX('Сводка'!$S$3:$S$397,V325)</x:f>
        <x:v>62</x:v>
      </x:c>
      <x:c r="M325" s="8" t="n">
        <x:f>INDEX($K$388:$N$400,W325,1)*((J325-$T$405+1)/1000)^INDEX($K$388:$N$400,W325,2)</x:f>
        <x:v>150.6610968172207</x:v>
      </x:c>
      <x:c r="N325" s="8" t="n">
        <x:f>K325-M325</x:f>
        <x:v>-89.66109681722071</x:v>
      </x:c>
      <x:c r="O325" s="8" t="n">
        <x:f>ABS(N325)</x:f>
        <x:v>89.66109681722071</x:v>
      </x:c>
      <x:c r="P325" s="8" t="n">
        <x:f>N325^2</x:f>
        <x:v>8039.112282467026</x:v>
      </x:c>
      <x:c r="Q325" s="8" t="n">
        <x:f>K325-L325</x:f>
        <x:v>-1</x:v>
      </x:c>
      <x:c r="R325" s="9" t="n">
        <x:f>IF(AND(INDEX('Сводка'!$T$3:$T$397,U325)=0,INDEX('Сводка'!$T$3:$T$397,V325)=0),1,0)</x:f>
        <x:v>1</x:v>
      </x:c>
      <x:c r="S325" s="9" t="n">
        <x:f>IF(AND(R325=1,O325&lt;=$G$13),1,0)</x:f>
        <x:v>0</x:v>
      </x:c>
      <x:c r="T325" s="10" t="n">
        <x:f>EOMONTH(J325-'Сводка'!$B$11,-1)</x:f>
        <x:v>46173</x:v>
      </x:c>
      <x:c r="U325" s="4" t="n">
        <x:f>MATCH(J325,'Сводка'!$R$3:$R$397,0)</x:f>
        <x:v>336</x:v>
      </x:c>
      <x:c r="V325" s="4" t="n">
        <x:f>MATCH(J325-'Сводка'!$B$11,'Сводка'!$R$3:$R$397,0)</x:f>
        <x:v>335</x:v>
      </x:c>
      <x:c r="W325" s="4" t="n">
        <x:f>MATCH(T325,$J$388:$J$400,0)</x:f>
        <x:v>12</x:v>
      </x:c>
      <x:c r="X325" s="3"/>
      <x:c r="Y325" s="3"/>
      <x:c r="Z325" s="3"/>
    </x:row>
    <x:row r="326" ht="15" customHeight="1">
      <x:c r="A326" s="3"/>
      <x:c r="B326" s="3"/>
      <x:c r="C326" s="3"/>
      <x:c r="D326" s="3"/>
      <x:c r="E326" s="3"/>
      <x:c r="F326" s="3"/>
      <x:c r="G326" s="3"/>
      <x:c r="H326" s="3"/>
      <x:c r="I326" s="3"/>
      <x:c r="J326" s="10" t="n">
        <x:v>46177</x:v>
      </x:c>
      <x:c r="K326" s="8" t="n">
        <x:f>INDEX('Сводка'!$S$3:$S$397,U326)</x:f>
        <x:v>75</x:v>
      </x:c>
      <x:c r="L326" s="8" t="n">
        <x:f>INDEX('Сводка'!$S$3:$S$397,V326)</x:f>
        <x:v>61</x:v>
      </x:c>
      <x:c r="M326" s="8" t="n">
        <x:f>INDEX($K$388:$N$400,W326,1)*((J326-$T$405+1)/1000)^INDEX($K$388:$N$400,W326,2)</x:f>
        <x:v>150.67842638704568</x:v>
      </x:c>
      <x:c r="N326" s="8" t="n">
        <x:f>K326-M326</x:f>
        <x:v>-75.67842638704568</x:v>
      </x:c>
      <x:c r="O326" s="8" t="n">
        <x:f>ABS(N326)</x:f>
        <x:v>75.67842638704568</x:v>
      </x:c>
      <x:c r="P326" s="8" t="n">
        <x:f>N326^2</x:f>
        <x:v>5727.224220419491</x:v>
      </x:c>
      <x:c r="Q326" s="8" t="n">
        <x:f>K326-L326</x:f>
        <x:v>14</x:v>
      </x:c>
      <x:c r="R326" s="9" t="n">
        <x:f>IF(AND(INDEX('Сводка'!$T$3:$T$397,U326)=0,INDEX('Сводка'!$T$3:$T$397,V326)=0),1,0)</x:f>
        <x:v>1</x:v>
      </x:c>
      <x:c r="S326" s="9" t="n">
        <x:f>IF(AND(R326=1,O326&lt;=$G$13),1,0)</x:f>
        <x:v>0</x:v>
      </x:c>
      <x:c r="T326" s="10" t="n">
        <x:f>EOMONTH(J326-'Сводка'!$B$11,-1)</x:f>
        <x:v>46173</x:v>
      </x:c>
      <x:c r="U326" s="4" t="n">
        <x:f>MATCH(J326,'Сводка'!$R$3:$R$397,0)</x:f>
        <x:v>337</x:v>
      </x:c>
      <x:c r="V326" s="4" t="n">
        <x:f>MATCH(J326-'Сводка'!$B$11,'Сводка'!$R$3:$R$397,0)</x:f>
        <x:v>336</x:v>
      </x:c>
      <x:c r="W326" s="4" t="n">
        <x:f>MATCH(T326,$J$388:$J$400,0)</x:f>
        <x:v>12</x:v>
      </x:c>
      <x:c r="X326" s="3"/>
      <x:c r="Y326" s="3"/>
      <x:c r="Z326" s="3"/>
    </x:row>
    <x:row r="327" ht="15" customHeight="1">
      <x:c r="A327" s="3"/>
      <x:c r="B327" s="3"/>
      <x:c r="C327" s="3"/>
      <x:c r="D327" s="3"/>
      <x:c r="E327" s="3"/>
      <x:c r="F327" s="3"/>
      <x:c r="G327" s="3"/>
      <x:c r="H327" s="3"/>
      <x:c r="I327" s="3"/>
      <x:c r="J327" s="10" t="n">
        <x:v>46178</x:v>
      </x:c>
      <x:c r="K327" s="8" t="n">
        <x:f>INDEX('Сводка'!$S$3:$S$397,U327)</x:f>
        <x:v>94</x:v>
      </x:c>
      <x:c r="L327" s="8" t="n">
        <x:f>INDEX('Сводка'!$S$3:$S$397,V327)</x:f>
        <x:v>75</x:v>
      </x:c>
      <x:c r="M327" s="8" t="n">
        <x:f>INDEX($K$388:$N$400,W327,1)*((J327-$T$405+1)/1000)^INDEX($K$388:$N$400,W327,2)</x:f>
        <x:v>150.69575600739347</x:v>
      </x:c>
      <x:c r="N327" s="8" t="n">
        <x:f>K327-M327</x:f>
        <x:v>-56.69575600739347</x:v>
      </x:c>
      <x:c r="O327" s="8" t="n">
        <x:f>ABS(N327)</x:f>
        <x:v>56.69575600739347</x:v>
      </x:c>
      <x:c r="P327" s="8" t="n">
        <x:f>N327^2</x:f>
        <x:v>3214.408749249893</x:v>
      </x:c>
      <x:c r="Q327" s="8" t="n">
        <x:f>K327-L327</x:f>
        <x:v>19</x:v>
      </x:c>
      <x:c r="R327" s="9" t="n">
        <x:f>IF(AND(INDEX('Сводка'!$T$3:$T$397,U327)=0,INDEX('Сводка'!$T$3:$T$397,V327)=0),1,0)</x:f>
        <x:v>1</x:v>
      </x:c>
      <x:c r="S327" s="9" t="n">
        <x:f>IF(AND(R327=1,O327&lt;=$G$13),1,0)</x:f>
        <x:v>0</x:v>
      </x:c>
      <x:c r="T327" s="10" t="n">
        <x:f>EOMONTH(J327-'Сводка'!$B$11,-1)</x:f>
        <x:v>46173</x:v>
      </x:c>
      <x:c r="U327" s="4" t="n">
        <x:f>MATCH(J327,'Сводка'!$R$3:$R$397,0)</x:f>
        <x:v>338</x:v>
      </x:c>
      <x:c r="V327" s="4" t="n">
        <x:f>MATCH(J327-'Сводка'!$B$11,'Сводка'!$R$3:$R$397,0)</x:f>
        <x:v>337</x:v>
      </x:c>
      <x:c r="W327" s="4" t="n">
        <x:f>MATCH(T327,$J$388:$J$400,0)</x:f>
        <x:v>12</x:v>
      </x:c>
      <x:c r="X327" s="3"/>
      <x:c r="Y327" s="3"/>
      <x:c r="Z327" s="3"/>
    </x:row>
    <x:row r="328" ht="15" customHeight="1">
      <x:c r="A328" s="3"/>
      <x:c r="B328" s="3"/>
      <x:c r="C328" s="3"/>
      <x:c r="D328" s="3"/>
      <x:c r="E328" s="3"/>
      <x:c r="F328" s="3"/>
      <x:c r="G328" s="3"/>
      <x:c r="H328" s="3"/>
      <x:c r="I328" s="3"/>
      <x:c r="J328" s="10" t="n">
        <x:v>46179</x:v>
      </x:c>
      <x:c r="K328" s="8" t="n">
        <x:f>INDEX('Сводка'!$S$3:$S$397,U328)</x:f>
        <x:v>116</x:v>
      </x:c>
      <x:c r="L328" s="8" t="n">
        <x:f>INDEX('Сводка'!$S$3:$S$397,V328)</x:f>
        <x:v>94</x:v>
      </x:c>
      <x:c r="M328" s="8" t="n">
        <x:f>INDEX($K$388:$N$400,W328,1)*((J328-$T$405+1)/1000)^INDEX($K$388:$N$400,W328,2)</x:f>
        <x:v>150.71308567825847</x:v>
      </x:c>
      <x:c r="N328" s="8" t="n">
        <x:f>K328-M328</x:f>
        <x:v>-34.713085678258466</x:v>
      </x:c>
      <x:c r="O328" s="8" t="n">
        <x:f>ABS(N328)</x:f>
        <x:v>34.713085678258466</x:v>
      </x:c>
      <x:c r="P328" s="8" t="n">
        <x:f>N328^2</x:f>
        <x:v>1204.998317306113</x:v>
      </x:c>
      <x:c r="Q328" s="8" t="n">
        <x:f>K328-L328</x:f>
        <x:v>22</x:v>
      </x:c>
      <x:c r="R328" s="9" t="n">
        <x:f>IF(AND(INDEX('Сводка'!$T$3:$T$397,U328)=0,INDEX('Сводка'!$T$3:$T$397,V328)=0),1,0)</x:f>
        <x:v>1</x:v>
      </x:c>
      <x:c r="S328" s="9" t="n">
        <x:f>IF(AND(R328=1,O328&lt;=$G$13),1,0)</x:f>
        <x:v>0</x:v>
      </x:c>
      <x:c r="T328" s="10" t="n">
        <x:f>EOMONTH(J328-'Сводка'!$B$11,-1)</x:f>
        <x:v>46173</x:v>
      </x:c>
      <x:c r="U328" s="4" t="n">
        <x:f>MATCH(J328,'Сводка'!$R$3:$R$397,0)</x:f>
        <x:v>339</x:v>
      </x:c>
      <x:c r="V328" s="4" t="n">
        <x:f>MATCH(J328-'Сводка'!$B$11,'Сводка'!$R$3:$R$397,0)</x:f>
        <x:v>338</x:v>
      </x:c>
      <x:c r="W328" s="4" t="n">
        <x:f>MATCH(T328,$J$388:$J$400,0)</x:f>
        <x:v>12</x:v>
      </x:c>
      <x:c r="X328" s="3"/>
      <x:c r="Y328" s="3"/>
      <x:c r="Z328" s="3"/>
    </x:row>
    <x:row r="329" ht="15" customHeight="1">
      <x:c r="A329" s="3"/>
      <x:c r="B329" s="3"/>
      <x:c r="C329" s="3"/>
      <x:c r="D329" s="3"/>
      <x:c r="E329" s="3"/>
      <x:c r="F329" s="3"/>
      <x:c r="G329" s="3"/>
      <x:c r="H329" s="3"/>
      <x:c r="I329" s="3"/>
      <x:c r="J329" s="10" t="n">
        <x:v>46180</x:v>
      </x:c>
      <x:c r="K329" s="8" t="n">
        <x:f>INDEX('Сводка'!$S$3:$S$397,U329)</x:f>
        <x:v>128</x:v>
      </x:c>
      <x:c r="L329" s="8" t="n">
        <x:f>INDEX('Сводка'!$S$3:$S$397,V329)</x:f>
        <x:v>116</x:v>
      </x:c>
      <x:c r="M329" s="8" t="n">
        <x:f>INDEX($K$388:$N$400,W329,1)*((J329-$T$405+1)/1000)^INDEX($K$388:$N$400,W329,2)</x:f>
        <x:v>150.73041539963515</x:v>
      </x:c>
      <x:c r="N329" s="8" t="n">
        <x:f>K329-M329</x:f>
        <x:v>-22.73041539963515</x:v>
      </x:c>
      <x:c r="O329" s="8" t="n">
        <x:f>ABS(N329)</x:f>
        <x:v>22.73041539963515</x:v>
      </x:c>
      <x:c r="P329" s="8" t="n">
        <x:f>N329^2</x:f>
        <x:v>516.6717842399707</x:v>
      </x:c>
      <x:c r="Q329" s="8" t="n">
        <x:f>K329-L329</x:f>
        <x:v>12</x:v>
      </x:c>
      <x:c r="R329" s="9" t="n">
        <x:f>IF(AND(INDEX('Сводка'!$T$3:$T$397,U329)=0,INDEX('Сводка'!$T$3:$T$397,V329)=0),1,0)</x:f>
        <x:v>1</x:v>
      </x:c>
      <x:c r="S329" s="9" t="n">
        <x:f>IF(AND(R329=1,O329&lt;=$G$13),1,0)</x:f>
        <x:v>0</x:v>
      </x:c>
      <x:c r="T329" s="10" t="n">
        <x:f>EOMONTH(J329-'Сводка'!$B$11,-1)</x:f>
        <x:v>46173</x:v>
      </x:c>
      <x:c r="U329" s="4" t="n">
        <x:f>MATCH(J329,'Сводка'!$R$3:$R$397,0)</x:f>
        <x:v>340</x:v>
      </x:c>
      <x:c r="V329" s="4" t="n">
        <x:f>MATCH(J329-'Сводка'!$B$11,'Сводка'!$R$3:$R$397,0)</x:f>
        <x:v>339</x:v>
      </x:c>
      <x:c r="W329" s="4" t="n">
        <x:f>MATCH(T329,$J$388:$J$400,0)</x:f>
        <x:v>12</x:v>
      </x:c>
      <x:c r="X329" s="3"/>
      <x:c r="Y329" s="3"/>
      <x:c r="Z329" s="3"/>
    </x:row>
    <x:row r="330" ht="15" customHeight="1">
      <x:c r="A330" s="3"/>
      <x:c r="B330" s="3"/>
      <x:c r="C330" s="3"/>
      <x:c r="D330" s="3"/>
      <x:c r="E330" s="3"/>
      <x:c r="F330" s="3"/>
      <x:c r="G330" s="3"/>
      <x:c r="H330" s="3"/>
      <x:c r="I330" s="3"/>
      <x:c r="J330" s="10" t="n">
        <x:v>46181</x:v>
      </x:c>
      <x:c r="K330" s="8" t="n">
        <x:f>INDEX('Сводка'!$S$3:$S$397,U330)</x:f>
        <x:v>132</x:v>
      </x:c>
      <x:c r="L330" s="8" t="n">
        <x:f>INDEX('Сводка'!$S$3:$S$397,V330)</x:f>
        <x:v>128</x:v>
      </x:c>
      <x:c r="M330" s="8" t="n">
        <x:f>INDEX($K$388:$N$400,W330,1)*((J330-$T$405+1)/1000)^INDEX($K$388:$N$400,W330,2)</x:f>
        <x:v>150.74774517151812</x:v>
      </x:c>
      <x:c r="N330" s="8" t="n">
        <x:f>K330-M330</x:f>
        <x:v>-18.74774517151812</x:v>
      </x:c>
      <x:c r="O330" s="8" t="n">
        <x:f>ABS(N330)</x:f>
        <x:v>18.74774517151812</x:v>
      </x:c>
      <x:c r="P330" s="8" t="n">
        <x:f>N330^2</x:f>
        <x:v>351.47794901618096</x:v>
      </x:c>
      <x:c r="Q330" s="8" t="n">
        <x:f>K330-L330</x:f>
        <x:v>4</x:v>
      </x:c>
      <x:c r="R330" s="9" t="n">
        <x:f>IF(AND(INDEX('Сводка'!$T$3:$T$397,U330)=0,INDEX('Сводка'!$T$3:$T$397,V330)=0),1,0)</x:f>
        <x:v>1</x:v>
      </x:c>
      <x:c r="S330" s="9" t="n">
        <x:f>IF(AND(R330=1,O330&lt;=$G$13),1,0)</x:f>
        <x:v>0</x:v>
      </x:c>
      <x:c r="T330" s="10" t="n">
        <x:f>EOMONTH(J330-'Сводка'!$B$11,-1)</x:f>
        <x:v>46173</x:v>
      </x:c>
      <x:c r="U330" s="4" t="n">
        <x:f>MATCH(J330,'Сводка'!$R$3:$R$397,0)</x:f>
        <x:v>341</x:v>
      </x:c>
      <x:c r="V330" s="4" t="n">
        <x:f>MATCH(J330-'Сводка'!$B$11,'Сводка'!$R$3:$R$397,0)</x:f>
        <x:v>340</x:v>
      </x:c>
      <x:c r="W330" s="4" t="n">
        <x:f>MATCH(T330,$J$388:$J$400,0)</x:f>
        <x:v>12</x:v>
      </x:c>
      <x:c r="X330" s="3"/>
      <x:c r="Y330" s="3"/>
      <x:c r="Z330" s="3"/>
    </x:row>
    <x:row r="331" ht="15" customHeight="1">
      <x:c r="A331" s="3"/>
      <x:c r="B331" s="3"/>
      <x:c r="C331" s="3"/>
      <x:c r="D331" s="3"/>
      <x:c r="E331" s="3"/>
      <x:c r="F331" s="3"/>
      <x:c r="G331" s="3"/>
      <x:c r="H331" s="3"/>
      <x:c r="I331" s="3"/>
      <x:c r="J331" s="10" t="n">
        <x:v>46182</x:v>
      </x:c>
      <x:c r="K331" s="8" t="n">
        <x:f>INDEX('Сводка'!$S$3:$S$397,U331)</x:f>
        <x:v>131</x:v>
      </x:c>
      <x:c r="L331" s="8" t="n">
        <x:f>INDEX('Сводка'!$S$3:$S$397,V331)</x:f>
        <x:v>132</x:v>
      </x:c>
      <x:c r="M331" s="8" t="n">
        <x:f>INDEX($K$388:$N$400,W331,1)*((J331-$T$405+1)/1000)^INDEX($K$388:$N$400,W331,2)</x:f>
        <x:v>150.76507499390172</x:v>
      </x:c>
      <x:c r="N331" s="8" t="n">
        <x:f>K331-M331</x:f>
        <x:v>-19.76507499390172</x:v>
      </x:c>
      <x:c r="O331" s="8" t="n">
        <x:f>ABS(N331)</x:f>
        <x:v>19.76507499390172</x:v>
      </x:c>
      <x:c r="P331" s="8" t="n">
        <x:f>N331^2</x:f>
        <x:v>390.65818951455907</x:v>
      </x:c>
      <x:c r="Q331" s="8" t="n">
        <x:f>K331-L331</x:f>
        <x:v>-1</x:v>
      </x:c>
      <x:c r="R331" s="9" t="n">
        <x:f>IF(AND(INDEX('Сводка'!$T$3:$T$397,U331)=0,INDEX('Сводка'!$T$3:$T$397,V331)=0),1,0)</x:f>
        <x:v>1</x:v>
      </x:c>
      <x:c r="S331" s="9" t="n">
        <x:f>IF(AND(R331=1,O331&lt;=$G$13),1,0)</x:f>
        <x:v>0</x:v>
      </x:c>
      <x:c r="T331" s="10" t="n">
        <x:f>EOMONTH(J331-'Сводка'!$B$11,-1)</x:f>
        <x:v>46173</x:v>
      </x:c>
      <x:c r="U331" s="4" t="n">
        <x:f>MATCH(J331,'Сводка'!$R$3:$R$397,0)</x:f>
        <x:v>342</x:v>
      </x:c>
      <x:c r="V331" s="4" t="n">
        <x:f>MATCH(J331-'Сводка'!$B$11,'Сводка'!$R$3:$R$397,0)</x:f>
        <x:v>341</x:v>
      </x:c>
      <x:c r="W331" s="4" t="n">
        <x:f>MATCH(T331,$J$388:$J$400,0)</x:f>
        <x:v>12</x:v>
      </x:c>
      <x:c r="X331" s="3"/>
      <x:c r="Y331" s="3"/>
      <x:c r="Z331" s="3"/>
    </x:row>
    <x:row r="332" ht="15" customHeight="1">
      <x:c r="A332" s="3"/>
      <x:c r="B332" s="3"/>
      <x:c r="C332" s="3"/>
      <x:c r="D332" s="3"/>
      <x:c r="E332" s="3"/>
      <x:c r="F332" s="3"/>
      <x:c r="G332" s="3"/>
      <x:c r="H332" s="3"/>
      <x:c r="I332" s="3"/>
      <x:c r="J332" s="10" t="n">
        <x:v>46183</x:v>
      </x:c>
      <x:c r="K332" s="8" t="n">
        <x:f>INDEX('Сводка'!$S$3:$S$397,U332)</x:f>
        <x:v>128</x:v>
      </x:c>
      <x:c r="L332" s="8" t="n">
        <x:f>INDEX('Сводка'!$S$3:$S$397,V332)</x:f>
        <x:v>131</x:v>
      </x:c>
      <x:c r="M332" s="8" t="n">
        <x:f>INDEX($K$388:$N$400,W332,1)*((J332-$T$405+1)/1000)^INDEX($K$388:$N$400,W332,2)</x:f>
        <x:v>150.78240486678055</x:v>
      </x:c>
      <x:c r="N332" s="8" t="n">
        <x:f>K332-M332</x:f>
        <x:v>-22.782404866780553</x:v>
      </x:c>
      <x:c r="O332" s="8" t="n">
        <x:f>ABS(N332)</x:f>
        <x:v>22.782404866780553</x:v>
      </x:c>
      <x:c r="P332" s="8" t="n">
        <x:f>N332^2</x:f>
        <x:v>519.0379715139062</x:v>
      </x:c>
      <x:c r="Q332" s="8" t="n">
        <x:f>K332-L332</x:f>
        <x:v>-3</x:v>
      </x:c>
      <x:c r="R332" s="9" t="n">
        <x:f>IF(AND(INDEX('Сводка'!$T$3:$T$397,U332)=0,INDEX('Сводка'!$T$3:$T$397,V332)=0),1,0)</x:f>
        <x:v>1</x:v>
      </x:c>
      <x:c r="S332" s="9" t="n">
        <x:f>IF(AND(R332=1,O332&lt;=$G$13),1,0)</x:f>
        <x:v>0</x:v>
      </x:c>
      <x:c r="T332" s="10" t="n">
        <x:f>EOMONTH(J332-'Сводка'!$B$11,-1)</x:f>
        <x:v>46173</x:v>
      </x:c>
      <x:c r="U332" s="4" t="n">
        <x:f>MATCH(J332,'Сводка'!$R$3:$R$397,0)</x:f>
        <x:v>343</x:v>
      </x:c>
      <x:c r="V332" s="4" t="n">
        <x:f>MATCH(J332-'Сводка'!$B$11,'Сводка'!$R$3:$R$397,0)</x:f>
        <x:v>342</x:v>
      </x:c>
      <x:c r="W332" s="4" t="n">
        <x:f>MATCH(T332,$J$388:$J$400,0)</x:f>
        <x:v>12</x:v>
      </x:c>
      <x:c r="X332" s="3"/>
      <x:c r="Y332" s="3"/>
      <x:c r="Z332" s="3"/>
    </x:row>
    <x:row r="333" ht="15" customHeight="1">
      <x:c r="A333" s="3"/>
      <x:c r="B333" s="3"/>
      <x:c r="C333" s="3"/>
      <x:c r="D333" s="3"/>
      <x:c r="E333" s="3"/>
      <x:c r="F333" s="3"/>
      <x:c r="G333" s="3"/>
      <x:c r="H333" s="3"/>
      <x:c r="I333" s="3"/>
      <x:c r="J333" s="10" t="n">
        <x:v>46184</x:v>
      </x:c>
      <x:c r="K333" s="8" t="n">
        <x:f>INDEX('Сводка'!$S$3:$S$397,U333)</x:f>
        <x:v>128</x:v>
      </x:c>
      <x:c r="L333" s="8" t="n">
        <x:f>INDEX('Сводка'!$S$3:$S$397,V333)</x:f>
        <x:v>128</x:v>
      </x:c>
      <x:c r="M333" s="8" t="n">
        <x:f>INDEX($K$388:$N$400,W333,1)*((J333-$T$405+1)/1000)^INDEX($K$388:$N$400,W333,2)</x:f>
        <x:v>150.79973479014907</x:v>
      </x:c>
      <x:c r="N333" s="8" t="n">
        <x:f>K333-M333</x:f>
        <x:v>-22.799734790149074</x:v>
      </x:c>
      <x:c r="O333" s="8" t="n">
        <x:f>ABS(N333)</x:f>
        <x:v>22.799734790149074</x:v>
      </x:c>
      <x:c r="P333" s="8" t="n">
        <x:f>N333^2</x:f>
        <x:v>519.8279065011341</x:v>
      </x:c>
      <x:c r="Q333" s="8" t="n">
        <x:f>K333-L333</x:f>
        <x:v>0</x:v>
      </x:c>
      <x:c r="R333" s="9" t="n">
        <x:f>IF(AND(INDEX('Сводка'!$T$3:$T$397,U333)=0,INDEX('Сводка'!$T$3:$T$397,V333)=0),1,0)</x:f>
        <x:v>1</x:v>
      </x:c>
      <x:c r="S333" s="9" t="n">
        <x:f>IF(AND(R333=1,O333&lt;=$G$13),1,0)</x:f>
        <x:v>0</x:v>
      </x:c>
      <x:c r="T333" s="10" t="n">
        <x:f>EOMONTH(J333-'Сводка'!$B$11,-1)</x:f>
        <x:v>46173</x:v>
      </x:c>
      <x:c r="U333" s="4" t="n">
        <x:f>MATCH(J333,'Сводка'!$R$3:$R$397,0)</x:f>
        <x:v>344</x:v>
      </x:c>
      <x:c r="V333" s="4" t="n">
        <x:f>MATCH(J333-'Сводка'!$B$11,'Сводка'!$R$3:$R$397,0)</x:f>
        <x:v>343</x:v>
      </x:c>
      <x:c r="W333" s="4" t="n">
        <x:f>MATCH(T333,$J$388:$J$400,0)</x:f>
        <x:v>12</x:v>
      </x:c>
      <x:c r="X333" s="3"/>
      <x:c r="Y333" s="3"/>
      <x:c r="Z333" s="3"/>
    </x:row>
    <x:row r="334" ht="15" customHeight="1">
      <x:c r="A334" s="3"/>
      <x:c r="B334" s="3"/>
      <x:c r="C334" s="3"/>
      <x:c r="D334" s="3"/>
      <x:c r="E334" s="3"/>
      <x:c r="F334" s="3"/>
      <x:c r="G334" s="3"/>
      <x:c r="H334" s="3"/>
      <x:c r="I334" s="3"/>
      <x:c r="J334" s="10" t="n">
        <x:v>46185</x:v>
      </x:c>
      <x:c r="K334" s="8" t="n">
        <x:f>INDEX('Сводка'!$S$3:$S$397,U334)</x:f>
        <x:v>123</x:v>
      </x:c>
      <x:c r="L334" s="8" t="n">
        <x:f>INDEX('Сводка'!$S$3:$S$397,V334)</x:f>
        <x:v>128</x:v>
      </x:c>
      <x:c r="M334" s="8" t="n">
        <x:f>INDEX($K$388:$N$400,W334,1)*((J334-$T$405+1)/1000)^INDEX($K$388:$N$400,W334,2)</x:f>
        <x:v>150.81706476400174</x:v>
      </x:c>
      <x:c r="N334" s="8" t="n">
        <x:f>K334-M334</x:f>
        <x:v>-27.817064764001742</x:v>
      </x:c>
      <x:c r="O334" s="8" t="n">
        <x:f>ABS(N334)</x:f>
        <x:v>27.817064764001742</x:v>
      </x:c>
      <x:c r="P334" s="8" t="n">
        <x:f>N334^2</x:f>
        <x:v>773.7890920846673</x:v>
      </x:c>
      <x:c r="Q334" s="8" t="n">
        <x:f>K334-L334</x:f>
        <x:v>-5</x:v>
      </x:c>
      <x:c r="R334" s="9" t="n">
        <x:f>IF(AND(INDEX('Сводка'!$T$3:$T$397,U334)=0,INDEX('Сводка'!$T$3:$T$397,V334)=0),1,0)</x:f>
        <x:v>1</x:v>
      </x:c>
      <x:c r="S334" s="9" t="n">
        <x:f>IF(AND(R334=1,O334&lt;=$G$13),1,0)</x:f>
        <x:v>0</x:v>
      </x:c>
      <x:c r="T334" s="10" t="n">
        <x:f>EOMONTH(J334-'Сводка'!$B$11,-1)</x:f>
        <x:v>46173</x:v>
      </x:c>
      <x:c r="U334" s="4" t="n">
        <x:f>MATCH(J334,'Сводка'!$R$3:$R$397,0)</x:f>
        <x:v>345</x:v>
      </x:c>
      <x:c r="V334" s="4" t="n">
        <x:f>MATCH(J334-'Сводка'!$B$11,'Сводка'!$R$3:$R$397,0)</x:f>
        <x:v>344</x:v>
      </x:c>
      <x:c r="W334" s="4" t="n">
        <x:f>MATCH(T334,$J$388:$J$400,0)</x:f>
        <x:v>12</x:v>
      </x:c>
      <x:c r="X334" s="3"/>
      <x:c r="Y334" s="3"/>
      <x:c r="Z334" s="3"/>
    </x:row>
    <x:row r="335" ht="15" customHeight="1">
      <x:c r="A335" s="3"/>
      <x:c r="B335" s="3"/>
      <x:c r="C335" s="3"/>
      <x:c r="D335" s="3"/>
      <x:c r="E335" s="3"/>
      <x:c r="F335" s="3"/>
      <x:c r="G335" s="3"/>
      <x:c r="H335" s="3"/>
      <x:c r="I335" s="3"/>
      <x:c r="J335" s="10" t="n">
        <x:v>46186</x:v>
      </x:c>
      <x:c r="K335" s="8" t="n">
        <x:f>INDEX('Сводка'!$S$3:$S$397,U335)</x:f>
        <x:v>128</x:v>
      </x:c>
      <x:c r="L335" s="8" t="n">
        <x:f>INDEX('Сводка'!$S$3:$S$397,V335)</x:f>
        <x:v>123</x:v>
      </x:c>
      <x:c r="M335" s="8" t="n">
        <x:f>INDEX($K$388:$N$400,W335,1)*((J335-$T$405+1)/1000)^INDEX($K$388:$N$400,W335,2)</x:f>
        <x:v>150.83439478833307</x:v>
      </x:c>
      <x:c r="N335" s="8" t="n">
        <x:f>K335-M335</x:f>
        <x:v>-22.83439478833307</x:v>
      </x:c>
      <x:c r="O335" s="8" t="n">
        <x:f>ABS(N335)</x:f>
        <x:v>22.83439478833307</x:v>
      </x:c>
      <x:c r="P335" s="8" t="n">
        <x:f>N335^2</x:f>
        <x:v>521.4095853494525</x:v>
      </x:c>
      <x:c r="Q335" s="8" t="n">
        <x:f>K335-L335</x:f>
        <x:v>5</x:v>
      </x:c>
      <x:c r="R335" s="9" t="n">
        <x:f>IF(AND(INDEX('Сводка'!$T$3:$T$397,U335)=0,INDEX('Сводка'!$T$3:$T$397,V335)=0),1,0)</x:f>
        <x:v>1</x:v>
      </x:c>
      <x:c r="S335" s="9" t="n">
        <x:f>IF(AND(R335=1,O335&lt;=$G$13),1,0)</x:f>
        <x:v>0</x:v>
      </x:c>
      <x:c r="T335" s="10" t="n">
        <x:f>EOMONTH(J335-'Сводка'!$B$11,-1)</x:f>
        <x:v>46173</x:v>
      </x:c>
      <x:c r="U335" s="4" t="n">
        <x:f>MATCH(J335,'Сводка'!$R$3:$R$397,0)</x:f>
        <x:v>346</x:v>
      </x:c>
      <x:c r="V335" s="4" t="n">
        <x:f>MATCH(J335-'Сводка'!$B$11,'Сводка'!$R$3:$R$397,0)</x:f>
        <x:v>345</x:v>
      </x:c>
      <x:c r="W335" s="4" t="n">
        <x:f>MATCH(T335,$J$388:$J$400,0)</x:f>
        <x:v>12</x:v>
      </x:c>
      <x:c r="X335" s="3"/>
      <x:c r="Y335" s="3"/>
      <x:c r="Z335" s="3"/>
    </x:row>
    <x:row r="336" ht="15" customHeight="1">
      <x:c r="A336" s="3"/>
      <x:c r="B336" s="3"/>
      <x:c r="C336" s="3"/>
      <x:c r="D336" s="3"/>
      <x:c r="E336" s="3"/>
      <x:c r="F336" s="3"/>
      <x:c r="G336" s="3"/>
      <x:c r="H336" s="3"/>
      <x:c r="I336" s="3"/>
      <x:c r="J336" s="10" t="n">
        <x:v>46187</x:v>
      </x:c>
      <x:c r="K336" s="8" t="n">
        <x:f>INDEX('Сводка'!$S$3:$S$397,U336)</x:f>
        <x:v>138</x:v>
      </x:c>
      <x:c r="L336" s="8" t="n">
        <x:f>INDEX('Сводка'!$S$3:$S$397,V336)</x:f>
        <x:v>128</x:v>
      </x:c>
      <x:c r="M336" s="8" t="n">
        <x:f>INDEX($K$388:$N$400,W336,1)*((J336-$T$405+1)/1000)^INDEX($K$388:$N$400,W336,2)</x:f>
        <x:v>150.85172486313755</x:v>
      </x:c>
      <x:c r="N336" s="8" t="n">
        <x:f>K336-M336</x:f>
        <x:v>-12.851724863137548</x:v>
      </x:c>
      <x:c r="O336" s="8" t="n">
        <x:f>ABS(N336)</x:f>
        <x:v>12.851724863137548</x:v>
      </x:c>
      <x:c r="P336" s="8" t="n">
        <x:f>N336^2</x:f>
        <x:v>165.16683195778782</x:v>
      </x:c>
      <x:c r="Q336" s="8" t="n">
        <x:f>K336-L336</x:f>
        <x:v>10</x:v>
      </x:c>
      <x:c r="R336" s="9" t="n">
        <x:f>IF(AND(INDEX('Сводка'!$T$3:$T$397,U336)=0,INDEX('Сводка'!$T$3:$T$397,V336)=0),1,0)</x:f>
        <x:v>1</x:v>
      </x:c>
      <x:c r="S336" s="9" t="n">
        <x:f>IF(AND(R336=1,O336&lt;=$G$13),1,0)</x:f>
        <x:v>0</x:v>
      </x:c>
      <x:c r="T336" s="10" t="n">
        <x:f>EOMONTH(J336-'Сводка'!$B$11,-1)</x:f>
        <x:v>46173</x:v>
      </x:c>
      <x:c r="U336" s="4" t="n">
        <x:f>MATCH(J336,'Сводка'!$R$3:$R$397,0)</x:f>
        <x:v>347</x:v>
      </x:c>
      <x:c r="V336" s="4" t="n">
        <x:f>MATCH(J336-'Сводка'!$B$11,'Сводка'!$R$3:$R$397,0)</x:f>
        <x:v>346</x:v>
      </x:c>
      <x:c r="W336" s="4" t="n">
        <x:f>MATCH(T336,$J$388:$J$400,0)</x:f>
        <x:v>12</x:v>
      </x:c>
      <x:c r="X336" s="3"/>
      <x:c r="Y336" s="3"/>
      <x:c r="Z336" s="3"/>
    </x:row>
    <x:row r="337" ht="15" customHeight="1">
      <x:c r="A337" s="3"/>
      <x:c r="B337" s="3"/>
      <x:c r="C337" s="3"/>
      <x:c r="D337" s="3"/>
      <x:c r="E337" s="3"/>
      <x:c r="F337" s="3"/>
      <x:c r="G337" s="3"/>
      <x:c r="H337" s="3"/>
      <x:c r="I337" s="3"/>
      <x:c r="J337" s="10" t="n">
        <x:v>46188</x:v>
      </x:c>
      <x:c r="K337" s="8" t="n">
        <x:f>INDEX('Сводка'!$S$3:$S$397,U337)</x:f>
        <x:v>147</x:v>
      </x:c>
      <x:c r="L337" s="8" t="n">
        <x:f>INDEX('Сводка'!$S$3:$S$397,V337)</x:f>
        <x:v>138</x:v>
      </x:c>
      <x:c r="M337" s="8" t="n">
        <x:f>INDEX($K$388:$N$400,W337,1)*((J337-$T$405+1)/1000)^INDEX($K$388:$N$400,W337,2)</x:f>
        <x:v>150.86905498840972</x:v>
      </x:c>
      <x:c r="N337" s="8" t="n">
        <x:f>K337-M337</x:f>
        <x:v>-3.869054988409715</x:v>
      </x:c>
      <x:c r="O337" s="8" t="n">
        <x:f>ABS(N337)</x:f>
        <x:v>3.869054988409715</x:v>
      </x:c>
      <x:c r="P337" s="8" t="n">
        <x:f>N337^2</x:f>
        <x:v>14.969586503338101</x:v>
      </x:c>
      <x:c r="Q337" s="8" t="n">
        <x:f>K337-L337</x:f>
        <x:v>9</x:v>
      </x:c>
      <x:c r="R337" s="9" t="n">
        <x:f>IF(AND(INDEX('Сводка'!$T$3:$T$397,U337)=0,INDEX('Сводка'!$T$3:$T$397,V337)=0),1,0)</x:f>
        <x:v>1</x:v>
      </x:c>
      <x:c r="S337" s="9" t="n">
        <x:f>IF(AND(R337=1,O337&lt;=$G$13),1,0)</x:f>
        <x:v>1</x:v>
      </x:c>
      <x:c r="T337" s="10" t="n">
        <x:f>EOMONTH(J337-'Сводка'!$B$11,-1)</x:f>
        <x:v>46173</x:v>
      </x:c>
      <x:c r="U337" s="4" t="n">
        <x:f>MATCH(J337,'Сводка'!$R$3:$R$397,0)</x:f>
        <x:v>348</x:v>
      </x:c>
      <x:c r="V337" s="4" t="n">
        <x:f>MATCH(J337-'Сводка'!$B$11,'Сводка'!$R$3:$R$397,0)</x:f>
        <x:v>347</x:v>
      </x:c>
      <x:c r="W337" s="4" t="n">
        <x:f>MATCH(T337,$J$388:$J$400,0)</x:f>
        <x:v>12</x:v>
      </x:c>
      <x:c r="X337" s="3"/>
      <x:c r="Y337" s="3"/>
      <x:c r="Z337" s="3"/>
    </x:row>
    <x:row r="338" ht="15" customHeight="1">
      <x:c r="A338" s="3"/>
      <x:c r="B338" s="3"/>
      <x:c r="C338" s="3"/>
      <x:c r="D338" s="3"/>
      <x:c r="E338" s="3"/>
      <x:c r="F338" s="3"/>
      <x:c r="G338" s="3"/>
      <x:c r="H338" s="3"/>
      <x:c r="I338" s="3"/>
      <x:c r="J338" s="10" t="n">
        <x:v>46189</x:v>
      </x:c>
      <x:c r="K338" s="8" t="n">
        <x:f>INDEX('Сводка'!$S$3:$S$397,U338)</x:f>
        <x:v>154</x:v>
      </x:c>
      <x:c r="L338" s="8" t="n">
        <x:f>INDEX('Сводка'!$S$3:$S$397,V338)</x:f>
        <x:v>147</x:v>
      </x:c>
      <x:c r="M338" s="8" t="n">
        <x:f>INDEX($K$388:$N$400,W338,1)*((J338-$T$405+1)/1000)^INDEX($K$388:$N$400,W338,2)</x:f>
        <x:v>150.88638516414403</x:v>
      </x:c>
      <x:c r="N338" s="8" t="n">
        <x:f>K338-M338</x:f>
        <x:v>3.1136148358559694</x:v>
      </x:c>
      <x:c r="O338" s="8" t="n">
        <x:f>ABS(N338)</x:f>
        <x:v>3.1136148358559694</x:v>
      </x:c>
      <x:c r="P338" s="8" t="n">
        <x:f>N338^2</x:f>
        <x:v>9.694597346062395</x:v>
      </x:c>
      <x:c r="Q338" s="8" t="n">
        <x:f>K338-L338</x:f>
        <x:v>7</x:v>
      </x:c>
      <x:c r="R338" s="9" t="n">
        <x:f>IF(AND(INDEX('Сводка'!$T$3:$T$397,U338)=0,INDEX('Сводка'!$T$3:$T$397,V338)=0),1,0)</x:f>
        <x:v>1</x:v>
      </x:c>
      <x:c r="S338" s="9" t="n">
        <x:f>IF(AND(R338=1,O338&lt;=$G$13),1,0)</x:f>
        <x:v>1</x:v>
      </x:c>
      <x:c r="T338" s="10" t="n">
        <x:f>EOMONTH(J338-'Сводка'!$B$11,-1)</x:f>
        <x:v>46173</x:v>
      </x:c>
      <x:c r="U338" s="4" t="n">
        <x:f>MATCH(J338,'Сводка'!$R$3:$R$397,0)</x:f>
        <x:v>349</x:v>
      </x:c>
      <x:c r="V338" s="4" t="n">
        <x:f>MATCH(J338-'Сводка'!$B$11,'Сводка'!$R$3:$R$397,0)</x:f>
        <x:v>348</x:v>
      </x:c>
      <x:c r="W338" s="4" t="n">
        <x:f>MATCH(T338,$J$388:$J$400,0)</x:f>
        <x:v>12</x:v>
      </x:c>
      <x:c r="X338" s="3"/>
      <x:c r="Y338" s="3"/>
      <x:c r="Z338" s="3"/>
    </x:row>
    <x:row r="339" ht="15" customHeight="1">
      <x:c r="A339" s="3"/>
      <x:c r="B339" s="3"/>
      <x:c r="C339" s="3"/>
      <x:c r="D339" s="3"/>
      <x:c r="E339" s="3"/>
      <x:c r="F339" s="3"/>
      <x:c r="G339" s="3"/>
      <x:c r="H339" s="3"/>
      <x:c r="I339" s="3"/>
      <x:c r="J339" s="10" t="n">
        <x:v>46190</x:v>
      </x:c>
      <x:c r="K339" s="8" t="n">
        <x:f>INDEX('Сводка'!$S$3:$S$397,U339)</x:f>
        <x:v>158</x:v>
      </x:c>
      <x:c r="L339" s="8" t="n">
        <x:f>INDEX('Сводка'!$S$3:$S$397,V339)</x:f>
        <x:v>154</x:v>
      </x:c>
      <x:c r="M339" s="8" t="n">
        <x:f>INDEX($K$388:$N$400,W339,1)*((J339-$T$405+1)/1000)^INDEX($K$388:$N$400,W339,2)</x:f>
        <x:v>150.90371539033498</x:v>
      </x:c>
      <x:c r="N339" s="8" t="n">
        <x:f>K339-M339</x:f>
        <x:v>7.09628460966502</x:v>
      </x:c>
      <x:c r="O339" s="8" t="n">
        <x:f>ABS(N339)</x:f>
        <x:v>7.09628460966502</x:v>
      </x:c>
      <x:c r="P339" s="8" t="n">
        <x:f>N339^2</x:f>
        <x:v>50.35725526136862</x:v>
      </x:c>
      <x:c r="Q339" s="8" t="n">
        <x:f>K339-L339</x:f>
        <x:v>4</x:v>
      </x:c>
      <x:c r="R339" s="9" t="n">
        <x:f>IF(AND(INDEX('Сводка'!$T$3:$T$397,U339)=0,INDEX('Сводка'!$T$3:$T$397,V339)=0),1,0)</x:f>
        <x:v>1</x:v>
      </x:c>
      <x:c r="S339" s="9" t="n">
        <x:f>IF(AND(R339=1,O339&lt;=$G$13),1,0)</x:f>
        <x:v>1</x:v>
      </x:c>
      <x:c r="T339" s="10" t="n">
        <x:f>EOMONTH(J339-'Сводка'!$B$11,-1)</x:f>
        <x:v>46173</x:v>
      </x:c>
      <x:c r="U339" s="4" t="n">
        <x:f>MATCH(J339,'Сводка'!$R$3:$R$397,0)</x:f>
        <x:v>350</x:v>
      </x:c>
      <x:c r="V339" s="4" t="n">
        <x:f>MATCH(J339-'Сводка'!$B$11,'Сводка'!$R$3:$R$397,0)</x:f>
        <x:v>349</x:v>
      </x:c>
      <x:c r="W339" s="4" t="n">
        <x:f>MATCH(T339,$J$388:$J$400,0)</x:f>
        <x:v>12</x:v>
      </x:c>
      <x:c r="X339" s="3"/>
      <x:c r="Y339" s="3"/>
      <x:c r="Z339" s="3"/>
    </x:row>
    <x:row r="340" ht="15" customHeight="1">
      <x:c r="A340" s="3"/>
      <x:c r="B340" s="3"/>
      <x:c r="C340" s="3"/>
      <x:c r="D340" s="3"/>
      <x:c r="E340" s="3"/>
      <x:c r="F340" s="3"/>
      <x:c r="G340" s="3"/>
      <x:c r="H340" s="3"/>
      <x:c r="I340" s="3"/>
      <x:c r="J340" s="10" t="n">
        <x:v>46191</x:v>
      </x:c>
      <x:c r="K340" s="8" t="n">
        <x:f>INDEX('Сводка'!$S$3:$S$397,U340)</x:f>
        <x:v>166</x:v>
      </x:c>
      <x:c r="L340" s="8" t="n">
        <x:f>INDEX('Сводка'!$S$3:$S$397,V340)</x:f>
        <x:v>158</x:v>
      </x:c>
      <x:c r="M340" s="8" t="n">
        <x:f>INDEX($K$388:$N$400,W340,1)*((J340-$T$405+1)/1000)^INDEX($K$388:$N$400,W340,2)</x:f>
        <x:v>150.9210456669771</x:v>
      </x:c>
      <x:c r="N340" s="8" t="n">
        <x:f>K340-M340</x:f>
        <x:v>15.078954333022892</x:v>
      </x:c>
      <x:c r="O340" s="8" t="n">
        <x:f>ABS(N340)</x:f>
        <x:v>15.078954333022892</x:v>
      </x:c>
      <x:c r="P340" s="8" t="n">
        <x:f>N340^2</x:f>
        <x:v>227.37486377738986</x:v>
      </x:c>
      <x:c r="Q340" s="8" t="n">
        <x:f>K340-L340</x:f>
        <x:v>8</x:v>
      </x:c>
      <x:c r="R340" s="9" t="n">
        <x:f>IF(AND(INDEX('Сводка'!$T$3:$T$397,U340)=0,INDEX('Сводка'!$T$3:$T$397,V340)=0),1,0)</x:f>
        <x:v>1</x:v>
      </x:c>
      <x:c r="S340" s="9" t="n">
        <x:f>IF(AND(R340=1,O340&lt;=$G$13),1,0)</x:f>
        <x:v>0</x:v>
      </x:c>
      <x:c r="T340" s="10" t="n">
        <x:f>EOMONTH(J340-'Сводка'!$B$11,-1)</x:f>
        <x:v>46173</x:v>
      </x:c>
      <x:c r="U340" s="4" t="n">
        <x:f>MATCH(J340,'Сводка'!$R$3:$R$397,0)</x:f>
        <x:v>351</x:v>
      </x:c>
      <x:c r="V340" s="4" t="n">
        <x:f>MATCH(J340-'Сводка'!$B$11,'Сводка'!$R$3:$R$397,0)</x:f>
        <x:v>350</x:v>
      </x:c>
      <x:c r="W340" s="4" t="n">
        <x:f>MATCH(T340,$J$388:$J$400,0)</x:f>
        <x:v>12</x:v>
      </x:c>
      <x:c r="X340" s="3"/>
      <x:c r="Y340" s="3"/>
      <x:c r="Z340" s="3"/>
    </x:row>
    <x:row r="341" ht="15" customHeight="1">
      <x:c r="A341" s="3"/>
      <x:c r="B341" s="3"/>
      <x:c r="C341" s="3"/>
      <x:c r="D341" s="3"/>
      <x:c r="E341" s="3"/>
      <x:c r="F341" s="3"/>
      <x:c r="G341" s="3"/>
      <x:c r="H341" s="3"/>
      <x:c r="I341" s="3"/>
      <x:c r="J341" s="10" t="n">
        <x:v>46192</x:v>
      </x:c>
      <x:c r="K341" s="8" t="n">
        <x:f>INDEX('Сводка'!$S$3:$S$397,U341)</x:f>
        <x:v>170</x:v>
      </x:c>
      <x:c r="L341" s="8" t="n">
        <x:f>INDEX('Сводка'!$S$3:$S$397,V341)</x:f>
        <x:v>166</x:v>
      </x:c>
      <x:c r="M341" s="8" t="n">
        <x:f>INDEX($K$388:$N$400,W341,1)*((J341-$T$405+1)/1000)^INDEX($K$388:$N$400,W341,2)</x:f>
        <x:v>150.93837599406487</x:v>
      </x:c>
      <x:c r="N341" s="8" t="n">
        <x:f>K341-M341</x:f>
        <x:v>19.06162400593513</x:v>
      </x:c>
      <x:c r="O341" s="8" t="n">
        <x:f>ABS(N341)</x:f>
        <x:v>19.06162400593513</x:v>
      </x:c>
      <x:c r="P341" s="8" t="n">
        <x:f>N341^2</x:f>
        <x:v>363.3455097436424</x:v>
      </x:c>
      <x:c r="Q341" s="8" t="n">
        <x:f>K341-L341</x:f>
        <x:v>4</x:v>
      </x:c>
      <x:c r="R341" s="9" t="n">
        <x:f>IF(AND(INDEX('Сводка'!$T$3:$T$397,U341)=0,INDEX('Сводка'!$T$3:$T$397,V341)=0),1,0)</x:f>
        <x:v>1</x:v>
      </x:c>
      <x:c r="S341" s="9" t="n">
        <x:f>IF(AND(R341=1,O341&lt;=$G$13),1,0)</x:f>
        <x:v>0</x:v>
      </x:c>
      <x:c r="T341" s="10" t="n">
        <x:f>EOMONTH(J341-'Сводка'!$B$11,-1)</x:f>
        <x:v>46173</x:v>
      </x:c>
      <x:c r="U341" s="4" t="n">
        <x:f>MATCH(J341,'Сводка'!$R$3:$R$397,0)</x:f>
        <x:v>352</x:v>
      </x:c>
      <x:c r="V341" s="4" t="n">
        <x:f>MATCH(J341-'Сводка'!$B$11,'Сводка'!$R$3:$R$397,0)</x:f>
        <x:v>351</x:v>
      </x:c>
      <x:c r="W341" s="4" t="n">
        <x:f>MATCH(T341,$J$388:$J$400,0)</x:f>
        <x:v>12</x:v>
      </x:c>
      <x:c r="X341" s="3"/>
      <x:c r="Y341" s="3"/>
      <x:c r="Z341" s="3"/>
    </x:row>
    <x:row r="342" ht="15" customHeight="1">
      <x:c r="A342" s="3"/>
      <x:c r="B342" s="3"/>
      <x:c r="C342" s="3"/>
      <x:c r="D342" s="3"/>
      <x:c r="E342" s="3"/>
      <x:c r="F342" s="3"/>
      <x:c r="G342" s="3"/>
      <x:c r="H342" s="3"/>
      <x:c r="I342" s="3"/>
      <x:c r="J342" s="10" t="n">
        <x:v>46193</x:v>
      </x:c>
      <x:c r="K342" s="8" t="n">
        <x:f>INDEX('Сводка'!$S$3:$S$397,U342)</x:f>
        <x:v>171</x:v>
      </x:c>
      <x:c r="L342" s="8" t="n">
        <x:f>INDEX('Сводка'!$S$3:$S$397,V342)</x:f>
        <x:v>170</x:v>
      </x:c>
      <x:c r="M342" s="8" t="n">
        <x:f>INDEX($K$388:$N$400,W342,1)*((J342-$T$405+1)/1000)^INDEX($K$388:$N$400,W342,2)</x:f>
        <x:v>150.95570637159275</x:v>
      </x:c>
      <x:c r="N342" s="8" t="n">
        <x:f>K342-M342</x:f>
        <x:v>20.044293628407246</x:v>
      </x:c>
      <x:c r="O342" s="8" t="n">
        <x:f>ABS(N342)</x:f>
        <x:v>20.044293628407246</x:v>
      </x:c>
      <x:c r="P342" s="8" t="n">
        <x:f>N342^2</x:f>
        <x:v>401.77370706180733</x:v>
      </x:c>
      <x:c r="Q342" s="8" t="n">
        <x:f>K342-L342</x:f>
        <x:v>1</x:v>
      </x:c>
      <x:c r="R342" s="9" t="n">
        <x:f>IF(AND(INDEX('Сводка'!$T$3:$T$397,U342)=0,INDEX('Сводка'!$T$3:$T$397,V342)=0),1,0)</x:f>
        <x:v>1</x:v>
      </x:c>
      <x:c r="S342" s="9" t="n">
        <x:f>IF(AND(R342=1,O342&lt;=$G$13),1,0)</x:f>
        <x:v>0</x:v>
      </x:c>
      <x:c r="T342" s="10" t="n">
        <x:f>EOMONTH(J342-'Сводка'!$B$11,-1)</x:f>
        <x:v>46173</x:v>
      </x:c>
      <x:c r="U342" s="4" t="n">
        <x:f>MATCH(J342,'Сводка'!$R$3:$R$397,0)</x:f>
        <x:v>353</x:v>
      </x:c>
      <x:c r="V342" s="4" t="n">
        <x:f>MATCH(J342-'Сводка'!$B$11,'Сводка'!$R$3:$R$397,0)</x:f>
        <x:v>352</x:v>
      </x:c>
      <x:c r="W342" s="4" t="n">
        <x:f>MATCH(T342,$J$388:$J$400,0)</x:f>
        <x:v>12</x:v>
      </x:c>
      <x:c r="X342" s="3"/>
      <x:c r="Y342" s="3"/>
      <x:c r="Z342" s="3"/>
    </x:row>
    <x:row r="343" ht="15" customHeight="1">
      <x:c r="A343" s="3"/>
      <x:c r="B343" s="3"/>
      <x:c r="C343" s="3"/>
      <x:c r="D343" s="3"/>
      <x:c r="E343" s="3"/>
      <x:c r="F343" s="3"/>
      <x:c r="G343" s="3"/>
      <x:c r="H343" s="3"/>
      <x:c r="I343" s="3"/>
      <x:c r="J343" s="10" t="n">
        <x:v>46194</x:v>
      </x:c>
      <x:c r="K343" s="8" t="n">
        <x:f>INDEX('Сводка'!$S$3:$S$397,U343)</x:f>
        <x:v>169</x:v>
      </x:c>
      <x:c r="L343" s="8" t="n">
        <x:f>INDEX('Сводка'!$S$3:$S$397,V343)</x:f>
        <x:v>171</x:v>
      </x:c>
      <x:c r="M343" s="8" t="n">
        <x:f>INDEX($K$388:$N$400,W343,1)*((J343-$T$405+1)/1000)^INDEX($K$388:$N$400,W343,2)</x:f>
        <x:v>150.97303679955536</x:v>
      </x:c>
      <x:c r="N343" s="8" t="n">
        <x:f>K343-M343</x:f>
        <x:v>18.02696320044464</x:v>
      </x:c>
      <x:c r="O343" s="8" t="n">
        <x:f>ABS(N343)</x:f>
        <x:v>18.02696320044464</x:v>
      </x:c>
      <x:c r="P343" s="8" t="n">
        <x:f>N343^2</x:f>
        <x:v>324.9714022301853</x:v>
      </x:c>
      <x:c r="Q343" s="8" t="n">
        <x:f>K343-L343</x:f>
        <x:v>-2</x:v>
      </x:c>
      <x:c r="R343" s="9" t="n">
        <x:f>IF(AND(INDEX('Сводка'!$T$3:$T$397,U343)=0,INDEX('Сводка'!$T$3:$T$397,V343)=0),1,0)</x:f>
        <x:v>1</x:v>
      </x:c>
      <x:c r="S343" s="9" t="n">
        <x:f>IF(AND(R343=1,O343&lt;=$G$13),1,0)</x:f>
        <x:v>0</x:v>
      </x:c>
      <x:c r="T343" s="10" t="n">
        <x:f>EOMONTH(J343-'Сводка'!$B$11,-1)</x:f>
        <x:v>46173</x:v>
      </x:c>
      <x:c r="U343" s="4" t="n">
        <x:f>MATCH(J343,'Сводка'!$R$3:$R$397,0)</x:f>
        <x:v>354</x:v>
      </x:c>
      <x:c r="V343" s="4" t="n">
        <x:f>MATCH(J343-'Сводка'!$B$11,'Сводка'!$R$3:$R$397,0)</x:f>
        <x:v>353</x:v>
      </x:c>
      <x:c r="W343" s="4" t="n">
        <x:f>MATCH(T343,$J$388:$J$400,0)</x:f>
        <x:v>12</x:v>
      </x:c>
      <x:c r="X343" s="3"/>
      <x:c r="Y343" s="3"/>
      <x:c r="Z343" s="3"/>
    </x:row>
    <x:row r="344" ht="15" customHeight="1">
      <x:c r="A344" s="3"/>
      <x:c r="B344" s="3"/>
      <x:c r="C344" s="3"/>
      <x:c r="D344" s="3"/>
      <x:c r="E344" s="3"/>
      <x:c r="F344" s="3"/>
      <x:c r="G344" s="3"/>
      <x:c r="H344" s="3"/>
      <x:c r="I344" s="3"/>
      <x:c r="J344" s="10" t="n">
        <x:v>46195</x:v>
      </x:c>
      <x:c r="K344" s="8" t="n">
        <x:f>INDEX('Сводка'!$S$3:$S$397,U344)</x:f>
        <x:v>168</x:v>
      </x:c>
      <x:c r="L344" s="8" t="n">
        <x:f>INDEX('Сводка'!$S$3:$S$397,V344)</x:f>
        <x:v>169</x:v>
      </x:c>
      <x:c r="M344" s="8" t="n">
        <x:f>INDEX($K$388:$N$400,W344,1)*((J344-$T$405+1)/1000)^INDEX($K$388:$N$400,W344,2)</x:f>
        <x:v>150.9903672779471</x:v>
      </x:c>
      <x:c r="N344" s="8" t="n">
        <x:f>K344-M344</x:f>
        <x:v>17.009632722052913</x:v>
      </x:c>
      <x:c r="O344" s="8" t="n">
        <x:f>ABS(N344)</x:f>
        <x:v>17.009632722052913</x:v>
      </x:c>
      <x:c r="P344" s="8" t="n">
        <x:f>N344^2</x:f>
        <x:v>289.3276053391332</x:v>
      </x:c>
      <x:c r="Q344" s="8" t="n">
        <x:f>K344-L344</x:f>
        <x:v>-1</x:v>
      </x:c>
      <x:c r="R344" s="9" t="n">
        <x:f>IF(AND(INDEX('Сводка'!$T$3:$T$397,U344)=0,INDEX('Сводка'!$T$3:$T$397,V344)=0),1,0)</x:f>
        <x:v>1</x:v>
      </x:c>
      <x:c r="S344" s="9" t="n">
        <x:f>IF(AND(R344=1,O344&lt;=$G$13),1,0)</x:f>
        <x:v>0</x:v>
      </x:c>
      <x:c r="T344" s="10" t="n">
        <x:f>EOMONTH(J344-'Сводка'!$B$11,-1)</x:f>
        <x:v>46173</x:v>
      </x:c>
      <x:c r="U344" s="4" t="n">
        <x:f>MATCH(J344,'Сводка'!$R$3:$R$397,0)</x:f>
        <x:v>355</x:v>
      </x:c>
      <x:c r="V344" s="4" t="n">
        <x:f>MATCH(J344-'Сводка'!$B$11,'Сводка'!$R$3:$R$397,0)</x:f>
        <x:v>354</x:v>
      </x:c>
      <x:c r="W344" s="4" t="n">
        <x:f>MATCH(T344,$J$388:$J$400,0)</x:f>
        <x:v>12</x:v>
      </x:c>
      <x:c r="X344" s="3"/>
      <x:c r="Y344" s="3"/>
      <x:c r="Z344" s="3"/>
    </x:row>
    <x:row r="345" ht="15" customHeight="1">
      <x:c r="A345" s="3"/>
      <x:c r="B345" s="3"/>
      <x:c r="C345" s="3"/>
      <x:c r="D345" s="3"/>
      <x:c r="E345" s="3"/>
      <x:c r="F345" s="3"/>
      <x:c r="G345" s="3"/>
      <x:c r="H345" s="3"/>
      <x:c r="I345" s="3"/>
      <x:c r="J345" s="10" t="n">
        <x:v>46196</x:v>
      </x:c>
      <x:c r="K345" s="8" t="n">
        <x:f>INDEX('Сводка'!$S$3:$S$397,U345)</x:f>
        <x:v>159</x:v>
      </x:c>
      <x:c r="L345" s="8" t="n">
        <x:f>INDEX('Сводка'!$S$3:$S$397,V345)</x:f>
        <x:v>168</x:v>
      </x:c>
      <x:c r="M345" s="8" t="n">
        <x:f>INDEX($K$388:$N$400,W345,1)*((J345-$T$405+1)/1000)^INDEX($K$388:$N$400,W345,2)</x:f>
        <x:v>151.00769780676245</x:v>
      </x:c>
      <x:c r="N345" s="8" t="n">
        <x:f>K345-M345</x:f>
        <x:v>7.992302193237549</x:v>
      </x:c>
      <x:c r="O345" s="8" t="n">
        <x:f>ABS(N345)</x:f>
        <x:v>7.992302193237549</x:v>
      </x:c>
      <x:c r="P345" s="8" t="n">
        <x:f>N345^2</x:f>
        <x:v>63.87689434802974</x:v>
      </x:c>
      <x:c r="Q345" s="8" t="n">
        <x:f>K345-L345</x:f>
        <x:v>-9</x:v>
      </x:c>
      <x:c r="R345" s="9" t="n">
        <x:f>IF(AND(INDEX('Сводка'!$T$3:$T$397,U345)=0,INDEX('Сводка'!$T$3:$T$397,V345)=0),1,0)</x:f>
        <x:v>1</x:v>
      </x:c>
      <x:c r="S345" s="9" t="n">
        <x:f>IF(AND(R345=1,O345&lt;=$G$13),1,0)</x:f>
        <x:v>0</x:v>
      </x:c>
      <x:c r="T345" s="10" t="n">
        <x:f>EOMONTH(J345-'Сводка'!$B$11,-1)</x:f>
        <x:v>46173</x:v>
      </x:c>
      <x:c r="U345" s="4" t="n">
        <x:f>MATCH(J345,'Сводка'!$R$3:$R$397,0)</x:f>
        <x:v>356</x:v>
      </x:c>
      <x:c r="V345" s="4" t="n">
        <x:f>MATCH(J345-'Сводка'!$B$11,'Сводка'!$R$3:$R$397,0)</x:f>
        <x:v>355</x:v>
      </x:c>
      <x:c r="W345" s="4" t="n">
        <x:f>MATCH(T345,$J$388:$J$400,0)</x:f>
        <x:v>12</x:v>
      </x:c>
      <x:c r="X345" s="3"/>
      <x:c r="Y345" s="3"/>
      <x:c r="Z345" s="3"/>
    </x:row>
    <x:row r="346" ht="15" customHeight="1">
      <x:c r="A346" s="3"/>
      <x:c r="B346" s="3"/>
      <x:c r="C346" s="3"/>
      <x:c r="D346" s="3"/>
      <x:c r="E346" s="3"/>
      <x:c r="F346" s="3"/>
      <x:c r="G346" s="3"/>
      <x:c r="H346" s="3"/>
      <x:c r="I346" s="3"/>
      <x:c r="J346" s="10" t="n">
        <x:v>46197</x:v>
      </x:c>
      <x:c r="K346" s="8" t="n">
        <x:f>INDEX('Сводка'!$S$3:$S$397,U346)</x:f>
        <x:v>151</x:v>
      </x:c>
      <x:c r="L346" s="8" t="n">
        <x:f>INDEX('Сводка'!$S$3:$S$397,V346)</x:f>
        <x:v>159</x:v>
      </x:c>
      <x:c r="M346" s="8" t="n">
        <x:f>INDEX($K$388:$N$400,W346,1)*((J346-$T$405+1)/1000)^INDEX($K$388:$N$400,W346,2)</x:f>
        <x:v>151.02502838599602</x:v>
      </x:c>
      <x:c r="N346" s="8" t="n">
        <x:f>K346-M346</x:f>
        <x:v>-0.025028385996023417</x:v>
      </x:c>
      <x:c r="O346" s="8" t="n">
        <x:f>ABS(N346)</x:f>
        <x:v>0.025028385996023417</x:v>
      </x:c>
      <x:c r="P346" s="8" t="n">
        <x:f>N346^2</x:f>
        <x:v>0.0006264201055659411</x:v>
      </x:c>
      <x:c r="Q346" s="8" t="n">
        <x:f>K346-L346</x:f>
        <x:v>-8</x:v>
      </x:c>
      <x:c r="R346" s="9" t="n">
        <x:f>IF(AND(INDEX('Сводка'!$T$3:$T$397,U346)=0,INDEX('Сводка'!$T$3:$T$397,V346)=0),1,0)</x:f>
        <x:v>1</x:v>
      </x:c>
      <x:c r="S346" s="9" t="n">
        <x:f>IF(AND(R346=1,O346&lt;=$G$13),1,0)</x:f>
        <x:v>1</x:v>
      </x:c>
      <x:c r="T346" s="10" t="n">
        <x:f>EOMONTH(J346-'Сводка'!$B$11,-1)</x:f>
        <x:v>46173</x:v>
      </x:c>
      <x:c r="U346" s="4" t="n">
        <x:f>MATCH(J346,'Сводка'!$R$3:$R$397,0)</x:f>
        <x:v>357</x:v>
      </x:c>
      <x:c r="V346" s="4" t="n">
        <x:f>MATCH(J346-'Сводка'!$B$11,'Сводка'!$R$3:$R$397,0)</x:f>
        <x:v>356</x:v>
      </x:c>
      <x:c r="W346" s="4" t="n">
        <x:f>MATCH(T346,$J$388:$J$400,0)</x:f>
        <x:v>12</x:v>
      </x:c>
      <x:c r="X346" s="3"/>
      <x:c r="Y346" s="3"/>
      <x:c r="Z346" s="3"/>
    </x:row>
    <x:row r="347" ht="15" customHeight="1">
      <x:c r="A347" s="3"/>
      <x:c r="B347" s="3"/>
      <x:c r="C347" s="3"/>
      <x:c r="D347" s="3"/>
      <x:c r="E347" s="3"/>
      <x:c r="F347" s="3"/>
      <x:c r="G347" s="3"/>
      <x:c r="H347" s="3"/>
      <x:c r="I347" s="3"/>
      <x:c r="J347" s="10" t="n">
        <x:v>46198</x:v>
      </x:c>
      <x:c r="K347" s="8" t="n">
        <x:f>INDEX('Сводка'!$S$3:$S$397,U347)</x:f>
        <x:v>144</x:v>
      </x:c>
      <x:c r="L347" s="8" t="n">
        <x:f>INDEX('Сводка'!$S$3:$S$397,V347)</x:f>
        <x:v>151</x:v>
      </x:c>
      <x:c r="M347" s="8" t="n">
        <x:f>INDEX($K$388:$N$400,W347,1)*((J347-$T$405+1)/1000)^INDEX($K$388:$N$400,W347,2)</x:f>
        <x:v>151.04235901564223</x:v>
      </x:c>
      <x:c r="N347" s="8" t="n">
        <x:f>K347-M347</x:f>
        <x:v>-7.0423590156422335</x:v>
      </x:c>
      <x:c r="O347" s="8" t="n">
        <x:f>ABS(N347)</x:f>
        <x:v>7.0423590156422335</x:v>
      </x:c>
      <x:c r="P347" s="8" t="n">
        <x:f>N347^2</x:f>
        <x:v>49.59482050519745</x:v>
      </x:c>
      <x:c r="Q347" s="8" t="n">
        <x:f>K347-L347</x:f>
        <x:v>-7</x:v>
      </x:c>
      <x:c r="R347" s="9" t="n">
        <x:f>IF(AND(INDEX('Сводка'!$T$3:$T$397,U347)=0,INDEX('Сводка'!$T$3:$T$397,V347)=0),1,0)</x:f>
        <x:v>1</x:v>
      </x:c>
      <x:c r="S347" s="9" t="n">
        <x:f>IF(AND(R347=1,O347&lt;=$G$13),1,0)</x:f>
        <x:v>1</x:v>
      </x:c>
      <x:c r="T347" s="10" t="n">
        <x:f>EOMONTH(J347-'Сводка'!$B$11,-1)</x:f>
        <x:v>46173</x:v>
      </x:c>
      <x:c r="U347" s="4" t="n">
        <x:f>MATCH(J347,'Сводка'!$R$3:$R$397,0)</x:f>
        <x:v>358</x:v>
      </x:c>
      <x:c r="V347" s="4" t="n">
        <x:f>MATCH(J347-'Сводка'!$B$11,'Сводка'!$R$3:$R$397,0)</x:f>
        <x:v>357</x:v>
      </x:c>
      <x:c r="W347" s="4" t="n">
        <x:f>MATCH(T347,$J$388:$J$400,0)</x:f>
        <x:v>12</x:v>
      </x:c>
      <x:c r="X347" s="3"/>
      <x:c r="Y347" s="3"/>
      <x:c r="Z347" s="3"/>
    </x:row>
    <x:row r="348" ht="15" customHeight="1">
      <x:c r="A348" s="3"/>
      <x:c r="B348" s="3"/>
      <x:c r="C348" s="3"/>
      <x:c r="D348" s="3"/>
      <x:c r="E348" s="3"/>
      <x:c r="F348" s="3"/>
      <x:c r="G348" s="3"/>
      <x:c r="H348" s="3"/>
      <x:c r="I348" s="3"/>
      <x:c r="J348" s="10" t="n">
        <x:v>46199</x:v>
      </x:c>
      <x:c r="K348" s="8" t="n">
        <x:f>INDEX('Сводка'!$S$3:$S$397,U348)</x:f>
        <x:v>139</x:v>
      </x:c>
      <x:c r="L348" s="8" t="n">
        <x:f>INDEX('Сводка'!$S$3:$S$397,V348)</x:f>
        <x:v>144</x:v>
      </x:c>
      <x:c r="M348" s="8" t="n">
        <x:f>INDEX($K$388:$N$400,W348,1)*((J348-$T$405+1)/1000)^INDEX($K$388:$N$400,W348,2)</x:f>
        <x:v>151.05968969569568</x:v>
      </x:c>
      <x:c r="N348" s="8" t="n">
        <x:f>K348-M348</x:f>
        <x:v>-12.059689695695681</x:v>
      </x:c>
      <x:c r="O348" s="8" t="n">
        <x:f>ABS(N348)</x:f>
        <x:v>12.059689695695681</x:v>
      </x:c>
      <x:c r="P348" s="8" t="n">
        <x:f>N348^2</x:f>
        <x:v>145.4361155564686</x:v>
      </x:c>
      <x:c r="Q348" s="8" t="n">
        <x:f>K348-L348</x:f>
        <x:v>-5</x:v>
      </x:c>
      <x:c r="R348" s="9" t="n">
        <x:f>IF(AND(INDEX('Сводка'!$T$3:$T$397,U348)=0,INDEX('Сводка'!$T$3:$T$397,V348)=0),1,0)</x:f>
        <x:v>1</x:v>
      </x:c>
      <x:c r="S348" s="9" t="n">
        <x:f>IF(AND(R348=1,O348&lt;=$G$13),1,0)</x:f>
        <x:v>0</x:v>
      </x:c>
      <x:c r="T348" s="10" t="n">
        <x:f>EOMONTH(J348-'Сводка'!$B$11,-1)</x:f>
        <x:v>46173</x:v>
      </x:c>
      <x:c r="U348" s="4" t="n">
        <x:f>MATCH(J348,'Сводка'!$R$3:$R$397,0)</x:f>
        <x:v>359</x:v>
      </x:c>
      <x:c r="V348" s="4" t="n">
        <x:f>MATCH(J348-'Сводка'!$B$11,'Сводка'!$R$3:$R$397,0)</x:f>
        <x:v>358</x:v>
      </x:c>
      <x:c r="W348" s="4" t="n">
        <x:f>MATCH(T348,$J$388:$J$400,0)</x:f>
        <x:v>12</x:v>
      </x:c>
      <x:c r="X348" s="3"/>
      <x:c r="Y348" s="3"/>
      <x:c r="Z348" s="3"/>
    </x:row>
    <x:row r="349" ht="15" customHeight="1">
      <x:c r="A349" s="3"/>
      <x:c r="B349" s="3"/>
      <x:c r="C349" s="3"/>
      <x:c r="D349" s="3"/>
      <x:c r="E349" s="3"/>
      <x:c r="F349" s="3"/>
      <x:c r="G349" s="3"/>
      <x:c r="H349" s="3"/>
      <x:c r="I349" s="3"/>
      <x:c r="J349" s="10" t="n">
        <x:v>46200</x:v>
      </x:c>
      <x:c r="K349" s="8" t="n">
        <x:f>INDEX('Сводка'!$S$3:$S$397,U349)</x:f>
        <x:v>136</x:v>
      </x:c>
      <x:c r="L349" s="8" t="n">
        <x:f>INDEX('Сводка'!$S$3:$S$397,V349)</x:f>
        <x:v>139</x:v>
      </x:c>
      <x:c r="M349" s="8" t="n">
        <x:f>INDEX($K$388:$N$400,W349,1)*((J349-$T$405+1)/1000)^INDEX($K$388:$N$400,W349,2)</x:f>
        <x:v>151.0770204261508</x:v>
      </x:c>
      <x:c r="N349" s="8" t="n">
        <x:f>K349-M349</x:f>
        <x:v>-15.077020426150796</x:v>
      </x:c>
      <x:c r="O349" s="8" t="n">
        <x:f>ABS(N349)</x:f>
        <x:v>15.077020426150796</x:v>
      </x:c>
      <x:c r="P349" s="8" t="n">
        <x:f>N349^2</x:f>
        <x:v>227.3165449305683</x:v>
      </x:c>
      <x:c r="Q349" s="8" t="n">
        <x:f>K349-L349</x:f>
        <x:v>-3</x:v>
      </x:c>
      <x:c r="R349" s="9" t="n">
        <x:f>IF(AND(INDEX('Сводка'!$T$3:$T$397,U349)=0,INDEX('Сводка'!$T$3:$T$397,V349)=0),1,0)</x:f>
        <x:v>1</x:v>
      </x:c>
      <x:c r="S349" s="9" t="n">
        <x:f>IF(AND(R349=1,O349&lt;=$G$13),1,0)</x:f>
        <x:v>0</x:v>
      </x:c>
      <x:c r="T349" s="10" t="n">
        <x:f>EOMONTH(J349-'Сводка'!$B$11,-1)</x:f>
        <x:v>46173</x:v>
      </x:c>
      <x:c r="U349" s="4" t="n">
        <x:f>MATCH(J349,'Сводка'!$R$3:$R$397,0)</x:f>
        <x:v>360</x:v>
      </x:c>
      <x:c r="V349" s="4" t="n">
        <x:f>MATCH(J349-'Сводка'!$B$11,'Сводка'!$R$3:$R$397,0)</x:f>
        <x:v>359</x:v>
      </x:c>
      <x:c r="W349" s="4" t="n">
        <x:f>MATCH(T349,$J$388:$J$400,0)</x:f>
        <x:v>12</x:v>
      </x:c>
      <x:c r="X349" s="3"/>
      <x:c r="Y349" s="3"/>
      <x:c r="Z349" s="3"/>
    </x:row>
    <x:row r="350" ht="15" customHeight="1">
      <x:c r="A350" s="3"/>
      <x:c r="B350" s="3"/>
      <x:c r="C350" s="3"/>
      <x:c r="D350" s="3"/>
      <x:c r="E350" s="3"/>
      <x:c r="F350" s="3"/>
      <x:c r="G350" s="3"/>
      <x:c r="H350" s="3"/>
      <x:c r="I350" s="3"/>
      <x:c r="J350" s="10" t="n">
        <x:v>46201</x:v>
      </x:c>
      <x:c r="K350" s="8" t="n">
        <x:f>INDEX('Сводка'!$S$3:$S$397,U350)</x:f>
        <x:v>127</x:v>
      </x:c>
      <x:c r="L350" s="8" t="n">
        <x:f>INDEX('Сводка'!$S$3:$S$397,V350)</x:f>
        <x:v>136</x:v>
      </x:c>
      <x:c r="M350" s="8" t="n">
        <x:f>INDEX($K$388:$N$400,W350,1)*((J350-$T$405+1)/1000)^INDEX($K$388:$N$400,W350,2)</x:f>
        <x:v>151.09435120700212</x:v>
      </x:c>
      <x:c r="N350" s="8" t="n">
        <x:f>K350-M350</x:f>
        <x:v>-24.09435120700212</x:v>
      </x:c>
      <x:c r="O350" s="8" t="n">
        <x:f>ABS(N350)</x:f>
        <x:v>24.09435120700212</x:v>
      </x:c>
      <x:c r="P350" s="8" t="n">
        <x:f>N350^2</x:f>
        <x:v>580.5377600863645</x:v>
      </x:c>
      <x:c r="Q350" s="8" t="n">
        <x:f>K350-L350</x:f>
        <x:v>-9</x:v>
      </x:c>
      <x:c r="R350" s="9" t="n">
        <x:f>IF(AND(INDEX('Сводка'!$T$3:$T$397,U350)=0,INDEX('Сводка'!$T$3:$T$397,V350)=0),1,0)</x:f>
        <x:v>1</x:v>
      </x:c>
      <x:c r="S350" s="9" t="n">
        <x:f>IF(AND(R350=1,O350&lt;=$G$13),1,0)</x:f>
        <x:v>0</x:v>
      </x:c>
      <x:c r="T350" s="10" t="n">
        <x:f>EOMONTH(J350-'Сводка'!$B$11,-1)</x:f>
        <x:v>46173</x:v>
      </x:c>
      <x:c r="U350" s="4" t="n">
        <x:f>MATCH(J350,'Сводка'!$R$3:$R$397,0)</x:f>
        <x:v>361</x:v>
      </x:c>
      <x:c r="V350" s="4" t="n">
        <x:f>MATCH(J350-'Сводка'!$B$11,'Сводка'!$R$3:$R$397,0)</x:f>
        <x:v>360</x:v>
      </x:c>
      <x:c r="W350" s="4" t="n">
        <x:f>MATCH(T350,$J$388:$J$400,0)</x:f>
        <x:v>12</x:v>
      </x:c>
      <x:c r="X350" s="3"/>
      <x:c r="Y350" s="3"/>
      <x:c r="Z350" s="3"/>
    </x:row>
    <x:row r="351" ht="15" customHeight="1">
      <x:c r="A351" s="3"/>
      <x:c r="B351" s="3"/>
      <x:c r="C351" s="3"/>
      <x:c r="D351" s="3"/>
      <x:c r="E351" s="3"/>
      <x:c r="F351" s="3"/>
      <x:c r="G351" s="3"/>
      <x:c r="H351" s="3"/>
      <x:c r="I351" s="3"/>
      <x:c r="J351" s="10" t="n">
        <x:v>46202</x:v>
      </x:c>
      <x:c r="K351" s="8" t="n">
        <x:f>INDEX('Сводка'!$S$3:$S$397,U351)</x:f>
        <x:v>122</x:v>
      </x:c>
      <x:c r="L351" s="8" t="n">
        <x:f>INDEX('Сводка'!$S$3:$S$397,V351)</x:f>
        <x:v>127</x:v>
      </x:c>
      <x:c r="M351" s="8" t="n">
        <x:f>INDEX($K$388:$N$400,W351,1)*((J351-$T$405+1)/1000)^INDEX($K$388:$N$400,W351,2)</x:f>
        <x:v>151.11168203824417</x:v>
      </x:c>
      <x:c r="N351" s="8" t="n">
        <x:f>K351-M351</x:f>
        <x:v>-29.11168203824417</x:v>
      </x:c>
      <x:c r="O351" s="8" t="n">
        <x:f>ABS(N351)</x:f>
        <x:v>29.11168203824417</x:v>
      </x:c>
      <x:c r="P351" s="8" t="n">
        <x:f>N351^2</x:f>
        <x:v>847.4900310958282</x:v>
      </x:c>
      <x:c r="Q351" s="8" t="n">
        <x:f>K351-L351</x:f>
        <x:v>-5</x:v>
      </x:c>
      <x:c r="R351" s="9" t="n">
        <x:f>IF(AND(INDEX('Сводка'!$T$3:$T$397,U351)=0,INDEX('Сводка'!$T$3:$T$397,V351)=0),1,0)</x:f>
        <x:v>1</x:v>
      </x:c>
      <x:c r="S351" s="9" t="n">
        <x:f>IF(AND(R351=1,O351&lt;=$G$13),1,0)</x:f>
        <x:v>0</x:v>
      </x:c>
      <x:c r="T351" s="10" t="n">
        <x:f>EOMONTH(J351-'Сводка'!$B$11,-1)</x:f>
        <x:v>46173</x:v>
      </x:c>
      <x:c r="U351" s="4" t="n">
        <x:f>MATCH(J351,'Сводка'!$R$3:$R$397,0)</x:f>
        <x:v>362</x:v>
      </x:c>
      <x:c r="V351" s="4" t="n">
        <x:f>MATCH(J351-'Сводка'!$B$11,'Сводка'!$R$3:$R$397,0)</x:f>
        <x:v>361</x:v>
      </x:c>
      <x:c r="W351" s="4" t="n">
        <x:f>MATCH(T351,$J$388:$J$400,0)</x:f>
        <x:v>12</x:v>
      </x:c>
      <x:c r="X351" s="3"/>
      <x:c r="Y351" s="3"/>
      <x:c r="Z351" s="3"/>
    </x:row>
    <x:row r="352" ht="15" customHeight="1">
      <x:c r="A352" s="3"/>
      <x:c r="B352" s="3"/>
      <x:c r="C352" s="3"/>
      <x:c r="D352" s="3"/>
      <x:c r="E352" s="3"/>
      <x:c r="F352" s="3"/>
      <x:c r="G352" s="3"/>
      <x:c r="H352" s="3"/>
      <x:c r="I352" s="3"/>
      <x:c r="J352" s="10" t="n">
        <x:v>46203</x:v>
      </x:c>
      <x:c r="K352" s="8" t="n">
        <x:f>INDEX('Сводка'!$S$3:$S$397,U352)</x:f>
        <x:v>116</x:v>
      </x:c>
      <x:c r="L352" s="8" t="n">
        <x:f>INDEX('Сводка'!$S$3:$S$397,V352)</x:f>
        <x:v>122</x:v>
      </x:c>
      <x:c r="M352" s="8" t="n">
        <x:f>INDEX($K$388:$N$400,W352,1)*((J352-$T$405+1)/1000)^INDEX($K$388:$N$400,W352,2)</x:f>
        <x:v>151.12901291987143</x:v>
      </x:c>
      <x:c r="N352" s="8" t="n">
        <x:f>K352-M352</x:f>
        <x:v>-35.12901291987143</x:v>
      </x:c>
      <x:c r="O352" s="8" t="n">
        <x:f>ABS(N352)</x:f>
        <x:v>35.12901291987143</x:v>
      </x:c>
      <x:c r="P352" s="8" t="n">
        <x:f>N352^2</x:f>
        <x:v>1234.0475487244937</x:v>
      </x:c>
      <x:c r="Q352" s="8" t="n">
        <x:f>K352-L352</x:f>
        <x:v>-6</x:v>
      </x:c>
      <x:c r="R352" s="9" t="n">
        <x:f>IF(AND(INDEX('Сводка'!$T$3:$T$397,U352)=0,INDEX('Сводка'!$T$3:$T$397,V352)=0),1,0)</x:f>
        <x:v>1</x:v>
      </x:c>
      <x:c r="S352" s="9" t="n">
        <x:f>IF(AND(R352=1,O352&lt;=$G$13),1,0)</x:f>
        <x:v>0</x:v>
      </x:c>
      <x:c r="T352" s="10" t="n">
        <x:f>EOMONTH(J352-'Сводка'!$B$11,-1)</x:f>
        <x:v>46173</x:v>
      </x:c>
      <x:c r="U352" s="4" t="n">
        <x:f>MATCH(J352,'Сводка'!$R$3:$R$397,0)</x:f>
        <x:v>363</x:v>
      </x:c>
      <x:c r="V352" s="4" t="n">
        <x:f>MATCH(J352-'Сводка'!$B$11,'Сводка'!$R$3:$R$397,0)</x:f>
        <x:v>362</x:v>
      </x:c>
      <x:c r="W352" s="4" t="n">
        <x:f>MATCH(T352,$J$388:$J$400,0)</x:f>
        <x:v>12</x:v>
      </x:c>
      <x:c r="X352" s="3"/>
      <x:c r="Y352" s="3"/>
      <x:c r="Z352" s="3"/>
    </x:row>
    <x:row r="353" ht="15" customHeight="1">
      <x:c r="A353" s="3"/>
      <x:c r="B353" s="3"/>
      <x:c r="C353" s="3"/>
      <x:c r="D353" s="3"/>
      <x:c r="E353" s="3"/>
      <x:c r="F353" s="3"/>
      <x:c r="G353" s="3"/>
      <x:c r="H353" s="3"/>
      <x:c r="I353" s="3"/>
      <x:c r="J353" s="10" t="n">
        <x:v>46204</x:v>
      </x:c>
      <x:c r="K353" s="8" t="n">
        <x:f>INDEX('Сводка'!$S$3:$S$397,U353)</x:f>
        <x:v>110</x:v>
      </x:c>
      <x:c r="L353" s="8" t="n">
        <x:f>INDEX('Сводка'!$S$3:$S$397,V353)</x:f>
        <x:v>116</x:v>
      </x:c>
      <x:c r="M353" s="8" t="n">
        <x:f>INDEX($K$388:$N$400,W353,1)*((J353-$T$405+1)/1000)^INDEX($K$388:$N$400,W353,2)</x:f>
        <x:v>151.14634385187847</x:v>
      </x:c>
      <x:c r="N353" s="8" t="n">
        <x:f>K353-M353</x:f>
        <x:v>-41.14634385187847</x:v>
      </x:c>
      <x:c r="O353" s="8" t="n">
        <x:f>ABS(N353)</x:f>
        <x:v>41.14634385187847</x:v>
      </x:c>
      <x:c r="P353" s="8" t="n">
        <x:f>N353^2</x:f>
        <x:v>1693.0216123770172</x:v>
      </x:c>
      <x:c r="Q353" s="8" t="n">
        <x:f>K353-L353</x:f>
        <x:v>-6</x:v>
      </x:c>
      <x:c r="R353" s="9" t="n">
        <x:f>IF(AND(INDEX('Сводка'!$T$3:$T$397,U353)=0,INDEX('Сводка'!$T$3:$T$397,V353)=0),1,0)</x:f>
        <x:v>1</x:v>
      </x:c>
      <x:c r="S353" s="9" t="n">
        <x:f>IF(AND(R353=1,O353&lt;=$G$13),1,0)</x:f>
        <x:v>0</x:v>
      </x:c>
      <x:c r="T353" s="10" t="n">
        <x:f>EOMONTH(J353-'Сводка'!$B$11,-1)</x:f>
        <x:v>46173</x:v>
      </x:c>
      <x:c r="U353" s="4" t="n">
        <x:f>MATCH(J353,'Сводка'!$R$3:$R$397,0)</x:f>
        <x:v>364</x:v>
      </x:c>
      <x:c r="V353" s="4" t="n">
        <x:f>MATCH(J353-'Сводка'!$B$11,'Сводка'!$R$3:$R$397,0)</x:f>
        <x:v>363</x:v>
      </x:c>
      <x:c r="W353" s="4" t="n">
        <x:f>MATCH(T353,$J$388:$J$400,0)</x:f>
        <x:v>12</x:v>
      </x:c>
      <x:c r="X353" s="3"/>
      <x:c r="Y353" s="3"/>
      <x:c r="Z353" s="3"/>
    </x:row>
    <x:row r="354" ht="15" customHeight="1">
      <x:c r="A354" s="3"/>
      <x:c r="B354" s="3"/>
      <x:c r="C354" s="3"/>
      <x:c r="D354" s="3"/>
      <x:c r="E354" s="3"/>
      <x:c r="F354" s="3"/>
      <x:c r="G354" s="3"/>
      <x:c r="H354" s="3"/>
      <x:c r="I354" s="3"/>
      <x:c r="J354" s="10" t="n">
        <x:v>46205</x:v>
      </x:c>
      <x:c r="K354" s="8" t="n">
        <x:f>INDEX('Сводка'!$S$3:$S$397,U354)</x:f>
        <x:v>105</x:v>
      </x:c>
      <x:c r="L354" s="8" t="n">
        <x:f>INDEX('Сводка'!$S$3:$S$397,V354)</x:f>
        <x:v>110</x:v>
      </x:c>
      <x:c r="M354" s="8" t="n">
        <x:f>INDEX($K$388:$N$400,W354,1)*((J354-$T$405+1)/1000)^INDEX($K$388:$N$400,W354,2)</x:f>
        <x:v>150.78173280487317</x:v>
      </x:c>
      <x:c r="N354" s="8" t="n">
        <x:f>K354-M354</x:f>
        <x:v>-45.78173280487317</x:v>
      </x:c>
      <x:c r="O354" s="8" t="n">
        <x:f>ABS(N354)</x:f>
        <x:v>45.78173280487317</x:v>
      </x:c>
      <x:c r="P354" s="8" t="n">
        <x:f>N354^2</x:f>
        <x:v>2095.9670586168004</x:v>
      </x:c>
      <x:c r="Q354" s="8" t="n">
        <x:f>K354-L354</x:f>
        <x:v>-5</x:v>
      </x:c>
      <x:c r="R354" s="9" t="n">
        <x:f>IF(AND(INDEX('Сводка'!$T$3:$T$397,U354)=0,INDEX('Сводка'!$T$3:$T$397,V354)=0),1,0)</x:f>
        <x:v>1</x:v>
      </x:c>
      <x:c r="S354" s="9" t="n">
        <x:f>IF(AND(R354=1,O354&lt;=$G$13),1,0)</x:f>
        <x:v>0</x:v>
      </x:c>
      <x:c r="T354" s="10" t="n">
        <x:f>EOMONTH(J354-'Сводка'!$B$11,-1)</x:f>
        <x:v>46203</x:v>
      </x:c>
      <x:c r="U354" s="4" t="n">
        <x:f>MATCH(J354,'Сводка'!$R$3:$R$397,0)</x:f>
        <x:v>365</x:v>
      </x:c>
      <x:c r="V354" s="4" t="n">
        <x:f>MATCH(J354-'Сводка'!$B$11,'Сводка'!$R$3:$R$397,0)</x:f>
        <x:v>364</x:v>
      </x:c>
      <x:c r="W354" s="4" t="n">
        <x:f>MATCH(T354,$J$388:$J$400,0)</x:f>
        <x:v>13</x:v>
      </x:c>
      <x:c r="X354" s="3"/>
      <x:c r="Y354" s="3"/>
      <x:c r="Z354" s="3"/>
    </x:row>
    <x:row r="355" ht="15" customHeight="1">
      <x:c r="A355" s="3"/>
      <x:c r="B355" s="3"/>
      <x:c r="C355" s="3"/>
      <x:c r="D355" s="3"/>
      <x:c r="E355" s="3"/>
      <x:c r="F355" s="3"/>
      <x:c r="G355" s="3"/>
      <x:c r="H355" s="3"/>
      <x:c r="I355" s="3"/>
      <x:c r="J355" s="10" t="n">
        <x:v>46206</x:v>
      </x:c>
      <x:c r="K355" s="8" t="n">
        <x:f>INDEX('Сводка'!$S$3:$S$397,U355)</x:f>
        <x:v>105</x:v>
      </x:c>
      <x:c r="L355" s="8" t="n">
        <x:f>INDEX('Сводка'!$S$3:$S$397,V355)</x:f>
        <x:v>105</x:v>
      </x:c>
      <x:c r="M355" s="8" t="n">
        <x:f>INDEX($K$388:$N$400,W355,1)*((J355-$T$405+1)/1000)^INDEX($K$388:$N$400,W355,2)</x:f>
        <x:v>150.79896960233359</x:v>
      </x:c>
      <x:c r="N355" s="8" t="n">
        <x:f>K355-M355</x:f>
        <x:v>-45.798969602333585</x:v>
      </x:c>
      <x:c r="O355" s="8" t="n">
        <x:f>ABS(N355)</x:f>
        <x:v>45.798969602333585</x:v>
      </x:c>
      <x:c r="P355" s="8" t="n">
        <x:f>N355^2</x:f>
        <x:v>2097.5456166354757</x:v>
      </x:c>
      <x:c r="Q355" s="8" t="n">
        <x:f>K355-L355</x:f>
        <x:v>0</x:v>
      </x:c>
      <x:c r="R355" s="9" t="n">
        <x:f>IF(AND(INDEX('Сводка'!$T$3:$T$397,U355)=0,INDEX('Сводка'!$T$3:$T$397,V355)=0),1,0)</x:f>
        <x:v>1</x:v>
      </x:c>
      <x:c r="S355" s="9" t="n">
        <x:f>IF(AND(R355=1,O355&lt;=$G$13),1,0)</x:f>
        <x:v>0</x:v>
      </x:c>
      <x:c r="T355" s="10" t="n">
        <x:f>EOMONTH(J355-'Сводка'!$B$11,-1)</x:f>
        <x:v>46203</x:v>
      </x:c>
      <x:c r="U355" s="4" t="n">
        <x:f>MATCH(J355,'Сводка'!$R$3:$R$397,0)</x:f>
        <x:v>366</x:v>
      </x:c>
      <x:c r="V355" s="4" t="n">
        <x:f>MATCH(J355-'Сводка'!$B$11,'Сводка'!$R$3:$R$397,0)</x:f>
        <x:v>365</x:v>
      </x:c>
      <x:c r="W355" s="4" t="n">
        <x:f>MATCH(T355,$J$388:$J$400,0)</x:f>
        <x:v>13</x:v>
      </x:c>
      <x:c r="X355" s="3"/>
      <x:c r="Y355" s="3"/>
      <x:c r="Z355" s="3"/>
    </x:row>
    <x:row r="356" ht="15" customHeight="1">
      <x:c r="A356" s="3"/>
      <x:c r="B356" s="3"/>
      <x:c r="C356" s="3"/>
      <x:c r="D356" s="3"/>
      <x:c r="E356" s="3"/>
      <x:c r="F356" s="3"/>
      <x:c r="G356" s="3"/>
      <x:c r="H356" s="3"/>
      <x:c r="I356" s="3"/>
      <x:c r="J356" s="10" t="n">
        <x:v>46207</x:v>
      </x:c>
      <x:c r="K356" s="8" t="n">
        <x:f>INDEX('Сводка'!$S$3:$S$397,U356)</x:f>
        <x:v>121</x:v>
      </x:c>
      <x:c r="L356" s="8" t="n">
        <x:f>INDEX('Сводка'!$S$3:$S$397,V356)</x:f>
        <x:v>105</x:v>
      </x:c>
      <x:c r="M356" s="8" t="n">
        <x:f>INDEX($K$388:$N$400,W356,1)*((J356-$T$405+1)/1000)^INDEX($K$388:$N$400,W356,2)</x:f>
        <x:v>150.8162064441177</x:v>
      </x:c>
      <x:c r="N356" s="8" t="n">
        <x:f>K356-M356</x:f>
        <x:v>-29.81620644411771</x:v>
      </x:c>
      <x:c r="O356" s="8" t="n">
        <x:f>ABS(N356)</x:f>
        <x:v>29.81620644411771</x:v>
      </x:c>
      <x:c r="P356" s="8" t="n">
        <x:f>N356^2</x:f>
        <x:v>889.0061667182465</x:v>
      </x:c>
      <x:c r="Q356" s="8" t="n">
        <x:f>K356-L356</x:f>
        <x:v>16</x:v>
      </x:c>
      <x:c r="R356" s="9" t="n">
        <x:f>IF(AND(INDEX('Сводка'!$T$3:$T$397,U356)=0,INDEX('Сводка'!$T$3:$T$397,V356)=0),1,0)</x:f>
        <x:v>1</x:v>
      </x:c>
      <x:c r="S356" s="9" t="n">
        <x:f>IF(AND(R356=1,O356&lt;=$G$13),1,0)</x:f>
        <x:v>0</x:v>
      </x:c>
      <x:c r="T356" s="10" t="n">
        <x:f>EOMONTH(J356-'Сводка'!$B$11,-1)</x:f>
        <x:v>46203</x:v>
      </x:c>
      <x:c r="U356" s="4" t="n">
        <x:f>MATCH(J356,'Сводка'!$R$3:$R$397,0)</x:f>
        <x:v>367</x:v>
      </x:c>
      <x:c r="V356" s="4" t="n">
        <x:f>MATCH(J356-'Сводка'!$B$11,'Сводка'!$R$3:$R$397,0)</x:f>
        <x:v>366</x:v>
      </x:c>
      <x:c r="W356" s="4" t="n">
        <x:f>MATCH(T356,$J$388:$J$400,0)</x:f>
        <x:v>13</x:v>
      </x:c>
      <x:c r="X356" s="3"/>
      <x:c r="Y356" s="3"/>
      <x:c r="Z356" s="3"/>
    </x:row>
    <x:row r="357" ht="15" customHeight="1">
      <x:c r="A357" s="3"/>
      <x:c r="B357" s="3"/>
      <x:c r="C357" s="3"/>
      <x:c r="D357" s="3"/>
      <x:c r="E357" s="3"/>
      <x:c r="F357" s="3"/>
      <x:c r="G357" s="3"/>
      <x:c r="H357" s="3"/>
      <x:c r="I357" s="3"/>
      <x:c r="J357" s="10" t="n">
        <x:v>46208</x:v>
      </x:c>
      <x:c r="K357" s="8" t="n">
        <x:f>INDEX('Сводка'!$S$3:$S$397,U357)</x:f>
        <x:v>138</x:v>
      </x:c>
      <x:c r="L357" s="8" t="n">
        <x:f>INDEX('Сводка'!$S$3:$S$397,V357)</x:f>
        <x:v>121</x:v>
      </x:c>
      <x:c r="M357" s="8" t="n">
        <x:f>INDEX($K$388:$N$400,W357,1)*((J357-$T$405+1)/1000)^INDEX($K$388:$N$400,W357,2)</x:f>
        <x:v>150.83344333022066</x:v>
      </x:c>
      <x:c r="N357" s="8" t="n">
        <x:f>K357-M357</x:f>
        <x:v>-12.83344333022066</x:v>
      </x:c>
      <x:c r="O357" s="8" t="n">
        <x:f>ABS(N357)</x:f>
        <x:v>12.83344333022066</x:v>
      </x:c>
      <x:c r="P357" s="8" t="n">
        <x:f>N357^2</x:f>
        <x:v>164.69726770998517</x:v>
      </x:c>
      <x:c r="Q357" s="8" t="n">
        <x:f>K357-L357</x:f>
        <x:v>17</x:v>
      </x:c>
      <x:c r="R357" s="9" t="n">
        <x:f>IF(AND(INDEX('Сводка'!$T$3:$T$397,U357)=0,INDEX('Сводка'!$T$3:$T$397,V357)=0),1,0)</x:f>
        <x:v>1</x:v>
      </x:c>
      <x:c r="S357" s="9" t="n">
        <x:f>IF(AND(R357=1,O357&lt;=$G$13),1,0)</x:f>
        <x:v>0</x:v>
      </x:c>
      <x:c r="T357" s="10" t="n">
        <x:f>EOMONTH(J357-'Сводка'!$B$11,-1)</x:f>
        <x:v>46203</x:v>
      </x:c>
      <x:c r="U357" s="4" t="n">
        <x:f>MATCH(J357,'Сводка'!$R$3:$R$397,0)</x:f>
        <x:v>368</x:v>
      </x:c>
      <x:c r="V357" s="4" t="n">
        <x:f>MATCH(J357-'Сводка'!$B$11,'Сводка'!$R$3:$R$397,0)</x:f>
        <x:v>367</x:v>
      </x:c>
      <x:c r="W357" s="4" t="n">
        <x:f>MATCH(T357,$J$388:$J$400,0)</x:f>
        <x:v>13</x:v>
      </x:c>
      <x:c r="X357" s="3"/>
      <x:c r="Y357" s="3"/>
      <x:c r="Z357" s="3"/>
    </x:row>
    <x:row r="358" ht="15" customHeight="1">
      <x:c r="A358" s="3"/>
      <x:c r="B358" s="3"/>
      <x:c r="C358" s="3"/>
      <x:c r="D358" s="3"/>
      <x:c r="E358" s="3"/>
      <x:c r="F358" s="3"/>
      <x:c r="G358" s="3"/>
      <x:c r="H358" s="3"/>
      <x:c r="I358" s="3"/>
      <x:c r="J358" s="10" t="n">
        <x:v>46209</x:v>
      </x:c>
      <x:c r="K358" s="8" t="n">
        <x:f>INDEX('Сводка'!$S$3:$S$397,U358)</x:f>
        <x:v>149</x:v>
      </x:c>
      <x:c r="L358" s="8" t="n">
        <x:f>INDEX('Сводка'!$S$3:$S$397,V358)</x:f>
        <x:v>138</x:v>
      </x:c>
      <x:c r="M358" s="8" t="n">
        <x:f>INDEX($K$388:$N$400,W358,1)*((J358-$T$405+1)/1000)^INDEX($K$388:$N$400,W358,2)</x:f>
        <x:v>150.85068026063763</x:v>
      </x:c>
      <x:c r="N358" s="8" t="n">
        <x:f>K358-M358</x:f>
        <x:v>-1.8506802606376311</x:v>
      </x:c>
      <x:c r="O358" s="8" t="n">
        <x:f>ABS(N358)</x:f>
        <x:v>1.8506802606376311</x:v>
      </x:c>
      <x:c r="P358" s="8" t="n">
        <x:f>N358^2</x:f>
        <x:v>3.42501742711377</x:v>
      </x:c>
      <x:c r="Q358" s="8" t="n">
        <x:f>K358-L358</x:f>
        <x:v>11</x:v>
      </x:c>
      <x:c r="R358" s="9" t="n">
        <x:f>IF(AND(INDEX('Сводка'!$T$3:$T$397,U358)=0,INDEX('Сводка'!$T$3:$T$397,V358)=0),1,0)</x:f>
        <x:v>1</x:v>
      </x:c>
      <x:c r="S358" s="9" t="n">
        <x:f>IF(AND(R358=1,O358&lt;=$G$13),1,0)</x:f>
        <x:v>1</x:v>
      </x:c>
      <x:c r="T358" s="10" t="n">
        <x:f>EOMONTH(J358-'Сводка'!$B$11,-1)</x:f>
        <x:v>46203</x:v>
      </x:c>
      <x:c r="U358" s="4" t="n">
        <x:f>MATCH(J358,'Сводка'!$R$3:$R$397,0)</x:f>
        <x:v>369</x:v>
      </x:c>
      <x:c r="V358" s="4" t="n">
        <x:f>MATCH(J358-'Сводка'!$B$11,'Сводка'!$R$3:$R$397,0)</x:f>
        <x:v>368</x:v>
      </x:c>
      <x:c r="W358" s="4" t="n">
        <x:f>MATCH(T358,$J$388:$J$400,0)</x:f>
        <x:v>13</x:v>
      </x:c>
      <x:c r="X358" s="3"/>
      <x:c r="Y358" s="3"/>
      <x:c r="Z358" s="3"/>
    </x:row>
    <x:row r="359" ht="15" customHeight="1">
      <x:c r="A359" s="3"/>
      <x:c r="B359" s="3"/>
      <x:c r="C359" s="3"/>
      <x:c r="D359" s="3"/>
      <x:c r="E359" s="3"/>
      <x:c r="F359" s="3"/>
      <x:c r="G359" s="3"/>
      <x:c r="H359" s="3"/>
      <x:c r="I359" s="3"/>
      <x:c r="J359" s="10" t="n">
        <x:v>46210</x:v>
      </x:c>
      <x:c r="K359" s="8" t="n">
        <x:f>INDEX('Сводка'!$S$3:$S$397,U359)</x:f>
        <x:v>158</x:v>
      </x:c>
      <x:c r="L359" s="8" t="n">
        <x:f>INDEX('Сводка'!$S$3:$S$397,V359)</x:f>
        <x:v>149</x:v>
      </x:c>
      <x:c r="M359" s="8" t="n">
        <x:f>INDEX($K$388:$N$400,W359,1)*((J359-$T$405+1)/1000)^INDEX($K$388:$N$400,W359,2)</x:f>
        <x:v>150.86791723536385</x:v>
      </x:c>
      <x:c r="N359" s="8" t="n">
        <x:f>K359-M359</x:f>
        <x:v>7.132082764636152</x:v>
      </x:c>
      <x:c r="O359" s="8" t="n">
        <x:f>ABS(N359)</x:f>
        <x:v>7.132082764636152</x:v>
      </x:c>
      <x:c r="P359" s="8" t="n">
        <x:f>N359^2</x:f>
        <x:v>50.86660456162006</x:v>
      </x:c>
      <x:c r="Q359" s="8" t="n">
        <x:f>K359-L359</x:f>
        <x:v>9</x:v>
      </x:c>
      <x:c r="R359" s="9" t="n">
        <x:f>IF(AND(INDEX('Сводка'!$T$3:$T$397,U359)=0,INDEX('Сводка'!$T$3:$T$397,V359)=0),1,0)</x:f>
        <x:v>1</x:v>
      </x:c>
      <x:c r="S359" s="9" t="n">
        <x:f>IF(AND(R359=1,O359&lt;=$G$13),1,0)</x:f>
        <x:v>1</x:v>
      </x:c>
      <x:c r="T359" s="10" t="n">
        <x:f>EOMONTH(J359-'Сводка'!$B$11,-1)</x:f>
        <x:v>46203</x:v>
      </x:c>
      <x:c r="U359" s="4" t="n">
        <x:f>MATCH(J359,'Сводка'!$R$3:$R$397,0)</x:f>
        <x:v>370</x:v>
      </x:c>
      <x:c r="V359" s="4" t="n">
        <x:f>MATCH(J359-'Сводка'!$B$11,'Сводка'!$R$3:$R$397,0)</x:f>
        <x:v>369</x:v>
      </x:c>
      <x:c r="W359" s="4" t="n">
        <x:f>MATCH(T359,$J$388:$J$400,0)</x:f>
        <x:v>13</x:v>
      </x:c>
      <x:c r="X359" s="3"/>
      <x:c r="Y359" s="3"/>
      <x:c r="Z359" s="3"/>
    </x:row>
    <x:row r="360" ht="15" customHeight="1">
      <x:c r="A360" s="3"/>
      <x:c r="B360" s="3"/>
      <x:c r="C360" s="3"/>
      <x:c r="D360" s="3"/>
      <x:c r="E360" s="3"/>
      <x:c r="F360" s="3"/>
      <x:c r="G360" s="3"/>
      <x:c r="H360" s="3"/>
      <x:c r="I360" s="3"/>
      <x:c r="J360" s="10" t="n">
        <x:v>46211</x:v>
      </x:c>
      <x:c r="K360" s="8" t="n">
        <x:f>INDEX('Сводка'!$S$3:$S$397,U360)</x:f>
        <x:v>166</x:v>
      </x:c>
      <x:c r="L360" s="8" t="n">
        <x:f>INDEX('Сводка'!$S$3:$S$397,V360)</x:f>
        <x:v>158</x:v>
      </x:c>
      <x:c r="M360" s="8" t="n">
        <x:f>INDEX($K$388:$N$400,W360,1)*((J360-$T$405+1)/1000)^INDEX($K$388:$N$400,W360,2)</x:f>
        <x:v>150.8851542543944</x:v>
      </x:c>
      <x:c r="N360" s="8" t="n">
        <x:f>K360-M360</x:f>
        <x:v>15.114845745605606</x:v>
      </x:c>
      <x:c r="O360" s="8" t="n">
        <x:f>ABS(N360)</x:f>
        <x:v>15.114845745605606</x:v>
      </x:c>
      <x:c r="P360" s="8" t="n">
        <x:f>N360^2</x:f>
        <x:v>228.4585619134519</x:v>
      </x:c>
      <x:c r="Q360" s="8" t="n">
        <x:f>K360-L360</x:f>
        <x:v>8</x:v>
      </x:c>
      <x:c r="R360" s="9" t="n">
        <x:f>IF(AND(INDEX('Сводка'!$T$3:$T$397,U360)=0,INDEX('Сводка'!$T$3:$T$397,V360)=0),1,0)</x:f>
        <x:v>1</x:v>
      </x:c>
      <x:c r="S360" s="9" t="n">
        <x:f>IF(AND(R360=1,O360&lt;=$G$13),1,0)</x:f>
        <x:v>0</x:v>
      </x:c>
      <x:c r="T360" s="10" t="n">
        <x:f>EOMONTH(J360-'Сводка'!$B$11,-1)</x:f>
        <x:v>46203</x:v>
      </x:c>
      <x:c r="U360" s="4" t="n">
        <x:f>MATCH(J360,'Сводка'!$R$3:$R$397,0)</x:f>
        <x:v>371</x:v>
      </x:c>
      <x:c r="V360" s="4" t="n">
        <x:f>MATCH(J360-'Сводка'!$B$11,'Сводка'!$R$3:$R$397,0)</x:f>
        <x:v>370</x:v>
      </x:c>
      <x:c r="W360" s="4" t="n">
        <x:f>MATCH(T360,$J$388:$J$400,0)</x:f>
        <x:v>13</x:v>
      </x:c>
      <x:c r="X360" s="3"/>
      <x:c r="Y360" s="3"/>
      <x:c r="Z360" s="3"/>
    </x:row>
    <x:row r="361" ht="15" customHeight="1">
      <x:c r="A361" s="3"/>
      <x:c r="B361" s="3"/>
      <x:c r="C361" s="3"/>
      <x:c r="D361" s="3"/>
      <x:c r="E361" s="3"/>
      <x:c r="F361" s="3"/>
      <x:c r="G361" s="3"/>
      <x:c r="H361" s="3"/>
      <x:c r="I361" s="3"/>
      <x:c r="J361" s="10" t="n">
        <x:v>46212</x:v>
      </x:c>
      <x:c r="K361" s="8" t="n">
        <x:f>INDEX('Сводка'!$S$3:$S$397,U361)</x:f>
        <x:v>174</x:v>
      </x:c>
      <x:c r="L361" s="8" t="n">
        <x:f>INDEX('Сводка'!$S$3:$S$397,V361)</x:f>
        <x:v>166</x:v>
      </x:c>
      <x:c r="M361" s="8" t="n">
        <x:f>INDEX($K$388:$N$400,W361,1)*((J361-$T$405+1)/1000)^INDEX($K$388:$N$400,W361,2)</x:f>
        <x:v>150.90239131772447</x:v>
      </x:c>
      <x:c r="N361" s="8" t="n">
        <x:f>K361-M361</x:f>
        <x:v>23.097608682275535</x:v>
      </x:c>
      <x:c r="O361" s="8" t="n">
        <x:f>ABS(N361)</x:f>
        <x:v>23.097608682275535</x:v>
      </x:c>
      <x:c r="P361" s="8" t="n">
        <x:f>N361^2</x:f>
        <x:v>533.4995268395302</x:v>
      </x:c>
      <x:c r="Q361" s="8" t="n">
        <x:f>K361-L361</x:f>
        <x:v>8</x:v>
      </x:c>
      <x:c r="R361" s="9" t="n">
        <x:f>IF(AND(INDEX('Сводка'!$T$3:$T$397,U361)=0,INDEX('Сводка'!$T$3:$T$397,V361)=0),1,0)</x:f>
        <x:v>1</x:v>
      </x:c>
      <x:c r="S361" s="9" t="n">
        <x:f>IF(AND(R361=1,O361&lt;=$G$13),1,0)</x:f>
        <x:v>0</x:v>
      </x:c>
      <x:c r="T361" s="10" t="n">
        <x:f>EOMONTH(J361-'Сводка'!$B$11,-1)</x:f>
        <x:v>46203</x:v>
      </x:c>
      <x:c r="U361" s="4" t="n">
        <x:f>MATCH(J361,'Сводка'!$R$3:$R$397,0)</x:f>
        <x:v>372</x:v>
      </x:c>
      <x:c r="V361" s="4" t="n">
        <x:f>MATCH(J361-'Сводка'!$B$11,'Сводка'!$R$3:$R$397,0)</x:f>
        <x:v>371</x:v>
      </x:c>
      <x:c r="W361" s="4" t="n">
        <x:f>MATCH(T361,$J$388:$J$400,0)</x:f>
        <x:v>13</x:v>
      </x:c>
      <x:c r="X361" s="3"/>
      <x:c r="Y361" s="3"/>
      <x:c r="Z361" s="3"/>
    </x:row>
    <x:row r="362" ht="15" customHeight="1">
      <x:c r="A362" s="3"/>
      <x:c r="B362" s="3"/>
      <x:c r="C362" s="3"/>
      <x:c r="D362" s="3"/>
      <x:c r="E362" s="3"/>
      <x:c r="F362" s="3"/>
      <x:c r="G362" s="3"/>
      <x:c r="H362" s="3"/>
      <x:c r="I362" s="3"/>
      <x:c r="J362" s="10" t="n">
        <x:v>46213</x:v>
      </x:c>
      <x:c r="K362" s="8" t="n">
        <x:f>INDEX('Сводка'!$S$3:$S$397,U362)</x:f>
        <x:v>180</x:v>
      </x:c>
      <x:c r="L362" s="8" t="n">
        <x:f>INDEX('Сводка'!$S$3:$S$397,V362)</x:f>
        <x:v>174</x:v>
      </x:c>
      <x:c r="M362" s="8" t="n">
        <x:f>INDEX($K$388:$N$400,W362,1)*((J362-$T$405+1)/1000)^INDEX($K$388:$N$400,W362,2)</x:f>
        <x:v>150.91962842534923</x:v>
      </x:c>
      <x:c r="N362" s="8" t="n">
        <x:f>K362-M362</x:f>
        <x:v>29.08037157465077</x:v>
      </x:c>
      <x:c r="O362" s="8" t="n">
        <x:f>ABS(N362)</x:f>
        <x:v>29.08037157465077</x:v>
      </x:c>
      <x:c r="P362" s="8" t="n">
        <x:f>N362^2</x:f>
        <x:v>845.6680109197565</x:v>
      </x:c>
      <x:c r="Q362" s="8" t="n">
        <x:f>K362-L362</x:f>
        <x:v>6</x:v>
      </x:c>
      <x:c r="R362" s="9" t="n">
        <x:f>IF(AND(INDEX('Сводка'!$T$3:$T$397,U362)=0,INDEX('Сводка'!$T$3:$T$397,V362)=0),1,0)</x:f>
        <x:v>1</x:v>
      </x:c>
      <x:c r="S362" s="9" t="n">
        <x:f>IF(AND(R362=1,O362&lt;=$G$13),1,0)</x:f>
        <x:v>0</x:v>
      </x:c>
      <x:c r="T362" s="10" t="n">
        <x:f>EOMONTH(J362-'Сводка'!$B$11,-1)</x:f>
        <x:v>46203</x:v>
      </x:c>
      <x:c r="U362" s="4" t="n">
        <x:f>MATCH(J362,'Сводка'!$R$3:$R$397,0)</x:f>
        <x:v>373</x:v>
      </x:c>
      <x:c r="V362" s="4" t="n">
        <x:f>MATCH(J362-'Сводка'!$B$11,'Сводка'!$R$3:$R$397,0)</x:f>
        <x:v>372</x:v>
      </x:c>
      <x:c r="W362" s="4" t="n">
        <x:f>MATCH(T362,$J$388:$J$400,0)</x:f>
        <x:v>13</x:v>
      </x:c>
      <x:c r="X362" s="3"/>
      <x:c r="Y362" s="3"/>
      <x:c r="Z362" s="3"/>
    </x:row>
    <x:row r="363" ht="15" customHeight="1">
      <x:c r="A363" s="3"/>
      <x:c r="B363" s="3"/>
      <x:c r="C363" s="3"/>
      <x:c r="D363" s="3"/>
      <x:c r="E363" s="3"/>
      <x:c r="F363" s="3"/>
      <x:c r="G363" s="3"/>
      <x:c r="H363" s="3"/>
      <x:c r="I363" s="3"/>
      <x:c r="J363" s="10" t="n">
        <x:v>46214</x:v>
      </x:c>
      <x:c r="K363" s="8" t="n">
        <x:f>INDEX('Сводка'!$S$3:$S$397,U363)</x:f>
        <x:v>181</x:v>
      </x:c>
      <x:c r="L363" s="8" t="n">
        <x:f>INDEX('Сводка'!$S$3:$S$397,V363)</x:f>
        <x:v>180</x:v>
      </x:c>
      <x:c r="M363" s="8" t="n">
        <x:f>INDEX($K$388:$N$400,W363,1)*((J363-$T$405+1)/1000)^INDEX($K$388:$N$400,W363,2)</x:f>
        <x:v>150.9368655772639</x:v>
      </x:c>
      <x:c r="N363" s="8" t="n">
        <x:f>K363-M363</x:f>
        <x:v>30.063134422736113</x:v>
      </x:c>
      <x:c r="O363" s="8" t="n">
        <x:f>ABS(N363)</x:f>
        <x:v>30.063134422736113</x:v>
      </x:c>
      <x:c r="P363" s="8" t="n">
        <x:f>N363^2</x:f>
        <x:v>903.792051319501</x:v>
      </x:c>
      <x:c r="Q363" s="8" t="n">
        <x:f>K363-L363</x:f>
        <x:v>1</x:v>
      </x:c>
      <x:c r="R363" s="9" t="n">
        <x:f>IF(AND(INDEX('Сводка'!$T$3:$T$397,U363)=0,INDEX('Сводка'!$T$3:$T$397,V363)=0),1,0)</x:f>
        <x:v>1</x:v>
      </x:c>
      <x:c r="S363" s="9" t="n">
        <x:f>IF(AND(R363=1,O363&lt;=$G$13),1,0)</x:f>
        <x:v>0</x:v>
      </x:c>
      <x:c r="T363" s="10" t="n">
        <x:f>EOMONTH(J363-'Сводка'!$B$11,-1)</x:f>
        <x:v>46203</x:v>
      </x:c>
      <x:c r="U363" s="4" t="n">
        <x:f>MATCH(J363,'Сводка'!$R$3:$R$397,0)</x:f>
        <x:v>374</x:v>
      </x:c>
      <x:c r="V363" s="4" t="n">
        <x:f>MATCH(J363-'Сводка'!$B$11,'Сводка'!$R$3:$R$397,0)</x:f>
        <x:v>373</x:v>
      </x:c>
      <x:c r="W363" s="4" t="n">
        <x:f>MATCH(T363,$J$388:$J$400,0)</x:f>
        <x:v>13</x:v>
      </x:c>
      <x:c r="X363" s="3"/>
      <x:c r="Y363" s="3"/>
      <x:c r="Z363" s="3"/>
    </x:row>
    <x:row r="364" ht="15" customHeight="1">
      <x:c r="A364" s="3"/>
      <x:c r="B364" s="3"/>
      <x:c r="C364" s="3"/>
      <x:c r="D364" s="3"/>
      <x:c r="E364" s="3"/>
      <x:c r="F364" s="3"/>
      <x:c r="G364" s="3"/>
      <x:c r="H364" s="3"/>
      <x:c r="I364" s="3"/>
      <x:c r="J364" s="10" t="n">
        <x:v>46215</x:v>
      </x:c>
      <x:c r="K364" s="8" t="n">
        <x:f>INDEX('Сводка'!$S$3:$S$397,U364)</x:f>
        <x:v>179</x:v>
      </x:c>
      <x:c r="L364" s="8" t="n">
        <x:f>INDEX('Сводка'!$S$3:$S$397,V364)</x:f>
        <x:v>181</x:v>
      </x:c>
      <x:c r="M364" s="8" t="n">
        <x:f>INDEX($K$388:$N$400,W364,1)*((J364-$T$405+1)/1000)^INDEX($K$388:$N$400,W364,2)</x:f>
        <x:v>150.95410277346352</x:v>
      </x:c>
      <x:c r="N364" s="8" t="n">
        <x:f>K364-M364</x:f>
        <x:v>28.045897226536482</x:v>
      </x:c>
      <x:c r="O364" s="8" t="n">
        <x:f>ABS(N364)</x:f>
        <x:v>28.045897226536482</x:v>
      </x:c>
      <x:c r="P364" s="8" t="n">
        <x:f>N364^2</x:f>
        <x:v>786.5723512414468</x:v>
      </x:c>
      <x:c r="Q364" s="8" t="n">
        <x:f>K364-L364</x:f>
        <x:v>-2</x:v>
      </x:c>
      <x:c r="R364" s="9" t="n">
        <x:f>IF(AND(INDEX('Сводка'!$T$3:$T$397,U364)=0,INDEX('Сводка'!$T$3:$T$397,V364)=0),1,0)</x:f>
        <x:v>1</x:v>
      </x:c>
      <x:c r="S364" s="9" t="n">
        <x:f>IF(AND(R364=1,O364&lt;=$G$13),1,0)</x:f>
        <x:v>0</x:v>
      </x:c>
      <x:c r="T364" s="10" t="n">
        <x:f>EOMONTH(J364-'Сводка'!$B$11,-1)</x:f>
        <x:v>46203</x:v>
      </x:c>
      <x:c r="U364" s="4" t="n">
        <x:f>MATCH(J364,'Сводка'!$R$3:$R$397,0)</x:f>
        <x:v>375</x:v>
      </x:c>
      <x:c r="V364" s="4" t="n">
        <x:f>MATCH(J364-'Сводка'!$B$11,'Сводка'!$R$3:$R$397,0)</x:f>
        <x:v>374</x:v>
      </x:c>
      <x:c r="W364" s="4" t="n">
        <x:f>MATCH(T364,$J$388:$J$400,0)</x:f>
        <x:v>13</x:v>
      </x:c>
      <x:c r="X364" s="3"/>
      <x:c r="Y364" s="3"/>
      <x:c r="Z364" s="3"/>
    </x:row>
    <x:row r="365" ht="15" customHeight="1">
      <x:c r="A365" s="3"/>
      <x:c r="B365" s="3"/>
      <x:c r="C365" s="3"/>
      <x:c r="D365" s="3"/>
      <x:c r="E365" s="3"/>
      <x:c r="F365" s="3"/>
      <x:c r="G365" s="3"/>
      <x:c r="H365" s="3"/>
      <x:c r="I365" s="3"/>
      <x:c r="J365" s="10" t="n">
        <x:v>46216</x:v>
      </x:c>
      <x:c r="K365" s="8" t="n">
        <x:f>INDEX('Сводка'!$S$3:$S$397,U365)</x:f>
        <x:v>182</x:v>
      </x:c>
      <x:c r="L365" s="8" t="n">
        <x:f>INDEX('Сводка'!$S$3:$S$397,V365)</x:f>
        <x:v>179</x:v>
      </x:c>
      <x:c r="M365" s="8" t="n">
        <x:f>INDEX($K$388:$N$400,W365,1)*((J365-$T$405+1)/1000)^INDEX($K$388:$N$400,W365,2)</x:f>
        <x:v>150.9713400139434</x:v>
      </x:c>
      <x:c r="N365" s="8" t="n">
        <x:f>K365-M365</x:f>
        <x:v>31.028659986056596</x:v>
      </x:c>
      <x:c r="O365" s="8" t="n">
        <x:f>ABS(N365)</x:f>
        <x:v>31.028659986056596</x:v>
      </x:c>
      <x:c r="P365" s="8" t="n">
        <x:f>N365^2</x:f>
        <x:v>962.7777405303096</x:v>
      </x:c>
      <x:c r="Q365" s="8" t="n">
        <x:f>K365-L365</x:f>
        <x:v>3</x:v>
      </x:c>
      <x:c r="R365" s="9" t="n">
        <x:f>IF(AND(INDEX('Сводка'!$T$3:$T$397,U365)=0,INDEX('Сводка'!$T$3:$T$397,V365)=0),1,0)</x:f>
        <x:v>1</x:v>
      </x:c>
      <x:c r="S365" s="9" t="n">
        <x:f>IF(AND(R365=1,O365&lt;=$G$13),1,0)</x:f>
        <x:v>0</x:v>
      </x:c>
      <x:c r="T365" s="10" t="n">
        <x:f>EOMONTH(J365-'Сводка'!$B$11,-1)</x:f>
        <x:v>46203</x:v>
      </x:c>
      <x:c r="U365" s="4" t="n">
        <x:f>MATCH(J365,'Сводка'!$R$3:$R$397,0)</x:f>
        <x:v>376</x:v>
      </x:c>
      <x:c r="V365" s="4" t="n">
        <x:f>MATCH(J365-'Сводка'!$B$11,'Сводка'!$R$3:$R$397,0)</x:f>
        <x:v>375</x:v>
      </x:c>
      <x:c r="W365" s="4" t="n">
        <x:f>MATCH(T365,$J$388:$J$400,0)</x:f>
        <x:v>13</x:v>
      </x:c>
      <x:c r="X365" s="3"/>
      <x:c r="Y365" s="3"/>
      <x:c r="Z365" s="3"/>
    </x:row>
    <x:row r="366" ht="15" customHeight="1">
      <x:c r="A366" s="3"/>
      <x:c r="B366" s="3"/>
      <x:c r="C366" s="3"/>
      <x:c r="D366" s="3"/>
      <x:c r="E366" s="3"/>
      <x:c r="F366" s="3"/>
      <x:c r="G366" s="3"/>
      <x:c r="H366" s="3"/>
      <x:c r="I366" s="3"/>
      <x:c r="J366" s="10" t="n">
        <x:v>46217</x:v>
      </x:c>
      <x:c r="K366" s="8" t="n">
        <x:f>INDEX('Сводка'!$S$3:$S$397,U366)</x:f>
        <x:v>191</x:v>
      </x:c>
      <x:c r="L366" s="8" t="n">
        <x:f>INDEX('Сводка'!$S$3:$S$397,V366)</x:f>
        <x:v>182</x:v>
      </x:c>
      <x:c r="M366" s="8" t="n">
        <x:f>INDEX($K$388:$N$400,W366,1)*((J366-$T$405+1)/1000)^INDEX($K$388:$N$400,W366,2)</x:f>
        <x:v>150.98857729869863</x:v>
      </x:c>
      <x:c r="N366" s="8" t="n">
        <x:f>K366-M366</x:f>
        <x:v>40.01142270130137</x:v>
      </x:c>
      <x:c r="O366" s="8" t="n">
        <x:f>ABS(N366)</x:f>
        <x:v>40.01142270130137</x:v>
      </x:c>
      <x:c r="P366" s="8" t="n">
        <x:f>N366^2</x:f>
        <x:v>1600.9139465822147</x:v>
      </x:c>
      <x:c r="Q366" s="8" t="n">
        <x:f>K366-L366</x:f>
        <x:v>9</x:v>
      </x:c>
      <x:c r="R366" s="9" t="n">
        <x:f>IF(AND(INDEX('Сводка'!$T$3:$T$397,U366)=0,INDEX('Сводка'!$T$3:$T$397,V366)=0),1,0)</x:f>
        <x:v>1</x:v>
      </x:c>
      <x:c r="S366" s="9" t="n">
        <x:f>IF(AND(R366=1,O366&lt;=$G$13),1,0)</x:f>
        <x:v>0</x:v>
      </x:c>
      <x:c r="T366" s="10" t="n">
        <x:f>EOMONTH(J366-'Сводка'!$B$11,-1)</x:f>
        <x:v>46203</x:v>
      </x:c>
      <x:c r="U366" s="4" t="n">
        <x:f>MATCH(J366,'Сводка'!$R$3:$R$397,0)</x:f>
        <x:v>377</x:v>
      </x:c>
      <x:c r="V366" s="4" t="n">
        <x:f>MATCH(J366-'Сводка'!$B$11,'Сводка'!$R$3:$R$397,0)</x:f>
        <x:v>376</x:v>
      </x:c>
      <x:c r="W366" s="4" t="n">
        <x:f>MATCH(T366,$J$388:$J$400,0)</x:f>
        <x:v>13</x:v>
      </x:c>
      <x:c r="X366" s="3"/>
      <x:c r="Y366" s="3"/>
      <x:c r="Z366" s="3"/>
    </x:row>
    <x:row r="367" ht="15" customHeight="1">
      <x:c r="A367" s="3"/>
      <x:c r="B367" s="3"/>
      <x:c r="C367" s="3"/>
      <x:c r="D367" s="3"/>
      <x:c r="E367" s="3"/>
      <x:c r="F367" s="3"/>
      <x:c r="G367" s="3"/>
      <x:c r="H367" s="3"/>
      <x:c r="I367" s="3"/>
      <x:c r="J367" s="10" t="n">
        <x:v>46218</x:v>
      </x:c>
      <x:c r="K367" s="8" t="n">
        <x:f>INDEX('Сводка'!$S$3:$S$397,U367)</x:f>
        <x:v>206</x:v>
      </x:c>
      <x:c r="L367" s="8" t="n">
        <x:f>INDEX('Сводка'!$S$3:$S$397,V367)</x:f>
        <x:v>191</x:v>
      </x:c>
      <x:c r="M367" s="8" t="n">
        <x:f>INDEX($K$388:$N$400,W367,1)*((J367-$T$405+1)/1000)^INDEX($K$388:$N$400,W367,2)</x:f>
        <x:v>151.0058146277244</x:v>
      </x:c>
      <x:c r="N367" s="8" t="n">
        <x:f>K367-M367</x:f>
        <x:v>54.99418537227561</x:v>
      </x:c>
      <x:c r="O367" s="8" t="n">
        <x:f>ABS(N367)</x:f>
        <x:v>54.99418537227561</x:v>
      </x:c>
      <x:c r="P367" s="8" t="n">
        <x:f>N367^2</x:f>
        <x:v>3024.3604247602125</x:v>
      </x:c>
      <x:c r="Q367" s="8" t="n">
        <x:f>K367-L367</x:f>
        <x:v>15</x:v>
      </x:c>
      <x:c r="R367" s="9" t="n">
        <x:f>IF(AND(INDEX('Сводка'!$T$3:$T$397,U367)=0,INDEX('Сводка'!$T$3:$T$397,V367)=0),1,0)</x:f>
        <x:v>1</x:v>
      </x:c>
      <x:c r="S367" s="9" t="n">
        <x:f>IF(AND(R367=1,O367&lt;=$G$13),1,0)</x:f>
        <x:v>0</x:v>
      </x:c>
      <x:c r="T367" s="10" t="n">
        <x:f>EOMONTH(J367-'Сводка'!$B$11,-1)</x:f>
        <x:v>46203</x:v>
      </x:c>
      <x:c r="U367" s="4" t="n">
        <x:f>MATCH(J367,'Сводка'!$R$3:$R$397,0)</x:f>
        <x:v>378</x:v>
      </x:c>
      <x:c r="V367" s="4" t="n">
        <x:f>MATCH(J367-'Сводка'!$B$11,'Сводка'!$R$3:$R$397,0)</x:f>
        <x:v>377</x:v>
      </x:c>
      <x:c r="W367" s="4" t="n">
        <x:f>MATCH(T367,$J$388:$J$400,0)</x:f>
        <x:v>13</x:v>
      </x:c>
      <x:c r="X367" s="3"/>
      <x:c r="Y367" s="3"/>
      <x:c r="Z367" s="3"/>
    </x:row>
    <x:row r="368" ht="15" customHeight="1">
      <x:c r="A368" s="3"/>
      <x:c r="B368" s="3"/>
      <x:c r="C368" s="3"/>
      <x:c r="D368" s="3"/>
      <x:c r="E368" s="3"/>
      <x:c r="F368" s="3"/>
      <x:c r="G368" s="3"/>
      <x:c r="H368" s="3"/>
      <x:c r="I368" s="3"/>
      <x:c r="J368" s="10" t="n">
        <x:v>46219</x:v>
      </x:c>
      <x:c r="K368" s="8" t="n">
        <x:f>INDEX('Сводка'!$S$3:$S$397,U368)</x:f>
        <x:v>225</x:v>
      </x:c>
      <x:c r="L368" s="8" t="n">
        <x:f>INDEX('Сводка'!$S$3:$S$397,V368)</x:f>
        <x:v>206</x:v>
      </x:c>
      <x:c r="M368" s="8" t="n">
        <x:f>INDEX($K$388:$N$400,W368,1)*((J368-$T$405+1)/1000)^INDEX($K$388:$N$400,W368,2)</x:f>
        <x:v>151.02305200101586</x:v>
      </x:c>
      <x:c r="N368" s="8" t="n">
        <x:f>K368-M368</x:f>
        <x:v>73.97694799898414</x:v>
      </x:c>
      <x:c r="O368" s="8" t="n">
        <x:f>ABS(N368)</x:f>
        <x:v>73.97694799898414</x:v>
      </x:c>
      <x:c r="P368" s="8" t="n">
        <x:f>N368^2</x:f>
        <x:v>5472.588835244404</x:v>
      </x:c>
      <x:c r="Q368" s="8" t="n">
        <x:f>K368-L368</x:f>
        <x:v>19</x:v>
      </x:c>
      <x:c r="R368" s="9" t="n">
        <x:f>IF(AND(INDEX('Сводка'!$T$3:$T$397,U368)=0,INDEX('Сводка'!$T$3:$T$397,V368)=0),1,0)</x:f>
        <x:v>1</x:v>
      </x:c>
      <x:c r="S368" s="9" t="n">
        <x:f>IF(AND(R368=1,O368&lt;=$G$13),1,0)</x:f>
        <x:v>0</x:v>
      </x:c>
      <x:c r="T368" s="10" t="n">
        <x:f>EOMONTH(J368-'Сводка'!$B$11,-1)</x:f>
        <x:v>46203</x:v>
      </x:c>
      <x:c r="U368" s="4" t="n">
        <x:f>MATCH(J368,'Сводка'!$R$3:$R$397,0)</x:f>
        <x:v>379</x:v>
      </x:c>
      <x:c r="V368" s="4" t="n">
        <x:f>MATCH(J368-'Сводка'!$B$11,'Сводка'!$R$3:$R$397,0)</x:f>
        <x:v>378</x:v>
      </x:c>
      <x:c r="W368" s="4" t="n">
        <x:f>MATCH(T368,$J$388:$J$400,0)</x:f>
        <x:v>13</x:v>
      </x:c>
      <x:c r="X368" s="3"/>
      <x:c r="Y368" s="3"/>
      <x:c r="Z368" s="3"/>
    </x:row>
    <x:row r="369" ht="15" customHeight="1">
      <x:c r="A369" s="3"/>
      <x:c r="B369" s="3"/>
      <x:c r="C369" s="3"/>
      <x:c r="D369" s="3"/>
      <x:c r="E369" s="3"/>
      <x:c r="F369" s="3"/>
      <x:c r="G369" s="3"/>
      <x:c r="H369" s="3"/>
      <x:c r="I369" s="3"/>
      <x:c r="J369" s="10" t="n">
        <x:v>46220</x:v>
      </x:c>
      <x:c r="K369" s="8" t="n">
        <x:f>INDEX('Сводка'!$S$3:$S$397,U369)</x:f>
        <x:v>245</x:v>
      </x:c>
      <x:c r="L369" s="8" t="n">
        <x:f>INDEX('Сводка'!$S$3:$S$397,V369)</x:f>
        <x:v>225</x:v>
      </x:c>
      <x:c r="M369" s="8" t="n">
        <x:f>INDEX($K$388:$N$400,W369,1)*((J369-$T$405+1)/1000)^INDEX($K$388:$N$400,W369,2)</x:f>
        <x:v>151.04028941856828</x:v>
      </x:c>
      <x:c r="N369" s="8" t="n">
        <x:f>K369-M369</x:f>
        <x:v>93.95971058143172</x:v>
      </x:c>
      <x:c r="O369" s="8" t="n">
        <x:f>ABS(N369)</x:f>
        <x:v>93.95971058143172</x:v>
      </x:c>
      <x:c r="P369" s="8" t="n">
        <x:f>N369^2</x:f>
        <x:v>8828.427212546412</x:v>
      </x:c>
      <x:c r="Q369" s="8" t="n">
        <x:f>K369-L369</x:f>
        <x:v>20</x:v>
      </x:c>
      <x:c r="R369" s="9" t="n">
        <x:f>IF(AND(INDEX('Сводка'!$T$3:$T$397,U369)=0,INDEX('Сводка'!$T$3:$T$397,V369)=0),1,0)</x:f>
        <x:v>1</x:v>
      </x:c>
      <x:c r="S369" s="9" t="n">
        <x:f>IF(AND(R369=1,O369&lt;=$G$13),1,0)</x:f>
        <x:v>0</x:v>
      </x:c>
      <x:c r="T369" s="10" t="n">
        <x:f>EOMONTH(J369-'Сводка'!$B$11,-1)</x:f>
        <x:v>46203</x:v>
      </x:c>
      <x:c r="U369" s="4" t="n">
        <x:f>MATCH(J369,'Сводка'!$R$3:$R$397,0)</x:f>
        <x:v>380</x:v>
      </x:c>
      <x:c r="V369" s="4" t="n">
        <x:f>MATCH(J369-'Сводка'!$B$11,'Сводка'!$R$3:$R$397,0)</x:f>
        <x:v>379</x:v>
      </x:c>
      <x:c r="W369" s="4" t="n">
        <x:f>MATCH(T369,$J$388:$J$400,0)</x:f>
        <x:v>13</x:v>
      </x:c>
      <x:c r="X369" s="3"/>
      <x:c r="Y369" s="3"/>
      <x:c r="Z369" s="3"/>
    </x:row>
    <x:row r="370" ht="15" customHeight="1">
      <x:c r="A370" s="3"/>
      <x:c r="B370" s="3"/>
      <x:c r="C370" s="3"/>
      <x:c r="D370" s="3"/>
      <x:c r="E370" s="3"/>
      <x:c r="F370" s="3"/>
      <x:c r="G370" s="3"/>
      <x:c r="H370" s="3"/>
      <x:c r="I370" s="3"/>
      <x:c r="J370" s="10" t="n">
        <x:v>46221</x:v>
      </x:c>
      <x:c r="K370" s="8" t="n">
        <x:f>INDEX('Сводка'!$S$3:$S$397,U370)</x:f>
        <x:v>266</x:v>
      </x:c>
      <x:c r="L370" s="8" t="n">
        <x:f>INDEX('Сводка'!$S$3:$S$397,V370)</x:f>
        <x:v>245</x:v>
      </x:c>
      <x:c r="M370" s="8" t="n">
        <x:f>INDEX($K$388:$N$400,W370,1)*((J370-$T$405+1)/1000)^INDEX($K$388:$N$400,W370,2)</x:f>
        <x:v>151.05752688037674</x:v>
      </x:c>
      <x:c r="N370" s="8" t="n">
        <x:f>K370-M370</x:f>
        <x:v>114.94247311962326</x:v>
      </x:c>
      <x:c r="O370" s="8" t="n">
        <x:f>ABS(N370)</x:f>
        <x:v>114.94247311962326</x:v>
      </x:c>
      <x:c r="P370" s="8" t="n">
        <x:f>N370^2</x:f>
        <x:v>13211.772126855316</x:v>
      </x:c>
      <x:c r="Q370" s="8" t="n">
        <x:f>K370-L370</x:f>
        <x:v>21</x:v>
      </x:c>
      <x:c r="R370" s="9" t="n">
        <x:f>IF(AND(INDEX('Сводка'!$T$3:$T$397,U370)=0,INDEX('Сводка'!$T$3:$T$397,V370)=0),1,0)</x:f>
        <x:v>1</x:v>
      </x:c>
      <x:c r="S370" s="9" t="n">
        <x:f>IF(AND(R370=1,O370&lt;=$G$13),1,0)</x:f>
        <x:v>0</x:v>
      </x:c>
      <x:c r="T370" s="10" t="n">
        <x:f>EOMONTH(J370-'Сводка'!$B$11,-1)</x:f>
        <x:v>46203</x:v>
      </x:c>
      <x:c r="U370" s="4" t="n">
        <x:f>MATCH(J370,'Сводка'!$R$3:$R$397,0)</x:f>
        <x:v>381</x:v>
      </x:c>
      <x:c r="V370" s="4" t="n">
        <x:f>MATCH(J370-'Сводка'!$B$11,'Сводка'!$R$3:$R$397,0)</x:f>
        <x:v>380</x:v>
      </x:c>
      <x:c r="W370" s="4" t="n">
        <x:f>MATCH(T370,$J$388:$J$400,0)</x:f>
        <x:v>13</x:v>
      </x:c>
      <x:c r="X370" s="3"/>
      <x:c r="Y370" s="3"/>
      <x:c r="Z370" s="3"/>
    </x:row>
    <x:row r="371" ht="15" customHeight="1">
      <x:c r="A371" s="3"/>
      <x:c r="B371" s="3"/>
      <x:c r="C371" s="3"/>
      <x:c r="D371" s="3"/>
      <x:c r="E371" s="3"/>
      <x:c r="F371" s="3"/>
      <x:c r="G371" s="3"/>
      <x:c r="H371" s="3"/>
      <x:c r="I371" s="3"/>
      <x:c r="J371" s="10" t="n">
        <x:v>46222</x:v>
      </x:c>
      <x:c r="K371" s="8" t="n">
        <x:f>INDEX('Сводка'!$S$3:$S$397,U371)</x:f>
        <x:v>281</x:v>
      </x:c>
      <x:c r="L371" s="8" t="n">
        <x:f>INDEX('Сводка'!$S$3:$S$397,V371)</x:f>
        <x:v>266</x:v>
      </x:c>
      <x:c r="M371" s="8" t="n">
        <x:f>INDEX($K$388:$N$400,W371,1)*((J371-$T$405+1)/1000)^INDEX($K$388:$N$400,W371,2)</x:f>
        <x:v>151.0747643864364</x:v>
      </x:c>
      <x:c r="N371" s="8" t="n">
        <x:f>K371-M371</x:f>
        <x:v>129.9252356135636</x:v>
      </x:c>
      <x:c r="O371" s="8" t="n">
        <x:f>ABS(N371)</x:f>
        <x:v>129.9252356135636</x:v>
      </x:c>
      <x:c r="P371" s="8" t="n">
        <x:f>N371^2</x:f>
        <x:v>16880.56684924001</x:v>
      </x:c>
      <x:c r="Q371" s="8" t="n">
        <x:f>K371-L371</x:f>
        <x:v>15</x:v>
      </x:c>
      <x:c r="R371" s="9" t="n">
        <x:f>IF(AND(INDEX('Сводка'!$T$3:$T$397,U371)=0,INDEX('Сводка'!$T$3:$T$397,V371)=0),1,0)</x:f>
        <x:v>1</x:v>
      </x:c>
      <x:c r="S371" s="9" t="n">
        <x:f>IF(AND(R371=1,O371&lt;=$G$13),1,0)</x:f>
        <x:v>0</x:v>
      </x:c>
      <x:c r="T371" s="10" t="n">
        <x:f>EOMONTH(J371-'Сводка'!$B$11,-1)</x:f>
        <x:v>46203</x:v>
      </x:c>
      <x:c r="U371" s="4" t="n">
        <x:f>MATCH(J371,'Сводка'!$R$3:$R$397,0)</x:f>
        <x:v>382</x:v>
      </x:c>
      <x:c r="V371" s="4" t="n">
        <x:f>MATCH(J371-'Сводка'!$B$11,'Сводка'!$R$3:$R$397,0)</x:f>
        <x:v>381</x:v>
      </x:c>
      <x:c r="W371" s="4" t="n">
        <x:f>MATCH(T371,$J$388:$J$400,0)</x:f>
        <x:v>13</x:v>
      </x:c>
      <x:c r="X371" s="3"/>
      <x:c r="Y371" s="3"/>
      <x:c r="Z371" s="3"/>
    </x:row>
    <x:row r="372" ht="15" customHeight="1">
      <x:c r="A372" s="3"/>
      <x:c r="B372" s="3"/>
      <x:c r="C372" s="3"/>
      <x:c r="D372" s="3"/>
      <x:c r="E372" s="3"/>
      <x:c r="F372" s="3"/>
      <x:c r="G372" s="3"/>
      <x:c r="H372" s="3"/>
      <x:c r="I372" s="3"/>
      <x:c r="J372" s="10" t="n">
        <x:v>46223</x:v>
      </x:c>
      <x:c r="K372" s="8" t="n">
        <x:f>INDEX('Сводка'!$S$3:$S$397,U372)</x:f>
        <x:v>292</x:v>
      </x:c>
      <x:c r="L372" s="8" t="n">
        <x:f>INDEX('Сводка'!$S$3:$S$397,V372)</x:f>
        <x:v>281</x:v>
      </x:c>
      <x:c r="M372" s="8" t="n">
        <x:f>INDEX($K$388:$N$400,W372,1)*((J372-$T$405+1)/1000)^INDEX($K$388:$N$400,W372,2)</x:f>
        <x:v>151.09200193674258</x:v>
      </x:c>
      <x:c r="N372" s="8" t="n">
        <x:f>K372-M372</x:f>
        <x:v>140.90799806325742</x:v>
      </x:c>
      <x:c r="O372" s="8" t="n">
        <x:f>ABS(N372)</x:f>
        <x:v>140.90799806325742</x:v>
      </x:c>
      <x:c r="P372" s="8" t="n">
        <x:f>N372^2</x:f>
        <x:v>19855.06391819496</x:v>
      </x:c>
      <x:c r="Q372" s="8" t="n">
        <x:f>K372-L372</x:f>
        <x:v>11</x:v>
      </x:c>
      <x:c r="R372" s="9" t="n">
        <x:f>IF(AND(INDEX('Сводка'!$T$3:$T$397,U372)=0,INDEX('Сводка'!$T$3:$T$397,V372)=0),1,0)</x:f>
        <x:v>1</x:v>
      </x:c>
      <x:c r="S372" s="9" t="n">
        <x:f>IF(AND(R372=1,O372&lt;=$G$13),1,0)</x:f>
        <x:v>0</x:v>
      </x:c>
      <x:c r="T372" s="10" t="n">
        <x:f>EOMONTH(J372-'Сводка'!$B$11,-1)</x:f>
        <x:v>46203</x:v>
      </x:c>
      <x:c r="U372" s="4" t="n">
        <x:f>MATCH(J372,'Сводка'!$R$3:$R$397,0)</x:f>
        <x:v>383</x:v>
      </x:c>
      <x:c r="V372" s="4" t="n">
        <x:f>MATCH(J372-'Сводка'!$B$11,'Сводка'!$R$3:$R$397,0)</x:f>
        <x:v>382</x:v>
      </x:c>
      <x:c r="W372" s="4" t="n">
        <x:f>MATCH(T372,$J$388:$J$400,0)</x:f>
        <x:v>13</x:v>
      </x:c>
      <x:c r="X372" s="3"/>
      <x:c r="Y372" s="3"/>
      <x:c r="Z372" s="3"/>
    </x:row>
    <x:row r="373" ht="15" customHeight="1">
      <x:c r="A373" s="3"/>
      <x:c r="B373" s="3"/>
      <x:c r="C373" s="3"/>
      <x:c r="D373" s="3"/>
      <x:c r="E373" s="3"/>
      <x:c r="F373" s="3"/>
      <x:c r="G373" s="3"/>
      <x:c r="H373" s="3"/>
      <x:c r="I373" s="3"/>
      <x:c r="J373" s="10" t="n">
        <x:v>46224</x:v>
      </x:c>
      <x:c r="K373" s="8" t="n">
        <x:f>INDEX('Сводка'!$S$3:$S$397,U373)</x:f>
        <x:v>303</x:v>
      </x:c>
      <x:c r="L373" s="8" t="n">
        <x:f>INDEX('Сводка'!$S$3:$S$397,V373)</x:f>
        <x:v>292</x:v>
      </x:c>
      <x:c r="M373" s="8" t="n">
        <x:f>INDEX($K$388:$N$400,W373,1)*((J373-$T$405+1)/1000)^INDEX($K$388:$N$400,W373,2)</x:f>
        <x:v>151.1092395312903</x:v>
      </x:c>
      <x:c r="N373" s="8" t="n">
        <x:f>K373-M373</x:f>
        <x:v>151.8907604687097</x:v>
      </x:c>
      <x:c r="O373" s="8" t="n">
        <x:f>ABS(N373)</x:f>
        <x:v>151.8907604687097</x:v>
      </x:c>
      <x:c r="P373" s="8" t="n">
        <x:f>N373^2</x:f>
        <x:v>23070.80311576294</x:v>
      </x:c>
      <x:c r="Q373" s="8" t="n">
        <x:f>K373-L373</x:f>
        <x:v>11</x:v>
      </x:c>
      <x:c r="R373" s="9" t="n">
        <x:f>IF(AND(INDEX('Сводка'!$T$3:$T$397,U373)=0,INDEX('Сводка'!$T$3:$T$397,V373)=0),1,0)</x:f>
        <x:v>1</x:v>
      </x:c>
      <x:c r="S373" s="9" t="n">
        <x:f>IF(AND(R373=1,O373&lt;=$G$13),1,0)</x:f>
        <x:v>0</x:v>
      </x:c>
      <x:c r="T373" s="10" t="n">
        <x:f>EOMONTH(J373-'Сводка'!$B$11,-1)</x:f>
        <x:v>46203</x:v>
      </x:c>
      <x:c r="U373" s="4" t="n">
        <x:f>MATCH(J373,'Сводка'!$R$3:$R$397,0)</x:f>
        <x:v>384</x:v>
      </x:c>
      <x:c r="V373" s="4" t="n">
        <x:f>MATCH(J373-'Сводка'!$B$11,'Сводка'!$R$3:$R$397,0)</x:f>
        <x:v>383</x:v>
      </x:c>
      <x:c r="W373" s="4" t="n">
        <x:f>MATCH(T373,$J$388:$J$400,0)</x:f>
        <x:v>13</x:v>
      </x:c>
      <x:c r="X373" s="3"/>
      <x:c r="Y373" s="3"/>
      <x:c r="Z373" s="3"/>
    </x:row>
    <x:row r="374" ht="15" customHeight="1">
      <x:c r="A374" s="3"/>
      <x:c r="B374" s="3"/>
      <x:c r="C374" s="3"/>
      <x:c r="D374" s="3"/>
      <x:c r="E374" s="3"/>
      <x:c r="F374" s="3"/>
      <x:c r="G374" s="3"/>
      <x:c r="H374" s="3"/>
      <x:c r="I374" s="3"/>
      <x:c r="J374" s="10" t="n">
        <x:v>46225</x:v>
      </x:c>
      <x:c r="K374" s="8" t="n">
        <x:f>INDEX('Сводка'!$S$3:$S$397,U374)</x:f>
        <x:v>311</x:v>
      </x:c>
      <x:c r="L374" s="8" t="n">
        <x:f>INDEX('Сводка'!$S$3:$S$397,V374)</x:f>
        <x:v>303</x:v>
      </x:c>
      <x:c r="M374" s="8" t="n">
        <x:f>INDEX($K$388:$N$400,W374,1)*((J374-$T$405+1)/1000)^INDEX($K$388:$N$400,W374,2)</x:f>
        <x:v>151.12647717007482</x:v>
      </x:c>
      <x:c r="N374" s="8" t="n">
        <x:f>K374-M374</x:f>
        <x:v>159.87352282992518</x:v>
      </x:c>
      <x:c r="O374" s="8" t="n">
        <x:f>ABS(N374)</x:f>
        <x:v>159.87352282992518</x:v>
      </x:c>
      <x:c r="P374" s="8" t="n">
        <x:f>N374^2</x:f>
        <x:v>25559.543302050606</x:v>
      </x:c>
      <x:c r="Q374" s="8" t="n">
        <x:f>K374-L374</x:f>
        <x:v>8</x:v>
      </x:c>
      <x:c r="R374" s="9" t="n">
        <x:f>IF(AND(INDEX('Сводка'!$T$3:$T$397,U374)=0,INDEX('Сводка'!$T$3:$T$397,V374)=0),1,0)</x:f>
        <x:v>1</x:v>
      </x:c>
      <x:c r="S374" s="9" t="n">
        <x:f>IF(AND(R374=1,O374&lt;=$G$13),1,0)</x:f>
        <x:v>0</x:v>
      </x:c>
      <x:c r="T374" s="10" t="n">
        <x:f>EOMONTH(J374-'Сводка'!$B$11,-1)</x:f>
        <x:v>46203</x:v>
      </x:c>
      <x:c r="U374" s="4" t="n">
        <x:f>MATCH(J374,'Сводка'!$R$3:$R$397,0)</x:f>
        <x:v>385</x:v>
      </x:c>
      <x:c r="V374" s="4" t="n">
        <x:f>MATCH(J374-'Сводка'!$B$11,'Сводка'!$R$3:$R$397,0)</x:f>
        <x:v>384</x:v>
      </x:c>
      <x:c r="W374" s="4" t="n">
        <x:f>MATCH(T374,$J$388:$J$400,0)</x:f>
        <x:v>13</x:v>
      </x:c>
      <x:c r="X374" s="3"/>
      <x:c r="Y374" s="3"/>
      <x:c r="Z374" s="3"/>
    </x:row>
    <x:row r="375" ht="15" customHeight="1">
      <x:c r="A375" s="3"/>
      <x:c r="B375" s="3"/>
      <x:c r="C375" s="3"/>
      <x:c r="D375" s="3"/>
      <x:c r="E375" s="3"/>
      <x:c r="F375" s="3"/>
      <x:c r="G375" s="3"/>
      <x:c r="H375" s="3"/>
      <x:c r="I375" s="3"/>
      <x:c r="J375" s="10" t="n">
        <x:v>46226</x:v>
      </x:c>
      <x:c r="K375" s="8" t="n">
        <x:f>INDEX('Сводка'!$S$3:$S$397,U375)</x:f>
        <x:v>328</x:v>
      </x:c>
      <x:c r="L375" s="8" t="n">
        <x:f>INDEX('Сводка'!$S$3:$S$397,V375)</x:f>
        <x:v>311</x:v>
      </x:c>
      <x:c r="M375" s="8" t="n">
        <x:f>INDEX($K$388:$N$400,W375,1)*((J375-$T$405+1)/1000)^INDEX($K$388:$N$400,W375,2)</x:f>
        <x:v>151.14371485309132</x:v>
      </x:c>
      <x:c r="N375" s="8" t="n">
        <x:f>K375-M375</x:f>
        <x:v>176.85628514690868</x:v>
      </x:c>
      <x:c r="O375" s="8" t="n">
        <x:f>ABS(N375)</x:f>
        <x:v>176.85628514690868</x:v>
      </x:c>
      <x:c r="P375" s="8" t="n">
        <x:f>N375^2</x:f>
        <x:v>31278.14559596467</x:v>
      </x:c>
      <x:c r="Q375" s="8" t="n">
        <x:f>K375-L375</x:f>
        <x:v>17</x:v>
      </x:c>
      <x:c r="R375" s="9" t="n">
        <x:f>IF(AND(INDEX('Сводка'!$T$3:$T$397,U375)=0,INDEX('Сводка'!$T$3:$T$397,V375)=0),1,0)</x:f>
        <x:v>1</x:v>
      </x:c>
      <x:c r="S375" s="9" t="n">
        <x:f>IF(AND(R375=1,O375&lt;=$G$13),1,0)</x:f>
        <x:v>0</x:v>
      </x:c>
      <x:c r="T375" s="10" t="n">
        <x:f>EOMONTH(J375-'Сводка'!$B$11,-1)</x:f>
        <x:v>46203</x:v>
      </x:c>
      <x:c r="U375" s="4" t="n">
        <x:f>MATCH(J375,'Сводка'!$R$3:$R$397,0)</x:f>
        <x:v>386</x:v>
      </x:c>
      <x:c r="V375" s="4" t="n">
        <x:f>MATCH(J375-'Сводка'!$B$11,'Сводка'!$R$3:$R$397,0)</x:f>
        <x:v>385</x:v>
      </x:c>
      <x:c r="W375" s="4" t="n">
        <x:f>MATCH(T375,$J$388:$J$400,0)</x:f>
        <x:v>13</x:v>
      </x:c>
      <x:c r="X375" s="3"/>
      <x:c r="Y375" s="3"/>
      <x:c r="Z375" s="3"/>
    </x:row>
    <x:row r="376" ht="15" customHeight="1">
      <x:c r="A376" s="3"/>
      <x:c r="B376" s="3"/>
      <x:c r="C376" s="3"/>
      <x:c r="D376" s="3"/>
      <x:c r="E376" s="3"/>
      <x:c r="F376" s="3"/>
      <x:c r="G376" s="3"/>
      <x:c r="H376" s="3"/>
      <x:c r="I376" s="3"/>
      <x:c r="J376" s="10" t="n">
        <x:v>46227</x:v>
      </x:c>
      <x:c r="K376" s="8" t="n">
        <x:f>INDEX('Сводка'!$S$3:$S$397,U376)</x:f>
        <x:v>340</x:v>
      </x:c>
      <x:c r="L376" s="8" t="n">
        <x:f>INDEX('Сводка'!$S$3:$S$397,V376)</x:f>
        <x:v>328</x:v>
      </x:c>
      <x:c r="M376" s="8" t="n">
        <x:f>INDEX($K$388:$N$400,W376,1)*((J376-$T$405+1)/1000)^INDEX($K$388:$N$400,W376,2)</x:f>
        <x:v>151.16095258033494</x:v>
      </x:c>
      <x:c r="N376" s="8" t="n">
        <x:f>K376-M376</x:f>
        <x:v>188.83904741966506</x:v>
      </x:c>
      <x:c r="O376" s="8" t="n">
        <x:f>ABS(N376)</x:f>
        <x:v>188.83904741966506</x:v>
      </x:c>
      <x:c r="P376" s="8" t="n">
        <x:f>N376^2</x:f>
        <x:v>35660.185830366514</x:v>
      </x:c>
      <x:c r="Q376" s="8" t="n">
        <x:f>K376-L376</x:f>
        <x:v>12</x:v>
      </x:c>
      <x:c r="R376" s="9" t="n">
        <x:f>IF(AND(INDEX('Сводка'!$T$3:$T$397,U376)=0,INDEX('Сводка'!$T$3:$T$397,V376)=0),1,0)</x:f>
        <x:v>1</x:v>
      </x:c>
      <x:c r="S376" s="9" t="n">
        <x:f>IF(AND(R376=1,O376&lt;=$G$13),1,0)</x:f>
        <x:v>0</x:v>
      </x:c>
      <x:c r="T376" s="10" t="n">
        <x:f>EOMONTH(J376-'Сводка'!$B$11,-1)</x:f>
        <x:v>46203</x:v>
      </x:c>
      <x:c r="U376" s="4" t="n">
        <x:f>MATCH(J376,'Сводка'!$R$3:$R$397,0)</x:f>
        <x:v>387</x:v>
      </x:c>
      <x:c r="V376" s="4" t="n">
        <x:f>MATCH(J376-'Сводка'!$B$11,'Сводка'!$R$3:$R$397,0)</x:f>
        <x:v>386</x:v>
      </x:c>
      <x:c r="W376" s="4" t="n">
        <x:f>MATCH(T376,$J$388:$J$400,0)</x:f>
        <x:v>13</x:v>
      </x:c>
      <x:c r="X376" s="3"/>
      <x:c r="Y376" s="3"/>
      <x:c r="Z376" s="3"/>
    </x:row>
    <x:row r="377" ht="15" customHeight="1">
      <x:c r="A377" s="3"/>
      <x:c r="B377" s="3"/>
      <x:c r="C377" s="3"/>
      <x:c r="D377" s="3"/>
      <x:c r="E377" s="3"/>
      <x:c r="F377" s="3"/>
      <x:c r="G377" s="3"/>
      <x:c r="H377" s="3"/>
      <x:c r="I377" s="3"/>
      <x:c r="J377" s="10" t="n">
        <x:v>46228</x:v>
      </x:c>
      <x:c r="K377" s="8" t="n">
        <x:f>INDEX('Сводка'!$S$3:$S$397,U377)</x:f>
        <x:v>350</x:v>
      </x:c>
      <x:c r="L377" s="8" t="n">
        <x:f>INDEX('Сводка'!$S$3:$S$397,V377)</x:f>
        <x:v>340</x:v>
      </x:c>
      <x:c r="M377" s="8" t="n">
        <x:f>INDEX($K$388:$N$400,W377,1)*((J377-$T$405+1)/1000)^INDEX($K$388:$N$400,W377,2)</x:f>
        <x:v>151.17819035180094</x:v>
      </x:c>
      <x:c r="N377" s="8" t="n">
        <x:f>K377-M377</x:f>
        <x:v>198.82180964819906</x:v>
      </x:c>
      <x:c r="O377" s="8" t="n">
        <x:f>ABS(N377)</x:f>
        <x:v>198.82180964819906</x:v>
      </x:c>
      <x:c r="P377" s="8" t="n">
        <x:f>N377^2</x:f>
        <x:v>39530.1119917847</x:v>
      </x:c>
      <x:c r="Q377" s="8" t="n">
        <x:f>K377-L377</x:f>
        <x:v>10</x:v>
      </x:c>
      <x:c r="R377" s="9" t="n">
        <x:f>IF(AND(INDEX('Сводка'!$T$3:$T$397,U377)=0,INDEX('Сводка'!$T$3:$T$397,V377)=0),1,0)</x:f>
        <x:v>1</x:v>
      </x:c>
      <x:c r="S377" s="9" t="n">
        <x:f>IF(AND(R377=1,O377&lt;=$G$13),1,0)</x:f>
        <x:v>0</x:v>
      </x:c>
      <x:c r="T377" s="10" t="n">
        <x:f>EOMONTH(J377-'Сводка'!$B$11,-1)</x:f>
        <x:v>46203</x:v>
      </x:c>
      <x:c r="U377" s="4" t="n">
        <x:f>MATCH(J377,'Сводка'!$R$3:$R$397,0)</x:f>
        <x:v>388</x:v>
      </x:c>
      <x:c r="V377" s="4" t="n">
        <x:f>MATCH(J377-'Сводка'!$B$11,'Сводка'!$R$3:$R$397,0)</x:f>
        <x:v>387</x:v>
      </x:c>
      <x:c r="W377" s="4" t="n">
        <x:f>MATCH(T377,$J$388:$J$400,0)</x:f>
        <x:v>13</x:v>
      </x:c>
      <x:c r="X377" s="3"/>
      <x:c r="Y377" s="3"/>
      <x:c r="Z377" s="3"/>
    </x:row>
    <x:row r="378" ht="15" customHeight="1">
      <x:c r="A378" s="3"/>
      <x:c r="B378" s="3"/>
      <x:c r="C378" s="3"/>
      <x:c r="D378" s="3"/>
      <x:c r="E378" s="3"/>
      <x:c r="F378" s="3"/>
      <x:c r="G378" s="3"/>
      <x:c r="H378" s="3"/>
      <x:c r="I378" s="3"/>
      <x:c r="J378" s="10" t="n">
        <x:v>46229</x:v>
      </x:c>
      <x:c r="K378" s="8" t="n">
        <x:f>INDEX('Сводка'!$S$3:$S$397,U378)</x:f>
        <x:v>361</x:v>
      </x:c>
      <x:c r="L378" s="8" t="n">
        <x:f>INDEX('Сводка'!$S$3:$S$397,V378)</x:f>
        <x:v>350</x:v>
      </x:c>
      <x:c r="M378" s="8" t="n">
        <x:f>INDEX($K$388:$N$400,W378,1)*((J378-$T$405+1)/1000)^INDEX($K$388:$N$400,W378,2)</x:f>
        <x:v>151.1954281674844</x:v>
      </x:c>
      <x:c r="N378" s="8" t="n">
        <x:f>K378-M378</x:f>
        <x:v>209.8045718325156</x:v>
      </x:c>
      <x:c r="O378" s="8" t="n">
        <x:f>ABS(N378)</x:f>
        <x:v>209.8045718325156</x:v>
      </x:c>
      <x:c r="P378" s="8" t="n">
        <x:f>N378^2</x:f>
        <x:v>44017.95836182519</x:v>
      </x:c>
      <x:c r="Q378" s="8" t="n">
        <x:f>K378-L378</x:f>
        <x:v>11</x:v>
      </x:c>
      <x:c r="R378" s="9" t="n">
        <x:f>IF(AND(INDEX('Сводка'!$T$3:$T$397,U378)=0,INDEX('Сводка'!$T$3:$T$397,V378)=0),1,0)</x:f>
        <x:v>1</x:v>
      </x:c>
      <x:c r="S378" s="9" t="n">
        <x:f>IF(AND(R378=1,O378&lt;=$G$13),1,0)</x:f>
        <x:v>0</x:v>
      </x:c>
      <x:c r="T378" s="10" t="n">
        <x:f>EOMONTH(J378-'Сводка'!$B$11,-1)</x:f>
        <x:v>46203</x:v>
      </x:c>
      <x:c r="U378" s="4" t="n">
        <x:f>MATCH(J378,'Сводка'!$R$3:$R$397,0)</x:f>
        <x:v>389</x:v>
      </x:c>
      <x:c r="V378" s="4" t="n">
        <x:f>MATCH(J378-'Сводка'!$B$11,'Сводка'!$R$3:$R$397,0)</x:f>
        <x:v>388</x:v>
      </x:c>
      <x:c r="W378" s="4" t="n">
        <x:f>MATCH(T378,$J$388:$J$400,0)</x:f>
        <x:v>13</x:v>
      </x:c>
      <x:c r="X378" s="3"/>
      <x:c r="Y378" s="3"/>
      <x:c r="Z378" s="3"/>
    </x:row>
    <x:row r="379" ht="15" customHeight="1">
      <x:c r="A379" s="3"/>
      <x:c r="B379" s="3"/>
      <x:c r="C379" s="3"/>
      <x:c r="D379" s="3"/>
      <x:c r="E379" s="3"/>
      <x:c r="F379" s="3"/>
      <x:c r="G379" s="3"/>
      <x:c r="H379" s="3"/>
      <x:c r="I379" s="3"/>
      <x:c r="J379" s="10" t="n">
        <x:v>46230</x:v>
      </x:c>
      <x:c r="K379" s="8" t="n">
        <x:f>INDEX('Сводка'!$S$3:$S$397,U379)</x:f>
        <x:v>369</x:v>
      </x:c>
      <x:c r="L379" s="8" t="n">
        <x:f>INDEX('Сводка'!$S$3:$S$397,V379)</x:f>
        <x:v>361</x:v>
      </x:c>
      <x:c r="M379" s="8" t="n">
        <x:f>INDEX($K$388:$N$400,W379,1)*((J379-$T$405+1)/1000)^INDEX($K$388:$N$400,W379,2)</x:f>
        <x:v>151.21266602738064</x:v>
      </x:c>
      <x:c r="N379" s="8" t="n">
        <x:f>K379-M379</x:f>
        <x:v>217.78733397261936</x:v>
      </x:c>
      <x:c r="O379" s="8" t="n">
        <x:f>ABS(N379)</x:f>
        <x:v>217.78733397261936</x:v>
      </x:c>
      <x:c r="P379" s="8" t="n">
        <x:f>N379^2</x:f>
        <x:v>47431.322838901244</x:v>
      </x:c>
      <x:c r="Q379" s="8" t="n">
        <x:f>K379-L379</x:f>
        <x:v>8</x:v>
      </x:c>
      <x:c r="R379" s="9" t="n">
        <x:f>IF(AND(INDEX('Сводка'!$T$3:$T$397,U379)=0,INDEX('Сводка'!$T$3:$T$397,V379)=0),1,0)</x:f>
        <x:v>1</x:v>
      </x:c>
      <x:c r="S379" s="9" t="n">
        <x:f>IF(AND(R379=1,O379&lt;=$G$13),1,0)</x:f>
        <x:v>0</x:v>
      </x:c>
      <x:c r="T379" s="10" t="n">
        <x:f>EOMONTH(J379-'Сводка'!$B$11,-1)</x:f>
        <x:v>46203</x:v>
      </x:c>
      <x:c r="U379" s="4" t="n">
        <x:f>MATCH(J379,'Сводка'!$R$3:$R$397,0)</x:f>
        <x:v>390</x:v>
      </x:c>
      <x:c r="V379" s="4" t="n">
        <x:f>MATCH(J379-'Сводка'!$B$11,'Сводка'!$R$3:$R$397,0)</x:f>
        <x:v>389</x:v>
      </x:c>
      <x:c r="W379" s="4" t="n">
        <x:f>MATCH(T379,$J$388:$J$400,0)</x:f>
        <x:v>13</x:v>
      </x:c>
      <x:c r="X379" s="3"/>
      <x:c r="Y379" s="3"/>
      <x:c r="Z379" s="3"/>
    </x:row>
    <x:row r="380" ht="15" customHeight="1">
      <x:c r="A380" s="3"/>
      <x:c r="B380" s="3"/>
      <x:c r="C380" s="3"/>
      <x:c r="D380" s="3"/>
      <x:c r="E380" s="3"/>
      <x:c r="F380" s="3"/>
      <x:c r="G380" s="3"/>
      <x:c r="H380" s="3"/>
      <x:c r="I380" s="3"/>
      <x:c r="J380" s="10" t="n">
        <x:v>46231</x:v>
      </x:c>
      <x:c r="K380" s="8" t="n">
        <x:f>INDEX('Сводка'!$S$3:$S$397,U380)</x:f>
        <x:v>377</x:v>
      </x:c>
      <x:c r="L380" s="8" t="n">
        <x:f>INDEX('Сводка'!$S$3:$S$397,V380)</x:f>
        <x:v>369</x:v>
      </x:c>
      <x:c r="M380" s="8" t="n">
        <x:f>INDEX($K$388:$N$400,W380,1)*((J380-$T$405+1)/1000)^INDEX($K$388:$N$400,W380,2)</x:f>
        <x:v>151.22990393148467</x:v>
      </x:c>
      <x:c r="N380" s="8" t="n">
        <x:f>K380-M380</x:f>
        <x:v>225.77009606851533</x:v>
      </x:c>
      <x:c r="O380" s="8" t="n">
        <x:f>ABS(N380)</x:f>
        <x:v>225.77009606851533</x:v>
      </x:c>
      <x:c r="P380" s="8" t="n">
        <x:f>N380^2</x:f>
        <x:v>50972.13627878664</x:v>
      </x:c>
      <x:c r="Q380" s="8" t="n">
        <x:f>K380-L380</x:f>
        <x:v>8</x:v>
      </x:c>
      <x:c r="R380" s="9" t="n">
        <x:f>IF(AND(INDEX('Сводка'!$T$3:$T$397,U380)=0,INDEX('Сводка'!$T$3:$T$397,V380)=0),1,0)</x:f>
        <x:v>1</x:v>
      </x:c>
      <x:c r="S380" s="9" t="n">
        <x:f>IF(AND(R380=1,O380&lt;=$G$13),1,0)</x:f>
        <x:v>0</x:v>
      </x:c>
      <x:c r="T380" s="10" t="n">
        <x:f>EOMONTH(J380-'Сводка'!$B$11,-1)</x:f>
        <x:v>46203</x:v>
      </x:c>
      <x:c r="U380" s="4" t="n">
        <x:f>MATCH(J380,'Сводка'!$R$3:$R$397,0)</x:f>
        <x:v>391</x:v>
      </x:c>
      <x:c r="V380" s="4" t="n">
        <x:f>MATCH(J380-'Сводка'!$B$11,'Сводка'!$R$3:$R$397,0)</x:f>
        <x:v>390</x:v>
      </x:c>
      <x:c r="W380" s="4" t="n">
        <x:f>MATCH(T380,$J$388:$J$400,0)</x:f>
        <x:v>13</x:v>
      </x:c>
      <x:c r="X380" s="3"/>
      <x:c r="Y380" s="3"/>
      <x:c r="Z380" s="3"/>
    </x:row>
    <x:row r="381" ht="15" customHeight="1">
      <x:c r="A381" s="3"/>
      <x:c r="B381" s="3"/>
      <x:c r="C381" s="3"/>
      <x:c r="D381" s="3"/>
      <x:c r="E381" s="3"/>
      <x:c r="F381" s="3"/>
      <x:c r="G381" s="3"/>
      <x:c r="H381" s="3"/>
      <x:c r="I381" s="3"/>
      <x:c r="J381" s="10" t="n">
        <x:v>46232</x:v>
      </x:c>
      <x:c r="K381" s="8" t="n">
        <x:f>INDEX('Сводка'!$S$3:$S$397,U381)</x:f>
        <x:v>385</x:v>
      </x:c>
      <x:c r="L381" s="8" t="n">
        <x:f>INDEX('Сводка'!$S$3:$S$397,V381)</x:f>
        <x:v>377</x:v>
      </x:c>
      <x:c r="M381" s="8" t="n">
        <x:f>INDEX($K$388:$N$400,W381,1)*((J381-$T$405+1)/1000)^INDEX($K$388:$N$400,W381,2)</x:f>
        <x:v>151.24714187979185</x:v>
      </x:c>
      <x:c r="N381" s="8" t="n">
        <x:f>K381-M381</x:f>
        <x:v>233.75285812020815</x:v>
      </x:c>
      <x:c r="O381" s="8" t="n">
        <x:f>ABS(N381)</x:f>
        <x:v>233.75285812020815</x:v>
      </x:c>
      <x:c r="P381" s="8" t="n">
        <x:f>N381^2</x:f>
        <x:v>54640.39867936616</x:v>
      </x:c>
      <x:c r="Q381" s="8" t="n">
        <x:f>K381-L381</x:f>
        <x:v>8</x:v>
      </x:c>
      <x:c r="R381" s="9" t="n">
        <x:f>IF(AND(INDEX('Сводка'!$T$3:$T$397,U381)=0,INDEX('Сводка'!$T$3:$T$397,V381)=0),1,0)</x:f>
        <x:v>1</x:v>
      </x:c>
      <x:c r="S381" s="9" t="n">
        <x:f>IF(AND(R381=1,O381&lt;=$G$13),1,0)</x:f>
        <x:v>0</x:v>
      </x:c>
      <x:c r="T381" s="10" t="n">
        <x:f>EOMONTH(J381-'Сводка'!$B$11,-1)</x:f>
        <x:v>46203</x:v>
      </x:c>
      <x:c r="U381" s="4" t="n">
        <x:f>MATCH(J381,'Сводка'!$R$3:$R$397,0)</x:f>
        <x:v>392</x:v>
      </x:c>
      <x:c r="V381" s="4" t="n">
        <x:f>MATCH(J381-'Сводка'!$B$11,'Сводка'!$R$3:$R$397,0)</x:f>
        <x:v>391</x:v>
      </x:c>
      <x:c r="W381" s="4" t="n">
        <x:f>MATCH(T381,$J$388:$J$400,0)</x:f>
        <x:v>13</x:v>
      </x:c>
      <x:c r="X381" s="3"/>
      <x:c r="Y381" s="3"/>
      <x:c r="Z381" s="3"/>
    </x:row>
    <x:row r="382" ht="15" customHeight="1">
      <x:c r="A382" s="3"/>
      <x:c r="B382" s="3"/>
      <x:c r="C382" s="3"/>
      <x:c r="D382" s="3"/>
      <x:c r="E382" s="3"/>
      <x:c r="F382" s="3"/>
      <x:c r="G382" s="3"/>
      <x:c r="H382" s="3"/>
      <x:c r="I382" s="3"/>
      <x:c r="J382" s="10" t="n">
        <x:v>46233</x:v>
      </x:c>
      <x:c r="K382" s="8" t="n">
        <x:f>INDEX('Сводка'!$S$3:$S$397,U382)</x:f>
        <x:v>389</x:v>
      </x:c>
      <x:c r="L382" s="8" t="n">
        <x:f>INDEX('Сводка'!$S$3:$S$397,V382)</x:f>
        <x:v>385</x:v>
      </x:c>
      <x:c r="M382" s="8" t="n">
        <x:f>INDEX($K$388:$N$400,W382,1)*((J382-$T$405+1)/1000)^INDEX($K$388:$N$400,W382,2)</x:f>
        <x:v>151.26437987229727</x:v>
      </x:c>
      <x:c r="N382" s="8" t="n">
        <x:f>K382-M382</x:f>
        <x:v>237.73562012770273</x:v>
      </x:c>
      <x:c r="O382" s="8" t="n">
        <x:f>ABS(N382)</x:f>
        <x:v>237.73562012770273</x:v>
      </x:c>
      <x:c r="P382" s="8" t="n">
        <x:f>N382^2</x:f>
        <x:v>56518.225077503375</x:v>
      </x:c>
      <x:c r="Q382" s="8" t="n">
        <x:f>K382-L382</x:f>
        <x:v>4</x:v>
      </x:c>
      <x:c r="R382" s="9" t="n">
        <x:f>IF(AND(INDEX('Сводка'!$T$3:$T$397,U382)=0,INDEX('Сводка'!$T$3:$T$397,V382)=0),1,0)</x:f>
        <x:v>1</x:v>
      </x:c>
      <x:c r="S382" s="9" t="n">
        <x:f>IF(AND(R382=1,O382&lt;=$G$13),1,0)</x:f>
        <x:v>0</x:v>
      </x:c>
      <x:c r="T382" s="10" t="n">
        <x:f>EOMONTH(J382-'Сводка'!$B$11,-1)</x:f>
        <x:v>46203</x:v>
      </x:c>
      <x:c r="U382" s="4" t="n">
        <x:f>MATCH(J382,'Сводка'!$R$3:$R$397,0)</x:f>
        <x:v>393</x:v>
      </x:c>
      <x:c r="V382" s="4" t="n">
        <x:f>MATCH(J382-'Сводка'!$B$11,'Сводка'!$R$3:$R$397,0)</x:f>
        <x:v>392</x:v>
      </x:c>
      <x:c r="W382" s="4" t="n">
        <x:f>MATCH(T382,$J$388:$J$400,0)</x:f>
        <x:v>13</x:v>
      </x:c>
      <x:c r="X382" s="3"/>
      <x:c r="Y382" s="3"/>
      <x:c r="Z382" s="3"/>
    </x:row>
    <x:row r="383" ht="15" customHeight="1">
      <x:c r="A383" s="3"/>
      <x:c r="B383" s="3"/>
      <x:c r="C383" s="3"/>
      <x:c r="D383" s="3"/>
      <x:c r="E383" s="3"/>
      <x:c r="F383" s="3"/>
      <x:c r="G383" s="3"/>
      <x:c r="H383" s="3"/>
      <x:c r="I383" s="3"/>
      <x:c r="J383" s="10" t="n">
        <x:v>46234</x:v>
      </x:c>
      <x:c r="K383" s="8" t="n">
        <x:f>INDEX('Сводка'!$S$3:$S$397,U383)</x:f>
        <x:v>399</x:v>
      </x:c>
      <x:c r="L383" s="8" t="n">
        <x:f>INDEX('Сводка'!$S$3:$S$397,V383)</x:f>
        <x:v>389</x:v>
      </x:c>
      <x:c r="M383" s="8" t="n">
        <x:f>INDEX($K$388:$N$400,W383,1)*((J383-$T$405+1)/1000)^INDEX($K$388:$N$400,W383,2)</x:f>
        <x:v>151.28161790899614</x:v>
      </x:c>
      <x:c r="N383" s="8" t="n">
        <x:f>K383-M383</x:f>
        <x:v>247.71838209100386</x:v>
      </x:c>
      <x:c r="O383" s="8" t="n">
        <x:f>ABS(N383)</x:f>
        <x:v>247.71838209100386</x:v>
      </x:c>
      <x:c r="P383" s="8" t="n">
        <x:f>N383^2</x:f>
        <x:v>61364.396825784585</x:v>
      </x:c>
      <x:c r="Q383" s="8" t="n">
        <x:f>K383-L383</x:f>
        <x:v>10</x:v>
      </x:c>
      <x:c r="R383" s="9" t="n">
        <x:f>IF(AND(INDEX('Сводка'!$T$3:$T$397,U383)=0,INDEX('Сводка'!$T$3:$T$397,V383)=0),1,0)</x:f>
        <x:v>1</x:v>
      </x:c>
      <x:c r="S383" s="9" t="n">
        <x:f>IF(AND(R383=1,O383&lt;=$G$13),1,0)</x:f>
        <x:v>0</x:v>
      </x:c>
      <x:c r="T383" s="10" t="n">
        <x:f>EOMONTH(J383-'Сводка'!$B$11,-1)</x:f>
        <x:v>46203</x:v>
      </x:c>
      <x:c r="U383" s="4" t="n">
        <x:f>MATCH(J383,'Сводка'!$R$3:$R$397,0)</x:f>
        <x:v>394</x:v>
      </x:c>
      <x:c r="V383" s="4" t="n">
        <x:f>MATCH(J383-'Сводка'!$B$11,'Сводка'!$R$3:$R$397,0)</x:f>
        <x:v>393</x:v>
      </x:c>
      <x:c r="W383" s="4" t="n">
        <x:f>MATCH(T383,$J$388:$J$400,0)</x:f>
        <x:v>13</x:v>
      </x:c>
      <x:c r="X383" s="3"/>
      <x:c r="Y383" s="3"/>
      <x:c r="Z383" s="3"/>
    </x:row>
    <x:row r="384" ht="15" customHeight="1">
      <x:c r="A384" s="3"/>
      <x:c r="B384" s="3"/>
      <x:c r="C384" s="3"/>
      <x:c r="D384" s="3"/>
      <x:c r="E384" s="3"/>
      <x:c r="F384" s="3"/>
      <x:c r="G384" s="3"/>
      <x:c r="H384" s="3"/>
      <x:c r="I384" s="3"/>
      <x:c r="J384" s="10" t="n">
        <x:v>46235</x:v>
      </x:c>
      <x:c r="K384" s="8" t="n">
        <x:f>INDEX('Сводка'!$S$3:$S$397,U384)</x:f>
        <x:v>405</x:v>
      </x:c>
      <x:c r="L384" s="8" t="n">
        <x:f>INDEX('Сводка'!$S$3:$S$397,V384)</x:f>
        <x:v>399</x:v>
      </x:c>
      <x:c r="M384" s="8" t="n">
        <x:f>INDEX($K$388:$N$400,W384,1)*((J384-$T$405+1)/1000)^INDEX($K$388:$N$400,W384,2)</x:f>
        <x:v>151.29885598988366</x:v>
      </x:c>
      <x:c r="N384" s="8" t="n">
        <x:f>K384-M384</x:f>
        <x:v>253.70114401011634</x:v>
      </x:c>
      <x:c r="O384" s="8" t="n">
        <x:f>ABS(N384)</x:f>
        <x:v>253.70114401011634</x:v>
      </x:c>
      <x:c r="P384" s="8" t="n">
        <x:f>N384^2</x:f>
        <x:v>64364.27047204179</x:v>
      </x:c>
      <x:c r="Q384" s="8" t="n">
        <x:f>K384-L384</x:f>
        <x:v>6</x:v>
      </x:c>
      <x:c r="R384" s="9" t="n">
        <x:f>IF(AND(INDEX('Сводка'!$T$3:$T$397,U384)=0,INDEX('Сводка'!$T$3:$T$397,V384)=0),1,0)</x:f>
        <x:v>1</x:v>
      </x:c>
      <x:c r="S384" s="9" t="n">
        <x:f>IF(AND(R384=1,O384&lt;=$G$13),1,0)</x:f>
        <x:v>0</x:v>
      </x:c>
      <x:c r="T384" s="10" t="n">
        <x:f>EOMONTH(J384-'Сводка'!$B$11,-1)</x:f>
        <x:v>46203</x:v>
      </x:c>
      <x:c r="U384" s="4" t="n">
        <x:f>MATCH(J384,'Сводка'!$R$3:$R$397,0)</x:f>
        <x:v>395</x:v>
      </x:c>
      <x:c r="V384" s="4" t="n">
        <x:f>MATCH(J384-'Сводка'!$B$11,'Сводка'!$R$3:$R$397,0)</x:f>
        <x:v>394</x:v>
      </x:c>
      <x:c r="W384" s="4" t="n">
        <x:f>MATCH(T384,$J$388:$J$400,0)</x:f>
        <x:v>13</x:v>
      </x:c>
      <x:c r="X384" s="3"/>
      <x:c r="Y384" s="3"/>
      <x:c r="Z384" s="3"/>
    </x:row>
    <x:row r="385" ht="15" customHeight="1">
      <x:c r="A385" s="3"/>
      <x:c r="B385" s="3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  <x:c r="N385" s="3"/>
      <x:c r="O385" s="3"/>
      <x:c r="P385" s="3"/>
      <x:c r="Q385" s="3"/>
      <x:c r="R385" s="3"/>
      <x:c r="S385" s="3"/>
      <x:c r="T385" s="3"/>
      <x:c r="U385" s="3"/>
      <x:c r="V385" s="3"/>
      <x:c r="W385" s="3"/>
      <x:c r="X385" s="3"/>
      <x:c r="Y385" s="3"/>
      <x:c r="Z385" s="3"/>
    </x:row>
    <x:row r="386" ht="15" customHeight="1">
      <x:c r="A386" s="3"/>
      <x:c r="B386" s="3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  <x:c r="N386" s="3"/>
      <x:c r="O386" s="3"/>
      <x:c r="P386" s="3"/>
      <x:c r="Q386" s="3"/>
      <x:c r="R386" s="3"/>
      <x:c r="S386" s="3"/>
      <x:c r="T386" s="3"/>
      <x:c r="U386" s="3"/>
      <x:c r="V386" s="3"/>
      <x:c r="W386" s="3"/>
      <x:c r="X386" s="3"/>
      <x:c r="Y386" s="3"/>
      <x:c r="Z386" s="3"/>
    </x:row>
    <x:row r="387" ht="30" customHeight="1">
      <x:c r="A387" s="3"/>
      <x:c r="B387" s="3"/>
      <x:c r="C387" s="3"/>
      <x:c r="D387" s="3"/>
      <x:c r="E387" s="3"/>
      <x:c r="F387" s="3"/>
      <x:c r="G387" s="3"/>
      <x:c r="H387" s="3"/>
      <x:c r="I387" s="3"/>
      <x:c r="J387" s="14" t="str">
        <x:v>Обучение до</x:v>
      </x:c>
      <x:c r="K387" s="14" t="str">
        <x:v>a0/a</x:v>
      </x:c>
      <x:c r="L387" s="14" t="str">
        <x:v>a1/b</x:v>
      </x:c>
      <x:c r="M387" s="14" t="str">
        <x:v>a2</x:v>
      </x:c>
      <x:c r="N387" s="14" t="str">
        <x:v>a3</x:v>
      </x:c>
      <x:c r="O387" s="14" t="str">
        <x:v>c1</x:v>
      </x:c>
      <x:c r="P387" s="14" t="str">
        <x:v>c2</x:v>
      </x:c>
      <x:c r="Q387" s="14" t="str">
        <x:v>c3</x:v>
      </x:c>
      <x:c r="R387" s="14" t="str">
        <x:v>c4</x:v>
      </x:c>
      <x:c r="S387" s="14" t="str">
        <x:v>c5</x:v>
      </x:c>
      <x:c r="T387" s="14" t="str">
        <x:v>c6</x:v>
      </x:c>
      <x:c r="U387" s="14" t="str">
        <x:v>c7</x:v>
      </x:c>
      <x:c r="V387" s="14" t="str">
        <x:v>c8</x:v>
      </x:c>
      <x:c r="W387" s="14" t="str">
        <x:v>c9</x:v>
      </x:c>
      <x:c r="X387" s="14" t="str">
        <x:v>c10</x:v>
      </x:c>
      <x:c r="Y387" s="14" t="str">
        <x:v>c11</x:v>
      </x:c>
      <x:c r="Z387" s="14" t="str">
        <x:v>c12</x:v>
      </x:c>
    </x:row>
    <x:row r="388" ht="15" customHeight="1">
      <x:c r="A388" s="3"/>
      <x:c r="B388" s="3"/>
      <x:c r="C388" s="3"/>
      <x:c r="D388" s="3"/>
      <x:c r="E388" s="3"/>
      <x:c r="F388" s="3"/>
      <x:c r="G388" s="3"/>
      <x:c r="H388" s="3"/>
      <x:c r="I388" s="3"/>
      <x:c r="J388" s="7" t="n">
        <x:v>45838</x:v>
      </x:c>
      <x:c r="K388" s="3" t="n">
        <x:v>12.524821361997581</x:v>
      </x:c>
      <x:c r="L388" s="3" t="n">
        <x:v>1.19840798790488</x:v>
      </x:c>
      <x:c r="M388" s="3" t="n">
        <x:v>0</x:v>
      </x:c>
      <x:c r="N388" s="3" t="n">
        <x:v>0</x:v>
      </x:c>
      <x:c r="O388" s="3" t="n">
        <x:v>0</x:v>
      </x:c>
      <x:c r="P388" s="3" t="n">
        <x:v>0</x:v>
      </x:c>
      <x:c r="Q388" s="3" t="n">
        <x:v>0</x:v>
      </x:c>
      <x:c r="R388" s="3" t="n">
        <x:v>0</x:v>
      </x:c>
      <x:c r="S388" s="3" t="n">
        <x:v>0</x:v>
      </x:c>
      <x:c r="T388" s="3" t="n">
        <x:v>0</x:v>
      </x:c>
      <x:c r="U388" s="3" t="n">
        <x:v>0</x:v>
      </x:c>
      <x:c r="V388" s="3" t="n">
        <x:v>0</x:v>
      </x:c>
      <x:c r="W388" s="3" t="n">
        <x:v>0</x:v>
      </x:c>
      <x:c r="X388" s="3" t="n">
        <x:v>0</x:v>
      </x:c>
      <x:c r="Y388" s="3" t="n">
        <x:v>0</x:v>
      </x:c>
      <x:c r="Z388" s="3" t="n">
        <x:v>0</x:v>
      </x:c>
    </x:row>
    <x:row r="389" ht="15" customHeight="1">
      <x:c r="A389" s="3"/>
      <x:c r="B389" s="3"/>
      <x:c r="C389" s="3"/>
      <x:c r="D389" s="3"/>
      <x:c r="E389" s="3"/>
      <x:c r="F389" s="3"/>
      <x:c r="G389" s="3"/>
      <x:c r="H389" s="3"/>
      <x:c r="I389" s="3"/>
      <x:c r="J389" s="7" t="n">
        <x:v>45869</x:v>
      </x:c>
      <x:c r="K389" s="3" t="n">
        <x:v>12.434910988124802</x:v>
      </x:c>
      <x:c r="L389" s="3" t="n">
        <x:v>1.2034119036481163</x:v>
      </x:c>
      <x:c r="M389" s="3" t="n">
        <x:v>0</x:v>
      </x:c>
      <x:c r="N389" s="3" t="n">
        <x:v>0</x:v>
      </x:c>
      <x:c r="O389" s="3" t="n">
        <x:v>0</x:v>
      </x:c>
      <x:c r="P389" s="3" t="n">
        <x:v>0</x:v>
      </x:c>
      <x:c r="Q389" s="3" t="n">
        <x:v>0</x:v>
      </x:c>
      <x:c r="R389" s="3" t="n">
        <x:v>0</x:v>
      </x:c>
      <x:c r="S389" s="3" t="n">
        <x:v>0</x:v>
      </x:c>
      <x:c r="T389" s="3" t="n">
        <x:v>0</x:v>
      </x:c>
      <x:c r="U389" s="3" t="n">
        <x:v>0</x:v>
      </x:c>
      <x:c r="V389" s="3" t="n">
        <x:v>0</x:v>
      </x:c>
      <x:c r="W389" s="3" t="n">
        <x:v>0</x:v>
      </x:c>
      <x:c r="X389" s="3" t="n">
        <x:v>0</x:v>
      </x:c>
      <x:c r="Y389" s="3" t="n">
        <x:v>0</x:v>
      </x:c>
      <x:c r="Z389" s="3" t="n">
        <x:v>0</x:v>
      </x:c>
    </x:row>
    <x:row r="390" ht="15" customHeight="1">
      <x:c r="A390" s="3"/>
      <x:c r="B390" s="3"/>
      <x:c r="C390" s="3"/>
      <x:c r="D390" s="3"/>
      <x:c r="E390" s="3"/>
      <x:c r="F390" s="3"/>
      <x:c r="G390" s="3"/>
      <x:c r="H390" s="3"/>
      <x:c r="I390" s="3"/>
      <x:c r="J390" s="7" t="n">
        <x:v>45900</x:v>
      </x:c>
      <x:c r="K390" s="3" t="n">
        <x:v>12.069416007179148</x:v>
      </x:c>
      <x:c r="L390" s="3" t="n">
        <x:v>1.2239366500514284</x:v>
      </x:c>
      <x:c r="M390" s="3" t="n">
        <x:v>0</x:v>
      </x:c>
      <x:c r="N390" s="3" t="n">
        <x:v>0</x:v>
      </x:c>
      <x:c r="O390" s="3" t="n">
        <x:v>0</x:v>
      </x:c>
      <x:c r="P390" s="3" t="n">
        <x:v>0</x:v>
      </x:c>
      <x:c r="Q390" s="3" t="n">
        <x:v>0</x:v>
      </x:c>
      <x:c r="R390" s="3" t="n">
        <x:v>0</x:v>
      </x:c>
      <x:c r="S390" s="3" t="n">
        <x:v>0</x:v>
      </x:c>
      <x:c r="T390" s="3" t="n">
        <x:v>0</x:v>
      </x:c>
      <x:c r="U390" s="3" t="n">
        <x:v>0</x:v>
      </x:c>
      <x:c r="V390" s="3" t="n">
        <x:v>0</x:v>
      </x:c>
      <x:c r="W390" s="3" t="n">
        <x:v>0</x:v>
      </x:c>
      <x:c r="X390" s="3" t="n">
        <x:v>0</x:v>
      </x:c>
      <x:c r="Y390" s="3" t="n">
        <x:v>0</x:v>
      </x:c>
      <x:c r="Z390" s="3" t="n">
        <x:v>0</x:v>
      </x:c>
    </x:row>
    <x:row r="391" ht="15" customHeight="1">
      <x:c r="A391" s="3"/>
      <x:c r="B391" s="3"/>
      <x:c r="C391" s="3"/>
      <x:c r="D391" s="3"/>
      <x:c r="E391" s="3"/>
      <x:c r="F391" s="3"/>
      <x:c r="G391" s="3"/>
      <x:c r="H391" s="3"/>
      <x:c r="I391" s="3"/>
      <x:c r="J391" s="7" t="n">
        <x:v>45930</x:v>
      </x:c>
      <x:c r="K391" s="3" t="n">
        <x:v>11.818334296267569</x:v>
      </x:c>
      <x:c r="L391" s="3" t="n">
        <x:v>1.2382333902399698</x:v>
      </x:c>
      <x:c r="M391" s="3" t="n">
        <x:v>0</x:v>
      </x:c>
      <x:c r="N391" s="3" t="n">
        <x:v>0</x:v>
      </x:c>
      <x:c r="O391" s="3" t="n">
        <x:v>0</x:v>
      </x:c>
      <x:c r="P391" s="3" t="n">
        <x:v>0</x:v>
      </x:c>
      <x:c r="Q391" s="3" t="n">
        <x:v>0</x:v>
      </x:c>
      <x:c r="R391" s="3" t="n">
        <x:v>0</x:v>
      </x:c>
      <x:c r="S391" s="3" t="n">
        <x:v>0</x:v>
      </x:c>
      <x:c r="T391" s="3" t="n">
        <x:v>0</x:v>
      </x:c>
      <x:c r="U391" s="3" t="n">
        <x:v>0</x:v>
      </x:c>
      <x:c r="V391" s="3" t="n">
        <x:v>0</x:v>
      </x:c>
      <x:c r="W391" s="3" t="n">
        <x:v>0</x:v>
      </x:c>
      <x:c r="X391" s="3" t="n">
        <x:v>0</x:v>
      </x:c>
      <x:c r="Y391" s="3" t="n">
        <x:v>0</x:v>
      </x:c>
      <x:c r="Z391" s="3" t="n">
        <x:v>0</x:v>
      </x:c>
    </x:row>
    <x:row r="392" ht="15" customHeight="1">
      <x:c r="A392" s="3"/>
      <x:c r="B392" s="3"/>
      <x:c r="C392" s="3"/>
      <x:c r="D392" s="3"/>
      <x:c r="E392" s="3"/>
      <x:c r="F392" s="3"/>
      <x:c r="G392" s="3"/>
      <x:c r="H392" s="3"/>
      <x:c r="I392" s="3"/>
      <x:c r="J392" s="7" t="n">
        <x:v>45961</x:v>
      </x:c>
      <x:c r="K392" s="3" t="n">
        <x:v>12.058507316727953</x:v>
      </x:c>
      <x:c r="L392" s="3" t="n">
        <x:v>1.2246096044419155</x:v>
      </x:c>
      <x:c r="M392" s="3" t="n">
        <x:v>0</x:v>
      </x:c>
      <x:c r="N392" s="3" t="n">
        <x:v>0</x:v>
      </x:c>
      <x:c r="O392" s="3" t="n">
        <x:v>0</x:v>
      </x:c>
      <x:c r="P392" s="3" t="n">
        <x:v>0</x:v>
      </x:c>
      <x:c r="Q392" s="3" t="n">
        <x:v>0</x:v>
      </x:c>
      <x:c r="R392" s="3" t="n">
        <x:v>0</x:v>
      </x:c>
      <x:c r="S392" s="3" t="n">
        <x:v>0</x:v>
      </x:c>
      <x:c r="T392" s="3" t="n">
        <x:v>0</x:v>
      </x:c>
      <x:c r="U392" s="3" t="n">
        <x:v>0</x:v>
      </x:c>
      <x:c r="V392" s="3" t="n">
        <x:v>0</x:v>
      </x:c>
      <x:c r="W392" s="3" t="n">
        <x:v>0</x:v>
      </x:c>
      <x:c r="X392" s="3" t="n">
        <x:v>0</x:v>
      </x:c>
      <x:c r="Y392" s="3" t="n">
        <x:v>0</x:v>
      </x:c>
      <x:c r="Z392" s="3" t="n">
        <x:v>0</x:v>
      </x:c>
    </x:row>
    <x:row r="393" ht="15" customHeight="1">
      <x:c r="A393" s="3"/>
      <x:c r="B393" s="3"/>
      <x:c r="C393" s="3"/>
      <x:c r="D393" s="3"/>
      <x:c r="E393" s="3"/>
      <x:c r="F393" s="3"/>
      <x:c r="G393" s="3"/>
      <x:c r="H393" s="3"/>
      <x:c r="I393" s="3"/>
      <x:c r="J393" s="7" t="n">
        <x:v>45991</x:v>
      </x:c>
      <x:c r="K393" s="3" t="n">
        <x:v>12.88541485341717</x:v>
      </x:c>
      <x:c r="L393" s="3" t="n">
        <x:v>1.1791421607133754</x:v>
      </x:c>
      <x:c r="M393" s="3" t="n">
        <x:v>0</x:v>
      </x:c>
      <x:c r="N393" s="3" t="n">
        <x:v>0</x:v>
      </x:c>
      <x:c r="O393" s="3" t="n">
        <x:v>0</x:v>
      </x:c>
      <x:c r="P393" s="3" t="n">
        <x:v>0</x:v>
      </x:c>
      <x:c r="Q393" s="3" t="n">
        <x:v>0</x:v>
      </x:c>
      <x:c r="R393" s="3" t="n">
        <x:v>0</x:v>
      </x:c>
      <x:c r="S393" s="3" t="n">
        <x:v>0</x:v>
      </x:c>
      <x:c r="T393" s="3" t="n">
        <x:v>0</x:v>
      </x:c>
      <x:c r="U393" s="3" t="n">
        <x:v>0</x:v>
      </x:c>
      <x:c r="V393" s="3" t="n">
        <x:v>0</x:v>
      </x:c>
      <x:c r="W393" s="3" t="n">
        <x:v>0</x:v>
      </x:c>
      <x:c r="X393" s="3" t="n">
        <x:v>0</x:v>
      </x:c>
      <x:c r="Y393" s="3" t="n">
        <x:v>0</x:v>
      </x:c>
      <x:c r="Z393" s="3" t="n">
        <x:v>0</x:v>
      </x:c>
    </x:row>
    <x:row r="394" ht="15" customHeight="1">
      <x:c r="A394" s="3"/>
      <x:c r="B394" s="3"/>
      <x:c r="C394" s="3"/>
      <x:c r="D394" s="3"/>
      <x:c r="E394" s="3"/>
      <x:c r="F394" s="3"/>
      <x:c r="G394" s="3"/>
      <x:c r="H394" s="3"/>
      <x:c r="I394" s="3"/>
      <x:c r="J394" s="7" t="n">
        <x:v>46022</x:v>
      </x:c>
      <x:c r="K394" s="3" t="n">
        <x:v>13.44832342678945</x:v>
      </x:c>
      <x:c r="L394" s="3" t="n">
        <x:v>1.1493686010656774</x:v>
      </x:c>
      <x:c r="M394" s="3" t="n">
        <x:v>0</x:v>
      </x:c>
      <x:c r="N394" s="3" t="n">
        <x:v>0</x:v>
      </x:c>
      <x:c r="O394" s="3" t="n">
        <x:v>0</x:v>
      </x:c>
      <x:c r="P394" s="3" t="n">
        <x:v>0</x:v>
      </x:c>
      <x:c r="Q394" s="3" t="n">
        <x:v>0</x:v>
      </x:c>
      <x:c r="R394" s="3" t="n">
        <x:v>0</x:v>
      </x:c>
      <x:c r="S394" s="3" t="n">
        <x:v>0</x:v>
      </x:c>
      <x:c r="T394" s="3" t="n">
        <x:v>0</x:v>
      </x:c>
      <x:c r="U394" s="3" t="n">
        <x:v>0</x:v>
      </x:c>
      <x:c r="V394" s="3" t="n">
        <x:v>0</x:v>
      </x:c>
      <x:c r="W394" s="3" t="n">
        <x:v>0</x:v>
      </x:c>
      <x:c r="X394" s="3" t="n">
        <x:v>0</x:v>
      </x:c>
      <x:c r="Y394" s="3" t="n">
        <x:v>0</x:v>
      </x:c>
      <x:c r="Z394" s="3" t="n">
        <x:v>0</x:v>
      </x:c>
    </x:row>
    <x:row r="395" ht="15" customHeight="1">
      <x:c r="A395" s="3"/>
      <x:c r="B395" s="3"/>
      <x:c r="C395" s="3"/>
      <x:c r="D395" s="3"/>
      <x:c r="E395" s="3"/>
      <x:c r="F395" s="3"/>
      <x:c r="G395" s="3"/>
      <x:c r="H395" s="3"/>
      <x:c r="I395" s="3"/>
      <x:c r="J395" s="7" t="n">
        <x:v>46053</x:v>
      </x:c>
      <x:c r="K395" s="3" t="n">
        <x:v>14.085932358015723</x:v>
      </x:c>
      <x:c r="L395" s="3" t="n">
        <x:v>1.1166784622472443</x:v>
      </x:c>
      <x:c r="M395" s="3" t="n">
        <x:v>0</x:v>
      </x:c>
      <x:c r="N395" s="3" t="n">
        <x:v>0</x:v>
      </x:c>
      <x:c r="O395" s="3" t="n">
        <x:v>0</x:v>
      </x:c>
      <x:c r="P395" s="3" t="n">
        <x:v>0</x:v>
      </x:c>
      <x:c r="Q395" s="3" t="n">
        <x:v>0</x:v>
      </x:c>
      <x:c r="R395" s="3" t="n">
        <x:v>0</x:v>
      </x:c>
      <x:c r="S395" s="3" t="n">
        <x:v>0</x:v>
      </x:c>
      <x:c r="T395" s="3" t="n">
        <x:v>0</x:v>
      </x:c>
      <x:c r="U395" s="3" t="n">
        <x:v>0</x:v>
      </x:c>
      <x:c r="V395" s="3" t="n">
        <x:v>0</x:v>
      </x:c>
      <x:c r="W395" s="3" t="n">
        <x:v>0</x:v>
      </x:c>
      <x:c r="X395" s="3" t="n">
        <x:v>0</x:v>
      </x:c>
      <x:c r="Y395" s="3" t="n">
        <x:v>0</x:v>
      </x:c>
      <x:c r="Z395" s="3" t="n">
        <x:v>0</x:v>
      </x:c>
    </x:row>
    <x:row r="396" ht="15" customHeight="1">
      <x:c r="A396" s="3"/>
      <x:c r="B396" s="3"/>
      <x:c r="C396" s="3"/>
      <x:c r="D396" s="3"/>
      <x:c r="E396" s="3"/>
      <x:c r="F396" s="3"/>
      <x:c r="G396" s="3"/>
      <x:c r="H396" s="3"/>
      <x:c r="I396" s="3"/>
      <x:c r="J396" s="7" t="n">
        <x:v>46081</x:v>
      </x:c>
      <x:c r="K396" s="3" t="n">
        <x:v>14.703465371707566</x:v>
      </x:c>
      <x:c r="L396" s="3" t="n">
        <x:v>1.0859422652092499</x:v>
      </x:c>
      <x:c r="M396" s="3" t="n">
        <x:v>0</x:v>
      </x:c>
      <x:c r="N396" s="3" t="n">
        <x:v>0</x:v>
      </x:c>
      <x:c r="O396" s="3" t="n">
        <x:v>0</x:v>
      </x:c>
      <x:c r="P396" s="3" t="n">
        <x:v>0</x:v>
      </x:c>
      <x:c r="Q396" s="3" t="n">
        <x:v>0</x:v>
      </x:c>
      <x:c r="R396" s="3" t="n">
        <x:v>0</x:v>
      </x:c>
      <x:c r="S396" s="3" t="n">
        <x:v>0</x:v>
      </x:c>
      <x:c r="T396" s="3" t="n">
        <x:v>0</x:v>
      </x:c>
      <x:c r="U396" s="3" t="n">
        <x:v>0</x:v>
      </x:c>
      <x:c r="V396" s="3" t="n">
        <x:v>0</x:v>
      </x:c>
      <x:c r="W396" s="3" t="n">
        <x:v>0</x:v>
      </x:c>
      <x:c r="X396" s="3" t="n">
        <x:v>0</x:v>
      </x:c>
      <x:c r="Y396" s="3" t="n">
        <x:v>0</x:v>
      </x:c>
      <x:c r="Z396" s="3" t="n">
        <x:v>0</x:v>
      </x:c>
    </x:row>
    <x:row r="397" ht="15" customHeight="1">
      <x:c r="A397" s="3"/>
      <x:c r="B397" s="3"/>
      <x:c r="C397" s="3"/>
      <x:c r="D397" s="3"/>
      <x:c r="E397" s="3"/>
      <x:c r="F397" s="3"/>
      <x:c r="G397" s="3"/>
      <x:c r="H397" s="3"/>
      <x:c r="I397" s="3"/>
      <x:c r="J397" s="7" t="n">
        <x:v>46112</x:v>
      </x:c>
      <x:c r="K397" s="3" t="n">
        <x:v>15.450293736985982</x:v>
      </x:c>
      <x:c r="L397" s="3" t="n">
        <x:v>1.0498360290745665</x:v>
      </x:c>
      <x:c r="M397" s="3" t="n">
        <x:v>0</x:v>
      </x:c>
      <x:c r="N397" s="3" t="n">
        <x:v>0</x:v>
      </x:c>
      <x:c r="O397" s="3" t="n">
        <x:v>0</x:v>
      </x:c>
      <x:c r="P397" s="3" t="n">
        <x:v>0</x:v>
      </x:c>
      <x:c r="Q397" s="3" t="n">
        <x:v>0</x:v>
      </x:c>
      <x:c r="R397" s="3" t="n">
        <x:v>0</x:v>
      </x:c>
      <x:c r="S397" s="3" t="n">
        <x:v>0</x:v>
      </x:c>
      <x:c r="T397" s="3" t="n">
        <x:v>0</x:v>
      </x:c>
      <x:c r="U397" s="3" t="n">
        <x:v>0</x:v>
      </x:c>
      <x:c r="V397" s="3" t="n">
        <x:v>0</x:v>
      </x:c>
      <x:c r="W397" s="3" t="n">
        <x:v>0</x:v>
      </x:c>
      <x:c r="X397" s="3" t="n">
        <x:v>0</x:v>
      </x:c>
      <x:c r="Y397" s="3" t="n">
        <x:v>0</x:v>
      </x:c>
      <x:c r="Z397" s="3" t="n">
        <x:v>0</x:v>
      </x:c>
    </x:row>
    <x:row r="398" ht="15" customHeight="1">
      <x:c r="A398" s="3"/>
      <x:c r="B398" s="3"/>
      <x:c r="C398" s="3"/>
      <x:c r="D398" s="3"/>
      <x:c r="E398" s="3"/>
      <x:c r="F398" s="3"/>
      <x:c r="G398" s="3"/>
      <x:c r="H398" s="3"/>
      <x:c r="I398" s="3"/>
      <x:c r="J398" s="7" t="n">
        <x:v>46142</x:v>
      </x:c>
      <x:c r="K398" s="3" t="n">
        <x:v>15.837599283880026</x:v>
      </x:c>
      <x:c r="L398" s="3" t="n">
        <x:v>1.0315302484946725</x:v>
      </x:c>
      <x:c r="M398" s="3" t="n">
        <x:v>0</x:v>
      </x:c>
      <x:c r="N398" s="3" t="n">
        <x:v>0</x:v>
      </x:c>
      <x:c r="O398" s="3" t="n">
        <x:v>0</x:v>
      </x:c>
      <x:c r="P398" s="3" t="n">
        <x:v>0</x:v>
      </x:c>
      <x:c r="Q398" s="3" t="n">
        <x:v>0</x:v>
      </x:c>
      <x:c r="R398" s="3" t="n">
        <x:v>0</x:v>
      </x:c>
      <x:c r="S398" s="3" t="n">
        <x:v>0</x:v>
      </x:c>
      <x:c r="T398" s="3" t="n">
        <x:v>0</x:v>
      </x:c>
      <x:c r="U398" s="3" t="n">
        <x:v>0</x:v>
      </x:c>
      <x:c r="V398" s="3" t="n">
        <x:v>0</x:v>
      </x:c>
      <x:c r="W398" s="3" t="n">
        <x:v>0</x:v>
      </x:c>
      <x:c r="X398" s="3" t="n">
        <x:v>0</x:v>
      </x:c>
      <x:c r="Y398" s="3" t="n">
        <x:v>0</x:v>
      </x:c>
      <x:c r="Z398" s="3" t="n">
        <x:v>0</x:v>
      </x:c>
    </x:row>
    <x:row r="399" ht="15" customHeight="1">
      <x:c r="A399" s="3"/>
      <x:c r="B399" s="3"/>
      <x:c r="C399" s="3"/>
      <x:c r="D399" s="3"/>
      <x:c r="E399" s="3"/>
      <x:c r="F399" s="3"/>
      <x:c r="G399" s="3"/>
      <x:c r="H399" s="3"/>
      <x:c r="I399" s="3"/>
      <x:c r="J399" s="7" t="n">
        <x:v>46173</x:v>
      </x:c>
      <x:c r="K399" s="3" t="n">
        <x:v>15.955811083701441</x:v>
      </x:c>
      <x:c r="L399" s="3" t="n">
        <x:v>1.0260083110812</x:v>
      </x:c>
      <x:c r="M399" s="3" t="n">
        <x:v>0</x:v>
      </x:c>
      <x:c r="N399" s="3" t="n">
        <x:v>0</x:v>
      </x:c>
      <x:c r="O399" s="3" t="n">
        <x:v>0</x:v>
      </x:c>
      <x:c r="P399" s="3" t="n">
        <x:v>0</x:v>
      </x:c>
      <x:c r="Q399" s="3" t="n">
        <x:v>0</x:v>
      </x:c>
      <x:c r="R399" s="3" t="n">
        <x:v>0</x:v>
      </x:c>
      <x:c r="S399" s="3" t="n">
        <x:v>0</x:v>
      </x:c>
      <x:c r="T399" s="3" t="n">
        <x:v>0</x:v>
      </x:c>
      <x:c r="U399" s="3" t="n">
        <x:v>0</x:v>
      </x:c>
      <x:c r="V399" s="3" t="n">
        <x:v>0</x:v>
      </x:c>
      <x:c r="W399" s="3" t="n">
        <x:v>0</x:v>
      </x:c>
      <x:c r="X399" s="3" t="n">
        <x:v>0</x:v>
      </x:c>
      <x:c r="Y399" s="3" t="n">
        <x:v>0</x:v>
      </x:c>
      <x:c r="Z399" s="3" t="n">
        <x:v>0</x:v>
      </x:c>
    </x:row>
    <x:row r="400" ht="15" customHeight="1">
      <x:c r="A400" s="3"/>
      <x:c r="B400" s="3"/>
      <x:c r="C400" s="3"/>
      <x:c r="D400" s="3"/>
      <x:c r="E400" s="3"/>
      <x:c r="F400" s="3"/>
      <x:c r="G400" s="3"/>
      <x:c r="H400" s="3"/>
      <x:c r="I400" s="3"/>
      <x:c r="J400" s="7" t="n">
        <x:v>46203</x:v>
      </x:c>
      <x:c r="K400" s="3" t="n">
        <x:v>16.020261014716176</x:v>
      </x:c>
      <x:c r="L400" s="3" t="n">
        <x:v>1.0230145208099657</x:v>
      </x:c>
      <x:c r="M400" s="3" t="n">
        <x:v>0</x:v>
      </x:c>
      <x:c r="N400" s="3" t="n">
        <x:v>0</x:v>
      </x:c>
      <x:c r="O400" s="3" t="n">
        <x:v>0</x:v>
      </x:c>
      <x:c r="P400" s="3" t="n">
        <x:v>0</x:v>
      </x:c>
      <x:c r="Q400" s="3" t="n">
        <x:v>0</x:v>
      </x:c>
      <x:c r="R400" s="3" t="n">
        <x:v>0</x:v>
      </x:c>
      <x:c r="S400" s="3" t="n">
        <x:v>0</x:v>
      </x:c>
      <x:c r="T400" s="3" t="n">
        <x:v>0</x:v>
      </x:c>
      <x:c r="U400" s="3" t="n">
        <x:v>0</x:v>
      </x:c>
      <x:c r="V400" s="3" t="n">
        <x:v>0</x:v>
      </x:c>
      <x:c r="W400" s="3" t="n">
        <x:v>0</x:v>
      </x:c>
      <x:c r="X400" s="3" t="n">
        <x:v>0</x:v>
      </x:c>
      <x:c r="Y400" s="3" t="n">
        <x:v>0</x:v>
      </x:c>
      <x:c r="Z400" s="3" t="n">
        <x:v>0</x:v>
      </x:c>
    </x:row>
    <x:row r="401" ht="15" customHeight="1">
      <x:c r="A401" s="3"/>
      <x:c r="B401" s="3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  <x:c r="N401" s="3"/>
      <x:c r="O401" s="3"/>
      <x:c r="P401" s="3"/>
      <x:c r="Q401" s="3"/>
      <x:c r="R401" s="3"/>
      <x:c r="S401" s="3"/>
      <x:c r="T401" s="3"/>
      <x:c r="U401" s="3"/>
      <x:c r="V401" s="3"/>
      <x:c r="W401" s="3"/>
      <x:c r="X401" s="3"/>
      <x:c r="Y401" s="3"/>
      <x:c r="Z401" s="3"/>
    </x:row>
    <x:row r="402" ht="15" customHeight="1">
      <x:c r="A402" s="3"/>
      <x:c r="B402" s="3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  <x:c r="N402" s="3"/>
      <x:c r="O402" s="3"/>
      <x:c r="P402" s="3"/>
      <x:c r="Q402" s="3"/>
      <x:c r="R402" s="3"/>
      <x:c r="S402" s="3"/>
      <x:c r="T402" s="3"/>
      <x:c r="U402" s="3"/>
      <x:c r="V402" s="3"/>
      <x:c r="W402" s="3"/>
      <x:c r="X402" s="3"/>
      <x:c r="Y402" s="3"/>
      <x:c r="Z402" s="3"/>
    </x:row>
    <x:row r="403" ht="15" customHeight="1">
      <x:c r="A403" s="3"/>
      <x:c r="B403" s="3"/>
      <x:c r="C403" s="3"/>
      <x:c r="D403" s="3"/>
      <x:c r="E403" s="3"/>
      <x:c r="F403" s="3"/>
      <x:c r="G403" s="3"/>
      <x:c r="H403" s="3"/>
      <x:c r="I403" s="3"/>
      <x:c r="J403" s="3" t="str">
        <x:v>n</x:v>
      </x:c>
      <x:c r="K403" s="3" t="n">
        <x:f>G11</x:f>
        <x:v>355</x:v>
      </x:c>
      <x:c r="L403" s="3"/>
      <x:c r="M403" s="3"/>
      <x:c r="N403" s="3"/>
      <x:c r="O403" s="3"/>
      <x:c r="P403" s="3"/>
      <x:c r="Q403" s="3"/>
      <x:c r="R403" s="3"/>
      <x:c r="S403" s="3" t="str">
        <x:v>s остатков</x:v>
      </x:c>
      <x:c r="T403" s="3" t="n">
        <x:v>163.7170006565798</x:v>
      </x:c>
      <x:c r="U403" s="3"/>
      <x:c r="V403" s="3"/>
      <x:c r="W403" s="3"/>
      <x:c r="X403" s="3"/>
      <x:c r="Y403" s="3"/>
      <x:c r="Z403" s="3"/>
    </x:row>
    <x:row r="404" ht="15" customHeight="1">
      <x:c r="A404" s="3"/>
      <x:c r="B404" s="3"/>
      <x:c r="C404" s="3"/>
      <x:c r="D404" s="3"/>
      <x:c r="E404" s="3"/>
      <x:c r="F404" s="3"/>
      <x:c r="G404" s="3"/>
      <x:c r="H404" s="3"/>
      <x:c r="I404" s="3"/>
      <x:c r="J404" s="3" t="str">
        <x:v>ΣH</x:v>
      </x:c>
      <x:c r="K404" s="3" t="n">
        <x:f>SUMPRODUCT($R$20:$R$384,$K$20:$K$384)</x:f>
        <x:v>28150</x:v>
      </x:c>
      <x:c r="L404" s="3"/>
      <x:c r="M404" s="3"/>
      <x:c r="N404" s="3"/>
      <x:c r="O404" s="3"/>
      <x:c r="P404" s="3"/>
      <x:c r="Q404" s="3"/>
      <x:c r="R404" s="3"/>
      <x:c r="S404" s="3" t="str">
        <x:v>t95</x:v>
      </x:c>
      <x:c r="T404" s="3" t="n">
        <x:v>1.9602400929689823</x:v>
      </x:c>
      <x:c r="U404" s="3"/>
      <x:c r="V404" s="3"/>
      <x:c r="W404" s="3"/>
      <x:c r="X404" s="3"/>
      <x:c r="Y404" s="3"/>
      <x:c r="Z404" s="3"/>
    </x:row>
    <x:row r="405" ht="15" customHeight="1">
      <x:c r="A405" s="3"/>
      <x:c r="B405" s="3"/>
      <x:c r="C405" s="3"/>
      <x:c r="D405" s="3"/>
      <x:c r="E405" s="3"/>
      <x:c r="F405" s="3"/>
      <x:c r="G405" s="3"/>
      <x:c r="H405" s="3"/>
      <x:c r="I405" s="3"/>
      <x:c r="J405" s="3" t="str">
        <x:v>SST</x:v>
      </x:c>
      <x:c r="K405" s="3" t="n">
        <x:f>SUMPRODUCT($R$20:$R$384,$K$20:$K$384,$K$20:$K$384)-K404^2/G11</x:f>
        <x:v>6276929.943661972</x:v>
      </x:c>
      <x:c r="L405" s="3"/>
      <x:c r="M405" s="3"/>
      <x:c r="N405" s="3"/>
      <x:c r="O405" s="3"/>
      <x:c r="P405" s="3"/>
      <x:c r="Q405" s="3"/>
      <x:c r="R405" s="3"/>
      <x:c r="S405" s="3" t="str">
        <x:v>Начало ряда</x:v>
      </x:c>
      <x:c r="T405" s="7" t="n">
        <x:v>37257</x:v>
      </x:c>
      <x:c r="U405" s="3"/>
      <x:c r="V405" s="3"/>
      <x:c r="W405" s="3"/>
      <x:c r="X405" s="3"/>
      <x:c r="Y405" s="3"/>
      <x:c r="Z405" s="3"/>
    </x:row>
    <x:row r="406" ht="15" customHeight="1">
      <x:c r="A406" s="3"/>
      <x:c r="B406" s="3"/>
      <x:c r="C406" s="3"/>
      <x:c r="D406" s="3"/>
      <x:c r="E406" s="3"/>
      <x:c r="F406" s="3"/>
      <x:c r="G406" s="3"/>
      <x:c r="H406" s="3"/>
      <x:c r="I406" s="3"/>
      <x:c r="J406" s="3" t="str">
        <x:v>ΣΔ</x:v>
      </x:c>
      <x:c r="K406" s="3" t="n">
        <x:f>SUMPRODUCT($R$20:$R$384,$Q$20:$Q$384)</x:f>
        <x:v>137</x:v>
      </x:c>
      <x:c r="L406" s="3"/>
      <x:c r="M406" s="3"/>
      <x:c r="N406" s="3"/>
      <x:c r="O406" s="3"/>
      <x:c r="P406" s="3"/>
      <x:c r="Q406" s="3"/>
      <x:c r="R406" s="3"/>
      <x:c r="S406" s="3" t="str">
        <x:v>Длина ряда</x:v>
      </x:c>
      <x:c r="T406" s="3" t="n">
        <x:v>8978</x:v>
      </x:c>
      <x:c r="U406" s="3"/>
      <x:c r="V406" s="3"/>
      <x:c r="W406" s="3"/>
      <x:c r="X406" s="3"/>
      <x:c r="Y406" s="3"/>
      <x:c r="Z406" s="3"/>
    </x:row>
    <x:row r="407" ht="15" customHeight="1">
      <x:c r="A407" s="3"/>
      <x:c r="B407" s="3"/>
      <x:c r="C407" s="3"/>
      <x:c r="D407" s="3"/>
      <x:c r="E407" s="3"/>
      <x:c r="F407" s="3"/>
      <x:c r="G407" s="3"/>
      <x:c r="H407" s="3"/>
      <x:c r="I407" s="3"/>
      <x:c r="J407" s="3" t="str">
        <x:v>SSΔ</x:v>
      </x:c>
      <x:c r="K407" s="3" t="n">
        <x:f>SUMPRODUCT($R$20:$R$384,$Q$20:$Q$384,$Q$20:$Q$384)-K406^2/G11</x:f>
        <x:v>42404.12957746479</x:v>
      </x:c>
      <x:c r="L407" s="3"/>
      <x:c r="M407" s="3"/>
      <x:c r="N407" s="3"/>
      <x:c r="O407" s="3"/>
      <x:c r="P407" s="3"/>
      <x:c r="Q407" s="3"/>
      <x:c r="R407" s="3"/>
      <x:c r="S407" s="3"/>
      <x:c r="T407" s="3"/>
      <x:c r="U407" s="3"/>
      <x:c r="V407" s="3"/>
      <x:c r="W407" s="3"/>
      <x:c r="X407" s="3"/>
      <x:c r="Y407" s="3"/>
      <x:c r="Z407" s="3"/>
    </x:row>
    <x:row r="408" ht="15" customHeight="1">
      <x:c r="A408" s="3"/>
      <x:c r="B408" s="3"/>
      <x:c r="C408" s="3"/>
      <x:c r="D408" s="3"/>
      <x:c r="E408" s="3"/>
      <x:c r="F408" s="3"/>
      <x:c r="G408" s="3"/>
      <x:c r="H408" s="3"/>
      <x:c r="I408" s="3"/>
      <x:c r="J408" s="3" t="str">
        <x:v>SSE</x:v>
      </x:c>
      <x:c r="K408" s="3" t="n">
        <x:f>SUMPRODUCT($R$20:$R$384,$P$20:$P$384)</x:f>
        <x:v>8723297.355714219</x:v>
      </x:c>
      <x:c r="L408" s="3"/>
      <x:c r="M408" s="3"/>
      <x:c r="N408" s="3"/>
      <x:c r="O408" s="3"/>
      <x:c r="P408" s="3"/>
      <x:c r="Q408" s="3"/>
      <x:c r="R408" s="3"/>
      <x:c r="S408" s="3" t="str">
        <x:v>Cov базовых коэффициентов</x:v>
      </x:c>
      <x:c r="T408" s="3"/>
      <x:c r="U408" s="3"/>
      <x:c r="V408" s="3"/>
      <x:c r="W408" s="3"/>
      <x:c r="X408" s="3"/>
      <x:c r="Y408" s="3"/>
      <x:c r="Z408" s="3"/>
    </x:row>
    <x:row r="409" ht="15" customHeight="1">
      <x:c r="A409" s="3"/>
      <x:c r="B409" s="3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  <x:c r="N409" s="3"/>
      <x:c r="O409" s="3"/>
      <x:c r="P409" s="3"/>
      <x:c r="Q409" s="3"/>
      <x:c r="R409" s="3"/>
      <x:c r="S409" s="3" t="n">
        <x:v>3.350200714320861</x:v>
      </x:c>
      <x:c r="T409" s="3" t="n">
        <x:v>-0.11133536280425642</x:v>
      </x:c>
      <x:c r="U409" s="3"/>
      <x:c r="V409" s="3"/>
      <x:c r="W409" s="3"/>
      <x:c r="X409" s="3"/>
      <x:c r="Y409" s="3"/>
      <x:c r="Z409" s="3"/>
    </x:row>
    <x:row r="410" ht="15" customHeight="1">
      <x:c r="A410" s="3"/>
      <x:c r="B410" s="3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  <x:c r="N410" s="3"/>
      <x:c r="O410" s="3"/>
      <x:c r="P410" s="3"/>
      <x:c r="Q410" s="3"/>
      <x:c r="R410" s="3"/>
      <x:c r="S410" s="3" t="n">
        <x:v>-0.1113353628042564</x:v>
      </x:c>
      <x:c r="T410" s="3" t="n">
        <x:v>0.0038183916614912845</x:v>
      </x:c>
      <x:c r="U410" s="3"/>
      <x:c r="V410" s="3"/>
      <x:c r="W410" s="3"/>
      <x:c r="X410" s="3"/>
      <x:c r="Y410" s="3"/>
      <x:c r="Z410" s="3"/>
    </x:row>
    <x:row r="411" ht="15" customHeight="1">
      <x:c r="A411" s="3"/>
      <x:c r="B411" s="3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  <x:c r="N411" s="3"/>
      <x:c r="O411" s="3"/>
      <x:c r="P411" s="3"/>
      <x:c r="Q411" s="3"/>
      <x:c r="R411" s="3"/>
      <x:c r="S411" s="3"/>
      <x:c r="T411" s="3"/>
      <x:c r="U411" s="3"/>
      <x:c r="V411" s="3"/>
      <x:c r="W411" s="3"/>
      <x:c r="X411" s="3"/>
      <x:c r="Y411" s="3"/>
      <x:c r="Z411" s="3"/>
    </x:row>
    <x:row r="412" ht="15" customHeight="1">
      <x:c r="A412" s="3"/>
      <x:c r="B412" s="3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  <x:c r="N412" s="3"/>
      <x:c r="O412" s="3"/>
      <x:c r="P412" s="3"/>
      <x:c r="Q412" s="3"/>
      <x:c r="R412" s="3"/>
      <x:c r="S412" s="3"/>
      <x:c r="T412" s="3"/>
      <x:c r="U412" s="3"/>
      <x:c r="V412" s="3"/>
      <x:c r="W412" s="3"/>
      <x:c r="X412" s="3"/>
      <x:c r="Y412" s="3"/>
      <x:c r="Z412" s="3"/>
    </x:row>
    <x:row r="413" ht="15" customHeight="1">
      <x:c r="A413" s="3"/>
      <x:c r="B413" s="3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  <x:c r="N413" s="3"/>
      <x:c r="O413" s="3"/>
      <x:c r="P413" s="3"/>
      <x:c r="Q413" s="3"/>
      <x:c r="R413" s="3"/>
      <x:c r="S413" s="3"/>
      <x:c r="T413" s="3"/>
      <x:c r="U413" s="3"/>
      <x:c r="V413" s="3"/>
      <x:c r="W413" s="3"/>
      <x:c r="X413" s="3"/>
      <x:c r="Y413" s="3"/>
      <x:c r="Z413" s="3"/>
    </x:row>
    <x:row r="414" ht="15" customHeight="1">
      <x:c r="A414" s="3"/>
      <x:c r="B414" s="3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  <x:c r="N414" s="3"/>
      <x:c r="O414" s="3"/>
      <x:c r="P414" s="3"/>
      <x:c r="Q414" s="3"/>
      <x:c r="R414" s="3"/>
      <x:c r="S414" s="3"/>
      <x:c r="T414" s="3"/>
      <x:c r="U414" s="3"/>
      <x:c r="V414" s="3"/>
      <x:c r="W414" s="3"/>
      <x:c r="X414" s="3"/>
      <x:c r="Y414" s="3"/>
      <x:c r="Z414" s="3"/>
    </x:row>
    <x:row r="415" ht="30" customHeight="1">
      <x:c r="A415" s="3"/>
      <x:c r="B415" s="3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  <x:c r="N415" s="3"/>
      <x:c r="O415" s="3"/>
      <x:c r="P415" s="3"/>
      <x:c r="Q415" s="3"/>
      <x:c r="R415" s="3"/>
      <x:c r="S415" s="14" t="str">
        <x:v>Cov a0,cₘ</x:v>
      </x:c>
      <x:c r="T415" s="14" t="str">
        <x:v>Cov a1,cₘ</x:v>
      </x:c>
      <x:c r="U415" s="14" t="str">
        <x:v>Cov a2,cₘ</x:v>
      </x:c>
      <x:c r="V415" s="14" t="str">
        <x:v>Cov a3,cₘ</x:v>
      </x:c>
      <x:c r="W415" s="14" t="str">
        <x:v>Var cₘ</x:v>
      </x:c>
      <x:c r="X415" s="3"/>
      <x:c r="Y415" s="3"/>
      <x:c r="Z415" s="3"/>
    </x:row>
    <x:row r="416" ht="15" customHeight="1">
      <x:c r="A416" s="3"/>
      <x:c r="B416" s="3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  <x:c r="N416" s="3"/>
      <x:c r="O416" s="3"/>
      <x:c r="P416" s="3"/>
      <x:c r="Q416" s="3"/>
      <x:c r="R416" s="3"/>
      <x:c r="S416" s="3" t="n">
        <x:v>0</x:v>
      </x:c>
      <x:c r="T416" s="3" t="n">
        <x:v>0</x:v>
      </x:c>
      <x:c r="U416" s="3" t="n">
        <x:v>0</x:v>
      </x:c>
      <x:c r="V416" s="3" t="n">
        <x:v>0</x:v>
      </x:c>
      <x:c r="W416" s="3" t="n">
        <x:v>0</x:v>
      </x:c>
      <x:c r="X416" s="3"/>
      <x:c r="Y416" s="3"/>
      <x:c r="Z416" s="3"/>
    </x:row>
    <x:row r="417" ht="15" customHeight="1">
      <x:c r="A417" s="3"/>
      <x:c r="B417" s="3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  <x:c r="N417" s="3"/>
      <x:c r="O417" s="3"/>
      <x:c r="P417" s="3"/>
      <x:c r="Q417" s="3"/>
      <x:c r="R417" s="3"/>
      <x:c r="S417" s="3" t="n">
        <x:v>0</x:v>
      </x:c>
      <x:c r="T417" s="3" t="n">
        <x:v>0</x:v>
      </x:c>
      <x:c r="U417" s="3" t="n">
        <x:v>0</x:v>
      </x:c>
      <x:c r="V417" s="3" t="n">
        <x:v>0</x:v>
      </x:c>
      <x:c r="W417" s="3" t="n">
        <x:v>0</x:v>
      </x:c>
      <x:c r="X417" s="3"/>
      <x:c r="Y417" s="3"/>
      <x:c r="Z417" s="3"/>
    </x:row>
    <x:row r="418" ht="15" customHeight="1">
      <x:c r="A418" s="3"/>
      <x:c r="B418" s="3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  <x:c r="N418" s="3"/>
      <x:c r="O418" s="3"/>
      <x:c r="P418" s="3"/>
      <x:c r="Q418" s="3"/>
      <x:c r="R418" s="3"/>
      <x:c r="S418" s="3" t="n">
        <x:v>0</x:v>
      </x:c>
      <x:c r="T418" s="3" t="n">
        <x:v>0</x:v>
      </x:c>
      <x:c r="U418" s="3" t="n">
        <x:v>0</x:v>
      </x:c>
      <x:c r="V418" s="3" t="n">
        <x:v>0</x:v>
      </x:c>
      <x:c r="W418" s="3" t="n">
        <x:v>0</x:v>
      </x:c>
      <x:c r="X418" s="3"/>
      <x:c r="Y418" s="3"/>
      <x:c r="Z418" s="3"/>
    </x:row>
    <x:row r="419" ht="15" customHeight="1">
      <x:c r="A419" s="3"/>
      <x:c r="B419" s="3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  <x:c r="N419" s="3"/>
      <x:c r="O419" s="3"/>
      <x:c r="P419" s="3"/>
      <x:c r="Q419" s="3"/>
      <x:c r="R419" s="3"/>
      <x:c r="S419" s="3" t="n">
        <x:v>0</x:v>
      </x:c>
      <x:c r="T419" s="3" t="n">
        <x:v>0</x:v>
      </x:c>
      <x:c r="U419" s="3" t="n">
        <x:v>0</x:v>
      </x:c>
      <x:c r="V419" s="3" t="n">
        <x:v>0</x:v>
      </x:c>
      <x:c r="W419" s="3" t="n">
        <x:v>0</x:v>
      </x:c>
      <x:c r="X419" s="3"/>
      <x:c r="Y419" s="3"/>
      <x:c r="Z419" s="3"/>
    </x:row>
    <x:row r="420" ht="15" customHeight="1">
      <x:c r="A420" s="3"/>
      <x:c r="B420" s="3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  <x:c r="N420" s="3"/>
      <x:c r="O420" s="3"/>
      <x:c r="P420" s="3"/>
      <x:c r="Q420" s="3"/>
      <x:c r="R420" s="3"/>
      <x:c r="S420" s="3" t="n">
        <x:v>0</x:v>
      </x:c>
      <x:c r="T420" s="3" t="n">
        <x:v>0</x:v>
      </x:c>
      <x:c r="U420" s="3" t="n">
        <x:v>0</x:v>
      </x:c>
      <x:c r="V420" s="3" t="n">
        <x:v>0</x:v>
      </x:c>
      <x:c r="W420" s="3" t="n">
        <x:v>0</x:v>
      </x:c>
      <x:c r="X420" s="3"/>
      <x:c r="Y420" s="3"/>
      <x:c r="Z420" s="3"/>
    </x:row>
    <x:row r="421" ht="15" customHeight="1">
      <x:c r="A421" s="3"/>
      <x:c r="B421" s="3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  <x:c r="N421" s="3"/>
      <x:c r="O421" s="3"/>
      <x:c r="P421" s="3"/>
      <x:c r="Q421" s="3"/>
      <x:c r="R421" s="3"/>
      <x:c r="S421" s="3" t="n">
        <x:v>0</x:v>
      </x:c>
      <x:c r="T421" s="3" t="n">
        <x:v>0</x:v>
      </x:c>
      <x:c r="U421" s="3" t="n">
        <x:v>0</x:v>
      </x:c>
      <x:c r="V421" s="3" t="n">
        <x:v>0</x:v>
      </x:c>
      <x:c r="W421" s="3" t="n">
        <x:v>0</x:v>
      </x:c>
      <x:c r="X421" s="3"/>
      <x:c r="Y421" s="3"/>
      <x:c r="Z421" s="3"/>
    </x:row>
    <x:row r="422" ht="15" customHeight="1">
      <x:c r="A422" s="3"/>
      <x:c r="B422" s="3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  <x:c r="N422" s="3"/>
      <x:c r="O422" s="3"/>
      <x:c r="P422" s="3"/>
      <x:c r="Q422" s="3"/>
      <x:c r="R422" s="3"/>
      <x:c r="S422" s="3" t="n">
        <x:v>0</x:v>
      </x:c>
      <x:c r="T422" s="3" t="n">
        <x:v>0</x:v>
      </x:c>
      <x:c r="U422" s="3" t="n">
        <x:v>0</x:v>
      </x:c>
      <x:c r="V422" s="3" t="n">
        <x:v>0</x:v>
      </x:c>
      <x:c r="W422" s="3" t="n">
        <x:v>0</x:v>
      </x:c>
      <x:c r="X422" s="3"/>
      <x:c r="Y422" s="3"/>
      <x:c r="Z422" s="3"/>
    </x:row>
    <x:row r="423" ht="15" customHeight="1">
      <x:c r="A423" s="3"/>
      <x:c r="B423" s="3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  <x:c r="N423" s="3"/>
      <x:c r="O423" s="3"/>
      <x:c r="P423" s="3"/>
      <x:c r="Q423" s="3"/>
      <x:c r="R423" s="3"/>
      <x:c r="S423" s="3" t="n">
        <x:v>0</x:v>
      </x:c>
      <x:c r="T423" s="3" t="n">
        <x:v>0</x:v>
      </x:c>
      <x:c r="U423" s="3" t="n">
        <x:v>0</x:v>
      </x:c>
      <x:c r="V423" s="3" t="n">
        <x:v>0</x:v>
      </x:c>
      <x:c r="W423" s="3" t="n">
        <x:v>0</x:v>
      </x:c>
      <x:c r="X423" s="3"/>
      <x:c r="Y423" s="3"/>
      <x:c r="Z423" s="3"/>
    </x:row>
    <x:row r="424" ht="15" customHeight="1">
      <x:c r="A424" s="3"/>
      <x:c r="B424" s="3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  <x:c r="N424" s="3"/>
      <x:c r="O424" s="3"/>
      <x:c r="P424" s="3"/>
      <x:c r="Q424" s="3"/>
      <x:c r="R424" s="3"/>
      <x:c r="S424" s="3" t="n">
        <x:v>0</x:v>
      </x:c>
      <x:c r="T424" s="3" t="n">
        <x:v>0</x:v>
      </x:c>
      <x:c r="U424" s="3" t="n">
        <x:v>0</x:v>
      </x:c>
      <x:c r="V424" s="3" t="n">
        <x:v>0</x:v>
      </x:c>
      <x:c r="W424" s="3" t="n">
        <x:v>0</x:v>
      </x:c>
      <x:c r="X424" s="3"/>
      <x:c r="Y424" s="3"/>
      <x:c r="Z424" s="3"/>
    </x:row>
    <x:row r="425" ht="15" customHeight="1">
      <x:c r="A425" s="3"/>
      <x:c r="B425" s="3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  <x:c r="N425" s="3"/>
      <x:c r="O425" s="3"/>
      <x:c r="P425" s="3"/>
      <x:c r="Q425" s="3"/>
      <x:c r="R425" s="3"/>
      <x:c r="S425" s="3" t="n">
        <x:v>0</x:v>
      </x:c>
      <x:c r="T425" s="3" t="n">
        <x:v>0</x:v>
      </x:c>
      <x:c r="U425" s="3" t="n">
        <x:v>0</x:v>
      </x:c>
      <x:c r="V425" s="3" t="n">
        <x:v>0</x:v>
      </x:c>
      <x:c r="W425" s="3" t="n">
        <x:v>0</x:v>
      </x:c>
      <x:c r="X425" s="3"/>
      <x:c r="Y425" s="3"/>
      <x:c r="Z425" s="3"/>
    </x:row>
    <x:row r="426" ht="15" customHeight="1">
      <x:c r="A426" s="3"/>
      <x:c r="B426" s="3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  <x:c r="N426" s="3"/>
      <x:c r="O426" s="3"/>
      <x:c r="P426" s="3"/>
      <x:c r="Q426" s="3"/>
      <x:c r="R426" s="3"/>
      <x:c r="S426" s="3" t="n">
        <x:v>0</x:v>
      </x:c>
      <x:c r="T426" s="3" t="n">
        <x:v>0</x:v>
      </x:c>
      <x:c r="U426" s="3" t="n">
        <x:v>0</x:v>
      </x:c>
      <x:c r="V426" s="3" t="n">
        <x:v>0</x:v>
      </x:c>
      <x:c r="W426" s="3" t="n">
        <x:v>0</x:v>
      </x:c>
      <x:c r="X426" s="3"/>
      <x:c r="Y426" s="3"/>
      <x:c r="Z426" s="3"/>
    </x:row>
    <x:row r="427" ht="15" customHeight="1">
      <x:c r="A427" s="3"/>
      <x:c r="B427" s="3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  <x:c r="N427" s="3"/>
      <x:c r="O427" s="3"/>
      <x:c r="P427" s="3"/>
      <x:c r="Q427" s="3"/>
      <x:c r="R427" s="3"/>
      <x:c r="S427" s="3" t="n">
        <x:v>0</x:v>
      </x:c>
      <x:c r="T427" s="3" t="n">
        <x:v>0</x:v>
      </x:c>
      <x:c r="U427" s="3" t="n">
        <x:v>0</x:v>
      </x:c>
      <x:c r="V427" s="3" t="n">
        <x:v>0</x:v>
      </x:c>
      <x:c r="W427" s="3" t="n">
        <x:v>0</x:v>
      </x:c>
      <x:c r="X427" s="3"/>
      <x:c r="Y427" s="3"/>
      <x:c r="Z427" s="3"/>
    </x:row>
  </x:sheetData>
  <x:pageMargins left="0.7" right="0.7" top="0.75" bottom="0.75" header="0.3" footer="0.3"/>
  <x:drawing xmlns:r="http://schemas.openxmlformats.org/officeDocument/2006/relationships" r:id="Rf8f33eabddfc4663"/>
</x:worksheet>
</file>

<file path=xl/worksheets/sheet5.xml><?xml version="1.0" encoding="utf-8"?>
<x:worksheet xmlns:x="http://schemas.openxmlformats.org/spreadsheetml/2006/main">
  <x:sheetPr>
    <x:tabColor rgb="FFFFFFFF"/>
  </x:sheetPr>
  <x:sheetViews>
    <x:sheetView showGridLines="1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6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15" customHeight="1">
      <x:c r="A1" s="3" t="str">
        <x:v>Логарифмическая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15" customHeight="1">
      <x:c r="A2" s="3" t="str">
        <x:v>H=a+b·ln(x)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30" customHeight="1">
      <x:c r="A3" s="14" t="str">
        <x:v>Коэф.</x:v>
      </x:c>
      <x:c r="B3" s="14" t="str">
        <x:v>Оценка</x:v>
      </x:c>
      <x:c r="C3" s="14" t="str">
        <x:v>SE</x:v>
      </x:c>
      <x:c r="D3" s="3"/>
      <x:c r="E3" s="3"/>
      <x:c r="F3" s="14" t="str">
        <x:v>Показатель</x:v>
      </x:c>
      <x:c r="G3" s="14" t="str">
        <x:v>Значение</x:v>
      </x:c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15" customHeight="1">
      <x:c r="A4" s="8" t="str">
        <x:v>a</x:v>
      </x:c>
      <x:c r="B4" s="16" t="n">
        <x:v>0.824596089735536</x:v>
      </x:c>
      <x:c r="C4" s="16" t="n">
        <x:f>SQRT(S409)</x:f>
        <x:v>2.7146570757251998</x:v>
      </x:c>
      <x:c r="D4" s="3"/>
      <x:c r="E4" s="3"/>
      <x:c r="F4" s="8" t="str">
        <x:v>R² обучения</x:v>
      </x:c>
      <x:c r="G4" s="12" t="n">
        <x:v>0.10802857023635015</x:v>
      </x:c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15" customHeight="1">
      <x:c r="A5" s="8" t="str">
        <x:v>b</x:v>
      </x:c>
      <x:c r="B5" s="16" t="n">
        <x:v>56.750231955374375</x:v>
      </x:c>
      <x:c r="C5" s="16" t="n">
        <x:f>SQRT(T410)</x:f>
        <x:v>1.7591440062621269</x:v>
      </x:c>
      <x:c r="D5" s="3"/>
      <x:c r="E5" s="3"/>
      <x:c r="F5" s="8" t="str">
        <x:v>MAE, см</x:v>
      </x:c>
      <x:c r="G5" s="8" t="n">
        <x:f>SUMPRODUCT($R$20:$R$384,$O$20:$O$384)/G11</x:f>
        <x:v>123.96418321622428</x:v>
      </x:c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15" customHeight="1">
      <x:c r="A6" s="3"/>
      <x:c r="B6" s="3"/>
      <x:c r="C6" s="3"/>
      <x:c r="D6" s="3"/>
      <x:c r="E6" s="3"/>
      <x:c r="F6" s="8" t="str">
        <x:v>S (RMSE), см</x:v>
      </x:c>
      <x:c r="G6" s="8" t="n">
        <x:f>SQRT(K408/G11)</x:f>
        <x:v>141.52696501894945</x:v>
      </x:c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15" customHeight="1">
      <x:c r="A7" s="3"/>
      <x:c r="B7" s="3"/>
      <x:c r="C7" s="3"/>
      <x:c r="D7" s="3"/>
      <x:c r="E7" s="3"/>
      <x:c r="F7" s="8" t="str">
        <x:v>NSE</x:v>
      </x:c>
      <x:c r="G7" s="12" t="n">
        <x:f>IF(K405=0,"н.д.",1-K408/K405)</x:f>
        <x:v>-0.1328162194853595</x:v>
      </x:c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15" customHeight="1">
      <x:c r="A8" s="3"/>
      <x:c r="B8" s="3"/>
      <x:c r="C8" s="3"/>
      <x:c r="D8" s="3"/>
      <x:c r="E8" s="3"/>
      <x:c r="F8" s="8" t="str">
        <x:v>S/σΔ</x:v>
      </x:c>
      <x:c r="G8" s="12" t="n">
        <x:f>IF(G10=0,"н.д.",G6/G10)</x:f>
        <x:v>12.9311380469198</x:v>
      </x:c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15" customHeight="1">
      <x:c r="A9" s="3"/>
      <x:c r="B9" s="3"/>
      <x:c r="C9" s="3"/>
      <x:c r="D9" s="3"/>
      <x:c r="E9" s="3"/>
      <x:c r="F9" s="8" t="str">
        <x:v>P%</x:v>
      </x:c>
      <x:c r="G9" s="17" t="n">
        <x:f>SUM($S$20:$S$384)/G11</x:f>
        <x:v>0.03943661971830986</x:v>
      </x:c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15" customHeight="1">
      <x:c r="A10" s="3"/>
      <x:c r="B10" s="3"/>
      <x:c r="C10" s="3"/>
      <x:c r="D10" s="3"/>
      <x:c r="E10" s="3"/>
      <x:c r="F10" s="8" t="str">
        <x:v>σΔ, см</x:v>
      </x:c>
      <x:c r="G10" s="8" t="n">
        <x:f>IF(G11&gt;1,SQRT(MAX(0,K407)/(G11-1)),"н.д.")</x:f>
        <x:v>10.944664306067107</x:v>
      </x:c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15" customHeight="1">
      <x:c r="A11" s="3"/>
      <x:c r="B11" s="3"/>
      <x:c r="C11" s="3"/>
      <x:c r="D11" s="3"/>
      <x:c r="E11" s="3"/>
      <x:c r="F11" s="8" t="str">
        <x:v>n проверки</x:v>
      </x:c>
      <x:c r="G11" s="9" t="n">
        <x:f>SUM($R$20:$R$384)</x:f>
        <x:v>355</x:v>
      </x:c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15" customHeight="1">
      <x:c r="A12" s="3"/>
      <x:c r="B12" s="3"/>
      <x:c r="C12" s="3"/>
      <x:c r="D12" s="3"/>
      <x:c r="E12" s="3"/>
      <x:c r="F12" s="8" t="str">
        <x:v>Оценка, суток</x:v>
      </x:c>
      <x:c r="G12" s="9" t="n">
        <x:f>'Сводка'!$B$11</x:f>
        <x:v>1</x:v>
      </x:c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15" customHeight="1">
      <x:c r="A13" s="3"/>
      <x:c r="B13" s="3"/>
      <x:c r="C13" s="3"/>
      <x:c r="D13" s="3"/>
      <x:c r="E13" s="3"/>
      <x:c r="F13" s="8" t="str">
        <x:v>δдоп, см</x:v>
      </x:c>
      <x:c r="G13" s="8" t="n">
        <x:f>'Сводка'!$B$14*G10</x:f>
        <x:v>7.376703742289231</x:v>
      </x:c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15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1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15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15" customHeight="1">
      <x:c r="A17" s="3" t="str">
        <x:v>Прогноз</x:v>
      </x:c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 ht="30" customHeight="1">
      <x:c r="A18" s="15" t="str">
        <x:v>Дата</x:v>
      </x:c>
      <x:c r="B18" s="15" t="str">
        <x:v>x</x:v>
      </x:c>
      <x:c r="C18" s="15" t="str">
        <x:v>u</x:v>
      </x:c>
      <x:c r="D18" s="15" t="str">
        <x:v>Прогноз, см</x:v>
      </x:c>
      <x:c r="E18" s="15" t="str">
        <x:v>SE прогноза</x:v>
      </x:c>
      <x:c r="F18" s="15" t="str">
        <x:v>Нижняя 95%</x:v>
      </x:c>
      <x:c r="G18" s="15" t="str">
        <x:v>Верхняя 95%</x:v>
      </x:c>
      <x:c r="H18" s="15" t="str">
        <x:v>SE среднего</x:v>
      </x:c>
      <x:c r="I18" s="3"/>
      <x:c r="J18" s="3" t="str">
        <x:v>Проверочные прогнозы</x:v>
      </x:c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 ht="30" customHeight="1">
      <x:c r="A19" s="10" t="n">
        <x:f>IF(1&lt;='Сводка'!$B$3,'Сводка'!$B$4+1,"")</x:f>
        <x:v>46236</x:v>
      </x:c>
      <x:c r="B19" s="18" t="n">
        <x:f>IF($A19="","",(A19-$T$405+1)/1000)</x:f>
        <x:v>8.98</x:v>
      </x:c>
      <x:c r="C19" s="18" t="n">
        <x:f>IF($A19="","",2*(A19-$T$405)/$T$406-1)</x:f>
        <x:v>1.000222766763199</x:v>
      </x:c>
      <x:c r="D19" s="8" t="n">
        <x:f>IF($A19="","",$B$4+$B$5*LN(B19))</x:f>
        <x:v>125.39134855308063</x:v>
      </x:c>
      <x:c r="E19" s="8" t="n">
        <x:f>IF($A19="","",SQRT($T$403^2+H19^2))</x:f>
        <x:v>162.5338747482469</x:v>
      </x:c>
      <x:c r="F19" s="8" t="n">
        <x:f>IF($A19="","",D19-$T$404*E19)</x:f>
        <x:v>-193.2140691940318</x:v>
      </x:c>
      <x:c r="G19" s="8" t="n">
        <x:f>IF($A19="","",D19+$T$404*E19)</x:f>
        <x:v>443.99676630019303</x:v>
      </x:c>
      <x:c r="H19" s="8" t="n">
        <x:f>IF($A19="","",SQRT(MAX(0,(1)*$S$409*(1)+(1)*$T$409*(LN(B19))+(LN(B19))*$S$410*(1)+(LN(B19))*$T$410*(LN(B19)))))</x:f>
        <x:v>2.5043185826097005</x:v>
      </x:c>
      <x:c r="I19" s="3"/>
      <x:c r="J19" s="15" t="str">
        <x:v>Дата</x:v>
      </x:c>
      <x:c r="K19" s="15" t="str">
        <x:v>Факт, см</x:v>
      </x:c>
      <x:c r="L19" s="15" t="str">
        <x:v>H начала</x:v>
      </x:c>
      <x:c r="M19" s="15" t="str">
        <x:v>Прогноз, см</x:v>
      </x:c>
      <x:c r="N19" s="15" t="str">
        <x:v>Ошибка</x:v>
      </x:c>
      <x:c r="O19" s="15" t="str">
        <x:v>|Ошибка|</x:v>
      </x:c>
      <x:c r="P19" s="15" t="str">
        <x:v>Ошибка²</x:v>
      </x:c>
      <x:c r="Q19" s="15" t="str">
        <x:v>ΔH</x:v>
      </x:c>
      <x:c r="R19" s="15" t="str">
        <x:v>Вес</x:v>
      </x:c>
      <x:c r="S19" s="15" t="str">
        <x:v>Оправдался</x:v>
      </x:c>
      <x:c r="T19" s="15" t="str">
        <x:v>Обучение до</x:v>
      </x:c>
      <x:c r="U19" s="14" t="str">
        <x:v>i факт</x:v>
      </x:c>
      <x:c r="V19" s="14" t="str">
        <x:v>i начало</x:v>
      </x:c>
      <x:c r="W19" s="14" t="str">
        <x:v>i fit</x:v>
      </x:c>
      <x:c r="X19" s="3"/>
      <x:c r="Y19" s="3"/>
      <x:c r="Z19" s="3"/>
    </x:row>
    <x:row r="20" ht="15" customHeight="1">
      <x:c r="A20" s="10" t="n">
        <x:f>IF(2&lt;='Сводка'!$B$3,'Сводка'!$B$4+2,"")</x:f>
        <x:v>46237</x:v>
      </x:c>
      <x:c r="B20" s="18" t="n">
        <x:f>IF($A20="","",(A20-$T$405+1)/1000)</x:f>
        <x:v>8.981</x:v>
      </x:c>
      <x:c r="C20" s="18" t="n">
        <x:f>IF($A20="","",2*(A20-$T$405)/$T$406-1)</x:f>
        <x:v>1.0004455335263978</x:v>
      </x:c>
      <x:c r="D20" s="8" t="n">
        <x:f>IF($A20="","",$B$4+$B$5*LN(B20))</x:f>
        <x:v>125.39766782617389</x:v>
      </x:c>
      <x:c r="E20" s="8" t="n">
        <x:f>IF($A20="","",SQRT($T$403^2+H20^2))</x:f>
        <x:v>162.53387690387055</x:v>
      </x:c>
      <x:c r="F20" s="8" t="n">
        <x:f>IF($A20="","",D20-$T$404*E20)</x:f>
        <x:v>-193.20775414647844</x:v>
      </x:c>
      <x:c r="G20" s="8" t="n">
        <x:f>IF($A20="","",D20+$T$404*E20)</x:f>
        <x:v>444.0030897988262</x:v>
      </x:c>
      <x:c r="H20" s="8" t="n">
        <x:f>IF($A20="","",SQRT(MAX(0,(1)*$S$409*(1)+(1)*$T$409*(LN(B20))+(LN(B20))*$S$410*(1)+(LN(B20))*$T$410*(LN(B20)))))</x:f>
        <x:v>2.5044584817757665</x:v>
      </x:c>
      <x:c r="I20" s="3"/>
      <x:c r="J20" s="10" t="n">
        <x:v>45871</x:v>
      </x:c>
      <x:c r="K20" s="8" t="n">
        <x:f>INDEX('Сводка'!$S$3:$S$397,U20)</x:f>
        <x:v>211</x:v>
      </x:c>
      <x:c r="L20" s="8" t="n">
        <x:f>INDEX('Сводка'!$S$3:$S$397,V20)</x:f>
        <x:v>193</x:v>
      </x:c>
      <x:c r="M20" s="8" t="n">
        <x:f>INDEX($K$388:$N$400,W20,1)+INDEX($K$388:$N$400,W20,2)*LN(((J20-$T$405+1)/1000))</x:f>
        <x:v>127.18084917212384</x:v>
      </x:c>
      <x:c r="N20" s="8" t="n">
        <x:f>K20-M20</x:f>
        <x:v>83.81915082787616</x:v>
      </x:c>
      <x:c r="O20" s="8" t="n">
        <x:f>ABS(N20)</x:f>
        <x:v>83.81915082787616</x:v>
      </x:c>
      <x:c r="P20" s="8" t="n">
        <x:f>N20^2</x:f>
        <x:v>7025.650045506252</x:v>
      </x:c>
      <x:c r="Q20" s="8" t="n">
        <x:f>K20-L20</x:f>
        <x:v>18</x:v>
      </x:c>
      <x:c r="R20" s="9" t="n">
        <x:f>IF(AND(INDEX('Сводка'!$T$3:$T$397,U20)=0,INDEX('Сводка'!$T$3:$T$397,V20)=0),1,0)</x:f>
        <x:v>1</x:v>
      </x:c>
      <x:c r="S20" s="9" t="n">
        <x:f>IF(AND(R20=1,O20&lt;=$G$13),1,0)</x:f>
        <x:v>0</x:v>
      </x:c>
      <x:c r="T20" s="10" t="n">
        <x:f>EOMONTH(J20-'Сводка'!$B$11,-1)</x:f>
        <x:v>45869</x:v>
      </x:c>
      <x:c r="U20" s="4" t="n">
        <x:f>MATCH(J20,'Сводка'!$R$3:$R$397,0)</x:f>
        <x:v>31</x:v>
      </x:c>
      <x:c r="V20" s="4" t="n">
        <x:f>MATCH(J20-'Сводка'!$B$11,'Сводка'!$R$3:$R$397,0)</x:f>
        <x:v>30</x:v>
      </x:c>
      <x:c r="W20" s="4" t="n">
        <x:f>MATCH(T20,$J$388:$J$400,0)</x:f>
        <x:v>2</x:v>
      </x:c>
      <x:c r="X20" s="3"/>
      <x:c r="Y20" s="3"/>
      <x:c r="Z20" s="3"/>
    </x:row>
    <x:row r="21" ht="15" customHeight="1">
      <x:c r="A21" s="10" t="n">
        <x:f>IF(3&lt;='Сводка'!$B$3,'Сводка'!$B$4+3,"")</x:f>
        <x:v>46238</x:v>
      </x:c>
      <x:c r="B21" s="18" t="n">
        <x:f>IF($A21="","",(A21-$T$405+1)/1000)</x:f>
        <x:v>8.982</x:v>
      </x:c>
      <x:c r="C21" s="18" t="n">
        <x:f>IF($A21="","",2*(A21-$T$405)/$T$406-1)</x:f>
        <x:v>1.0006683002895969</x:v>
      </x:c>
      <x:c r="D21" s="8" t="n">
        <x:f>IF($A21="","",$B$4+$B$5*LN(B21))</x:f>
        <x:v>125.40398639567941</x:v>
      </x:c>
      <x:c r="E21" s="8" t="n">
        <x:f>IF($A21="","",SQRT($T$403^2+H21^2))</x:f>
        <x:v>162.5338790594902</x:v>
      </x:c>
      <x:c r="F21" s="8" t="n">
        <x:f>IF($A21="","",D21-$T$404*E21)</x:f>
        <x:v>-193.20143980250498</x:v>
      </x:c>
      <x:c r="G21" s="8" t="n">
        <x:f>IF($A21="","",D21+$T$404*E21)</x:f>
        <x:v>444.0094125938638</x:v>
      </x:c>
      <x:c r="H21" s="8" t="n">
        <x:f>IF($A21="","",SQRT(MAX(0,(1)*$S$409*(1)+(1)*$T$409*(LN(B21))+(LN(B21))*$S$410*(1)+(LN(B21))*$T$410*(LN(B21)))))</x:f>
        <x:v>2.5045983728700443</x:v>
      </x:c>
      <x:c r="I21" s="3"/>
      <x:c r="J21" s="10" t="n">
        <x:v>45872</x:v>
      </x:c>
      <x:c r="K21" s="8" t="n">
        <x:f>INDEX('Сводка'!$S$3:$S$397,U21)</x:f>
        <x:v>229</x:v>
      </x:c>
      <x:c r="L21" s="8" t="n">
        <x:f>INDEX('Сводка'!$S$3:$S$397,V21)</x:f>
        <x:v>211</x:v>
      </x:c>
      <x:c r="M21" s="8" t="n">
        <x:f>INDEX($K$388:$N$400,W21,1)+INDEX($K$388:$N$400,W21,2)*LN(((J21-$T$405+1)/1000))</x:f>
        <x:v>127.18768038887303</x:v>
      </x:c>
      <x:c r="N21" s="8" t="n">
        <x:f>K21-M21</x:f>
        <x:v>101.81231961112697</x:v>
      </x:c>
      <x:c r="O21" s="8" t="n">
        <x:f>ABS(N21)</x:f>
        <x:v>101.81231961112697</x:v>
      </x:c>
      <x:c r="P21" s="8" t="n">
        <x:f>N21^2</x:f>
        <x:v>10365.748424598269</x:v>
      </x:c>
      <x:c r="Q21" s="8" t="n">
        <x:f>K21-L21</x:f>
        <x:v>18</x:v>
      </x:c>
      <x:c r="R21" s="9" t="n">
        <x:f>IF(AND(INDEX('Сводка'!$T$3:$T$397,U21)=0,INDEX('Сводка'!$T$3:$T$397,V21)=0),1,0)</x:f>
        <x:v>1</x:v>
      </x:c>
      <x:c r="S21" s="9" t="n">
        <x:f>IF(AND(R21=1,O21&lt;=$G$13),1,0)</x:f>
        <x:v>0</x:v>
      </x:c>
      <x:c r="T21" s="10" t="n">
        <x:f>EOMONTH(J21-'Сводка'!$B$11,-1)</x:f>
        <x:v>45869</x:v>
      </x:c>
      <x:c r="U21" s="4" t="n">
        <x:f>MATCH(J21,'Сводка'!$R$3:$R$397,0)</x:f>
        <x:v>32</x:v>
      </x:c>
      <x:c r="V21" s="4" t="n">
        <x:f>MATCH(J21-'Сводка'!$B$11,'Сводка'!$R$3:$R$397,0)</x:f>
        <x:v>31</x:v>
      </x:c>
      <x:c r="W21" s="4" t="n">
        <x:f>MATCH(T21,$J$388:$J$400,0)</x:f>
        <x:v>2</x:v>
      </x:c>
      <x:c r="X21" s="3"/>
      <x:c r="Y21" s="3"/>
      <x:c r="Z21" s="3"/>
    </x:row>
    <x:row r="22" ht="15" customHeight="1">
      <x:c r="A22" s="10" t="n">
        <x:f>IF(4&lt;='Сводка'!$B$3,'Сводка'!$B$4+4,"")</x:f>
        <x:v>46239</x:v>
      </x:c>
      <x:c r="B22" s="18" t="n">
        <x:f>IF($A22="","",(A22-$T$405+1)/1000)</x:f>
        <x:v>8.983</x:v>
      </x:c>
      <x:c r="C22" s="18" t="n">
        <x:f>IF($A22="","",2*(A22-$T$405)/$T$406-1)</x:f>
        <x:v>1.0008910670527955</x:v>
      </x:c>
      <x:c r="D22" s="8" t="n">
        <x:f>IF($A22="","",$B$4+$B$5*LN(B22))</x:f>
        <x:v>125.41030426175391</x:v>
      </x:c>
      <x:c r="E22" s="8" t="n">
        <x:f>IF($A22="","",SQRT($T$403^2+H22^2))</x:f>
        <x:v>162.53388121510585</x:v>
      </x:c>
      <x:c r="F22" s="8" t="n">
        <x:f>IF($A22="","",D22-$T$404*E22)</x:f>
        <x:v>-193.19512616195473</x:v>
      </x:c>
      <x:c r="G22" s="8" t="n">
        <x:f>IF($A22="","",D22+$T$404*E22)</x:f>
        <x:v>444.0157346854626</x:v>
      </x:c>
      <x:c r="H22" s="8" t="n">
        <x:f>IF($A22="","",SQRT(MAX(0,(1)*$S$409*(1)+(1)*$T$409*(LN(B22))+(LN(B22))*$S$410*(1)+(LN(B22))*$T$410*(LN(B22)))))</x:f>
        <x:v>2.5047382558922386</x:v>
      </x:c>
      <x:c r="I22" s="3"/>
      <x:c r="J22" s="10" t="n">
        <x:v>45873</x:v>
      </x:c>
      <x:c r="K22" s="8" t="n">
        <x:f>INDEX('Сводка'!$S$3:$S$397,U22)</x:f>
        <x:v>243</x:v>
      </x:c>
      <x:c r="L22" s="8" t="n">
        <x:f>INDEX('Сводка'!$S$3:$S$397,V22)</x:f>
        <x:v>229</x:v>
      </x:c>
      <x:c r="M22" s="8" t="n">
        <x:f>INDEX($K$388:$N$400,W22,1)+INDEX($K$388:$N$400,W22,2)*LN(((J22-$T$405+1)/1000))</x:f>
        <x:v>127.19451081281579</x:v>
      </x:c>
      <x:c r="N22" s="8" t="n">
        <x:f>K22-M22</x:f>
        <x:v>115.80548918718421</x:v>
      </x:c>
      <x:c r="O22" s="8" t="n">
        <x:f>ABS(N22)</x:f>
        <x:v>115.80548918718421</x:v>
      </x:c>
      <x:c r="P22" s="8" t="n">
        <x:f>N22^2</x:f>
        <x:v>13410.911325883038</x:v>
      </x:c>
      <x:c r="Q22" s="8" t="n">
        <x:f>K22-L22</x:f>
        <x:v>14</x:v>
      </x:c>
      <x:c r="R22" s="9" t="n">
        <x:f>IF(AND(INDEX('Сводка'!$T$3:$T$397,U22)=0,INDEX('Сводка'!$T$3:$T$397,V22)=0),1,0)</x:f>
        <x:v>1</x:v>
      </x:c>
      <x:c r="S22" s="9" t="n">
        <x:f>IF(AND(R22=1,O22&lt;=$G$13),1,0)</x:f>
        <x:v>0</x:v>
      </x:c>
      <x:c r="T22" s="10" t="n">
        <x:f>EOMONTH(J22-'Сводка'!$B$11,-1)</x:f>
        <x:v>45869</x:v>
      </x:c>
      <x:c r="U22" s="4" t="n">
        <x:f>MATCH(J22,'Сводка'!$R$3:$R$397,0)</x:f>
        <x:v>33</x:v>
      </x:c>
      <x:c r="V22" s="4" t="n">
        <x:f>MATCH(J22-'Сводка'!$B$11,'Сводка'!$R$3:$R$397,0)</x:f>
        <x:v>32</x:v>
      </x:c>
      <x:c r="W22" s="4" t="n">
        <x:f>MATCH(T22,$J$388:$J$400,0)</x:f>
        <x:v>2</x:v>
      </x:c>
      <x:c r="X22" s="3"/>
      <x:c r="Y22" s="3"/>
      <x:c r="Z22" s="3"/>
    </x:row>
    <x:row r="23" ht="15" customHeight="1">
      <x:c r="A23" s="10" t="n">
        <x:f>IF(5&lt;='Сводка'!$B$3,'Сводка'!$B$4+5,"")</x:f>
        <x:v>46240</x:v>
      </x:c>
      <x:c r="B23" s="18" t="n">
        <x:f>IF($A23="","",(A23-$T$405+1)/1000)</x:f>
        <x:v>8.984</x:v>
      </x:c>
      <x:c r="C23" s="18" t="n">
        <x:f>IF($A23="","",2*(A23-$T$405)/$T$406-1)</x:f>
        <x:v>1.0011138338159946</x:v>
      </x:c>
      <x:c r="D23" s="8" t="n">
        <x:f>IF($A23="","",$B$4+$B$5*LN(B23))</x:f>
        <x:v>125.41662142455391</x:v>
      </x:c>
      <x:c r="E23" s="8" t="n">
        <x:f>IF($A23="","",SQRT($T$403^2+H23^2))</x:f>
        <x:v>162.53388337071743</x:v>
      </x:c>
      <x:c r="F23" s="8" t="n">
        <x:f>IF($A23="","",D23-$T$404*E23)</x:f>
        <x:v>-193.18881322467098</x:v>
      </x:c>
      <x:c r="G23" s="8" t="n">
        <x:f>IF($A23="","",D23+$T$404*E23)</x:f>
        <x:v>444.0220560737788</x:v>
      </x:c>
      <x:c r="H23" s="8" t="n">
        <x:f>IF($A23="","",SQRT(MAX(0,(1)*$S$409*(1)+(1)*$T$409*(LN(B23))+(LN(B23))*$S$410*(1)+(LN(B23))*$T$410*(LN(B23)))))</x:f>
        <x:v>2.5048781308420542</x:v>
      </x:c>
      <x:c r="I23" s="3"/>
      <x:c r="J23" s="10" t="n">
        <x:v>45874</x:v>
      </x:c>
      <x:c r="K23" s="8" t="n">
        <x:f>INDEX('Сводка'!$S$3:$S$397,U23)</x:f>
        <x:v>249</x:v>
      </x:c>
      <x:c r="L23" s="8" t="n">
        <x:f>INDEX('Сводка'!$S$3:$S$397,V23)</x:f>
        <x:v>243</x:v>
      </x:c>
      <x:c r="M23" s="8" t="n">
        <x:f>INDEX($K$388:$N$400,W23,1)+INDEX($K$388:$N$400,W23,2)*LN(((J23-$T$405+1)/1000))</x:f>
        <x:v>127.20134044413606</x:v>
      </x:c>
      <x:c r="N23" s="8" t="n">
        <x:f>K23-M23</x:f>
        <x:v>121.79865955586394</x:v>
      </x:c>
      <x:c r="O23" s="8" t="n">
        <x:f>ABS(N23)</x:f>
        <x:v>121.79865955586394</x:v>
      </x:c>
      <x:c r="P23" s="8" t="n">
        <x:f>N23^2</x:f>
        <x:v>14834.913469605244</x:v>
      </x:c>
      <x:c r="Q23" s="8" t="n">
        <x:f>K23-L23</x:f>
        <x:v>6</x:v>
      </x:c>
      <x:c r="R23" s="9" t="n">
        <x:f>IF(AND(INDEX('Сводка'!$T$3:$T$397,U23)=0,INDEX('Сводка'!$T$3:$T$397,V23)=0),1,0)</x:f>
        <x:v>1</x:v>
      </x:c>
      <x:c r="S23" s="9" t="n">
        <x:f>IF(AND(R23=1,O23&lt;=$G$13),1,0)</x:f>
        <x:v>0</x:v>
      </x:c>
      <x:c r="T23" s="10" t="n">
        <x:f>EOMONTH(J23-'Сводка'!$B$11,-1)</x:f>
        <x:v>45869</x:v>
      </x:c>
      <x:c r="U23" s="4" t="n">
        <x:f>MATCH(J23,'Сводка'!$R$3:$R$397,0)</x:f>
        <x:v>34</x:v>
      </x:c>
      <x:c r="V23" s="4" t="n">
        <x:f>MATCH(J23-'Сводка'!$B$11,'Сводка'!$R$3:$R$397,0)</x:f>
        <x:v>33</x:v>
      </x:c>
      <x:c r="W23" s="4" t="n">
        <x:f>MATCH(T23,$J$388:$J$400,0)</x:f>
        <x:v>2</x:v>
      </x:c>
      <x:c r="X23" s="3"/>
      <x:c r="Y23" s="3"/>
      <x:c r="Z23" s="3"/>
    </x:row>
    <x:row r="24" ht="15" customHeight="1">
      <x:c r="A24" s="10" t="n">
        <x:f>IF(6&lt;='Сводка'!$B$3,'Сводка'!$B$4+6,"")</x:f>
        <x:v>46241</x:v>
      </x:c>
      <x:c r="B24" s="18" t="n">
        <x:f>IF($A24="","",(A24-$T$405+1)/1000)</x:f>
        <x:v>8.985</x:v>
      </x:c>
      <x:c r="C24" s="18" t="n">
        <x:f>IF($A24="","",2*(A24-$T$405)/$T$406-1)</x:f>
        <x:v>1.0013366005791937</x:v>
      </x:c>
      <x:c r="D24" s="8" t="n">
        <x:f>IF($A24="","",$B$4+$B$5*LN(B24))</x:f>
        <x:v>125.42293788423605</x:v>
      </x:c>
      <x:c r="E24" s="8" t="n">
        <x:f>IF($A24="","",SQRT($T$403^2+H24^2))</x:f>
        <x:v>162.53388552632495</x:v>
      </x:c>
      <x:c r="F24" s="8" t="n">
        <x:f>IF($A24="","",D24-$T$404*E24)</x:f>
        <x:v>-193.1825009904971</x:v>
      </x:c>
      <x:c r="G24" s="8" t="n">
        <x:f>IF($A24="","",D24+$T$404*E24)</x:f>
        <x:v>444.02837675896916</x:v>
      </x:c>
      <x:c r="H24" s="8" t="n">
        <x:f>IF($A24="","",SQRT(MAX(0,(1)*$S$409*(1)+(1)*$T$409*(LN(B24))+(LN(B24))*$S$410*(1)+(LN(B24))*$T$410*(LN(B24)))))</x:f>
        <x:v>2.5050179977191993</x:v>
      </x:c>
      <x:c r="I24" s="3"/>
      <x:c r="J24" s="10" t="n">
        <x:v>45875</x:v>
      </x:c>
      <x:c r="K24" s="8" t="n">
        <x:f>INDEX('Сводка'!$S$3:$S$397,U24)</x:f>
        <x:v>253</x:v>
      </x:c>
      <x:c r="L24" s="8" t="n">
        <x:f>INDEX('Сводка'!$S$3:$S$397,V24)</x:f>
        <x:v>249</x:v>
      </x:c>
      <x:c r="M24" s="8" t="n">
        <x:f>INDEX($K$388:$N$400,W24,1)+INDEX($K$388:$N$400,W24,2)*LN(((J24-$T$405+1)/1000))</x:f>
        <x:v>127.20816928301782</x:v>
      </x:c>
      <x:c r="N24" s="8" t="n">
        <x:f>K24-M24</x:f>
        <x:v>125.79183071698218</x:v>
      </x:c>
      <x:c r="O24" s="8" t="n">
        <x:f>ABS(N24)</x:f>
        <x:v>125.79183071698218</x:v>
      </x:c>
      <x:c r="P24" s="8" t="n">
        <x:f>N24^2</x:f>
        <x:v>15823.584675129901</x:v>
      </x:c>
      <x:c r="Q24" s="8" t="n">
        <x:f>K24-L24</x:f>
        <x:v>4</x:v>
      </x:c>
      <x:c r="R24" s="9" t="n">
        <x:f>IF(AND(INDEX('Сводка'!$T$3:$T$397,U24)=0,INDEX('Сводка'!$T$3:$T$397,V24)=0),1,0)</x:f>
        <x:v>1</x:v>
      </x:c>
      <x:c r="S24" s="9" t="n">
        <x:f>IF(AND(R24=1,O24&lt;=$G$13),1,0)</x:f>
        <x:v>0</x:v>
      </x:c>
      <x:c r="T24" s="10" t="n">
        <x:f>EOMONTH(J24-'Сводка'!$B$11,-1)</x:f>
        <x:v>45869</x:v>
      </x:c>
      <x:c r="U24" s="4" t="n">
        <x:f>MATCH(J24,'Сводка'!$R$3:$R$397,0)</x:f>
        <x:v>35</x:v>
      </x:c>
      <x:c r="V24" s="4" t="n">
        <x:f>MATCH(J24-'Сводка'!$B$11,'Сводка'!$R$3:$R$397,0)</x:f>
        <x:v>34</x:v>
      </x:c>
      <x:c r="W24" s="4" t="n">
        <x:f>MATCH(T24,$J$388:$J$400,0)</x:f>
        <x:v>2</x:v>
      </x:c>
      <x:c r="X24" s="3"/>
      <x:c r="Y24" s="3"/>
      <x:c r="Z24" s="3"/>
    </x:row>
    <x:row r="25" ht="15" customHeight="1">
      <x:c r="A25" s="10" t="n">
        <x:f>IF(7&lt;='Сводка'!$B$3,'Сводка'!$B$4+7,"")</x:f>
        <x:v>46242</x:v>
      </x:c>
      <x:c r="B25" s="18" t="n">
        <x:f>IF($A25="","",(A25-$T$405+1)/1000)</x:f>
        <x:v>8.986</x:v>
      </x:c>
      <x:c r="C25" s="18" t="n">
        <x:f>IF($A25="","",2*(A25-$T$405)/$T$406-1)</x:f>
        <x:v>1.0015593673423924</x:v>
      </x:c>
      <x:c r="D25" s="8" t="n">
        <x:f>IF($A25="","",$B$4+$B$5*LN(B25))</x:f>
        <x:v>125.42925364095674</x:v>
      </x:c>
      <x:c r="E25" s="8" t="n">
        <x:f>IF($A25="","",SQRT($T$403^2+H25^2))</x:f>
        <x:v>162.53388768192838</x:v>
      </x:c>
      <x:c r="F25" s="8" t="n">
        <x:f>IF($A25="","",D25-$T$404*E25)</x:f>
        <x:v>-193.17618945927666</x:v>
      </x:c>
      <x:c r="G25" s="8" t="n">
        <x:f>IF($A25="","",D25+$T$404*E25)</x:f>
        <x:v>444.03469674119015</x:v>
      </x:c>
      <x:c r="H25" s="8" t="n">
        <x:f>IF($A25="","",SQRT(MAX(0,(1)*$S$409*(1)+(1)*$T$409*(LN(B25))+(LN(B25))*$S$410*(1)+(LN(B25))*$T$410*(LN(B25)))))</x:f>
        <x:v>2.5051578565233807</x:v>
      </x:c>
      <x:c r="I25" s="3"/>
      <x:c r="J25" s="10" t="n">
        <x:v>45876</x:v>
      </x:c>
      <x:c r="K25" s="8" t="n">
        <x:f>INDEX('Сводка'!$S$3:$S$397,U25)</x:f>
        <x:v>259</x:v>
      </x:c>
      <x:c r="L25" s="8" t="n">
        <x:f>INDEX('Сводка'!$S$3:$S$397,V25)</x:f>
        <x:v>253</x:v>
      </x:c>
      <x:c r="M25" s="8" t="n">
        <x:f>INDEX($K$388:$N$400,W25,1)+INDEX($K$388:$N$400,W25,2)*LN(((J25-$T$405+1)/1000))</x:f>
        <x:v>127.21499732964496</x:v>
      </x:c>
      <x:c r="N25" s="8" t="n">
        <x:f>K25-M25</x:f>
        <x:v>131.78500267035503</x:v>
      </x:c>
      <x:c r="O25" s="8" t="n">
        <x:f>ABS(N25)</x:f>
        <x:v>131.78500267035503</x:v>
      </x:c>
      <x:c r="P25" s="8" t="n">
        <x:f>N25^2</x:f>
        <x:v>17367.28692882548</x:v>
      </x:c>
      <x:c r="Q25" s="8" t="n">
        <x:f>K25-L25</x:f>
        <x:v>6</x:v>
      </x:c>
      <x:c r="R25" s="9" t="n">
        <x:f>IF(AND(INDEX('Сводка'!$T$3:$T$397,U25)=0,INDEX('Сводка'!$T$3:$T$397,V25)=0),1,0)</x:f>
        <x:v>1</x:v>
      </x:c>
      <x:c r="S25" s="9" t="n">
        <x:f>IF(AND(R25=1,O25&lt;=$G$13),1,0)</x:f>
        <x:v>0</x:v>
      </x:c>
      <x:c r="T25" s="10" t="n">
        <x:f>EOMONTH(J25-'Сводка'!$B$11,-1)</x:f>
        <x:v>45869</x:v>
      </x:c>
      <x:c r="U25" s="4" t="n">
        <x:f>MATCH(J25,'Сводка'!$R$3:$R$397,0)</x:f>
        <x:v>36</x:v>
      </x:c>
      <x:c r="V25" s="4" t="n">
        <x:f>MATCH(J25-'Сводка'!$B$11,'Сводка'!$R$3:$R$397,0)</x:f>
        <x:v>35</x:v>
      </x:c>
      <x:c r="W25" s="4" t="n">
        <x:f>MATCH(T25,$J$388:$J$400,0)</x:f>
        <x:v>2</x:v>
      </x:c>
      <x:c r="X25" s="3"/>
      <x:c r="Y25" s="3"/>
      <x:c r="Z25" s="3"/>
    </x:row>
    <x:row r="26" ht="15" customHeight="1">
      <x:c r="A26" s="10" t="n">
        <x:f>IF(8&lt;='Сводка'!$B$3,'Сводка'!$B$4+8,"")</x:f>
        <x:v>46243</x:v>
      </x:c>
      <x:c r="B26" s="18" t="n">
        <x:f>IF($A26="","",(A26-$T$405+1)/1000)</x:f>
        <x:v>8.987</x:v>
      </x:c>
      <x:c r="C26" s="18" t="n">
        <x:f>IF($A26="","",2*(A26-$T$405)/$T$406-1)</x:f>
        <x:v>1.0017821341055915</x:v>
      </x:c>
      <x:c r="D26" s="8" t="n">
        <x:f>IF($A26="","",$B$4+$B$5*LN(B26))</x:f>
        <x:v>125.43556869487252</x:v>
      </x:c>
      <x:c r="E26" s="8" t="n">
        <x:f>IF($A26="","",SQRT($T$403^2+H26^2))</x:f>
        <x:v>162.53388983752768</x:v>
      </x:c>
      <x:c r="F26" s="8" t="n">
        <x:f>IF($A26="","",D26-$T$404*E26)</x:f>
        <x:v>-193.16987863085308</x:v>
      </x:c>
      <x:c r="G26" s="8" t="n">
        <x:f>IF($A26="","",D26+$T$404*E26)</x:f>
        <x:v>444.04101602059814</x:v>
      </x:c>
      <x:c r="H26" s="8" t="n">
        <x:f>IF($A26="","",SQRT(MAX(0,(1)*$S$409*(1)+(1)*$T$409*(LN(B26))+(LN(B26))*$S$410*(1)+(LN(B26))*$T$410*(LN(B26)))))</x:f>
        <x:v>2.505297707254306</x:v>
      </x:c>
      <x:c r="I26" s="3"/>
      <x:c r="J26" s="10" t="n">
        <x:v>45877</x:v>
      </x:c>
      <x:c r="K26" s="8" t="n">
        <x:f>INDEX('Сводка'!$S$3:$S$397,U26)</x:f>
        <x:v>265</x:v>
      </x:c>
      <x:c r="L26" s="8" t="n">
        <x:f>INDEX('Сводка'!$S$3:$S$397,V26)</x:f>
        <x:v>259</x:v>
      </x:c>
      <x:c r="M26" s="8" t="n">
        <x:f>INDEX($K$388:$N$400,W26,1)+INDEX($K$388:$N$400,W26,2)*LN(((J26-$T$405+1)/1000))</x:f>
        <x:v>127.22182458420127</x:v>
      </x:c>
      <x:c r="N26" s="8" t="n">
        <x:f>K26-M26</x:f>
        <x:v>137.77817541579873</x:v>
      </x:c>
      <x:c r="O26" s="8" t="n">
        <x:f>ABS(N26)</x:f>
        <x:v>137.77817541579873</x:v>
      </x:c>
      <x:c r="P26" s="8" t="n">
        <x:f>N26^2</x:f>
        <x:v>18982.825620906606</x:v>
      </x:c>
      <x:c r="Q26" s="8" t="n">
        <x:f>K26-L26</x:f>
        <x:v>6</x:v>
      </x:c>
      <x:c r="R26" s="9" t="n">
        <x:f>IF(AND(INDEX('Сводка'!$T$3:$T$397,U26)=0,INDEX('Сводка'!$T$3:$T$397,V26)=0),1,0)</x:f>
        <x:v>1</x:v>
      </x:c>
      <x:c r="S26" s="9" t="n">
        <x:f>IF(AND(R26=1,O26&lt;=$G$13),1,0)</x:f>
        <x:v>0</x:v>
      </x:c>
      <x:c r="T26" s="10" t="n">
        <x:f>EOMONTH(J26-'Сводка'!$B$11,-1)</x:f>
        <x:v>45869</x:v>
      </x:c>
      <x:c r="U26" s="4" t="n">
        <x:f>MATCH(J26,'Сводка'!$R$3:$R$397,0)</x:f>
        <x:v>37</x:v>
      </x:c>
      <x:c r="V26" s="4" t="n">
        <x:f>MATCH(J26-'Сводка'!$B$11,'Сводка'!$R$3:$R$397,0)</x:f>
        <x:v>36</x:v>
      </x:c>
      <x:c r="W26" s="4" t="n">
        <x:f>MATCH(T26,$J$388:$J$400,0)</x:f>
        <x:v>2</x:v>
      </x:c>
      <x:c r="X26" s="3"/>
      <x:c r="Y26" s="3"/>
      <x:c r="Z26" s="3"/>
    </x:row>
    <x:row r="27" ht="15" customHeight="1">
      <x:c r="A27" s="10" t="n">
        <x:f>IF(9&lt;='Сводка'!$B$3,'Сводка'!$B$4+9,"")</x:f>
        <x:v>46244</x:v>
      </x:c>
      <x:c r="B27" s="18" t="n">
        <x:f>IF($A27="","",(A27-$T$405+1)/1000)</x:f>
        <x:v>8.988</x:v>
      </x:c>
      <x:c r="C27" s="18" t="n">
        <x:f>IF($A27="","",2*(A27-$T$405)/$T$406-1)</x:f>
        <x:v>1.0020049008687906</x:v>
      </x:c>
      <x:c r="D27" s="8" t="n">
        <x:f>IF($A27="","",$B$4+$B$5*LN(B27))</x:f>
        <x:v>125.44188304613971</x:v>
      </x:c>
      <x:c r="E27" s="8" t="n">
        <x:f>IF($A27="","",SQRT($T$403^2+H27^2))</x:f>
        <x:v>162.5338919931228</x:v>
      </x:c>
      <x:c r="F27" s="8" t="n">
        <x:f>IF($A27="","",D27-$T$404*E27)</x:f>
        <x:v>-193.16356850506986</x:v>
      </x:c>
      <x:c r="G27" s="8" t="n">
        <x:f>IF($A27="","",D27+$T$404*E27)</x:f>
        <x:v>444.0473345973493</x:v>
      </x:c>
      <x:c r="H27" s="8" t="n">
        <x:f>IF($A27="","",SQRT(MAX(0,(1)*$S$409*(1)+(1)*$T$409*(LN(B27))+(LN(B27))*$S$410*(1)+(LN(B27))*$T$410*(LN(B27)))))</x:f>
        <x:v>2.5054375499116848</x:v>
      </x:c>
      <x:c r="I27" s="3"/>
      <x:c r="J27" s="10" t="n">
        <x:v>45878</x:v>
      </x:c>
      <x:c r="K27" s="8" t="n">
        <x:f>INDEX('Сводка'!$S$3:$S$397,U27)</x:f>
        <x:v>276</x:v>
      </x:c>
      <x:c r="L27" s="8" t="n">
        <x:f>INDEX('Сводка'!$S$3:$S$397,V27)</x:f>
        <x:v>265</x:v>
      </x:c>
      <x:c r="M27" s="8" t="n">
        <x:f>INDEX($K$388:$N$400,W27,1)+INDEX($K$388:$N$400,W27,2)*LN(((J27-$T$405+1)/1000))</x:f>
        <x:v>127.22865104687048</x:v>
      </x:c>
      <x:c r="N27" s="8" t="n">
        <x:f>K27-M27</x:f>
        <x:v>148.77134895312952</x:v>
      </x:c>
      <x:c r="O27" s="8" t="n">
        <x:f>ABS(N27)</x:f>
        <x:v>148.77134895312952</x:v>
      </x:c>
      <x:c r="P27" s="8" t="n">
        <x:f>N27^2</x:f>
        <x:v>22132.914269333833</x:v>
      </x:c>
      <x:c r="Q27" s="8" t="n">
        <x:f>K27-L27</x:f>
        <x:v>11</x:v>
      </x:c>
      <x:c r="R27" s="9" t="n">
        <x:f>IF(AND(INDEX('Сводка'!$T$3:$T$397,U27)=0,INDEX('Сводка'!$T$3:$T$397,V27)=0),1,0)</x:f>
        <x:v>1</x:v>
      </x:c>
      <x:c r="S27" s="9" t="n">
        <x:f>IF(AND(R27=1,O27&lt;=$G$13),1,0)</x:f>
        <x:v>0</x:v>
      </x:c>
      <x:c r="T27" s="10" t="n">
        <x:f>EOMONTH(J27-'Сводка'!$B$11,-1)</x:f>
        <x:v>45869</x:v>
      </x:c>
      <x:c r="U27" s="4" t="n">
        <x:f>MATCH(J27,'Сводка'!$R$3:$R$397,0)</x:f>
        <x:v>38</x:v>
      </x:c>
      <x:c r="V27" s="4" t="n">
        <x:f>MATCH(J27-'Сводка'!$B$11,'Сводка'!$R$3:$R$397,0)</x:f>
        <x:v>37</x:v>
      </x:c>
      <x:c r="W27" s="4" t="n">
        <x:f>MATCH(T27,$J$388:$J$400,0)</x:f>
        <x:v>2</x:v>
      </x:c>
      <x:c r="X27" s="3"/>
      <x:c r="Y27" s="3"/>
      <x:c r="Z27" s="3"/>
    </x:row>
    <x:row r="28" ht="15" customHeight="1">
      <x:c r="A28" s="10" t="n">
        <x:f>IF(10&lt;='Сводка'!$B$3,'Сводка'!$B$4+10,"")</x:f>
        <x:v>46245</x:v>
      </x:c>
      <x:c r="B28" s="18" t="n">
        <x:f>IF($A28="","",(A28-$T$405+1)/1000)</x:f>
        <x:v>8.989</x:v>
      </x:c>
      <x:c r="C28" s="18" t="n">
        <x:f>IF($A28="","",2*(A28-$T$405)/$T$406-1)</x:f>
        <x:v>1.0022276676319892</x:v>
      </x:c>
      <x:c r="D28" s="8" t="n">
        <x:f>IF($A28="","",$B$4+$B$5*LN(B28))</x:f>
        <x:v>125.4481966949147</x:v>
      </x:c>
      <x:c r="E28" s="8" t="n">
        <x:f>IF($A28="","",SQRT($T$403^2+H28^2))</x:f>
        <x:v>162.53389414871378</x:v>
      </x:c>
      <x:c r="F28" s="8" t="n">
        <x:f>IF($A28="","",D28-$T$404*E28)</x:f>
        <x:v>-193.15725908177075</x:v>
      </x:c>
      <x:c r="G28" s="8" t="n">
        <x:f>IF($A28="","",D28+$T$404*E28)</x:f>
        <x:v>444.0536524716002</x:v>
      </x:c>
      <x:c r="H28" s="8" t="n">
        <x:f>IF($A28="","",SQRT(MAX(0,(1)*$S$409*(1)+(1)*$T$409*(LN(B28))+(LN(B28))*$S$410*(1)+(LN(B28))*$T$410*(LN(B28)))))</x:f>
        <x:v>2.505577384495228</x:v>
      </x:c>
      <x:c r="I28" s="3"/>
      <x:c r="J28" s="10" t="n">
        <x:v>45879</x:v>
      </x:c>
      <x:c r="K28" s="8" t="n">
        <x:f>INDEX('Сводка'!$S$3:$S$397,U28)</x:f>
        <x:v>290</x:v>
      </x:c>
      <x:c r="L28" s="8" t="n">
        <x:f>INDEX('Сводка'!$S$3:$S$397,V28)</x:f>
        <x:v>276</x:v>
      </x:c>
      <x:c r="M28" s="8" t="n">
        <x:f>INDEX($K$388:$N$400,W28,1)+INDEX($K$388:$N$400,W28,2)*LN(((J28-$T$405+1)/1000))</x:f>
        <x:v>127.23547671783626</x:v>
      </x:c>
      <x:c r="N28" s="8" t="n">
        <x:f>K28-M28</x:f>
        <x:v>162.76452328216374</x:v>
      </x:c>
      <x:c r="O28" s="8" t="n">
        <x:f>ABS(N28)</x:f>
        <x:v>162.76452328216374</x:v>
      </x:c>
      <x:c r="P28" s="8" t="n">
        <x:f>N28^2</x:f>
        <x:v>26492.29003927002</x:v>
      </x:c>
      <x:c r="Q28" s="8" t="n">
        <x:f>K28-L28</x:f>
        <x:v>14</x:v>
      </x:c>
      <x:c r="R28" s="9" t="n">
        <x:f>IF(AND(INDEX('Сводка'!$T$3:$T$397,U28)=0,INDEX('Сводка'!$T$3:$T$397,V28)=0),1,0)</x:f>
        <x:v>1</x:v>
      </x:c>
      <x:c r="S28" s="9" t="n">
        <x:f>IF(AND(R28=1,O28&lt;=$G$13),1,0)</x:f>
        <x:v>0</x:v>
      </x:c>
      <x:c r="T28" s="10" t="n">
        <x:f>EOMONTH(J28-'Сводка'!$B$11,-1)</x:f>
        <x:v>45869</x:v>
      </x:c>
      <x:c r="U28" s="4" t="n">
        <x:f>MATCH(J28,'Сводка'!$R$3:$R$397,0)</x:f>
        <x:v>39</x:v>
      </x:c>
      <x:c r="V28" s="4" t="n">
        <x:f>MATCH(J28-'Сводка'!$B$11,'Сводка'!$R$3:$R$397,0)</x:f>
        <x:v>38</x:v>
      </x:c>
      <x:c r="W28" s="4" t="n">
        <x:f>MATCH(T28,$J$388:$J$400,0)</x:f>
        <x:v>2</x:v>
      </x:c>
      <x:c r="X28" s="3"/>
      <x:c r="Y28" s="3"/>
      <x:c r="Z28" s="3"/>
    </x:row>
    <x:row r="29" ht="15" customHeight="1">
      <x:c r="A29" s="10" t="n">
        <x:f>IF(11&lt;='Сводка'!$B$3,'Сводка'!$B$4+11,"")</x:f>
        <x:v>46246</x:v>
      </x:c>
      <x:c r="B29" s="18" t="n">
        <x:f>IF($A29="","",(A29-$T$405+1)/1000)</x:f>
        <x:v>8.99</x:v>
      </x:c>
      <x:c r="C29" s="18" t="n">
        <x:f>IF($A29="","",2*(A29-$T$405)/$T$406-1)</x:f>
        <x:v>1.0024504343951883</x:v>
      </x:c>
      <x:c r="D29" s="8" t="n">
        <x:f>IF($A29="","",$B$4+$B$5*LN(B29))</x:f>
        <x:v>125.45450964135375</x:v>
      </x:c>
      <x:c r="E29" s="8" t="n">
        <x:f>IF($A29="","",SQRT($T$403^2+H29^2))</x:f>
        <x:v>162.53389630430058</x:v>
      </x:c>
      <x:c r="F29" s="8" t="n">
        <x:f>IF($A29="","",D29-$T$404*E29)</x:f>
        <x:v>-193.15095036079936</x:v>
      </x:c>
      <x:c r="G29" s="8" t="n">
        <x:f>IF($A29="","",D29+$T$404*E29)</x:f>
        <x:v>444.05996964350686</x:v>
      </x:c>
      <x:c r="H29" s="8" t="n">
        <x:f>IF($A29="","",SQRT(MAX(0,(1)*$S$409*(1)+(1)*$T$409*(LN(B29))+(LN(B29))*$S$410*(1)+(LN(B29))*$T$410*(LN(B29)))))</x:f>
        <x:v>2.505717211004645</x:v>
      </x:c>
      <x:c r="I29" s="3"/>
      <x:c r="J29" s="10" t="n">
        <x:v>45880</x:v>
      </x:c>
      <x:c r="K29" s="8" t="n">
        <x:f>INDEX('Сводка'!$S$3:$S$397,U29)</x:f>
        <x:v>303</x:v>
      </x:c>
      <x:c r="L29" s="8" t="n">
        <x:f>INDEX('Сводка'!$S$3:$S$397,V29)</x:f>
        <x:v>290</x:v>
      </x:c>
      <x:c r="M29" s="8" t="n">
        <x:f>INDEX($K$388:$N$400,W29,1)+INDEX($K$388:$N$400,W29,2)*LN(((J29-$T$405+1)/1000))</x:f>
        <x:v>127.24230159728226</x:v>
      </x:c>
      <x:c r="N29" s="8" t="n">
        <x:f>K29-M29</x:f>
        <x:v>175.75769840271772</x:v>
      </x:c>
      <x:c r="O29" s="8" t="n">
        <x:f>ABS(N29)</x:f>
        <x:v>175.75769840271772</x:v>
      </x:c>
      <x:c r="P29" s="8" t="n">
        <x:f>N29^2</x:f>
        <x:v>30890.768547820684</x:v>
      </x:c>
      <x:c r="Q29" s="8" t="n">
        <x:f>K29-L29</x:f>
        <x:v>13</x:v>
      </x:c>
      <x:c r="R29" s="9" t="n">
        <x:f>IF(AND(INDEX('Сводка'!$T$3:$T$397,U29)=0,INDEX('Сводка'!$T$3:$T$397,V29)=0),1,0)</x:f>
        <x:v>1</x:v>
      </x:c>
      <x:c r="S29" s="9" t="n">
        <x:f>IF(AND(R29=1,O29&lt;=$G$13),1,0)</x:f>
        <x:v>0</x:v>
      </x:c>
      <x:c r="T29" s="10" t="n">
        <x:f>EOMONTH(J29-'Сводка'!$B$11,-1)</x:f>
        <x:v>45869</x:v>
      </x:c>
      <x:c r="U29" s="4" t="n">
        <x:f>MATCH(J29,'Сводка'!$R$3:$R$397,0)</x:f>
        <x:v>40</x:v>
      </x:c>
      <x:c r="V29" s="4" t="n">
        <x:f>MATCH(J29-'Сводка'!$B$11,'Сводка'!$R$3:$R$397,0)</x:f>
        <x:v>39</x:v>
      </x:c>
      <x:c r="W29" s="4" t="n">
        <x:f>MATCH(T29,$J$388:$J$400,0)</x:f>
        <x:v>2</x:v>
      </x:c>
      <x:c r="X29" s="3"/>
      <x:c r="Y29" s="3"/>
      <x:c r="Z29" s="3"/>
    </x:row>
    <x:row r="30" ht="15" customHeight="1">
      <x:c r="A30" s="10" t="n">
        <x:f>IF(12&lt;='Сводка'!$B$3,'Сводка'!$B$4+12,"")</x:f>
        <x:v>46247</x:v>
      </x:c>
      <x:c r="B30" s="18" t="n">
        <x:f>IF($A30="","",(A30-$T$405+1)/1000)</x:f>
        <x:v>8.991</x:v>
      </x:c>
      <x:c r="C30" s="18" t="n">
        <x:f>IF($A30="","",2*(A30-$T$405)/$T$406-1)</x:f>
        <x:v>1.002673201158387</x:v>
      </x:c>
      <x:c r="D30" s="8" t="n">
        <x:f>IF($A30="","",$B$4+$B$5*LN(B30))</x:f>
        <x:v>125.46082188561311</x:v>
      </x:c>
      <x:c r="E30" s="8" t="n">
        <x:f>IF($A30="","",SQRT($T$403^2+H30^2))</x:f>
        <x:v>162.53389845988312</x:v>
      </x:c>
      <x:c r="F30" s="8" t="n">
        <x:f>IF($A30="","",D30-$T$404*E30)</x:f>
        <x:v>-193.1446423419993</x:v>
      </x:c>
      <x:c r="G30" s="8" t="n">
        <x:f>IF($A30="","",D30+$T$404*E30)</x:f>
        <x:v>444.0662861132255</x:v>
      </x:c>
      <x:c r="H30" s="8" t="n">
        <x:f>IF($A30="","",SQRT(MAX(0,(1)*$S$409*(1)+(1)*$T$409*(LN(B30))+(LN(B30))*$S$410*(1)+(LN(B30))*$T$410*(LN(B30)))))</x:f>
        <x:v>2.50585702943965</x:v>
      </x:c>
      <x:c r="I30" s="3"/>
      <x:c r="J30" s="10" t="n">
        <x:v>45881</x:v>
      </x:c>
      <x:c r="K30" s="8" t="n">
        <x:f>INDEX('Сводка'!$S$3:$S$397,U30)</x:f>
        <x:v>315</x:v>
      </x:c>
      <x:c r="L30" s="8" t="n">
        <x:f>INDEX('Сводка'!$S$3:$S$397,V30)</x:f>
        <x:v>303</x:v>
      </x:c>
      <x:c r="M30" s="8" t="n">
        <x:f>INDEX($K$388:$N$400,W30,1)+INDEX($K$388:$N$400,W30,2)*LN(((J30-$T$405+1)/1000))</x:f>
        <x:v>127.249125685392</x:v>
      </x:c>
      <x:c r="N30" s="8" t="n">
        <x:f>K30-M30</x:f>
        <x:v>187.75087431460798</x:v>
      </x:c>
      <x:c r="O30" s="8" t="n">
        <x:f>ABS(N30)</x:f>
        <x:v>187.75087431460798</x:v>
      </x:c>
      <x:c r="P30" s="8" t="n">
        <x:f>N30^2</x:f>
        <x:v>35250.390805899726</x:v>
      </x:c>
      <x:c r="Q30" s="8" t="n">
        <x:f>K30-L30</x:f>
        <x:v>12</x:v>
      </x:c>
      <x:c r="R30" s="9" t="n">
        <x:f>IF(AND(INDEX('Сводка'!$T$3:$T$397,U30)=0,INDEX('Сводка'!$T$3:$T$397,V30)=0),1,0)</x:f>
        <x:v>1</x:v>
      </x:c>
      <x:c r="S30" s="9" t="n">
        <x:f>IF(AND(R30=1,O30&lt;=$G$13),1,0)</x:f>
        <x:v>0</x:v>
      </x:c>
      <x:c r="T30" s="10" t="n">
        <x:f>EOMONTH(J30-'Сводка'!$B$11,-1)</x:f>
        <x:v>45869</x:v>
      </x:c>
      <x:c r="U30" s="4" t="n">
        <x:f>MATCH(J30,'Сводка'!$R$3:$R$397,0)</x:f>
        <x:v>41</x:v>
      </x:c>
      <x:c r="V30" s="4" t="n">
        <x:f>MATCH(J30-'Сводка'!$B$11,'Сводка'!$R$3:$R$397,0)</x:f>
        <x:v>40</x:v>
      </x:c>
      <x:c r="W30" s="4" t="n">
        <x:f>MATCH(T30,$J$388:$J$400,0)</x:f>
        <x:v>2</x:v>
      </x:c>
      <x:c r="X30" s="3"/>
      <x:c r="Y30" s="3"/>
      <x:c r="Z30" s="3"/>
    </x:row>
    <x:row r="31" ht="15" customHeight="1">
      <x:c r="A31" s="10" t="n">
        <x:f>IF(13&lt;='Сводка'!$B$3,'Сводка'!$B$4+13,"")</x:f>
        <x:v>46248</x:v>
      </x:c>
      <x:c r="B31" s="18" t="n">
        <x:f>IF($A31="","",(A31-$T$405+1)/1000)</x:f>
        <x:v>8.992</x:v>
      </x:c>
      <x:c r="C31" s="18" t="n">
        <x:f>IF($A31="","",2*(A31-$T$405)/$T$406-1)</x:f>
        <x:v>1.002895967921586</x:v>
      </x:c>
      <x:c r="D31" s="8" t="n">
        <x:f>IF($A31="","",$B$4+$B$5*LN(B31))</x:f>
        <x:v>125.467133427849</x:v>
      </x:c>
      <x:c r="E31" s="8" t="n">
        <x:f>IF($A31="","",SQRT($T$403^2+H31^2))</x:f>
        <x:v>162.53390061546142</x:v>
      </x:c>
      <x:c r="F31" s="8" t="n">
        <x:f>IF($A31="","",D31-$T$404*E31)</x:f>
        <x:v>-193.1383350252144</x:v>
      </x:c>
      <x:c r="G31" s="8" t="n">
        <x:f>IF($A31="","",D31+$T$404*E31)</x:f>
        <x:v>444.07260188091243</x:v>
      </x:c>
      <x:c r="H31" s="8" t="n">
        <x:f>IF($A31="","",SQRT(MAX(0,(1)*$S$409*(1)+(1)*$T$409*(LN(B31))+(LN(B31))*$S$410*(1)+(LN(B31))*$T$410*(LN(B31)))))</x:f>
        <x:v>2.505996839799955</x:v>
      </x:c>
      <x:c r="I31" s="3"/>
      <x:c r="J31" s="10" t="n">
        <x:v>45882</x:v>
      </x:c>
      <x:c r="K31" s="8" t="n">
        <x:f>INDEX('Сводка'!$S$3:$S$397,U31)</x:f>
        <x:v>323</x:v>
      </x:c>
      <x:c r="L31" s="8" t="n">
        <x:f>INDEX('Сводка'!$S$3:$S$397,V31)</x:f>
        <x:v>315</x:v>
      </x:c>
      <x:c r="M31" s="8" t="n">
        <x:f>INDEX($K$388:$N$400,W31,1)+INDEX($K$388:$N$400,W31,2)*LN(((J31-$T$405+1)/1000))</x:f>
        <x:v>127.25594898234898</x:v>
      </x:c>
      <x:c r="N31" s="8" t="n">
        <x:f>K31-M31</x:f>
        <x:v>195.74405101765103</x:v>
      </x:c>
      <x:c r="O31" s="8" t="n">
        <x:f>ABS(N31)</x:f>
        <x:v>195.74405101765103</x:v>
      </x:c>
      <x:c r="P31" s="8" t="n">
        <x:f>N31^2</x:f>
        <x:v>38315.73350880077</x:v>
      </x:c>
      <x:c r="Q31" s="8" t="n">
        <x:f>K31-L31</x:f>
        <x:v>8</x:v>
      </x:c>
      <x:c r="R31" s="9" t="n">
        <x:f>IF(AND(INDEX('Сводка'!$T$3:$T$397,U31)=0,INDEX('Сводка'!$T$3:$T$397,V31)=0),1,0)</x:f>
        <x:v>1</x:v>
      </x:c>
      <x:c r="S31" s="9" t="n">
        <x:f>IF(AND(R31=1,O31&lt;=$G$13),1,0)</x:f>
        <x:v>0</x:v>
      </x:c>
      <x:c r="T31" s="10" t="n">
        <x:f>EOMONTH(J31-'Сводка'!$B$11,-1)</x:f>
        <x:v>45869</x:v>
      </x:c>
      <x:c r="U31" s="4" t="n">
        <x:f>MATCH(J31,'Сводка'!$R$3:$R$397,0)</x:f>
        <x:v>42</x:v>
      </x:c>
      <x:c r="V31" s="4" t="n">
        <x:f>MATCH(J31-'Сводка'!$B$11,'Сводка'!$R$3:$R$397,0)</x:f>
        <x:v>41</x:v>
      </x:c>
      <x:c r="W31" s="4" t="n">
        <x:f>MATCH(T31,$J$388:$J$400,0)</x:f>
        <x:v>2</x:v>
      </x:c>
      <x:c r="X31" s="3"/>
      <x:c r="Y31" s="3"/>
      <x:c r="Z31" s="3"/>
    </x:row>
    <x:row r="32" ht="15" customHeight="1">
      <x:c r="A32" s="10" t="n">
        <x:f>IF(14&lt;='Сводка'!$B$3,'Сводка'!$B$4+14,"")</x:f>
        <x:v>46249</x:v>
      </x:c>
      <x:c r="B32" s="18" t="n">
        <x:f>IF($A32="","",(A32-$T$405+1)/1000)</x:f>
        <x:v>8.993</x:v>
      </x:c>
      <x:c r="C32" s="18" t="n">
        <x:f>IF($A32="","",2*(A32-$T$405)/$T$406-1)</x:f>
        <x:v>1.0031187346847852</x:v>
      </x:c>
      <x:c r="D32" s="8" t="n">
        <x:f>IF($A32="","",$B$4+$B$5*LN(B32))</x:f>
        <x:v>125.47344426821749</x:v>
      </x:c>
      <x:c r="E32" s="8" t="n">
        <x:f>IF($A32="","",SQRT($T$403^2+H32^2))</x:f>
        <x:v>162.53390277103546</x:v>
      </x:c>
      <x:c r="F32" s="8" t="n">
        <x:f>IF($A32="","",D32-$T$404*E32)</x:f>
        <x:v>-193.1320284102886</x:v>
      </x:c>
      <x:c r="G32" s="8" t="n">
        <x:f>IF($A32="","",D32+$T$404*E32)</x:f>
        <x:v>444.07891694672355</x:v>
      </x:c>
      <x:c r="H32" s="8" t="n">
        <x:f>IF($A32="","",SQRT(MAX(0,(1)*$S$409*(1)+(1)*$T$409*(LN(B32))+(LN(B32))*$S$410*(1)+(LN(B32))*$T$410*(LN(B32)))))</x:f>
        <x:v>2.506136642085272</x:v>
      </x:c>
      <x:c r="I32" s="3"/>
      <x:c r="J32" s="10" t="n">
        <x:v>45883</x:v>
      </x:c>
      <x:c r="K32" s="8" t="n">
        <x:f>INDEX('Сводка'!$S$3:$S$397,U32)</x:f>
        <x:v>327</x:v>
      </x:c>
      <x:c r="L32" s="8" t="n">
        <x:f>INDEX('Сводка'!$S$3:$S$397,V32)</x:f>
        <x:v>323</x:v>
      </x:c>
      <x:c r="M32" s="8" t="n">
        <x:f>INDEX($K$388:$N$400,W32,1)+INDEX($K$388:$N$400,W32,2)*LN(((J32-$T$405+1)/1000))</x:f>
        <x:v>127.26277148833663</x:v>
      </x:c>
      <x:c r="N32" s="8" t="n">
        <x:f>K32-M32</x:f>
        <x:v>199.73722851166337</x:v>
      </x:c>
      <x:c r="O32" s="8" t="n">
        <x:f>ABS(N32)</x:f>
        <x:v>199.73722851166337</x:v>
      </x:c>
      <x:c r="P32" s="8" t="n">
        <x:f>N32^2</x:f>
        <x:v>39894.960453520434</x:v>
      </x:c>
      <x:c r="Q32" s="8" t="n">
        <x:f>K32-L32</x:f>
        <x:v>4</x:v>
      </x:c>
      <x:c r="R32" s="9" t="n">
        <x:f>IF(AND(INDEX('Сводка'!$T$3:$T$397,U32)=0,INDEX('Сводка'!$T$3:$T$397,V32)=0),1,0)</x:f>
        <x:v>1</x:v>
      </x:c>
      <x:c r="S32" s="9" t="n">
        <x:f>IF(AND(R32=1,O32&lt;=$G$13),1,0)</x:f>
        <x:v>0</x:v>
      </x:c>
      <x:c r="T32" s="10" t="n">
        <x:f>EOMONTH(J32-'Сводка'!$B$11,-1)</x:f>
        <x:v>45869</x:v>
      </x:c>
      <x:c r="U32" s="4" t="n">
        <x:f>MATCH(J32,'Сводка'!$R$3:$R$397,0)</x:f>
        <x:v>43</x:v>
      </x:c>
      <x:c r="V32" s="4" t="n">
        <x:f>MATCH(J32-'Сводка'!$B$11,'Сводка'!$R$3:$R$397,0)</x:f>
        <x:v>42</x:v>
      </x:c>
      <x:c r="W32" s="4" t="n">
        <x:f>MATCH(T32,$J$388:$J$400,0)</x:f>
        <x:v>2</x:v>
      </x:c>
      <x:c r="X32" s="3"/>
      <x:c r="Y32" s="3"/>
      <x:c r="Z32" s="3"/>
    </x:row>
    <x:row r="33" ht="15" customHeight="1">
      <x:c r="A33" s="10" t="n">
        <x:f>IF(15&lt;='Сводка'!$B$3,'Сводка'!$B$4+15,"")</x:f>
        <x:v>46250</x:v>
      </x:c>
      <x:c r="B33" s="18" t="n">
        <x:f>IF($A33="","",(A33-$T$405+1)/1000)</x:f>
        <x:v>8.994</x:v>
      </x:c>
      <x:c r="C33" s="18" t="n">
        <x:f>IF($A33="","",2*(A33-$T$405)/$T$406-1)</x:f>
        <x:v>1.0033415014479838</x:v>
      </x:c>
      <x:c r="D33" s="8" t="n">
        <x:f>IF($A33="","",$B$4+$B$5*LN(B33))</x:f>
        <x:v>125.47975440687475</x:v>
      </x:c>
      <x:c r="E33" s="8" t="n">
        <x:f>IF($A33="","",SQRT($T$403^2+H33^2))</x:f>
        <x:v>162.53390492660517</x:v>
      </x:c>
      <x:c r="F33" s="8" t="n">
        <x:f>IF($A33="","",D33-$T$404*E33)</x:f>
        <x:v>-193.1257224970655</x:v>
      </x:c>
      <x:c r="G33" s="8" t="n">
        <x:f>IF($A33="","",D33+$T$404*E33)</x:f>
        <x:v>444.085231310815</x:v>
      </x:c>
      <x:c r="H33" s="8" t="n">
        <x:f>IF($A33="","",SQRT(MAX(0,(1)*$S$409*(1)+(1)*$T$409*(LN(B33))+(LN(B33))*$S$410*(1)+(LN(B33))*$T$410*(LN(B33)))))</x:f>
        <x:v>2.5062764362953187</x:v>
      </x:c>
      <x:c r="I33" s="3"/>
      <x:c r="J33" s="10" t="n">
        <x:v>45884</x:v>
      </x:c>
      <x:c r="K33" s="8" t="n">
        <x:f>INDEX('Сводка'!$S$3:$S$397,U33)</x:f>
        <x:v>329</x:v>
      </x:c>
      <x:c r="L33" s="8" t="n">
        <x:f>INDEX('Сводка'!$S$3:$S$397,V33)</x:f>
        <x:v>327</x:v>
      </x:c>
      <x:c r="M33" s="8" t="n">
        <x:f>INDEX($K$388:$N$400,W33,1)+INDEX($K$388:$N$400,W33,2)*LN(((J33-$T$405+1)/1000))</x:f>
        <x:v>127.26959320353832</x:v>
      </x:c>
      <x:c r="N33" s="8" t="n">
        <x:f>K33-M33</x:f>
        <x:v>201.7304067964617</x:v>
      </x:c>
      <x:c r="O33" s="8" t="n">
        <x:f>ABS(N33)</x:f>
        <x:v>201.7304067964617</x:v>
      </x:c>
      <x:c r="P33" s="8" t="n">
        <x:f>N33^2</x:f>
        <x:v>40695.157026265915</x:v>
      </x:c>
      <x:c r="Q33" s="8" t="n">
        <x:f>K33-L33</x:f>
        <x:v>2</x:v>
      </x:c>
      <x:c r="R33" s="9" t="n">
        <x:f>IF(AND(INDEX('Сводка'!$T$3:$T$397,U33)=0,INDEX('Сводка'!$T$3:$T$397,V33)=0),1,0)</x:f>
        <x:v>1</x:v>
      </x:c>
      <x:c r="S33" s="9" t="n">
        <x:f>IF(AND(R33=1,O33&lt;=$G$13),1,0)</x:f>
        <x:v>0</x:v>
      </x:c>
      <x:c r="T33" s="10" t="n">
        <x:f>EOMONTH(J33-'Сводка'!$B$11,-1)</x:f>
        <x:v>45869</x:v>
      </x:c>
      <x:c r="U33" s="4" t="n">
        <x:f>MATCH(J33,'Сводка'!$R$3:$R$397,0)</x:f>
        <x:v>44</x:v>
      </x:c>
      <x:c r="V33" s="4" t="n">
        <x:f>MATCH(J33-'Сводка'!$B$11,'Сводка'!$R$3:$R$397,0)</x:f>
        <x:v>43</x:v>
      </x:c>
      <x:c r="W33" s="4" t="n">
        <x:f>MATCH(T33,$J$388:$J$400,0)</x:f>
        <x:v>2</x:v>
      </x:c>
      <x:c r="X33" s="3"/>
      <x:c r="Y33" s="3"/>
      <x:c r="Z33" s="3"/>
    </x:row>
    <x:row r="34" ht="15" customHeight="1">
      <x:c r="A34" s="10" t="n">
        <x:f>IF(16&lt;='Сводка'!$B$3,'Сводка'!$B$4+16,"")</x:f>
        <x:v>46251</x:v>
      </x:c>
      <x:c r="B34" s="18" t="n">
        <x:f>IF($A34="","",(A34-$T$405+1)/1000)</x:f>
        <x:v>8.995</x:v>
      </x:c>
      <x:c r="C34" s="18" t="n">
        <x:f>IF($A34="","",2*(A34-$T$405)/$T$406-1)</x:f>
        <x:v>1.003564268211183</x:v>
      </x:c>
      <x:c r="D34" s="8" t="n">
        <x:f>IF($A34="","",$B$4+$B$5*LN(B34))</x:f>
        <x:v>125.48606384397672</x:v>
      </x:c>
      <x:c r="E34" s="8" t="n">
        <x:f>IF($A34="","",SQRT($T$403^2+H34^2))</x:f>
        <x:v>162.5339070821706</x:v>
      </x:c>
      <x:c r="F34" s="8" t="n">
        <x:f>IF($A34="","",D34-$T$404*E34)</x:f>
        <x:v>-193.1194172853893</x:v>
      </x:c>
      <x:c r="G34" s="8" t="n">
        <x:f>IF($A34="","",D34+$T$404*E34)</x:f>
        <x:v>444.0915449733427</x:v>
      </x:c>
      <x:c r="H34" s="8" t="n">
        <x:f>IF($A34="","",SQRT(MAX(0,(1)*$S$409*(1)+(1)*$T$409*(LN(B34))+(LN(B34))*$S$410*(1)+(LN(B34))*$T$410*(LN(B34)))))</x:f>
        <x:v>2.5064162224298085</x:v>
      </x:c>
      <x:c r="I34" s="3"/>
      <x:c r="J34" s="10" t="n">
        <x:v>45885</x:v>
      </x:c>
      <x:c r="K34" s="8" t="n">
        <x:f>INDEX('Сводка'!$S$3:$S$397,U34)</x:f>
        <x:v>329</x:v>
      </x:c>
      <x:c r="L34" s="8" t="n">
        <x:f>INDEX('Сводка'!$S$3:$S$397,V34)</x:f>
        <x:v>329</x:v>
      </x:c>
      <x:c r="M34" s="8" t="n">
        <x:f>INDEX($K$388:$N$400,W34,1)+INDEX($K$388:$N$400,W34,2)*LN(((J34-$T$405+1)/1000))</x:f>
        <x:v>127.27641412813732</x:v>
      </x:c>
      <x:c r="N34" s="8" t="n">
        <x:f>K34-M34</x:f>
        <x:v>201.72358587186267</x:v>
      </x:c>
      <x:c r="O34" s="8" t="n">
        <x:f>ABS(N34)</x:f>
        <x:v>201.72358587186267</x:v>
      </x:c>
      <x:c r="P34" s="8" t="n">
        <x:f>N34^2</x:f>
        <x:v>40692.40509700275</x:v>
      </x:c>
      <x:c r="Q34" s="8" t="n">
        <x:f>K34-L34</x:f>
        <x:v>0</x:v>
      </x:c>
      <x:c r="R34" s="9" t="n">
        <x:f>IF(AND(INDEX('Сводка'!$T$3:$T$397,U34)=0,INDEX('Сводка'!$T$3:$T$397,V34)=0),1,0)</x:f>
        <x:v>1</x:v>
      </x:c>
      <x:c r="S34" s="9" t="n">
        <x:f>IF(AND(R34=1,O34&lt;=$G$13),1,0)</x:f>
        <x:v>0</x:v>
      </x:c>
      <x:c r="T34" s="10" t="n">
        <x:f>EOMONTH(J34-'Сводка'!$B$11,-1)</x:f>
        <x:v>45869</x:v>
      </x:c>
      <x:c r="U34" s="4" t="n">
        <x:f>MATCH(J34,'Сводка'!$R$3:$R$397,0)</x:f>
        <x:v>45</x:v>
      </x:c>
      <x:c r="V34" s="4" t="n">
        <x:f>MATCH(J34-'Сводка'!$B$11,'Сводка'!$R$3:$R$397,0)</x:f>
        <x:v>44</x:v>
      </x:c>
      <x:c r="W34" s="4" t="n">
        <x:f>MATCH(T34,$J$388:$J$400,0)</x:f>
        <x:v>2</x:v>
      </x:c>
      <x:c r="X34" s="3"/>
      <x:c r="Y34" s="3"/>
      <x:c r="Z34" s="3"/>
    </x:row>
    <x:row r="35" ht="15" customHeight="1">
      <x:c r="A35" s="10" t="n">
        <x:f>IF(17&lt;='Сводка'!$B$3,'Сводка'!$B$4+17,"")</x:f>
        <x:v>46252</x:v>
      </x:c>
      <x:c r="B35" s="18" t="n">
        <x:f>IF($A35="","",(A35-$T$405+1)/1000)</x:f>
        <x:v>8.996</x:v>
      </x:c>
      <x:c r="C35" s="18" t="n">
        <x:f>IF($A35="","",2*(A35-$T$405)/$T$406-1)</x:f>
        <x:v>1.003787034974382</x:v>
      </x:c>
      <x:c r="D35" s="8" t="n">
        <x:f>IF($A35="","",$B$4+$B$5*LN(B35))</x:f>
        <x:v>125.49237257967944</x:v>
      </x:c>
      <x:c r="E35" s="8" t="n">
        <x:f>IF($A35="","",SQRT($T$403^2+H35^2))</x:f>
        <x:v>162.53390923773165</x:v>
      </x:c>
      <x:c r="F35" s="8" t="n">
        <x:f>IF($A35="","",D35-$T$404*E35)</x:f>
        <x:v>-193.1131127751038</x:v>
      </x:c>
      <x:c r="G35" s="8" t="n">
        <x:f>IF($A35="","",D35+$T$404*E35)</x:f>
        <x:v>444.0978579344627</x:v>
      </x:c>
      <x:c r="H35" s="8" t="n">
        <x:f>IF($A35="","",SQRT(MAX(0,(1)*$S$409*(1)+(1)*$T$409*(LN(B35))+(LN(B35))*$S$410*(1)+(LN(B35))*$T$410*(LN(B35)))))</x:f>
        <x:v>2.5065560004884597</x:v>
      </x:c>
      <x:c r="I35" s="3"/>
      <x:c r="J35" s="10" t="n">
        <x:v>45886</x:v>
      </x:c>
      <x:c r="K35" s="8" t="n">
        <x:f>INDEX('Сводка'!$S$3:$S$397,U35)</x:f>
        <x:v>325</x:v>
      </x:c>
      <x:c r="L35" s="8" t="n">
        <x:f>INDEX('Сводка'!$S$3:$S$397,V35)</x:f>
        <x:v>329</x:v>
      </x:c>
      <x:c r="M35" s="8" t="n">
        <x:f>INDEX($K$388:$N$400,W35,1)+INDEX($K$388:$N$400,W35,2)*LN(((J35-$T$405+1)/1000))</x:f>
        <x:v>127.28323426231687</x:v>
      </x:c>
      <x:c r="N35" s="8" t="n">
        <x:f>K35-M35</x:f>
        <x:v>197.71676573768315</x:v>
      </x:c>
      <x:c r="O35" s="8" t="n">
        <x:f>ABS(N35)</x:f>
        <x:v>197.71676573768315</x:v>
      </x:c>
      <x:c r="P35" s="8" t="n">
        <x:f>N35^2</x:f>
        <x:v>39091.91945376988</x:v>
      </x:c>
      <x:c r="Q35" s="8" t="n">
        <x:f>K35-L35</x:f>
        <x:v>-4</x:v>
      </x:c>
      <x:c r="R35" s="9" t="n">
        <x:f>IF(AND(INDEX('Сводка'!$T$3:$T$397,U35)=0,INDEX('Сводка'!$T$3:$T$397,V35)=0),1,0)</x:f>
        <x:v>1</x:v>
      </x:c>
      <x:c r="S35" s="9" t="n">
        <x:f>IF(AND(R35=1,O35&lt;=$G$13),1,0)</x:f>
        <x:v>0</x:v>
      </x:c>
      <x:c r="T35" s="10" t="n">
        <x:f>EOMONTH(J35-'Сводка'!$B$11,-1)</x:f>
        <x:v>45869</x:v>
      </x:c>
      <x:c r="U35" s="4" t="n">
        <x:f>MATCH(J35,'Сводка'!$R$3:$R$397,0)</x:f>
        <x:v>46</x:v>
      </x:c>
      <x:c r="V35" s="4" t="n">
        <x:f>MATCH(J35-'Сводка'!$B$11,'Сводка'!$R$3:$R$397,0)</x:f>
        <x:v>45</x:v>
      </x:c>
      <x:c r="W35" s="4" t="n">
        <x:f>MATCH(T35,$J$388:$J$400,0)</x:f>
        <x:v>2</x:v>
      </x:c>
      <x:c r="X35" s="3"/>
      <x:c r="Y35" s="3"/>
      <x:c r="Z35" s="3"/>
    </x:row>
    <x:row r="36" ht="15" customHeight="1">
      <x:c r="A36" s="10" t="n">
        <x:f>IF(18&lt;='Сводка'!$B$3,'Сводка'!$B$4+18,"")</x:f>
        <x:v>46253</x:v>
      </x:c>
      <x:c r="B36" s="18" t="n">
        <x:f>IF($A36="","",(A36-$T$405+1)/1000)</x:f>
        <x:v>8.997</x:v>
      </x:c>
      <x:c r="C36" s="18" t="n">
        <x:f>IF($A36="","",2*(A36-$T$405)/$T$406-1)</x:f>
        <x:v>1.0040098017375807</x:v>
      </x:c>
      <x:c r="D36" s="8" t="n">
        <x:f>IF($A36="","",$B$4+$B$5*LN(B36))</x:f>
        <x:v>125.49868061413882</x:v>
      </x:c>
      <x:c r="E36" s="8" t="n">
        <x:f>IF($A36="","",SQRT($T$403^2+H36^2))</x:f>
        <x:v>162.53391139328832</x:v>
      </x:c>
      <x:c r="F36" s="8" t="n">
        <x:f>IF($A36="","",D36-$T$404*E36)</x:f>
        <x:v>-193.106808966053</x:v>
      </x:c>
      <x:c r="G36" s="8" t="n">
        <x:f>IF($A36="","",D36+$T$404*E36)</x:f>
        <x:v>444.10417019433066</x:v>
      </x:c>
      <x:c r="H36" s="8" t="n">
        <x:f>IF($A36="","",SQRT(MAX(0,(1)*$S$409*(1)+(1)*$T$409*(LN(B36))+(LN(B36))*$S$410*(1)+(LN(B36))*$T$410*(LN(B36)))))</x:f>
        <x:v>2.5066957704709893</x:v>
      </x:c>
      <x:c r="I36" s="3"/>
      <x:c r="J36" s="10" t="n">
        <x:v>45887</x:v>
      </x:c>
      <x:c r="K36" s="8" t="n">
        <x:f>INDEX('Сводка'!$S$3:$S$397,U36)</x:f>
        <x:v>320</x:v>
      </x:c>
      <x:c r="L36" s="8" t="n">
        <x:f>INDEX('Сводка'!$S$3:$S$397,V36)</x:f>
        <x:v>325</x:v>
      </x:c>
      <x:c r="M36" s="8" t="n">
        <x:f>INDEX($K$388:$N$400,W36,1)+INDEX($K$388:$N$400,W36,2)*LN(((J36-$T$405+1)/1000))</x:f>
        <x:v>127.29005360626012</x:v>
      </x:c>
      <x:c r="N36" s="8" t="n">
        <x:f>K36-M36</x:f>
        <x:v>192.70994639373987</x:v>
      </x:c>
      <x:c r="O36" s="8" t="n">
        <x:f>ABS(N36)</x:f>
        <x:v>192.70994639373987</x:v>
      </x:c>
      <x:c r="P36" s="8" t="n">
        <x:f>N36^2</x:f>
        <x:v>37137.123439078096</x:v>
      </x:c>
      <x:c r="Q36" s="8" t="n">
        <x:f>K36-L36</x:f>
        <x:v>-5</x:v>
      </x:c>
      <x:c r="R36" s="9" t="n">
        <x:f>IF(AND(INDEX('Сводка'!$T$3:$T$397,U36)=0,INDEX('Сводка'!$T$3:$T$397,V36)=0),1,0)</x:f>
        <x:v>1</x:v>
      </x:c>
      <x:c r="S36" s="9" t="n">
        <x:f>IF(AND(R36=1,O36&lt;=$G$13),1,0)</x:f>
        <x:v>0</x:v>
      </x:c>
      <x:c r="T36" s="10" t="n">
        <x:f>EOMONTH(J36-'Сводка'!$B$11,-1)</x:f>
        <x:v>45869</x:v>
      </x:c>
      <x:c r="U36" s="4" t="n">
        <x:f>MATCH(J36,'Сводка'!$R$3:$R$397,0)</x:f>
        <x:v>47</x:v>
      </x:c>
      <x:c r="V36" s="4" t="n">
        <x:f>MATCH(J36-'Сводка'!$B$11,'Сводка'!$R$3:$R$397,0)</x:f>
        <x:v>46</x:v>
      </x:c>
      <x:c r="W36" s="4" t="n">
        <x:f>MATCH(T36,$J$388:$J$400,0)</x:f>
        <x:v>2</x:v>
      </x:c>
      <x:c r="X36" s="3"/>
      <x:c r="Y36" s="3"/>
      <x:c r="Z36" s="3"/>
    </x:row>
    <x:row r="37" ht="15" customHeight="1">
      <x:c r="A37" s="10" t="n">
        <x:f>IF(19&lt;='Сводка'!$B$3,'Сводка'!$B$4+19,"")</x:f>
        <x:v>46254</x:v>
      </x:c>
      <x:c r="B37" s="18" t="n">
        <x:f>IF($A37="","",(A37-$T$405+1)/1000)</x:f>
        <x:v>8.998</x:v>
      </x:c>
      <x:c r="C37" s="18" t="n">
        <x:f>IF($A37="","",2*(A37-$T$405)/$T$406-1)</x:f>
        <x:v>1.0042325685007798</x:v>
      </x:c>
      <x:c r="D37" s="8" t="n">
        <x:f>IF($A37="","",$B$4+$B$5*LN(B37))</x:f>
        <x:v>125.50498794751074</x:v>
      </x:c>
      <x:c r="E37" s="8" t="n">
        <x:f>IF($A37="","",SQRT($T$403^2+H37^2))</x:f>
        <x:v>162.53391354884062</x:v>
      </x:c>
      <x:c r="F37" s="8" t="n">
        <x:f>IF($A37="","",D37-$T$404*E37)</x:f>
        <x:v>-193.10050585808108</x:v>
      </x:c>
      <x:c r="G37" s="8" t="n">
        <x:f>IF($A37="","",D37+$T$404*E37)</x:f>
        <x:v>444.1104817531026</x:v>
      </x:c>
      <x:c r="H37" s="8" t="n">
        <x:f>IF($A37="","",SQRT(MAX(0,(1)*$S$409*(1)+(1)*$T$409*(LN(B37))+(LN(B37))*$S$410*(1)+(LN(B37))*$T$410*(LN(B37)))))</x:f>
        <x:v>2.506835532377114</x:v>
      </x:c>
      <x:c r="I37" s="3"/>
      <x:c r="J37" s="10" t="n">
        <x:v>45888</x:v>
      </x:c>
      <x:c r="K37" s="8" t="n">
        <x:f>INDEX('Сводка'!$S$3:$S$397,U37)</x:f>
        <x:v>309</x:v>
      </x:c>
      <x:c r="L37" s="8" t="n">
        <x:f>INDEX('Сводка'!$S$3:$S$397,V37)</x:f>
        <x:v>320</x:v>
      </x:c>
      <x:c r="M37" s="8" t="n">
        <x:f>INDEX($K$388:$N$400,W37,1)+INDEX($K$388:$N$400,W37,2)*LN(((J37-$T$405+1)/1000))</x:f>
        <x:v>127.29687216015023</x:v>
      </x:c>
      <x:c r="N37" s="8" t="n">
        <x:f>K37-M37</x:f>
        <x:v>181.70312783984977</x:v>
      </x:c>
      <x:c r="O37" s="8" t="n">
        <x:f>ABS(N37)</x:f>
        <x:v>181.70312783984977</x:v>
      </x:c>
      <x:c r="P37" s="8" t="n">
        <x:f>N37^2</x:f>
        <x:v>33016.02666678479</x:v>
      </x:c>
      <x:c r="Q37" s="8" t="n">
        <x:f>K37-L37</x:f>
        <x:v>-11</x:v>
      </x:c>
      <x:c r="R37" s="9" t="n">
        <x:f>IF(AND(INDEX('Сводка'!$T$3:$T$397,U37)=0,INDEX('Сводка'!$T$3:$T$397,V37)=0),1,0)</x:f>
        <x:v>1</x:v>
      </x:c>
      <x:c r="S37" s="9" t="n">
        <x:f>IF(AND(R37=1,O37&lt;=$G$13),1,0)</x:f>
        <x:v>0</x:v>
      </x:c>
      <x:c r="T37" s="10" t="n">
        <x:f>EOMONTH(J37-'Сводка'!$B$11,-1)</x:f>
        <x:v>45869</x:v>
      </x:c>
      <x:c r="U37" s="4" t="n">
        <x:f>MATCH(J37,'Сводка'!$R$3:$R$397,0)</x:f>
        <x:v>48</x:v>
      </x:c>
      <x:c r="V37" s="4" t="n">
        <x:f>MATCH(J37-'Сводка'!$B$11,'Сводка'!$R$3:$R$397,0)</x:f>
        <x:v>47</x:v>
      </x:c>
      <x:c r="W37" s="4" t="n">
        <x:f>MATCH(T37,$J$388:$J$400,0)</x:f>
        <x:v>2</x:v>
      </x:c>
      <x:c r="X37" s="3"/>
      <x:c r="Y37" s="3"/>
      <x:c r="Z37" s="3"/>
    </x:row>
    <x:row r="38" ht="15" customHeight="1">
      <x:c r="A38" s="10" t="n">
        <x:f>IF(20&lt;='Сводка'!$B$3,'Сводка'!$B$4+20,"")</x:f>
        <x:v>46255</x:v>
      </x:c>
      <x:c r="B38" s="18" t="n">
        <x:f>IF($A38="","",(A38-$T$405+1)/1000)</x:f>
        <x:v>8.999</x:v>
      </x:c>
      <x:c r="C38" s="18" t="n">
        <x:f>IF($A38="","",2*(A38-$T$405)/$T$406-1)</x:f>
        <x:v>1.0044553352639785</x:v>
      </x:c>
      <x:c r="D38" s="8" t="n">
        <x:f>IF($A38="","",$B$4+$B$5*LN(B38))</x:f>
        <x:v>125.51129457995101</x:v>
      </x:c>
      <x:c r="E38" s="8" t="n">
        <x:f>IF($A38="","",SQRT($T$403^2+H38^2))</x:f>
        <x:v>162.53391570438848</x:v>
      </x:c>
      <x:c r="F38" s="8" t="n">
        <x:f>IF($A38="","",D38-$T$404*E38)</x:f>
        <x:v>-193.09420345103217</x:v>
      </x:c>
      <x:c r="G38" s="8" t="n">
        <x:f>IF($A38="","",D38+$T$404*E38)</x:f>
        <x:v>444.1167926109342</x:v>
      </x:c>
      <x:c r="H38" s="8" t="n">
        <x:f>IF($A38="","",SQRT(MAX(0,(1)*$S$409*(1)+(1)*$T$409*(LN(B38))+(LN(B38))*$S$410*(1)+(LN(B38))*$T$410*(LN(B38)))))</x:f>
        <x:v>2.5069752862065564</x:v>
      </x:c>
      <x:c r="I38" s="3"/>
      <x:c r="J38" s="10" t="n">
        <x:v>45889</x:v>
      </x:c>
      <x:c r="K38" s="8" t="n">
        <x:f>INDEX('Сводка'!$S$3:$S$397,U38)</x:f>
        <x:v>296</x:v>
      </x:c>
      <x:c r="L38" s="8" t="n">
        <x:f>INDEX('Сводка'!$S$3:$S$397,V38)</x:f>
        <x:v>309</x:v>
      </x:c>
      <x:c r="M38" s="8" t="n">
        <x:f>INDEX($K$388:$N$400,W38,1)+INDEX($K$388:$N$400,W38,2)*LN(((J38-$T$405+1)/1000))</x:f>
        <x:v>127.3036899241702</x:v>
      </x:c>
      <x:c r="N38" s="8" t="n">
        <x:f>K38-M38</x:f>
        <x:v>168.69631007582979</x:v>
      </x:c>
      <x:c r="O38" s="8" t="n">
        <x:f>ABS(N38)</x:f>
        <x:v>168.69631007582979</x:v>
      </x:c>
      <x:c r="P38" s="8" t="n">
        <x:f>N38^2</x:f>
        <x:v>28458.44503320051</x:v>
      </x:c>
      <x:c r="Q38" s="8" t="n">
        <x:f>K38-L38</x:f>
        <x:v>-13</x:v>
      </x:c>
      <x:c r="R38" s="9" t="n">
        <x:f>IF(AND(INDEX('Сводка'!$T$3:$T$397,U38)=0,INDEX('Сводка'!$T$3:$T$397,V38)=0),1,0)</x:f>
        <x:v>1</x:v>
      </x:c>
      <x:c r="S38" s="9" t="n">
        <x:f>IF(AND(R38=1,O38&lt;=$G$13),1,0)</x:f>
        <x:v>0</x:v>
      </x:c>
      <x:c r="T38" s="10" t="n">
        <x:f>EOMONTH(J38-'Сводка'!$B$11,-1)</x:f>
        <x:v>45869</x:v>
      </x:c>
      <x:c r="U38" s="4" t="n">
        <x:f>MATCH(J38,'Сводка'!$R$3:$R$397,0)</x:f>
        <x:v>49</x:v>
      </x:c>
      <x:c r="V38" s="4" t="n">
        <x:f>MATCH(J38-'Сводка'!$B$11,'Сводка'!$R$3:$R$397,0)</x:f>
        <x:v>48</x:v>
      </x:c>
      <x:c r="W38" s="4" t="n">
        <x:f>MATCH(T38,$J$388:$J$400,0)</x:f>
        <x:v>2</x:v>
      </x:c>
      <x:c r="X38" s="3"/>
      <x:c r="Y38" s="3"/>
      <x:c r="Z38" s="3"/>
    </x:row>
    <x:row r="39" ht="15" customHeight="1">
      <x:c r="A39" s="10" t="n">
        <x:f>IF(21&lt;='Сводка'!$B$3,'Сводка'!$B$4+21,"")</x:f>
        <x:v>46256</x:v>
      </x:c>
      <x:c r="B39" s="18" t="n">
        <x:f>IF($A39="","",(A39-$T$405+1)/1000)</x:f>
        <x:v>9</x:v>
      </x:c>
      <x:c r="C39" s="18" t="n">
        <x:f>IF($A39="","",2*(A39-$T$405)/$T$406-1)</x:f>
        <x:v>1.0046781020271776</x:v>
      </x:c>
      <x:c r="D39" s="8" t="n">
        <x:f>IF($A39="","",$B$4+$B$5*LN(B39))</x:f>
        <x:v>125.51760051161541</x:v>
      </x:c>
      <x:c r="E39" s="8" t="n">
        <x:f>IF($A39="","",SQRT($T$403^2+H39^2))</x:f>
        <x:v>162.53391785993188</x:v>
      </x:c>
      <x:c r="F39" s="8" t="n">
        <x:f>IF($A39="","",D39-$T$404*E39)</x:f>
        <x:v>-193.0879017447504</x:v>
      </x:c>
      <x:c r="G39" s="8" t="n">
        <x:f>IF($A39="","",D39+$T$404*E39)</x:f>
        <x:v>444.1231027679812</x:v>
      </x:c>
      <x:c r="H39" s="8" t="n">
        <x:f>IF($A39="","",SQRT(MAX(0,(1)*$S$409*(1)+(1)*$T$409*(LN(B39))+(LN(B39))*$S$410*(1)+(LN(B39))*$T$410*(LN(B39)))))</x:f>
        <x:v>2.5071150319590325</x:v>
      </x:c>
      <x:c r="I39" s="3"/>
      <x:c r="J39" s="10" t="n">
        <x:v>45890</x:v>
      </x:c>
      <x:c r="K39" s="8" t="n">
        <x:f>INDEX('Сводка'!$S$3:$S$397,U39)</x:f>
        <x:v>282</x:v>
      </x:c>
      <x:c r="L39" s="8" t="n">
        <x:f>INDEX('Сводка'!$S$3:$S$397,V39)</x:f>
        <x:v>296</x:v>
      </x:c>
      <x:c r="M39" s="8" t="n">
        <x:f>INDEX($K$388:$N$400,W39,1)+INDEX($K$388:$N$400,W39,2)*LN(((J39-$T$405+1)/1000))</x:f>
        <x:v>127.31050689850302</x:v>
      </x:c>
      <x:c r="N39" s="8" t="n">
        <x:f>K39-M39</x:f>
        <x:v>154.68949310149696</x:v>
      </x:c>
      <x:c r="O39" s="8" t="n">
        <x:f>ABS(N39)</x:f>
        <x:v>154.68949310149696</x:v>
      </x:c>
      <x:c r="P39" s="8" t="n">
        <x:f>N39^2</x:f>
        <x:v>23928.839275998078</x:v>
      </x:c>
      <x:c r="Q39" s="8" t="n">
        <x:f>K39-L39</x:f>
        <x:v>-14</x:v>
      </x:c>
      <x:c r="R39" s="9" t="n">
        <x:f>IF(AND(INDEX('Сводка'!$T$3:$T$397,U39)=0,INDEX('Сводка'!$T$3:$T$397,V39)=0),1,0)</x:f>
        <x:v>1</x:v>
      </x:c>
      <x:c r="S39" s="9" t="n">
        <x:f>IF(AND(R39=1,O39&lt;=$G$13),1,0)</x:f>
        <x:v>0</x:v>
      </x:c>
      <x:c r="T39" s="10" t="n">
        <x:f>EOMONTH(J39-'Сводка'!$B$11,-1)</x:f>
        <x:v>45869</x:v>
      </x:c>
      <x:c r="U39" s="4" t="n">
        <x:f>MATCH(J39,'Сводка'!$R$3:$R$397,0)</x:f>
        <x:v>50</x:v>
      </x:c>
      <x:c r="V39" s="4" t="n">
        <x:f>MATCH(J39-'Сводка'!$B$11,'Сводка'!$R$3:$R$397,0)</x:f>
        <x:v>49</x:v>
      </x:c>
      <x:c r="W39" s="4" t="n">
        <x:f>MATCH(T39,$J$388:$J$400,0)</x:f>
        <x:v>2</x:v>
      </x:c>
      <x:c r="X39" s="3"/>
      <x:c r="Y39" s="3"/>
      <x:c r="Z39" s="3"/>
    </x:row>
    <x:row r="40" ht="15" customHeight="1">
      <x:c r="A40" s="10" t="n">
        <x:f>IF(22&lt;='Сводка'!$B$3,'Сводка'!$B$4+22,"")</x:f>
        <x:v>46257</x:v>
      </x:c>
      <x:c r="B40" s="18" t="n">
        <x:f>IF($A40="","",(A40-$T$405+1)/1000)</x:f>
        <x:v>9.001</x:v>
      </x:c>
      <x:c r="C40" s="18" t="n">
        <x:f>IF($A40="","",2*(A40-$T$405)/$T$406-1)</x:f>
        <x:v>1.0049008687903767</x:v>
      </x:c>
      <x:c r="D40" s="8" t="n">
        <x:f>IF($A40="","",$B$4+$B$5*LN(B40))</x:f>
        <x:v>125.52390574265966</x:v>
      </x:c>
      <x:c r="E40" s="8" t="n">
        <x:f>IF($A40="","",SQRT($T$403^2+H40^2))</x:f>
        <x:v>162.5339200154708</x:v>
      </x:c>
      <x:c r="F40" s="8" t="n">
        <x:f>IF($A40="","",D40-$T$404*E40)</x:f>
        <x:v>-193.08160073907993</x:v>
      </x:c>
      <x:c r="G40" s="8" t="n">
        <x:f>IF($A40="","",D40+$T$404*E40)</x:f>
        <x:v>444.1294122243993</x:v>
      </x:c>
      <x:c r="H40" s="8" t="n">
        <x:f>IF($A40="","",SQRT(MAX(0,(1)*$S$409*(1)+(1)*$T$409*(LN(B40))+(LN(B40))*$S$410*(1)+(LN(B40))*$T$410*(LN(B40)))))</x:f>
        <x:v>2.5072547696342666</x:v>
      </x:c>
      <x:c r="I40" s="3"/>
      <x:c r="J40" s="10" t="n">
        <x:v>45891</x:v>
      </x:c>
      <x:c r="K40" s="8" t="n">
        <x:f>INDEX('Сводка'!$S$3:$S$397,U40)</x:f>
        <x:v>270</x:v>
      </x:c>
      <x:c r="L40" s="8" t="n">
        <x:f>INDEX('Сводка'!$S$3:$S$397,V40)</x:f>
        <x:v>282</x:v>
      </x:c>
      <x:c r="M40" s="8" t="n">
        <x:f>INDEX($K$388:$N$400,W40,1)+INDEX($K$388:$N$400,W40,2)*LN(((J40-$T$405+1)/1000))</x:f>
        <x:v>127.3173230833316</x:v>
      </x:c>
      <x:c r="N40" s="8" t="n">
        <x:f>K40-M40</x:f>
        <x:v>142.6826769166684</x:v>
      </x:c>
      <x:c r="O40" s="8" t="n">
        <x:f>ABS(N40)</x:f>
        <x:v>142.6826769166684</x:v>
      </x:c>
      <x:c r="P40" s="8" t="n">
        <x:f>N40^2</x:f>
        <x:v>20358.34629210638</x:v>
      </x:c>
      <x:c r="Q40" s="8" t="n">
        <x:f>K40-L40</x:f>
        <x:v>-12</x:v>
      </x:c>
      <x:c r="R40" s="9" t="n">
        <x:f>IF(AND(INDEX('Сводка'!$T$3:$T$397,U40)=0,INDEX('Сводка'!$T$3:$T$397,V40)=0),1,0)</x:f>
        <x:v>1</x:v>
      </x:c>
      <x:c r="S40" s="9" t="n">
        <x:f>IF(AND(R40=1,O40&lt;=$G$13),1,0)</x:f>
        <x:v>0</x:v>
      </x:c>
      <x:c r="T40" s="10" t="n">
        <x:f>EOMONTH(J40-'Сводка'!$B$11,-1)</x:f>
        <x:v>45869</x:v>
      </x:c>
      <x:c r="U40" s="4" t="n">
        <x:f>MATCH(J40,'Сводка'!$R$3:$R$397,0)</x:f>
        <x:v>51</x:v>
      </x:c>
      <x:c r="V40" s="4" t="n">
        <x:f>MATCH(J40-'Сводка'!$B$11,'Сводка'!$R$3:$R$397,0)</x:f>
        <x:v>50</x:v>
      </x:c>
      <x:c r="W40" s="4" t="n">
        <x:f>MATCH(T40,$J$388:$J$400,0)</x:f>
        <x:v>2</x:v>
      </x:c>
      <x:c r="X40" s="3"/>
      <x:c r="Y40" s="3"/>
      <x:c r="Z40" s="3"/>
    </x:row>
    <x:row r="41" ht="15" customHeight="1">
      <x:c r="A41" s="10" t="n">
        <x:f>IF(23&lt;='Сводка'!$B$3,'Сводка'!$B$4+23,"")</x:f>
        <x:v>46258</x:v>
      </x:c>
      <x:c r="B41" s="18" t="n">
        <x:f>IF($A41="","",(A41-$T$405+1)/1000)</x:f>
        <x:v>9.002</x:v>
      </x:c>
      <x:c r="C41" s="18" t="n">
        <x:f>IF($A41="","",2*(A41-$T$405)/$T$406-1)</x:f>
        <x:v>1.0051236355535753</x:v>
      </x:c>
      <x:c r="D41" s="8" t="n">
        <x:f>IF($A41="","",$B$4+$B$5*LN(B41))</x:f>
        <x:v>125.53021027323943</x:v>
      </x:c>
      <x:c r="E41" s="8" t="n">
        <x:f>IF($A41="","",SQRT($T$403^2+H41^2))</x:f>
        <x:v>162.53392217100523</x:v>
      </x:c>
      <x:c r="F41" s="8" t="n">
        <x:f>IF($A41="","",D41-$T$404*E41)</x:f>
        <x:v>-193.07530043386515</x:v>
      </x:c>
      <x:c r="G41" s="8" t="n">
        <x:f>IF($A41="","",D41+$T$404*E41)</x:f>
        <x:v>444.13572098034405</x:v>
      </x:c>
      <x:c r="H41" s="8" t="n">
        <x:f>IF($A41="","",SQRT(MAX(0,(1)*$S$409*(1)+(1)*$T$409*(LN(B41))+(LN(B41))*$S$410*(1)+(LN(B41))*$T$410*(LN(B41)))))</x:f>
        <x:v>2.5073944992319785</x:v>
      </x:c>
      <x:c r="I41" s="3"/>
      <x:c r="J41" s="10" t="n">
        <x:v>45892</x:v>
      </x:c>
      <x:c r="K41" s="8" t="n">
        <x:f>INDEX('Сводка'!$S$3:$S$397,U41)</x:f>
        <x:v>255</x:v>
      </x:c>
      <x:c r="L41" s="8" t="n">
        <x:f>INDEX('Сводка'!$S$3:$S$397,V41)</x:f>
        <x:v>270</x:v>
      </x:c>
      <x:c r="M41" s="8" t="n">
        <x:f>INDEX($K$388:$N$400,W41,1)+INDEX($K$388:$N$400,W41,2)*LN(((J41-$T$405+1)/1000))</x:f>
        <x:v>127.32413847883878</x:v>
      </x:c>
      <x:c r="N41" s="8" t="n">
        <x:f>K41-M41</x:f>
        <x:v>127.67586152116122</x:v>
      </x:c>
      <x:c r="O41" s="8" t="n">
        <x:f>ABS(N41)</x:f>
        <x:v>127.67586152116122</x:v>
      </x:c>
      <x:c r="P41" s="8" t="n">
        <x:f>N41^2</x:f>
        <x:v>16301.125615170737</x:v>
      </x:c>
      <x:c r="Q41" s="8" t="n">
        <x:f>K41-L41</x:f>
        <x:v>-15</x:v>
      </x:c>
      <x:c r="R41" s="9" t="n">
        <x:f>IF(AND(INDEX('Сводка'!$T$3:$T$397,U41)=0,INDEX('Сводка'!$T$3:$T$397,V41)=0),1,0)</x:f>
        <x:v>1</x:v>
      </x:c>
      <x:c r="S41" s="9" t="n">
        <x:f>IF(AND(R41=1,O41&lt;=$G$13),1,0)</x:f>
        <x:v>0</x:v>
      </x:c>
      <x:c r="T41" s="10" t="n">
        <x:f>EOMONTH(J41-'Сводка'!$B$11,-1)</x:f>
        <x:v>45869</x:v>
      </x:c>
      <x:c r="U41" s="4" t="n">
        <x:f>MATCH(J41,'Сводка'!$R$3:$R$397,0)</x:f>
        <x:v>52</x:v>
      </x:c>
      <x:c r="V41" s="4" t="n">
        <x:f>MATCH(J41-'Сводка'!$B$11,'Сводка'!$R$3:$R$397,0)</x:f>
        <x:v>51</x:v>
      </x:c>
      <x:c r="W41" s="4" t="n">
        <x:f>MATCH(T41,$J$388:$J$400,0)</x:f>
        <x:v>2</x:v>
      </x:c>
      <x:c r="X41" s="3"/>
      <x:c r="Y41" s="3"/>
      <x:c r="Z41" s="3"/>
    </x:row>
    <x:row r="42" ht="15" customHeight="1">
      <x:c r="A42" s="10" t="n">
        <x:f>IF(24&lt;='Сводка'!$B$3,'Сводка'!$B$4+24,"")</x:f>
        <x:v>46259</x:v>
      </x:c>
      <x:c r="B42" s="18" t="n">
        <x:f>IF($A42="","",(A42-$T$405+1)/1000)</x:f>
        <x:v>9.003</x:v>
      </x:c>
      <x:c r="C42" s="18" t="n">
        <x:f>IF($A42="","",2*(A42-$T$405)/$T$406-1)</x:f>
        <x:v>1.0053464023167744</x:v>
      </x:c>
      <x:c r="D42" s="8" t="n">
        <x:f>IF($A42="","",$B$4+$B$5*LN(B42))</x:f>
        <x:v>125.53651410351031</x:v>
      </x:c>
      <x:c r="E42" s="8" t="n">
        <x:f>IF($A42="","",SQRT($T$403^2+H42^2))</x:f>
        <x:v>162.53392432653513</x:v>
      </x:c>
      <x:c r="F42" s="8" t="n">
        <x:f>IF($A42="","",D42-$T$404*E42)</x:f>
        <x:v>-193.06900082895046</x:v>
      </x:c>
      <x:c r="G42" s="8" t="n">
        <x:f>IF($A42="","",D42+$T$404*E42)</x:f>
        <x:v>444.14202903597106</x:v>
      </x:c>
      <x:c r="H42" s="8" t="n">
        <x:f>IF($A42="","",SQRT(MAX(0,(1)*$S$409*(1)+(1)*$T$409*(LN(B42))+(LN(B42))*$S$410*(1)+(LN(B42))*$T$410*(LN(B42)))))</x:f>
        <x:v>2.507534220751893</x:v>
      </x:c>
      <x:c r="I42" s="3"/>
      <x:c r="J42" s="10" t="n">
        <x:v>45893</x:v>
      </x:c>
      <x:c r="K42" s="8" t="n">
        <x:f>INDEX('Сводка'!$S$3:$S$397,U42)</x:f>
        <x:v>245</x:v>
      </x:c>
      <x:c r="L42" s="8" t="n">
        <x:f>INDEX('Сводка'!$S$3:$S$397,V42)</x:f>
        <x:v>255</x:v>
      </x:c>
      <x:c r="M42" s="8" t="n">
        <x:f>INDEX($K$388:$N$400,W42,1)+INDEX($K$388:$N$400,W42,2)*LN(((J42-$T$405+1)/1000))</x:f>
        <x:v>127.33095308520737</x:v>
      </x:c>
      <x:c r="N42" s="8" t="n">
        <x:f>K42-M42</x:f>
        <x:v>117.66904691479263</x:v>
      </x:c>
      <x:c r="O42" s="8" t="n">
        <x:f>ABS(N42)</x:f>
        <x:v>117.66904691479263</x:v>
      </x:c>
      <x:c r="P42" s="8" t="n">
        <x:f>N42^2</x:f>
        <x:v>13846.00460183567</x:v>
      </x:c>
      <x:c r="Q42" s="8" t="n">
        <x:f>K42-L42</x:f>
        <x:v>-10</x:v>
      </x:c>
      <x:c r="R42" s="9" t="n">
        <x:f>IF(AND(INDEX('Сводка'!$T$3:$T$397,U42)=0,INDEX('Сводка'!$T$3:$T$397,V42)=0),1,0)</x:f>
        <x:v>1</x:v>
      </x:c>
      <x:c r="S42" s="9" t="n">
        <x:f>IF(AND(R42=1,O42&lt;=$G$13),1,0)</x:f>
        <x:v>0</x:v>
      </x:c>
      <x:c r="T42" s="10" t="n">
        <x:f>EOMONTH(J42-'Сводка'!$B$11,-1)</x:f>
        <x:v>45869</x:v>
      </x:c>
      <x:c r="U42" s="4" t="n">
        <x:f>MATCH(J42,'Сводка'!$R$3:$R$397,0)</x:f>
        <x:v>53</x:v>
      </x:c>
      <x:c r="V42" s="4" t="n">
        <x:f>MATCH(J42-'Сводка'!$B$11,'Сводка'!$R$3:$R$397,0)</x:f>
        <x:v>52</x:v>
      </x:c>
      <x:c r="W42" s="4" t="n">
        <x:f>MATCH(T42,$J$388:$J$400,0)</x:f>
        <x:v>2</x:v>
      </x:c>
      <x:c r="X42" s="3"/>
      <x:c r="Y42" s="3"/>
      <x:c r="Z42" s="3"/>
    </x:row>
    <x:row r="43" ht="15" customHeight="1">
      <x:c r="A43" s="10" t="n">
        <x:f>IF(25&lt;='Сводка'!$B$3,'Сводка'!$B$4+25,"")</x:f>
        <x:v>46260</x:v>
      </x:c>
      <x:c r="B43" s="18" t="n">
        <x:f>IF($A43="","",(A43-$T$405+1)/1000)</x:f>
        <x:v>9.004</x:v>
      </x:c>
      <x:c r="C43" s="18" t="n">
        <x:f>IF($A43="","",2*(A43-$T$405)/$T$406-1)</x:f>
        <x:v>1.005569169079973</x:v>
      </x:c>
      <x:c r="D43" s="8" t="n">
        <x:f>IF($A43="","",$B$4+$B$5*LN(B43))</x:f>
        <x:v>125.54281723362791</x:v>
      </x:c>
      <x:c r="E43" s="8" t="n">
        <x:f>IF($A43="","",SQRT($T$403^2+H43^2))</x:f>
        <x:v>162.53392648206048</x:v>
      </x:c>
      <x:c r="F43" s="8" t="n">
        <x:f>IF($A43="","",D43-$T$404*E43)</x:f>
        <x:v>-193.06270192418006</x:v>
      </x:c>
      <x:c r="G43" s="8" t="n">
        <x:f>IF($A43="","",D43+$T$404*E43)</x:f>
        <x:v>444.1483363914359</x:v>
      </x:c>
      <x:c r="H43" s="8" t="n">
        <x:f>IF($A43="","",SQRT(MAX(0,(1)*$S$409*(1)+(1)*$T$409*(LN(B43))+(LN(B43))*$S$410*(1)+(LN(B43))*$T$410*(LN(B43)))))</x:f>
        <x:v>2.5076739341937326</x:v>
      </x:c>
      <x:c r="I43" s="3"/>
      <x:c r="J43" s="10" t="n">
        <x:v>45894</x:v>
      </x:c>
      <x:c r="K43" s="8" t="n">
        <x:f>INDEX('Сводка'!$S$3:$S$397,U43)</x:f>
        <x:v>235</x:v>
      </x:c>
      <x:c r="L43" s="8" t="n">
        <x:f>INDEX('Сводка'!$S$3:$S$397,V43)</x:f>
        <x:v>245</x:v>
      </x:c>
      <x:c r="M43" s="8" t="n">
        <x:f>INDEX($K$388:$N$400,W43,1)+INDEX($K$388:$N$400,W43,2)*LN(((J43-$T$405+1)/1000))</x:f>
        <x:v>127.33776690262007</x:v>
      </x:c>
      <x:c r="N43" s="8" t="n">
        <x:f>K43-M43</x:f>
        <x:v>107.66223309737993</x:v>
      </x:c>
      <x:c r="O43" s="8" t="n">
        <x:f>ABS(N43)</x:f>
        <x:v>107.66223309737993</x:v>
      </x:c>
      <x:c r="P43" s="8" t="n">
        <x:f>N43^2</x:f>
        <x:v>11591.15643551457</x:v>
      </x:c>
      <x:c r="Q43" s="8" t="n">
        <x:f>K43-L43</x:f>
        <x:v>-10</x:v>
      </x:c>
      <x:c r="R43" s="9" t="n">
        <x:f>IF(AND(INDEX('Сводка'!$T$3:$T$397,U43)=0,INDEX('Сводка'!$T$3:$T$397,V43)=0),1,0)</x:f>
        <x:v>1</x:v>
      </x:c>
      <x:c r="S43" s="9" t="n">
        <x:f>IF(AND(R43=1,O43&lt;=$G$13),1,0)</x:f>
        <x:v>0</x:v>
      </x:c>
      <x:c r="T43" s="10" t="n">
        <x:f>EOMONTH(J43-'Сводка'!$B$11,-1)</x:f>
        <x:v>45869</x:v>
      </x:c>
      <x:c r="U43" s="4" t="n">
        <x:f>MATCH(J43,'Сводка'!$R$3:$R$397,0)</x:f>
        <x:v>54</x:v>
      </x:c>
      <x:c r="V43" s="4" t="n">
        <x:f>MATCH(J43-'Сводка'!$B$11,'Сводка'!$R$3:$R$397,0)</x:f>
        <x:v>53</x:v>
      </x:c>
      <x:c r="W43" s="4" t="n">
        <x:f>MATCH(T43,$J$388:$J$400,0)</x:f>
        <x:v>2</x:v>
      </x:c>
      <x:c r="X43" s="3"/>
      <x:c r="Y43" s="3"/>
      <x:c r="Z43" s="3"/>
    </x:row>
    <x:row r="44" ht="15" customHeight="1">
      <x:c r="A44" s="10" t="n">
        <x:f>IF(26&lt;='Сводка'!$B$3,'Сводка'!$B$4+26,"")</x:f>
        <x:v>46261</x:v>
      </x:c>
      <x:c r="B44" s="18" t="n">
        <x:f>IF($A44="","",(A44-$T$405+1)/1000)</x:f>
        <x:v>9.005</x:v>
      </x:c>
      <x:c r="C44" s="18" t="n">
        <x:f>IF($A44="","",2*(A44-$T$405)/$T$406-1)</x:f>
        <x:v>1.0057919358431722</x:v>
      </x:c>
      <x:c r="D44" s="8" t="n">
        <x:f>IF($A44="","",$B$4+$B$5*LN(B44))</x:f>
        <x:v>125.54911966374769</x:v>
      </x:c>
      <x:c r="E44" s="8" t="n">
        <x:f>IF($A44="","",SQRT($T$403^2+H44^2))</x:f>
        <x:v>162.53392863758125</x:v>
      </x:c>
      <x:c r="F44" s="8" t="n">
        <x:f>IF($A44="","",D44-$T$404*E44)</x:f>
        <x:v>-193.0564037193985</x:v>
      </x:c>
      <x:c r="G44" s="8" t="n">
        <x:f>IF($A44="","",D44+$T$404*E44)</x:f>
        <x:v>444.15464304689385</x:v>
      </x:c>
      <x:c r="H44" s="8" t="n">
        <x:f>IF($A44="","",SQRT(MAX(0,(1)*$S$409*(1)+(1)*$T$409*(LN(B44))+(LN(B44))*$S$410*(1)+(LN(B44))*$T$410*(LN(B44)))))</x:f>
        <x:v>2.507813639557223</x:v>
      </x:c>
      <x:c r="I44" s="3"/>
      <x:c r="J44" s="10" t="n">
        <x:v>45895</x:v>
      </x:c>
      <x:c r="K44" s="8" t="n">
        <x:f>INDEX('Сводка'!$S$3:$S$397,U44)</x:f>
        <x:v>227</x:v>
      </x:c>
      <x:c r="L44" s="8" t="n">
        <x:f>INDEX('Сводка'!$S$3:$S$397,V44)</x:f>
        <x:v>235</x:v>
      </x:c>
      <x:c r="M44" s="8" t="n">
        <x:f>INDEX($K$388:$N$400,W44,1)+INDEX($K$388:$N$400,W44,2)*LN(((J44-$T$405+1)/1000))</x:f>
        <x:v>127.34457993125957</x:v>
      </x:c>
      <x:c r="N44" s="8" t="n">
        <x:f>K44-M44</x:f>
        <x:v>99.65542006874043</x:v>
      </x:c>
      <x:c r="O44" s="8" t="n">
        <x:f>ABS(N44)</x:f>
        <x:v>99.65542006874043</x:v>
      </x:c>
      <x:c r="P44" s="8" t="n">
        <x:f>N44^2</x:f>
        <x:v>9931.202749077112</x:v>
      </x:c>
      <x:c r="Q44" s="8" t="n">
        <x:f>K44-L44</x:f>
        <x:v>-8</x:v>
      </x:c>
      <x:c r="R44" s="9" t="n">
        <x:f>IF(AND(INDEX('Сводка'!$T$3:$T$397,U44)=0,INDEX('Сводка'!$T$3:$T$397,V44)=0),1,0)</x:f>
        <x:v>1</x:v>
      </x:c>
      <x:c r="S44" s="9" t="n">
        <x:f>IF(AND(R44=1,O44&lt;=$G$13),1,0)</x:f>
        <x:v>0</x:v>
      </x:c>
      <x:c r="T44" s="10" t="n">
        <x:f>EOMONTH(J44-'Сводка'!$B$11,-1)</x:f>
        <x:v>45869</x:v>
      </x:c>
      <x:c r="U44" s="4" t="n">
        <x:f>MATCH(J44,'Сводка'!$R$3:$R$397,0)</x:f>
        <x:v>55</x:v>
      </x:c>
      <x:c r="V44" s="4" t="n">
        <x:f>MATCH(J44-'Сводка'!$B$11,'Сводка'!$R$3:$R$397,0)</x:f>
        <x:v>54</x:v>
      </x:c>
      <x:c r="W44" s="4" t="n">
        <x:f>MATCH(T44,$J$388:$J$400,0)</x:f>
        <x:v>2</x:v>
      </x:c>
      <x:c r="X44" s="3"/>
      <x:c r="Y44" s="3"/>
      <x:c r="Z44" s="3"/>
    </x:row>
    <x:row r="45" ht="15" customHeight="1">
      <x:c r="A45" s="10" t="n">
        <x:f>IF(27&lt;='Сводка'!$B$3,'Сводка'!$B$4+27,"")</x:f>
        <x:v>46262</x:v>
      </x:c>
      <x:c r="B45" s="18" t="n">
        <x:f>IF($A45="","",(A45-$T$405+1)/1000)</x:f>
        <x:v>9.006</x:v>
      </x:c>
      <x:c r="C45" s="18" t="n">
        <x:f>IF($A45="","",2*(A45-$T$405)/$T$406-1)</x:f>
        <x:v>1.0060147026063713</x:v>
      </x:c>
      <x:c r="D45" s="8" t="n">
        <x:f>IF($A45="","",$B$4+$B$5*LN(B45))</x:f>
        <x:v>125.55542139402516</x:v>
      </x:c>
      <x:c r="E45" s="8" t="n">
        <x:f>IF($A45="","",SQRT($T$403^2+H45^2))</x:f>
        <x:v>162.53393079309743</x:v>
      </x:c>
      <x:c r="F45" s="8" t="n">
        <x:f>IF($A45="","",D45-$T$404*E45)</x:f>
        <x:v>-193.05010621445027</x:v>
      </x:c>
      <x:c r="G45" s="8" t="n">
        <x:f>IF($A45="","",D45+$T$404*E45)</x:f>
        <x:v>444.1609490025006</x:v>
      </x:c>
      <x:c r="H45" s="8" t="n">
        <x:f>IF($A45="","",SQRT(MAX(0,(1)*$S$409*(1)+(1)*$T$409*(LN(B45))+(LN(B45))*$S$410*(1)+(LN(B45))*$T$410*(LN(B45)))))</x:f>
        <x:v>2.5079533368420885</x:v>
      </x:c>
      <x:c r="I45" s="3"/>
      <x:c r="J45" s="10" t="n">
        <x:v>45896</x:v>
      </x:c>
      <x:c r="K45" s="8" t="n">
        <x:f>INDEX('Сводка'!$S$3:$S$397,U45)</x:f>
        <x:v>226</x:v>
      </x:c>
      <x:c r="L45" s="8" t="n">
        <x:f>INDEX('Сводка'!$S$3:$S$397,V45)</x:f>
        <x:v>227</x:v>
      </x:c>
      <x:c r="M45" s="8" t="n">
        <x:f>INDEX($K$388:$N$400,W45,1)+INDEX($K$388:$N$400,W45,2)*LN(((J45-$T$405+1)/1000))</x:f>
        <x:v>127.35139217130846</x:v>
      </x:c>
      <x:c r="N45" s="8" t="n">
        <x:f>K45-M45</x:f>
        <x:v>98.64860782869154</x:v>
      </x:c>
      <x:c r="O45" s="8" t="n">
        <x:f>ABS(N45)</x:f>
        <x:v>98.64860782869154</x:v>
      </x:c>
      <x:c r="P45" s="8" t="n">
        <x:f>N45^2</x:f>
        <x:v>9731.547826538981</x:v>
      </x:c>
      <x:c r="Q45" s="8" t="n">
        <x:f>K45-L45</x:f>
        <x:v>-1</x:v>
      </x:c>
      <x:c r="R45" s="9" t="n">
        <x:f>IF(AND(INDEX('Сводка'!$T$3:$T$397,U45)=0,INDEX('Сводка'!$T$3:$T$397,V45)=0),1,0)</x:f>
        <x:v>1</x:v>
      </x:c>
      <x:c r="S45" s="9" t="n">
        <x:f>IF(AND(R45=1,O45&lt;=$G$13),1,0)</x:f>
        <x:v>0</x:v>
      </x:c>
      <x:c r="T45" s="10" t="n">
        <x:f>EOMONTH(J45-'Сводка'!$B$11,-1)</x:f>
        <x:v>45869</x:v>
      </x:c>
      <x:c r="U45" s="4" t="n">
        <x:f>MATCH(J45,'Сводка'!$R$3:$R$397,0)</x:f>
        <x:v>56</x:v>
      </x:c>
      <x:c r="V45" s="4" t="n">
        <x:f>MATCH(J45-'Сводка'!$B$11,'Сводка'!$R$3:$R$397,0)</x:f>
        <x:v>55</x:v>
      </x:c>
      <x:c r="W45" s="4" t="n">
        <x:f>MATCH(T45,$J$388:$J$400,0)</x:f>
        <x:v>2</x:v>
      </x:c>
      <x:c r="X45" s="3"/>
      <x:c r="Y45" s="3"/>
      <x:c r="Z45" s="3"/>
    </x:row>
    <x:row r="46" ht="15" customHeight="1">
      <x:c r="A46" s="10" t="n">
        <x:f>IF(28&lt;='Сводка'!$B$3,'Сводка'!$B$4+28,"")</x:f>
        <x:v>46263</x:v>
      </x:c>
      <x:c r="B46" s="18" t="n">
        <x:f>IF($A46="","",(A46-$T$405+1)/1000)</x:f>
        <x:v>9.007</x:v>
      </x:c>
      <x:c r="C46" s="18" t="n">
        <x:f>IF($A46="","",2*(A46-$T$405)/$T$406-1)</x:f>
        <x:v>1.00623746936957</x:v>
      </x:c>
      <x:c r="D46" s="8" t="n">
        <x:f>IF($A46="","",$B$4+$B$5*LN(B46))</x:f>
        <x:v>125.56172242461568</x:v>
      </x:c>
      <x:c r="E46" s="8" t="n">
        <x:f>IF($A46="","",SQRT($T$403^2+H46^2))</x:f>
        <x:v>162.53393294860896</x:v>
      </x:c>
      <x:c r="F46" s="8" t="n">
        <x:f>IF($A46="","",D46-$T$404*E46)</x:f>
        <x:v>-193.0438094091799</x:v>
      </x:c>
      <x:c r="G46" s="8" t="n">
        <x:f>IF($A46="","",D46+$T$404*E46)</x:f>
        <x:v>444.1672542584113</x:v>
      </x:c>
      <x:c r="H46" s="8" t="n">
        <x:f>IF($A46="","",SQRT(MAX(0,(1)*$S$409*(1)+(1)*$T$409*(LN(B46))+(LN(B46))*$S$410*(1)+(LN(B46))*$T$410*(LN(B46)))))</x:f>
        <x:v>2.5080930260480563</x:v>
      </x:c>
      <x:c r="I46" s="3"/>
      <x:c r="J46" s="10" t="n">
        <x:v>45897</x:v>
      </x:c>
      <x:c r="K46" s="8" t="n">
        <x:f>INDEX('Сводка'!$S$3:$S$397,U46)</x:f>
        <x:v>229</x:v>
      </x:c>
      <x:c r="L46" s="8" t="n">
        <x:f>INDEX('Сводка'!$S$3:$S$397,V46)</x:f>
        <x:v>226</x:v>
      </x:c>
      <x:c r="M46" s="8" t="n">
        <x:f>INDEX($K$388:$N$400,W46,1)+INDEX($K$388:$N$400,W46,2)*LN(((J46-$T$405+1)/1000))</x:f>
        <x:v>127.35820362294923</x:v>
      </x:c>
      <x:c r="N46" s="8" t="n">
        <x:f>K46-M46</x:f>
        <x:v>101.64179637705077</x:v>
      </x:c>
      <x:c r="O46" s="8" t="n">
        <x:f>ABS(N46)</x:f>
        <x:v>101.64179637705077</x:v>
      </x:c>
      <x:c r="P46" s="8" t="n">
        <x:f>N46^2</x:f>
        <x:v>10331.05477075385</x:v>
      </x:c>
      <x:c r="Q46" s="8" t="n">
        <x:f>K46-L46</x:f>
        <x:v>3</x:v>
      </x:c>
      <x:c r="R46" s="9" t="n">
        <x:f>IF(AND(INDEX('Сводка'!$T$3:$T$397,U46)=0,INDEX('Сводка'!$T$3:$T$397,V46)=0),1,0)</x:f>
        <x:v>1</x:v>
      </x:c>
      <x:c r="S46" s="9" t="n">
        <x:f>IF(AND(R46=1,O46&lt;=$G$13),1,0)</x:f>
        <x:v>0</x:v>
      </x:c>
      <x:c r="T46" s="10" t="n">
        <x:f>EOMONTH(J46-'Сводка'!$B$11,-1)</x:f>
        <x:v>45869</x:v>
      </x:c>
      <x:c r="U46" s="4" t="n">
        <x:f>MATCH(J46,'Сводка'!$R$3:$R$397,0)</x:f>
        <x:v>57</x:v>
      </x:c>
      <x:c r="V46" s="4" t="n">
        <x:f>MATCH(J46-'Сводка'!$B$11,'Сводка'!$R$3:$R$397,0)</x:f>
        <x:v>56</x:v>
      </x:c>
      <x:c r="W46" s="4" t="n">
        <x:f>MATCH(T46,$J$388:$J$400,0)</x:f>
        <x:v>2</x:v>
      </x:c>
      <x:c r="X46" s="3"/>
      <x:c r="Y46" s="3"/>
      <x:c r="Z46" s="3"/>
    </x:row>
    <x:row r="47" ht="15" customHeight="1">
      <x:c r="A47" s="10" t="n">
        <x:f>IF(29&lt;='Сводка'!$B$3,'Сводка'!$B$4+29,"")</x:f>
        <x:v>46264</x:v>
      </x:c>
      <x:c r="B47" s="18" t="n">
        <x:f>IF($A47="","",(A47-$T$405+1)/1000)</x:f>
        <x:v>9.008</x:v>
      </x:c>
      <x:c r="C47" s="18" t="n">
        <x:f>IF($A47="","",2*(A47-$T$405)/$T$406-1)</x:f>
        <x:v>1.006460236132769</x:v>
      </x:c>
      <x:c r="D47" s="8" t="n">
        <x:f>IF($A47="","",$B$4+$B$5*LN(B47))</x:f>
        <x:v>125.56802275567466</x:v>
      </x:c>
      <x:c r="E47" s="8" t="n">
        <x:f>IF($A47="","",SQRT($T$403^2+H47^2))</x:f>
        <x:v>162.53393510411587</x:v>
      </x:c>
      <x:c r="F47" s="8" t="n">
        <x:f>IF($A47="","",D47-$T$404*E47)</x:f>
        <x:v>-193.03751330343195</x:v>
      </x:c>
      <x:c r="G47" s="8" t="n">
        <x:f>IF($A47="","",D47+$T$404*E47)</x:f>
        <x:v>444.17355881478125</x:v>
      </x:c>
      <x:c r="H47" s="8" t="n">
        <x:f>IF($A47="","",SQRT(MAX(0,(1)*$S$409*(1)+(1)*$T$409*(LN(B47))+(LN(B47))*$S$410*(1)+(LN(B47))*$T$410*(LN(B47)))))</x:f>
        <x:v>2.5082327071748542</x:v>
      </x:c>
      <x:c r="I47" s="3"/>
      <x:c r="J47" s="10" t="n">
        <x:v>45898</x:v>
      </x:c>
      <x:c r="K47" s="8" t="n">
        <x:f>INDEX('Сводка'!$S$3:$S$397,U47)</x:f>
        <x:v>233</x:v>
      </x:c>
      <x:c r="L47" s="8" t="n">
        <x:f>INDEX('Сводка'!$S$3:$S$397,V47)</x:f>
        <x:v>229</x:v>
      </x:c>
      <x:c r="M47" s="8" t="n">
        <x:f>INDEX($K$388:$N$400,W47,1)+INDEX($K$388:$N$400,W47,2)*LN(((J47-$T$405+1)/1000))</x:f>
        <x:v>127.36501428636443</x:v>
      </x:c>
      <x:c r="N47" s="8" t="n">
        <x:f>K47-M47</x:f>
        <x:v>105.63498571363557</x:v>
      </x:c>
      <x:c r="O47" s="8" t="n">
        <x:f>ABS(N47)</x:f>
        <x:v>105.63498571363557</x:v>
      </x:c>
      <x:c r="P47" s="8" t="n">
        <x:f>N47^2</x:f>
        <x:v>11158.750206719991</x:v>
      </x:c>
      <x:c r="Q47" s="8" t="n">
        <x:f>K47-L47</x:f>
        <x:v>4</x:v>
      </x:c>
      <x:c r="R47" s="9" t="n">
        <x:f>IF(AND(INDEX('Сводка'!$T$3:$T$397,U47)=0,INDEX('Сводка'!$T$3:$T$397,V47)=0),1,0)</x:f>
        <x:v>1</x:v>
      </x:c>
      <x:c r="S47" s="9" t="n">
        <x:f>IF(AND(R47=1,O47&lt;=$G$13),1,0)</x:f>
        <x:v>0</x:v>
      </x:c>
      <x:c r="T47" s="10" t="n">
        <x:f>EOMONTH(J47-'Сводка'!$B$11,-1)</x:f>
        <x:v>45869</x:v>
      </x:c>
      <x:c r="U47" s="4" t="n">
        <x:f>MATCH(J47,'Сводка'!$R$3:$R$397,0)</x:f>
        <x:v>58</x:v>
      </x:c>
      <x:c r="V47" s="4" t="n">
        <x:f>MATCH(J47-'Сводка'!$B$11,'Сводка'!$R$3:$R$397,0)</x:f>
        <x:v>57</x:v>
      </x:c>
      <x:c r="W47" s="4" t="n">
        <x:f>MATCH(T47,$J$388:$J$400,0)</x:f>
        <x:v>2</x:v>
      </x:c>
      <x:c r="X47" s="3"/>
      <x:c r="Y47" s="3"/>
      <x:c r="Z47" s="3"/>
    </x:row>
    <x:row r="48" ht="15" customHeight="1">
      <x:c r="A48" s="10" t="n">
        <x:f>IF(30&lt;='Сводка'!$B$3,'Сводка'!$B$4+30,"")</x:f>
        <x:v>46265</x:v>
      </x:c>
      <x:c r="B48" s="18" t="n">
        <x:f>IF($A48="","",(A48-$T$405+1)/1000)</x:f>
        <x:v>9.009</x:v>
      </x:c>
      <x:c r="C48" s="18" t="n">
        <x:f>IF($A48="","",2*(A48-$T$405)/$T$406-1)</x:f>
        <x:v>1.0066830028959681</x:v>
      </x:c>
      <x:c r="D48" s="8" t="n">
        <x:f>IF($A48="","",$B$4+$B$5*LN(B48))</x:f>
        <x:v>125.57432238735738</x:v>
      </x:c>
      <x:c r="E48" s="8" t="n">
        <x:f>IF($A48="","",SQRT($T$403^2+H48^2))</x:f>
        <x:v>162.53393725961809</x:v>
      </x:c>
      <x:c r="F48" s="8" t="n">
        <x:f>IF($A48="","",D48-$T$404*E48)</x:f>
        <x:v>-193.03121789705114</x:v>
      </x:c>
      <x:c r="G48" s="8" t="n">
        <x:f>IF($A48="","",D48+$T$404*E48)</x:f>
        <x:v>444.1798626717659</x:v>
      </x:c>
      <x:c r="H48" s="8" t="n">
        <x:f>IF($A48="","",SQRT(MAX(0,(1)*$S$409*(1)+(1)*$T$409*(LN(B48))+(LN(B48))*$S$410*(1)+(LN(B48))*$T$410*(LN(B48)))))</x:f>
        <x:v>2.508372380222211</x:v>
      </x:c>
      <x:c r="I48" s="3"/>
      <x:c r="J48" s="10" t="n">
        <x:v>45899</x:v>
      </x:c>
      <x:c r="K48" s="8" t="n">
        <x:f>INDEX('Сводка'!$S$3:$S$397,U48)</x:f>
        <x:v>238</x:v>
      </x:c>
      <x:c r="L48" s="8" t="n">
        <x:f>INDEX('Сводка'!$S$3:$S$397,V48)</x:f>
        <x:v>233</x:v>
      </x:c>
      <x:c r="M48" s="8" t="n">
        <x:f>INDEX($K$388:$N$400,W48,1)+INDEX($K$388:$N$400,W48,2)*LN(((J48-$T$405+1)/1000))</x:f>
        <x:v>127.3718241617364</x:v>
      </x:c>
      <x:c r="N48" s="8" t="n">
        <x:f>K48-M48</x:f>
        <x:v>110.6281758382636</x:v>
      </x:c>
      <x:c r="O48" s="8" t="n">
        <x:f>ABS(N48)</x:f>
        <x:v>110.6281758382636</x:v>
      </x:c>
      <x:c r="P48" s="8" t="n">
        <x:f>N48^2</x:f>
        <x:v>12238.59328930177</x:v>
      </x:c>
      <x:c r="Q48" s="8" t="n">
        <x:f>K48-L48</x:f>
        <x:v>5</x:v>
      </x:c>
      <x:c r="R48" s="9" t="n">
        <x:f>IF(AND(INDEX('Сводка'!$T$3:$T$397,U48)=0,INDEX('Сводка'!$T$3:$T$397,V48)=0),1,0)</x:f>
        <x:v>1</x:v>
      </x:c>
      <x:c r="S48" s="9" t="n">
        <x:f>IF(AND(R48=1,O48&lt;=$G$13),1,0)</x:f>
        <x:v>0</x:v>
      </x:c>
      <x:c r="T48" s="10" t="n">
        <x:f>EOMONTH(J48-'Сводка'!$B$11,-1)</x:f>
        <x:v>45869</x:v>
      </x:c>
      <x:c r="U48" s="4" t="n">
        <x:f>MATCH(J48,'Сводка'!$R$3:$R$397,0)</x:f>
        <x:v>59</x:v>
      </x:c>
      <x:c r="V48" s="4" t="n">
        <x:f>MATCH(J48-'Сводка'!$B$11,'Сводка'!$R$3:$R$397,0)</x:f>
        <x:v>58</x:v>
      </x:c>
      <x:c r="W48" s="4" t="n">
        <x:f>MATCH(T48,$J$388:$J$400,0)</x:f>
        <x:v>2</x:v>
      </x:c>
      <x:c r="X48" s="3"/>
      <x:c r="Y48" s="3"/>
      <x:c r="Z48" s="3"/>
    </x:row>
    <x:row r="49" ht="15" customHeight="1">
      <x:c r="A49" s="7" t="str">
        <x:f>IF(31&lt;='Сводка'!$B$3,'Сводка'!$B$4+31,"")</x:f>
      </x:c>
      <x:c r="B49" s="19" t="str">
        <x:f>IF($A49="","",(A49-$T$405+1)/1000)</x:f>
      </x:c>
      <x:c r="C49" s="19" t="str">
        <x:f>IF($A49="","",2*(A49-$T$405)/$T$406-1)</x:f>
      </x:c>
      <x:c r="D49" s="3" t="str">
        <x:f>IF($A49="","",$B$4+$B$5*LN(B49))</x:f>
      </x:c>
      <x:c r="E49" s="3" t="str">
        <x:f>IF($A49="","",SQRT($T$403^2+H49^2))</x:f>
      </x:c>
      <x:c r="F49" s="3" t="str">
        <x:f>IF($A49="","",D49-$T$404*E49)</x:f>
      </x:c>
      <x:c r="G49" s="3" t="str">
        <x:f>IF($A49="","",D49+$T$404*E49)</x:f>
      </x:c>
      <x:c r="H49" s="3" t="str">
        <x:f>IF($A49="","",SQRT(MAX(0,(1)*$S$409*(1)+(1)*$T$409*(LN(B49))+(LN(B49))*$S$410*(1)+(LN(B49))*$T$410*(LN(B49)))))</x:f>
      </x:c>
      <x:c r="I49" s="3"/>
      <x:c r="J49" s="10" t="n">
        <x:v>45900</x:v>
      </x:c>
      <x:c r="K49" s="8" t="n">
        <x:f>INDEX('Сводка'!$S$3:$S$397,U49)</x:f>
        <x:v>238</x:v>
      </x:c>
      <x:c r="L49" s="8" t="n">
        <x:f>INDEX('Сводка'!$S$3:$S$397,V49)</x:f>
        <x:v>238</x:v>
      </x:c>
      <x:c r="M49" s="8" t="n">
        <x:f>INDEX($K$388:$N$400,W49,1)+INDEX($K$388:$N$400,W49,2)*LN(((J49-$T$405+1)/1000))</x:f>
        <x:v>127.37863324924749</x:v>
      </x:c>
      <x:c r="N49" s="8" t="n">
        <x:f>K49-M49</x:f>
        <x:v>110.62136675075251</x:v>
      </x:c>
      <x:c r="O49" s="8" t="n">
        <x:f>ABS(N49)</x:f>
        <x:v>110.62136675075251</x:v>
      </x:c>
      <x:c r="P49" s="8" t="n">
        <x:f>N49^2</x:f>
        <x:v>12237.086781804494</x:v>
      </x:c>
      <x:c r="Q49" s="8" t="n">
        <x:f>K49-L49</x:f>
        <x:v>0</x:v>
      </x:c>
      <x:c r="R49" s="9" t="n">
        <x:f>IF(AND(INDEX('Сводка'!$T$3:$T$397,U49)=0,INDEX('Сводка'!$T$3:$T$397,V49)=0),1,0)</x:f>
        <x:v>1</x:v>
      </x:c>
      <x:c r="S49" s="9" t="n">
        <x:f>IF(AND(R49=1,O49&lt;=$G$13),1,0)</x:f>
        <x:v>0</x:v>
      </x:c>
      <x:c r="T49" s="10" t="n">
        <x:f>EOMONTH(J49-'Сводка'!$B$11,-1)</x:f>
        <x:v>45869</x:v>
      </x:c>
      <x:c r="U49" s="4" t="n">
        <x:f>MATCH(J49,'Сводка'!$R$3:$R$397,0)</x:f>
        <x:v>60</x:v>
      </x:c>
      <x:c r="V49" s="4" t="n">
        <x:f>MATCH(J49-'Сводка'!$B$11,'Сводка'!$R$3:$R$397,0)</x:f>
        <x:v>59</x:v>
      </x:c>
      <x:c r="W49" s="4" t="n">
        <x:f>MATCH(T49,$J$388:$J$400,0)</x:f>
        <x:v>2</x:v>
      </x:c>
      <x:c r="X49" s="3"/>
      <x:c r="Y49" s="3"/>
      <x:c r="Z49" s="3"/>
    </x:row>
    <x:row r="50" ht="15" customHeight="1">
      <x:c r="A50" s="7" t="str">
        <x:f>IF(32&lt;='Сводка'!$B$3,'Сводка'!$B$4+32,"")</x:f>
      </x:c>
      <x:c r="B50" s="19" t="str">
        <x:f>IF($A50="","",(A50-$T$405+1)/1000)</x:f>
      </x:c>
      <x:c r="C50" s="19" t="str">
        <x:f>IF($A50="","",2*(A50-$T$405)/$T$406-1)</x:f>
      </x:c>
      <x:c r="D50" s="3" t="str">
        <x:f>IF($A50="","",$B$4+$B$5*LN(B50))</x:f>
      </x:c>
      <x:c r="E50" s="3" t="str">
        <x:f>IF($A50="","",SQRT($T$403^2+H50^2))</x:f>
      </x:c>
      <x:c r="F50" s="3" t="str">
        <x:f>IF($A50="","",D50-$T$404*E50)</x:f>
      </x:c>
      <x:c r="G50" s="3" t="str">
        <x:f>IF($A50="","",D50+$T$404*E50)</x:f>
      </x:c>
      <x:c r="H50" s="3" t="str">
        <x:f>IF($A50="","",SQRT(MAX(0,(1)*$S$409*(1)+(1)*$T$409*(LN(B50))+(LN(B50))*$S$410*(1)+(LN(B50))*$T$410*(LN(B50)))))</x:f>
      </x:c>
      <x:c r="I50" s="3"/>
      <x:c r="J50" s="10" t="n">
        <x:v>45901</x:v>
      </x:c>
      <x:c r="K50" s="8" t="n">
        <x:f>INDEX('Сводка'!$S$3:$S$397,U50)</x:f>
        <x:v>238</x:v>
      </x:c>
      <x:c r="L50" s="8" t="n">
        <x:f>INDEX('Сводка'!$S$3:$S$397,V50)</x:f>
        <x:v>238</x:v>
      </x:c>
      <x:c r="M50" s="8" t="n">
        <x:f>INDEX($K$388:$N$400,W50,1)+INDEX($K$388:$N$400,W50,2)*LN(((J50-$T$405+1)/1000))</x:f>
        <x:v>127.38544154908</x:v>
      </x:c>
      <x:c r="N50" s="8" t="n">
        <x:f>K50-M50</x:f>
        <x:v>110.61455845092</x:v>
      </x:c>
      <x:c r="O50" s="8" t="n">
        <x:f>ABS(N50)</x:f>
        <x:v>110.61455845092</x:v>
      </x:c>
      <x:c r="P50" s="8" t="n">
        <x:f>N50^2</x:f>
        <x:v>12235.580541291998</x:v>
      </x:c>
      <x:c r="Q50" s="8" t="n">
        <x:f>K50-L50</x:f>
        <x:v>0</x:v>
      </x:c>
      <x:c r="R50" s="9" t="n">
        <x:f>IF(AND(INDEX('Сводка'!$T$3:$T$397,U50)=0,INDEX('Сводка'!$T$3:$T$397,V50)=0),1,0)</x:f>
        <x:v>1</x:v>
      </x:c>
      <x:c r="S50" s="9" t="n">
        <x:f>IF(AND(R50=1,O50&lt;=$G$13),1,0)</x:f>
        <x:v>0</x:v>
      </x:c>
      <x:c r="T50" s="10" t="n">
        <x:f>EOMONTH(J50-'Сводка'!$B$11,-1)</x:f>
        <x:v>45869</x:v>
      </x:c>
      <x:c r="U50" s="4" t="n">
        <x:f>MATCH(J50,'Сводка'!$R$3:$R$397,0)</x:f>
        <x:v>61</x:v>
      </x:c>
      <x:c r="V50" s="4" t="n">
        <x:f>MATCH(J50-'Сводка'!$B$11,'Сводка'!$R$3:$R$397,0)</x:f>
        <x:v>60</x:v>
      </x:c>
      <x:c r="W50" s="4" t="n">
        <x:f>MATCH(T50,$J$388:$J$400,0)</x:f>
        <x:v>2</x:v>
      </x:c>
      <x:c r="X50" s="3"/>
      <x:c r="Y50" s="3"/>
      <x:c r="Z50" s="3"/>
    </x:row>
    <x:row r="51" ht="15" customHeight="1">
      <x:c r="A51" s="7" t="str">
        <x:f>IF(33&lt;='Сводка'!$B$3,'Сводка'!$B$4+33,"")</x:f>
      </x:c>
      <x:c r="B51" s="19" t="str">
        <x:f>IF($A51="","",(A51-$T$405+1)/1000)</x:f>
      </x:c>
      <x:c r="C51" s="19" t="str">
        <x:f>IF($A51="","",2*(A51-$T$405)/$T$406-1)</x:f>
      </x:c>
      <x:c r="D51" s="3" t="str">
        <x:f>IF($A51="","",$B$4+$B$5*LN(B51))</x:f>
      </x:c>
      <x:c r="E51" s="3" t="str">
        <x:f>IF($A51="","",SQRT($T$403^2+H51^2))</x:f>
      </x:c>
      <x:c r="F51" s="3" t="str">
        <x:f>IF($A51="","",D51-$T$404*E51)</x:f>
      </x:c>
      <x:c r="G51" s="3" t="str">
        <x:f>IF($A51="","",D51+$T$404*E51)</x:f>
      </x:c>
      <x:c r="H51" s="3" t="str">
        <x:f>IF($A51="","",SQRT(MAX(0,(1)*$S$409*(1)+(1)*$T$409*(LN(B51))+(LN(B51))*$S$410*(1)+(LN(B51))*$T$410*(LN(B51)))))</x:f>
      </x:c>
      <x:c r="I51" s="3"/>
      <x:c r="J51" s="10" t="n">
        <x:v>45902</x:v>
      </x:c>
      <x:c r="K51" s="8" t="n">
        <x:f>INDEX('Сводка'!$S$3:$S$397,U51)</x:f>
        <x:v>233</x:v>
      </x:c>
      <x:c r="L51" s="8" t="n">
        <x:f>INDEX('Сводка'!$S$3:$S$397,V51)</x:f>
        <x:v>238</x:v>
      </x:c>
      <x:c r="M51" s="8" t="n">
        <x:f>INDEX($K$388:$N$400,W51,1)+INDEX($K$388:$N$400,W51,2)*LN(((J51-$T$405+1)/1000))</x:f>
        <x:v>128.47468593027307</x:v>
      </x:c>
      <x:c r="N51" s="8" t="n">
        <x:f>K51-M51</x:f>
        <x:v>104.52531406972693</x:v>
      </x:c>
      <x:c r="O51" s="8" t="n">
        <x:f>ABS(N51)</x:f>
        <x:v>104.52531406972693</x:v>
      </x:c>
      <x:c r="P51" s="8" t="n">
        <x:f>N51^2</x:f>
        <x:v>10925.541281375055</x:v>
      </x:c>
      <x:c r="Q51" s="8" t="n">
        <x:f>K51-L51</x:f>
        <x:v>-5</x:v>
      </x:c>
      <x:c r="R51" s="9" t="n">
        <x:f>IF(AND(INDEX('Сводка'!$T$3:$T$397,U51)=0,INDEX('Сводка'!$T$3:$T$397,V51)=0),1,0)</x:f>
        <x:v>1</x:v>
      </x:c>
      <x:c r="S51" s="9" t="n">
        <x:f>IF(AND(R51=1,O51&lt;=$G$13),1,0)</x:f>
        <x:v>0</x:v>
      </x:c>
      <x:c r="T51" s="10" t="n">
        <x:f>EOMONTH(J51-'Сводка'!$B$11,-1)</x:f>
        <x:v>45900</x:v>
      </x:c>
      <x:c r="U51" s="4" t="n">
        <x:f>MATCH(J51,'Сводка'!$R$3:$R$397,0)</x:f>
        <x:v>62</x:v>
      </x:c>
      <x:c r="V51" s="4" t="n">
        <x:f>MATCH(J51-'Сводка'!$B$11,'Сводка'!$R$3:$R$397,0)</x:f>
        <x:v>61</x:v>
      </x:c>
      <x:c r="W51" s="4" t="n">
        <x:f>MATCH(T51,$J$388:$J$400,0)</x:f>
        <x:v>3</x:v>
      </x:c>
      <x:c r="X51" s="3"/>
      <x:c r="Y51" s="3"/>
      <x:c r="Z51" s="3"/>
    </x:row>
    <x:row r="52" ht="15" customHeight="1">
      <x:c r="A52" s="7" t="str">
        <x:f>IF(34&lt;='Сводка'!$B$3,'Сводка'!$B$4+34,"")</x:f>
      </x:c>
      <x:c r="B52" s="19" t="str">
        <x:f>IF($A52="","",(A52-$T$405+1)/1000)</x:f>
      </x:c>
      <x:c r="C52" s="19" t="str">
        <x:f>IF($A52="","",2*(A52-$T$405)/$T$406-1)</x:f>
      </x:c>
      <x:c r="D52" s="3" t="str">
        <x:f>IF($A52="","",$B$4+$B$5*LN(B52))</x:f>
      </x:c>
      <x:c r="E52" s="3" t="str">
        <x:f>IF($A52="","",SQRT($T$403^2+H52^2))</x:f>
      </x:c>
      <x:c r="F52" s="3" t="str">
        <x:f>IF($A52="","",D52-$T$404*E52)</x:f>
      </x:c>
      <x:c r="G52" s="3" t="str">
        <x:f>IF($A52="","",D52+$T$404*E52)</x:f>
      </x:c>
      <x:c r="H52" s="3" t="str">
        <x:f>IF($A52="","",SQRT(MAX(0,(1)*$S$409*(1)+(1)*$T$409*(LN(B52))+(LN(B52))*$S$410*(1)+(LN(B52))*$T$410*(LN(B52)))))</x:f>
      </x:c>
      <x:c r="I52" s="3"/>
      <x:c r="J52" s="10" t="n">
        <x:v>45903</x:v>
      </x:c>
      <x:c r="K52" s="8" t="n">
        <x:f>INDEX('Сводка'!$S$3:$S$397,U52)</x:f>
        <x:v>228</x:v>
      </x:c>
      <x:c r="L52" s="8" t="n">
        <x:f>INDEX('Сводка'!$S$3:$S$397,V52)</x:f>
        <x:v>233</x:v>
      </x:c>
      <x:c r="M52" s="8" t="n">
        <x:f>INDEX($K$388:$N$400,W52,1)+INDEX($K$388:$N$400,W52,2)*LN(((J52-$T$405+1)/1000))</x:f>
        <x:v>128.48155544804533</x:v>
      </x:c>
      <x:c r="N52" s="8" t="n">
        <x:f>K52-M52</x:f>
        <x:v>99.51844455195467</x:v>
      </x:c>
      <x:c r="O52" s="8" t="n">
        <x:f>ABS(N52)</x:f>
        <x:v>99.51844455195467</x:v>
      </x:c>
      <x:c r="P52" s="8" t="n">
        <x:f>N52^2</x:f>
        <x:v>9903.920806040476</x:v>
      </x:c>
      <x:c r="Q52" s="8" t="n">
        <x:f>K52-L52</x:f>
        <x:v>-5</x:v>
      </x:c>
      <x:c r="R52" s="9" t="n">
        <x:f>IF(AND(INDEX('Сводка'!$T$3:$T$397,U52)=0,INDEX('Сводка'!$T$3:$T$397,V52)=0),1,0)</x:f>
        <x:v>1</x:v>
      </x:c>
      <x:c r="S52" s="9" t="n">
        <x:f>IF(AND(R52=1,O52&lt;=$G$13),1,0)</x:f>
        <x:v>0</x:v>
      </x:c>
      <x:c r="T52" s="10" t="n">
        <x:f>EOMONTH(J52-'Сводка'!$B$11,-1)</x:f>
        <x:v>45900</x:v>
      </x:c>
      <x:c r="U52" s="4" t="n">
        <x:f>MATCH(J52,'Сводка'!$R$3:$R$397,0)</x:f>
        <x:v>63</x:v>
      </x:c>
      <x:c r="V52" s="4" t="n">
        <x:f>MATCH(J52-'Сводка'!$B$11,'Сводка'!$R$3:$R$397,0)</x:f>
        <x:v>62</x:v>
      </x:c>
      <x:c r="W52" s="4" t="n">
        <x:f>MATCH(T52,$J$388:$J$400,0)</x:f>
        <x:v>3</x:v>
      </x:c>
      <x:c r="X52" s="3"/>
      <x:c r="Y52" s="3"/>
      <x:c r="Z52" s="3"/>
    </x:row>
    <x:row r="53" ht="15" customHeight="1">
      <x:c r="A53" s="7" t="str">
        <x:f>IF(35&lt;='Сводка'!$B$3,'Сводка'!$B$4+35,"")</x:f>
      </x:c>
      <x:c r="B53" s="19" t="str">
        <x:f>IF($A53="","",(A53-$T$405+1)/1000)</x:f>
      </x:c>
      <x:c r="C53" s="19" t="str">
        <x:f>IF($A53="","",2*(A53-$T$405)/$T$406-1)</x:f>
      </x:c>
      <x:c r="D53" s="3" t="str">
        <x:f>IF($A53="","",$B$4+$B$5*LN(B53))</x:f>
      </x:c>
      <x:c r="E53" s="3" t="str">
        <x:f>IF($A53="","",SQRT($T$403^2+H53^2))</x:f>
      </x:c>
      <x:c r="F53" s="3" t="str">
        <x:f>IF($A53="","",D53-$T$404*E53)</x:f>
      </x:c>
      <x:c r="G53" s="3" t="str">
        <x:f>IF($A53="","",D53+$T$404*E53)</x:f>
      </x:c>
      <x:c r="H53" s="3" t="str">
        <x:f>IF($A53="","",SQRT(MAX(0,(1)*$S$409*(1)+(1)*$T$409*(LN(B53))+(LN(B53))*$S$410*(1)+(LN(B53))*$T$410*(LN(B53)))))</x:f>
      </x:c>
      <x:c r="I53" s="3"/>
      <x:c r="J53" s="10" t="n">
        <x:v>45904</x:v>
      </x:c>
      <x:c r="K53" s="8" t="n">
        <x:f>INDEX('Сводка'!$S$3:$S$397,U53)</x:f>
        <x:v>226</x:v>
      </x:c>
      <x:c r="L53" s="8" t="n">
        <x:f>INDEX('Сводка'!$S$3:$S$397,V53)</x:f>
        <x:v>228</x:v>
      </x:c>
      <x:c r="M53" s="8" t="n">
        <x:f>INDEX($K$388:$N$400,W53,1)+INDEX($K$388:$N$400,W53,2)*LN(((J53-$T$405+1)/1000))</x:f>
        <x:v>128.48842417142404</x:v>
      </x:c>
      <x:c r="N53" s="8" t="n">
        <x:f>K53-M53</x:f>
        <x:v>97.51157582857596</x:v>
      </x:c>
      <x:c r="O53" s="8" t="n">
        <x:f>ABS(N53)</x:f>
        <x:v>97.51157582857596</x:v>
      </x:c>
      <x:c r="P53" s="8" t="n">
        <x:f>N53^2</x:f>
        <x:v>9508.50742057212</x:v>
      </x:c>
      <x:c r="Q53" s="8" t="n">
        <x:f>K53-L53</x:f>
        <x:v>-2</x:v>
      </x:c>
      <x:c r="R53" s="9" t="n">
        <x:f>IF(AND(INDEX('Сводка'!$T$3:$T$397,U53)=0,INDEX('Сводка'!$T$3:$T$397,V53)=0),1,0)</x:f>
        <x:v>1</x:v>
      </x:c>
      <x:c r="S53" s="9" t="n">
        <x:f>IF(AND(R53=1,O53&lt;=$G$13),1,0)</x:f>
        <x:v>0</x:v>
      </x:c>
      <x:c r="T53" s="10" t="n">
        <x:f>EOMONTH(J53-'Сводка'!$B$11,-1)</x:f>
        <x:v>45900</x:v>
      </x:c>
      <x:c r="U53" s="4" t="n">
        <x:f>MATCH(J53,'Сводка'!$R$3:$R$397,0)</x:f>
        <x:v>64</x:v>
      </x:c>
      <x:c r="V53" s="4" t="n">
        <x:f>MATCH(J53-'Сводка'!$B$11,'Сводка'!$R$3:$R$397,0)</x:f>
        <x:v>63</x:v>
      </x:c>
      <x:c r="W53" s="4" t="n">
        <x:f>MATCH(T53,$J$388:$J$400,0)</x:f>
        <x:v>3</x:v>
      </x:c>
      <x:c r="X53" s="3"/>
      <x:c r="Y53" s="3"/>
      <x:c r="Z53" s="3"/>
    </x:row>
    <x:row r="54" ht="15" customHeight="1">
      <x:c r="A54" s="7" t="str">
        <x:f>IF(36&lt;='Сводка'!$B$3,'Сводка'!$B$4+36,"")</x:f>
      </x:c>
      <x:c r="B54" s="19" t="str">
        <x:f>IF($A54="","",(A54-$T$405+1)/1000)</x:f>
      </x:c>
      <x:c r="C54" s="19" t="str">
        <x:f>IF($A54="","",2*(A54-$T$405)/$T$406-1)</x:f>
      </x:c>
      <x:c r="D54" s="3" t="str">
        <x:f>IF($A54="","",$B$4+$B$5*LN(B54))</x:f>
      </x:c>
      <x:c r="E54" s="3" t="str">
        <x:f>IF($A54="","",SQRT($T$403^2+H54^2))</x:f>
      </x:c>
      <x:c r="F54" s="3" t="str">
        <x:f>IF($A54="","",D54-$T$404*E54)</x:f>
      </x:c>
      <x:c r="G54" s="3" t="str">
        <x:f>IF($A54="","",D54+$T$404*E54)</x:f>
      </x:c>
      <x:c r="H54" s="3" t="str">
        <x:f>IF($A54="","",SQRT(MAX(0,(1)*$S$409*(1)+(1)*$T$409*(LN(B54))+(LN(B54))*$S$410*(1)+(LN(B54))*$T$410*(LN(B54)))))</x:f>
      </x:c>
      <x:c r="I54" s="3"/>
      <x:c r="J54" s="10" t="n">
        <x:v>45905</x:v>
      </x:c>
      <x:c r="K54" s="8" t="n">
        <x:f>INDEX('Сводка'!$S$3:$S$397,U54)</x:f>
        <x:v>226</x:v>
      </x:c>
      <x:c r="L54" s="8" t="n">
        <x:f>INDEX('Сводка'!$S$3:$S$397,V54)</x:f>
        <x:v>226</x:v>
      </x:c>
      <x:c r="M54" s="8" t="n">
        <x:f>INDEX($K$388:$N$400,W54,1)+INDEX($K$388:$N$400,W54,2)*LN(((J54-$T$405+1)/1000))</x:f>
        <x:v>128.49529210059302</x:v>
      </x:c>
      <x:c r="N54" s="8" t="n">
        <x:f>K54-M54</x:f>
        <x:v>97.50470789940698</x:v>
      </x:c>
      <x:c r="O54" s="8" t="n">
        <x:f>ABS(N54)</x:f>
        <x:v>97.50470789940698</x:v>
      </x:c>
      <x:c r="P54" s="8" t="n">
        <x:f>N54^2</x:f>
        <x:v>9507.168062548679</x:v>
      </x:c>
      <x:c r="Q54" s="8" t="n">
        <x:f>K54-L54</x:f>
        <x:v>0</x:v>
      </x:c>
      <x:c r="R54" s="9" t="n">
        <x:f>IF(AND(INDEX('Сводка'!$T$3:$T$397,U54)=0,INDEX('Сводка'!$T$3:$T$397,V54)=0),1,0)</x:f>
        <x:v>1</x:v>
      </x:c>
      <x:c r="S54" s="9" t="n">
        <x:f>IF(AND(R54=1,O54&lt;=$G$13),1,0)</x:f>
        <x:v>0</x:v>
      </x:c>
      <x:c r="T54" s="10" t="n">
        <x:f>EOMONTH(J54-'Сводка'!$B$11,-1)</x:f>
        <x:v>45900</x:v>
      </x:c>
      <x:c r="U54" s="4" t="n">
        <x:f>MATCH(J54,'Сводка'!$R$3:$R$397,0)</x:f>
        <x:v>65</x:v>
      </x:c>
      <x:c r="V54" s="4" t="n">
        <x:f>MATCH(J54-'Сводка'!$B$11,'Сводка'!$R$3:$R$397,0)</x:f>
        <x:v>64</x:v>
      </x:c>
      <x:c r="W54" s="4" t="n">
        <x:f>MATCH(T54,$J$388:$J$400,0)</x:f>
        <x:v>3</x:v>
      </x:c>
      <x:c r="X54" s="3"/>
      <x:c r="Y54" s="3"/>
      <x:c r="Z54" s="3"/>
    </x:row>
    <x:row r="55" ht="15" customHeight="1">
      <x:c r="A55" s="7" t="str">
        <x:f>IF(37&lt;='Сводка'!$B$3,'Сводка'!$B$4+37,"")</x:f>
      </x:c>
      <x:c r="B55" s="19" t="str">
        <x:f>IF($A55="","",(A55-$T$405+1)/1000)</x:f>
      </x:c>
      <x:c r="C55" s="19" t="str">
        <x:f>IF($A55="","",2*(A55-$T$405)/$T$406-1)</x:f>
      </x:c>
      <x:c r="D55" s="3" t="str">
        <x:f>IF($A55="","",$B$4+$B$5*LN(B55))</x:f>
      </x:c>
      <x:c r="E55" s="3" t="str">
        <x:f>IF($A55="","",SQRT($T$403^2+H55^2))</x:f>
      </x:c>
      <x:c r="F55" s="3" t="str">
        <x:f>IF($A55="","",D55-$T$404*E55)</x:f>
      </x:c>
      <x:c r="G55" s="3" t="str">
        <x:f>IF($A55="","",D55+$T$404*E55)</x:f>
      </x:c>
      <x:c r="H55" s="3" t="str">
        <x:f>IF($A55="","",SQRT(MAX(0,(1)*$S$409*(1)+(1)*$T$409*(LN(B55))+(LN(B55))*$S$410*(1)+(LN(B55))*$T$410*(LN(B55)))))</x:f>
      </x:c>
      <x:c r="I55" s="3"/>
      <x:c r="J55" s="10" t="n">
        <x:v>45906</x:v>
      </x:c>
      <x:c r="K55" s="8" t="n">
        <x:f>INDEX('Сводка'!$S$3:$S$397,U55)</x:f>
        <x:v>226</x:v>
      </x:c>
      <x:c r="L55" s="8" t="n">
        <x:f>INDEX('Сводка'!$S$3:$S$397,V55)</x:f>
        <x:v>226</x:v>
      </x:c>
      <x:c r="M55" s="8" t="n">
        <x:f>INDEX($K$388:$N$400,W55,1)+INDEX($K$388:$N$400,W55,2)*LN(((J55-$T$405+1)/1000))</x:f>
        <x:v>128.5021592357358</x:v>
      </x:c>
      <x:c r="N55" s="8" t="n">
        <x:f>K55-M55</x:f>
        <x:v>97.4978407642642</x:v>
      </x:c>
      <x:c r="O55" s="8" t="n">
        <x:f>ABS(N55)</x:f>
        <x:v>97.4978407642642</x:v>
      </x:c>
      <x:c r="P55" s="8" t="n">
        <x:f>N55^2</x:f>
        <x:v>9505.828953693817</x:v>
      </x:c>
      <x:c r="Q55" s="8" t="n">
        <x:f>K55-L55</x:f>
        <x:v>0</x:v>
      </x:c>
      <x:c r="R55" s="9" t="n">
        <x:f>IF(AND(INDEX('Сводка'!$T$3:$T$397,U55)=0,INDEX('Сводка'!$T$3:$T$397,V55)=0),1,0)</x:f>
        <x:v>1</x:v>
      </x:c>
      <x:c r="S55" s="9" t="n">
        <x:f>IF(AND(R55=1,O55&lt;=$G$13),1,0)</x:f>
        <x:v>0</x:v>
      </x:c>
      <x:c r="T55" s="10" t="n">
        <x:f>EOMONTH(J55-'Сводка'!$B$11,-1)</x:f>
        <x:v>45900</x:v>
      </x:c>
      <x:c r="U55" s="4" t="n">
        <x:f>MATCH(J55,'Сводка'!$R$3:$R$397,0)</x:f>
        <x:v>66</x:v>
      </x:c>
      <x:c r="V55" s="4" t="n">
        <x:f>MATCH(J55-'Сводка'!$B$11,'Сводка'!$R$3:$R$397,0)</x:f>
        <x:v>65</x:v>
      </x:c>
      <x:c r="W55" s="4" t="n">
        <x:f>MATCH(T55,$J$388:$J$400,0)</x:f>
        <x:v>3</x:v>
      </x:c>
      <x:c r="X55" s="3"/>
      <x:c r="Y55" s="3"/>
      <x:c r="Z55" s="3"/>
    </x:row>
    <x:row r="56" ht="15" customHeight="1">
      <x:c r="A56" s="7" t="str">
        <x:f>IF(38&lt;='Сводка'!$B$3,'Сводка'!$B$4+38,"")</x:f>
      </x:c>
      <x:c r="B56" s="19" t="str">
        <x:f>IF($A56="","",(A56-$T$405+1)/1000)</x:f>
      </x:c>
      <x:c r="C56" s="19" t="str">
        <x:f>IF($A56="","",2*(A56-$T$405)/$T$406-1)</x:f>
      </x:c>
      <x:c r="D56" s="3" t="str">
        <x:f>IF($A56="","",$B$4+$B$5*LN(B56))</x:f>
      </x:c>
      <x:c r="E56" s="3" t="str">
        <x:f>IF($A56="","",SQRT($T$403^2+H56^2))</x:f>
      </x:c>
      <x:c r="F56" s="3" t="str">
        <x:f>IF($A56="","",D56-$T$404*E56)</x:f>
      </x:c>
      <x:c r="G56" s="3" t="str">
        <x:f>IF($A56="","",D56+$T$404*E56)</x:f>
      </x:c>
      <x:c r="H56" s="3" t="str">
        <x:f>IF($A56="","",SQRT(MAX(0,(1)*$S$409*(1)+(1)*$T$409*(LN(B56))+(LN(B56))*$S$410*(1)+(LN(B56))*$T$410*(LN(B56)))))</x:f>
      </x:c>
      <x:c r="I56" s="3"/>
      <x:c r="J56" s="10" t="n">
        <x:v>45907</x:v>
      </x:c>
      <x:c r="K56" s="8" t="n">
        <x:f>INDEX('Сводка'!$S$3:$S$397,U56)</x:f>
        <x:v>226</x:v>
      </x:c>
      <x:c r="L56" s="8" t="n">
        <x:f>INDEX('Сводка'!$S$3:$S$397,V56)</x:f>
        <x:v>226</x:v>
      </x:c>
      <x:c r="M56" s="8" t="n">
        <x:f>INDEX($K$388:$N$400,W56,1)+INDEX($K$388:$N$400,W56,2)*LN(((J56-$T$405+1)/1000))</x:f>
        <x:v>128.50902557703603</x:v>
      </x:c>
      <x:c r="N56" s="8" t="n">
        <x:f>K56-M56</x:f>
        <x:v>97.49097442296397</x:v>
      </x:c>
      <x:c r="O56" s="8" t="n">
        <x:f>ABS(N56)</x:f>
        <x:v>97.49097442296397</x:v>
      </x:c>
      <x:c r="P56" s="8" t="n">
        <x:f>N56^2</x:f>
        <x:v>9504.490093939015</x:v>
      </x:c>
      <x:c r="Q56" s="8" t="n">
        <x:f>K56-L56</x:f>
        <x:v>0</x:v>
      </x:c>
      <x:c r="R56" s="9" t="n">
        <x:f>IF(AND(INDEX('Сводка'!$T$3:$T$397,U56)=0,INDEX('Сводка'!$T$3:$T$397,V56)=0),1,0)</x:f>
        <x:v>1</x:v>
      </x:c>
      <x:c r="S56" s="9" t="n">
        <x:f>IF(AND(R56=1,O56&lt;=$G$13),1,0)</x:f>
        <x:v>0</x:v>
      </x:c>
      <x:c r="T56" s="10" t="n">
        <x:f>EOMONTH(J56-'Сводка'!$B$11,-1)</x:f>
        <x:v>45900</x:v>
      </x:c>
      <x:c r="U56" s="4" t="n">
        <x:f>MATCH(J56,'Сводка'!$R$3:$R$397,0)</x:f>
        <x:v>67</x:v>
      </x:c>
      <x:c r="V56" s="4" t="n">
        <x:f>MATCH(J56-'Сводка'!$B$11,'Сводка'!$R$3:$R$397,0)</x:f>
        <x:v>66</x:v>
      </x:c>
      <x:c r="W56" s="4" t="n">
        <x:f>MATCH(T56,$J$388:$J$400,0)</x:f>
        <x:v>3</x:v>
      </x:c>
      <x:c r="X56" s="3"/>
      <x:c r="Y56" s="3"/>
      <x:c r="Z56" s="3"/>
    </x:row>
    <x:row r="57" ht="15" customHeight="1">
      <x:c r="A57" s="7" t="str">
        <x:f>IF(39&lt;='Сводка'!$B$3,'Сводка'!$B$4+39,"")</x:f>
      </x:c>
      <x:c r="B57" s="19" t="str">
        <x:f>IF($A57="","",(A57-$T$405+1)/1000)</x:f>
      </x:c>
      <x:c r="C57" s="19" t="str">
        <x:f>IF($A57="","",2*(A57-$T$405)/$T$406-1)</x:f>
      </x:c>
      <x:c r="D57" s="3" t="str">
        <x:f>IF($A57="","",$B$4+$B$5*LN(B57))</x:f>
      </x:c>
      <x:c r="E57" s="3" t="str">
        <x:f>IF($A57="","",SQRT($T$403^2+H57^2))</x:f>
      </x:c>
      <x:c r="F57" s="3" t="str">
        <x:f>IF($A57="","",D57-$T$404*E57)</x:f>
      </x:c>
      <x:c r="G57" s="3" t="str">
        <x:f>IF($A57="","",D57+$T$404*E57)</x:f>
      </x:c>
      <x:c r="H57" s="3" t="str">
        <x:f>IF($A57="","",SQRT(MAX(0,(1)*$S$409*(1)+(1)*$T$409*(LN(B57))+(LN(B57))*$S$410*(1)+(LN(B57))*$T$410*(LN(B57)))))</x:f>
      </x:c>
      <x:c r="I57" s="3"/>
      <x:c r="J57" s="10" t="n">
        <x:v>45908</x:v>
      </x:c>
      <x:c r="K57" s="8" t="n">
        <x:f>INDEX('Сводка'!$S$3:$S$397,U57)</x:f>
        <x:v>222</x:v>
      </x:c>
      <x:c r="L57" s="8" t="n">
        <x:f>INDEX('Сводка'!$S$3:$S$397,V57)</x:f>
        <x:v>226</x:v>
      </x:c>
      <x:c r="M57" s="8" t="n">
        <x:f>INDEX($K$388:$N$400,W57,1)+INDEX($K$388:$N$400,W57,2)*LN(((J57-$T$405+1)/1000))</x:f>
        <x:v>128.5158911246772</x:v>
      </x:c>
      <x:c r="N57" s="8" t="n">
        <x:f>K57-M57</x:f>
        <x:v>93.48410887532279</x:v>
      </x:c>
      <x:c r="O57" s="8" t="n">
        <x:f>ABS(N57)</x:f>
        <x:v>93.48410887532279</x:v>
      </x:c>
      <x:c r="P57" s="8" t="n">
        <x:f>N57^2</x:f>
        <x:v>8739.278612213206</x:v>
      </x:c>
      <x:c r="Q57" s="8" t="n">
        <x:f>K57-L57</x:f>
        <x:v>-4</x:v>
      </x:c>
      <x:c r="R57" s="9" t="n">
        <x:f>IF(AND(INDEX('Сводка'!$T$3:$T$397,U57)=0,INDEX('Сводка'!$T$3:$T$397,V57)=0),1,0)</x:f>
        <x:v>1</x:v>
      </x:c>
      <x:c r="S57" s="9" t="n">
        <x:f>IF(AND(R57=1,O57&lt;=$G$13),1,0)</x:f>
        <x:v>0</x:v>
      </x:c>
      <x:c r="T57" s="10" t="n">
        <x:f>EOMONTH(J57-'Сводка'!$B$11,-1)</x:f>
        <x:v>45900</x:v>
      </x:c>
      <x:c r="U57" s="4" t="n">
        <x:f>MATCH(J57,'Сводка'!$R$3:$R$397,0)</x:f>
        <x:v>68</x:v>
      </x:c>
      <x:c r="V57" s="4" t="n">
        <x:f>MATCH(J57-'Сводка'!$B$11,'Сводка'!$R$3:$R$397,0)</x:f>
        <x:v>67</x:v>
      </x:c>
      <x:c r="W57" s="4" t="n">
        <x:f>MATCH(T57,$J$388:$J$400,0)</x:f>
        <x:v>3</x:v>
      </x:c>
      <x:c r="X57" s="3"/>
      <x:c r="Y57" s="3"/>
      <x:c r="Z57" s="3"/>
    </x:row>
    <x:row r="58" ht="15" customHeight="1">
      <x:c r="A58" s="7" t="str">
        <x:f>IF(40&lt;='Сводка'!$B$3,'Сводка'!$B$4+40,"")</x:f>
      </x:c>
      <x:c r="B58" s="19" t="str">
        <x:f>IF($A58="","",(A58-$T$405+1)/1000)</x:f>
      </x:c>
      <x:c r="C58" s="19" t="str">
        <x:f>IF($A58="","",2*(A58-$T$405)/$T$406-1)</x:f>
      </x:c>
      <x:c r="D58" s="3" t="str">
        <x:f>IF($A58="","",$B$4+$B$5*LN(B58))</x:f>
      </x:c>
      <x:c r="E58" s="3" t="str">
        <x:f>IF($A58="","",SQRT($T$403^2+H58^2))</x:f>
      </x:c>
      <x:c r="F58" s="3" t="str">
        <x:f>IF($A58="","",D58-$T$404*E58)</x:f>
      </x:c>
      <x:c r="G58" s="3" t="str">
        <x:f>IF($A58="","",D58+$T$404*E58)</x:f>
      </x:c>
      <x:c r="H58" s="3" t="str">
        <x:f>IF($A58="","",SQRT(MAX(0,(1)*$S$409*(1)+(1)*$T$409*(LN(B58))+(LN(B58))*$S$410*(1)+(LN(B58))*$T$410*(LN(B58)))))</x:f>
      </x:c>
      <x:c r="I58" s="3"/>
      <x:c r="J58" s="10" t="n">
        <x:v>45909</x:v>
      </x:c>
      <x:c r="K58" s="8" t="n">
        <x:f>INDEX('Сводка'!$S$3:$S$397,U58)</x:f>
        <x:v>218</x:v>
      </x:c>
      <x:c r="L58" s="8" t="n">
        <x:f>INDEX('Сводка'!$S$3:$S$397,V58)</x:f>
        <x:v>222</x:v>
      </x:c>
      <x:c r="M58" s="8" t="n">
        <x:f>INDEX($K$388:$N$400,W58,1)+INDEX($K$388:$N$400,W58,2)*LN(((J58-$T$405+1)/1000))</x:f>
        <x:v>128.52275587884276</x:v>
      </x:c>
      <x:c r="N58" s="8" t="n">
        <x:f>K58-M58</x:f>
        <x:v>89.47724412115724</x:v>
      </x:c>
      <x:c r="O58" s="8" t="n">
        <x:f>ABS(N58)</x:f>
        <x:v>89.47724412115724</x:v>
      </x:c>
      <x:c r="P58" s="8" t="n">
        <x:f>N58^2</x:f>
        <x:v>8006.177215517168</x:v>
      </x:c>
      <x:c r="Q58" s="8" t="n">
        <x:f>K58-L58</x:f>
        <x:v>-4</x:v>
      </x:c>
      <x:c r="R58" s="9" t="n">
        <x:f>IF(AND(INDEX('Сводка'!$T$3:$T$397,U58)=0,INDEX('Сводка'!$T$3:$T$397,V58)=0),1,0)</x:f>
        <x:v>1</x:v>
      </x:c>
      <x:c r="S58" s="9" t="n">
        <x:f>IF(AND(R58=1,O58&lt;=$G$13),1,0)</x:f>
        <x:v>0</x:v>
      </x:c>
      <x:c r="T58" s="10" t="n">
        <x:f>EOMONTH(J58-'Сводка'!$B$11,-1)</x:f>
        <x:v>45900</x:v>
      </x:c>
      <x:c r="U58" s="4" t="n">
        <x:f>MATCH(J58,'Сводка'!$R$3:$R$397,0)</x:f>
        <x:v>69</x:v>
      </x:c>
      <x:c r="V58" s="4" t="n">
        <x:f>MATCH(J58-'Сводка'!$B$11,'Сводка'!$R$3:$R$397,0)</x:f>
        <x:v>68</x:v>
      </x:c>
      <x:c r="W58" s="4" t="n">
        <x:f>MATCH(T58,$J$388:$J$400,0)</x:f>
        <x:v>3</x:v>
      </x:c>
      <x:c r="X58" s="3"/>
      <x:c r="Y58" s="3"/>
      <x:c r="Z58" s="3"/>
    </x:row>
    <x:row r="59" ht="15" customHeight="1">
      <x:c r="A59" s="7" t="str">
        <x:f>IF(41&lt;='Сводка'!$B$3,'Сводка'!$B$4+41,"")</x:f>
      </x:c>
      <x:c r="B59" s="19" t="str">
        <x:f>IF($A59="","",(A59-$T$405+1)/1000)</x:f>
      </x:c>
      <x:c r="C59" s="19" t="str">
        <x:f>IF($A59="","",2*(A59-$T$405)/$T$406-1)</x:f>
      </x:c>
      <x:c r="D59" s="3" t="str">
        <x:f>IF($A59="","",$B$4+$B$5*LN(B59))</x:f>
      </x:c>
      <x:c r="E59" s="3" t="str">
        <x:f>IF($A59="","",SQRT($T$403^2+H59^2))</x:f>
      </x:c>
      <x:c r="F59" s="3" t="str">
        <x:f>IF($A59="","",D59-$T$404*E59)</x:f>
      </x:c>
      <x:c r="G59" s="3" t="str">
        <x:f>IF($A59="","",D59+$T$404*E59)</x:f>
      </x:c>
      <x:c r="H59" s="3" t="str">
        <x:f>IF($A59="","",SQRT(MAX(0,(1)*$S$409*(1)+(1)*$T$409*(LN(B59))+(LN(B59))*$S$410*(1)+(LN(B59))*$T$410*(LN(B59)))))</x:f>
      </x:c>
      <x:c r="I59" s="3"/>
      <x:c r="J59" s="10" t="n">
        <x:v>45910</x:v>
      </x:c>
      <x:c r="K59" s="8" t="n">
        <x:f>INDEX('Сводка'!$S$3:$S$397,U59)</x:f>
        <x:v>209</x:v>
      </x:c>
      <x:c r="L59" s="8" t="n">
        <x:f>INDEX('Сводка'!$S$3:$S$397,V59)</x:f>
        <x:v>218</x:v>
      </x:c>
      <x:c r="M59" s="8" t="n">
        <x:f>INDEX($K$388:$N$400,W59,1)+INDEX($K$388:$N$400,W59,2)*LN(((J59-$T$405+1)/1000))</x:f>
        <x:v>128.5296198397161</x:v>
      </x:c>
      <x:c r="N59" s="8" t="n">
        <x:f>K59-M59</x:f>
        <x:v>80.4703801602839</x:v>
      </x:c>
      <x:c r="O59" s="8" t="n">
        <x:f>ABS(N59)</x:f>
        <x:v>80.4703801602839</x:v>
      </x:c>
      <x:c r="P59" s="8" t="n">
        <x:f>N59^2</x:f>
        <x:v>6475.482083140612</x:v>
      </x:c>
      <x:c r="Q59" s="8" t="n">
        <x:f>K59-L59</x:f>
        <x:v>-9</x:v>
      </x:c>
      <x:c r="R59" s="9" t="n">
        <x:f>IF(AND(INDEX('Сводка'!$T$3:$T$397,U59)=0,INDEX('Сводка'!$T$3:$T$397,V59)=0),1,0)</x:f>
        <x:v>1</x:v>
      </x:c>
      <x:c r="S59" s="9" t="n">
        <x:f>IF(AND(R59=1,O59&lt;=$G$13),1,0)</x:f>
        <x:v>0</x:v>
      </x:c>
      <x:c r="T59" s="10" t="n">
        <x:f>EOMONTH(J59-'Сводка'!$B$11,-1)</x:f>
        <x:v>45900</x:v>
      </x:c>
      <x:c r="U59" s="4" t="n">
        <x:f>MATCH(J59,'Сводка'!$R$3:$R$397,0)</x:f>
        <x:v>70</x:v>
      </x:c>
      <x:c r="V59" s="4" t="n">
        <x:f>MATCH(J59-'Сводка'!$B$11,'Сводка'!$R$3:$R$397,0)</x:f>
        <x:v>69</x:v>
      </x:c>
      <x:c r="W59" s="4" t="n">
        <x:f>MATCH(T59,$J$388:$J$400,0)</x:f>
        <x:v>3</x:v>
      </x:c>
      <x:c r="X59" s="3"/>
      <x:c r="Y59" s="3"/>
      <x:c r="Z59" s="3"/>
    </x:row>
    <x:row r="60" ht="15" customHeight="1">
      <x:c r="A60" s="7" t="str">
        <x:f>IF(42&lt;='Сводка'!$B$3,'Сводка'!$B$4+42,"")</x:f>
      </x:c>
      <x:c r="B60" s="19" t="str">
        <x:f>IF($A60="","",(A60-$T$405+1)/1000)</x:f>
      </x:c>
      <x:c r="C60" s="19" t="str">
        <x:f>IF($A60="","",2*(A60-$T$405)/$T$406-1)</x:f>
      </x:c>
      <x:c r="D60" s="3" t="str">
        <x:f>IF($A60="","",$B$4+$B$5*LN(B60))</x:f>
      </x:c>
      <x:c r="E60" s="3" t="str">
        <x:f>IF($A60="","",SQRT($T$403^2+H60^2))</x:f>
      </x:c>
      <x:c r="F60" s="3" t="str">
        <x:f>IF($A60="","",D60-$T$404*E60)</x:f>
      </x:c>
      <x:c r="G60" s="3" t="str">
        <x:f>IF($A60="","",D60+$T$404*E60)</x:f>
      </x:c>
      <x:c r="H60" s="3" t="str">
        <x:f>IF($A60="","",SQRT(MAX(0,(1)*$S$409*(1)+(1)*$T$409*(LN(B60))+(LN(B60))*$S$410*(1)+(LN(B60))*$T$410*(LN(B60)))))</x:f>
      </x:c>
      <x:c r="I60" s="3"/>
      <x:c r="J60" s="10" t="n">
        <x:v>45911</x:v>
      </x:c>
      <x:c r="K60" s="8" t="n">
        <x:f>INDEX('Сводка'!$S$3:$S$397,U60)</x:f>
        <x:v>207</x:v>
      </x:c>
      <x:c r="L60" s="8" t="n">
        <x:f>INDEX('Сводка'!$S$3:$S$397,V60)</x:f>
        <x:v>209</x:v>
      </x:c>
      <x:c r="M60" s="8" t="n">
        <x:f>INDEX($K$388:$N$400,W60,1)+INDEX($K$388:$N$400,W60,2)*LN(((J60-$T$405+1)/1000))</x:f>
        <x:v>128.5364830074806</x:v>
      </x:c>
      <x:c r="N60" s="8" t="n">
        <x:f>K60-M60</x:f>
        <x:v>78.4635169925194</x:v>
      </x:c>
      <x:c r="O60" s="8" t="n">
        <x:f>ABS(N60)</x:f>
        <x:v>78.4635169925194</x:v>
      </x:c>
      <x:c r="P60" s="8" t="n">
        <x:f>N60^2</x:f>
        <x:v>6156.523498835381</x:v>
      </x:c>
      <x:c r="Q60" s="8" t="n">
        <x:f>K60-L60</x:f>
        <x:v>-2</x:v>
      </x:c>
      <x:c r="R60" s="9" t="n">
        <x:f>IF(AND(INDEX('Сводка'!$T$3:$T$397,U60)=0,INDEX('Сводка'!$T$3:$T$397,V60)=0),1,0)</x:f>
        <x:v>1</x:v>
      </x:c>
      <x:c r="S60" s="9" t="n">
        <x:f>IF(AND(R60=1,O60&lt;=$G$13),1,0)</x:f>
        <x:v>0</x:v>
      </x:c>
      <x:c r="T60" s="10" t="n">
        <x:f>EOMONTH(J60-'Сводка'!$B$11,-1)</x:f>
        <x:v>45900</x:v>
      </x:c>
      <x:c r="U60" s="4" t="n">
        <x:f>MATCH(J60,'Сводка'!$R$3:$R$397,0)</x:f>
        <x:v>71</x:v>
      </x:c>
      <x:c r="V60" s="4" t="n">
        <x:f>MATCH(J60-'Сводка'!$B$11,'Сводка'!$R$3:$R$397,0)</x:f>
        <x:v>70</x:v>
      </x:c>
      <x:c r="W60" s="4" t="n">
        <x:f>MATCH(T60,$J$388:$J$400,0)</x:f>
        <x:v>3</x:v>
      </x:c>
      <x:c r="X60" s="3"/>
      <x:c r="Y60" s="3"/>
      <x:c r="Z60" s="3"/>
    </x:row>
    <x:row r="61" ht="15" customHeight="1">
      <x:c r="A61" s="7" t="str">
        <x:f>IF(43&lt;='Сводка'!$B$3,'Сводка'!$B$4+43,"")</x:f>
      </x:c>
      <x:c r="B61" s="19" t="str">
        <x:f>IF($A61="","",(A61-$T$405+1)/1000)</x:f>
      </x:c>
      <x:c r="C61" s="19" t="str">
        <x:f>IF($A61="","",2*(A61-$T$405)/$T$406-1)</x:f>
      </x:c>
      <x:c r="D61" s="3" t="str">
        <x:f>IF($A61="","",$B$4+$B$5*LN(B61))</x:f>
      </x:c>
      <x:c r="E61" s="3" t="str">
        <x:f>IF($A61="","",SQRT($T$403^2+H61^2))</x:f>
      </x:c>
      <x:c r="F61" s="3" t="str">
        <x:f>IF($A61="","",D61-$T$404*E61)</x:f>
      </x:c>
      <x:c r="G61" s="3" t="str">
        <x:f>IF($A61="","",D61+$T$404*E61)</x:f>
      </x:c>
      <x:c r="H61" s="3" t="str">
        <x:f>IF($A61="","",SQRT(MAX(0,(1)*$S$409*(1)+(1)*$T$409*(LN(B61))+(LN(B61))*$S$410*(1)+(LN(B61))*$T$410*(LN(B61)))))</x:f>
      </x:c>
      <x:c r="I61" s="3"/>
      <x:c r="J61" s="10" t="n">
        <x:v>45912</x:v>
      </x:c>
      <x:c r="K61" s="8" t="n">
        <x:f>INDEX('Сводка'!$S$3:$S$397,U61)</x:f>
        <x:v>204</x:v>
      </x:c>
      <x:c r="L61" s="8" t="n">
        <x:f>INDEX('Сводка'!$S$3:$S$397,V61)</x:f>
        <x:v>207</x:v>
      </x:c>
      <x:c r="M61" s="8" t="n">
        <x:f>INDEX($K$388:$N$400,W61,1)+INDEX($K$388:$N$400,W61,2)*LN(((J61-$T$405+1)/1000))</x:f>
        <x:v>128.54334538231942</x:v>
      </x:c>
      <x:c r="N61" s="8" t="n">
        <x:f>K61-M61</x:f>
        <x:v>75.45665461768058</x:v>
      </x:c>
      <x:c r="O61" s="8" t="n">
        <x:f>ABS(N61)</x:f>
        <x:v>75.45665461768058</x:v>
      </x:c>
      <x:c r="P61" s="8" t="n">
        <x:f>N61^2</x:f>
        <x:v>5693.706726091937</x:v>
      </x:c>
      <x:c r="Q61" s="8" t="n">
        <x:f>K61-L61</x:f>
        <x:v>-3</x:v>
      </x:c>
      <x:c r="R61" s="9" t="n">
        <x:f>IF(AND(INDEX('Сводка'!$T$3:$T$397,U61)=0,INDEX('Сводка'!$T$3:$T$397,V61)=0),1,0)</x:f>
        <x:v>1</x:v>
      </x:c>
      <x:c r="S61" s="9" t="n">
        <x:f>IF(AND(R61=1,O61&lt;=$G$13),1,0)</x:f>
        <x:v>0</x:v>
      </x:c>
      <x:c r="T61" s="10" t="n">
        <x:f>EOMONTH(J61-'Сводка'!$B$11,-1)</x:f>
        <x:v>45900</x:v>
      </x:c>
      <x:c r="U61" s="4" t="n">
        <x:f>MATCH(J61,'Сводка'!$R$3:$R$397,0)</x:f>
        <x:v>72</x:v>
      </x:c>
      <x:c r="V61" s="4" t="n">
        <x:f>MATCH(J61-'Сводка'!$B$11,'Сводка'!$R$3:$R$397,0)</x:f>
        <x:v>71</x:v>
      </x:c>
      <x:c r="W61" s="4" t="n">
        <x:f>MATCH(T61,$J$388:$J$400,0)</x:f>
        <x:v>3</x:v>
      </x:c>
      <x:c r="X61" s="3"/>
      <x:c r="Y61" s="3"/>
      <x:c r="Z61" s="3"/>
    </x:row>
    <x:row r="62" ht="15" customHeight="1">
      <x:c r="A62" s="7" t="str">
        <x:f>IF(44&lt;='Сводка'!$B$3,'Сводка'!$B$4+44,"")</x:f>
      </x:c>
      <x:c r="B62" s="19" t="str">
        <x:f>IF($A62="","",(A62-$T$405+1)/1000)</x:f>
      </x:c>
      <x:c r="C62" s="19" t="str">
        <x:f>IF($A62="","",2*(A62-$T$405)/$T$406-1)</x:f>
      </x:c>
      <x:c r="D62" s="3" t="str">
        <x:f>IF($A62="","",$B$4+$B$5*LN(B62))</x:f>
      </x:c>
      <x:c r="E62" s="3" t="str">
        <x:f>IF($A62="","",SQRT($T$403^2+H62^2))</x:f>
      </x:c>
      <x:c r="F62" s="3" t="str">
        <x:f>IF($A62="","",D62-$T$404*E62)</x:f>
      </x:c>
      <x:c r="G62" s="3" t="str">
        <x:f>IF($A62="","",D62+$T$404*E62)</x:f>
      </x:c>
      <x:c r="H62" s="3" t="str">
        <x:f>IF($A62="","",SQRT(MAX(0,(1)*$S$409*(1)+(1)*$T$409*(LN(B62))+(LN(B62))*$S$410*(1)+(LN(B62))*$T$410*(LN(B62)))))</x:f>
      </x:c>
      <x:c r="I62" s="3"/>
      <x:c r="J62" s="10" t="n">
        <x:v>45913</x:v>
      </x:c>
      <x:c r="K62" s="8" t="n">
        <x:f>INDEX('Сводка'!$S$3:$S$397,U62)</x:f>
        <x:v>201</x:v>
      </x:c>
      <x:c r="L62" s="8" t="n">
        <x:f>INDEX('Сводка'!$S$3:$S$397,V62)</x:f>
        <x:v>204</x:v>
      </x:c>
      <x:c r="M62" s="8" t="n">
        <x:f>INDEX($K$388:$N$400,W62,1)+INDEX($K$388:$N$400,W62,2)*LN(((J62-$T$405+1)/1000))</x:f>
        <x:v>128.55020696441582</x:v>
      </x:c>
      <x:c r="N62" s="8" t="n">
        <x:f>K62-M62</x:f>
        <x:v>72.44979303558418</x:v>
      </x:c>
      <x:c r="O62" s="8" t="n">
        <x:f>ABS(N62)</x:f>
        <x:v>72.44979303558418</x:v>
      </x:c>
      <x:c r="P62" s="8" t="n">
        <x:f>N62^2</x:f>
        <x:v>5248.972510898981</x:v>
      </x:c>
      <x:c r="Q62" s="8" t="n">
        <x:f>K62-L62</x:f>
        <x:v>-3</x:v>
      </x:c>
      <x:c r="R62" s="9" t="n">
        <x:f>IF(AND(INDEX('Сводка'!$T$3:$T$397,U62)=0,INDEX('Сводка'!$T$3:$T$397,V62)=0),1,0)</x:f>
        <x:v>1</x:v>
      </x:c>
      <x:c r="S62" s="9" t="n">
        <x:f>IF(AND(R62=1,O62&lt;=$G$13),1,0)</x:f>
        <x:v>0</x:v>
      </x:c>
      <x:c r="T62" s="10" t="n">
        <x:f>EOMONTH(J62-'Сводка'!$B$11,-1)</x:f>
        <x:v>45900</x:v>
      </x:c>
      <x:c r="U62" s="4" t="n">
        <x:f>MATCH(J62,'Сводка'!$R$3:$R$397,0)</x:f>
        <x:v>73</x:v>
      </x:c>
      <x:c r="V62" s="4" t="n">
        <x:f>MATCH(J62-'Сводка'!$B$11,'Сводка'!$R$3:$R$397,0)</x:f>
        <x:v>72</x:v>
      </x:c>
      <x:c r="W62" s="4" t="n">
        <x:f>MATCH(T62,$J$388:$J$400,0)</x:f>
        <x:v>3</x:v>
      </x:c>
      <x:c r="X62" s="3"/>
      <x:c r="Y62" s="3"/>
      <x:c r="Z62" s="3"/>
    </x:row>
    <x:row r="63" ht="15" customHeight="1">
      <x:c r="A63" s="7" t="str">
        <x:f>IF(45&lt;='Сводка'!$B$3,'Сводка'!$B$4+45,"")</x:f>
      </x:c>
      <x:c r="B63" s="19" t="str">
        <x:f>IF($A63="","",(A63-$T$405+1)/1000)</x:f>
      </x:c>
      <x:c r="C63" s="19" t="str">
        <x:f>IF($A63="","",2*(A63-$T$405)/$T$406-1)</x:f>
      </x:c>
      <x:c r="D63" s="3" t="str">
        <x:f>IF($A63="","",$B$4+$B$5*LN(B63))</x:f>
      </x:c>
      <x:c r="E63" s="3" t="str">
        <x:f>IF($A63="","",SQRT($T$403^2+H63^2))</x:f>
      </x:c>
      <x:c r="F63" s="3" t="str">
        <x:f>IF($A63="","",D63-$T$404*E63)</x:f>
      </x:c>
      <x:c r="G63" s="3" t="str">
        <x:f>IF($A63="","",D63+$T$404*E63)</x:f>
      </x:c>
      <x:c r="H63" s="3" t="str">
        <x:f>IF($A63="","",SQRT(MAX(0,(1)*$S$409*(1)+(1)*$T$409*(LN(B63))+(LN(B63))*$S$410*(1)+(LN(B63))*$T$410*(LN(B63)))))</x:f>
      </x:c>
      <x:c r="I63" s="3"/>
      <x:c r="J63" s="10" t="n">
        <x:v>45914</x:v>
      </x:c>
      <x:c r="K63" s="8" t="n">
        <x:f>INDEX('Сводка'!$S$3:$S$397,U63)</x:f>
        <x:v>202</x:v>
      </x:c>
      <x:c r="L63" s="8" t="n">
        <x:f>INDEX('Сводка'!$S$3:$S$397,V63)</x:f>
        <x:v>201</x:v>
      </x:c>
      <x:c r="M63" s="8" t="n">
        <x:f>INDEX($K$388:$N$400,W63,1)+INDEX($K$388:$N$400,W63,2)*LN(((J63-$T$405+1)/1000))</x:f>
        <x:v>128.55706775395294</x:v>
      </x:c>
      <x:c r="N63" s="8" t="n">
        <x:f>K63-M63</x:f>
        <x:v>73.44293224604706</x:v>
      </x:c>
      <x:c r="O63" s="8" t="n">
        <x:f>ABS(N63)</x:f>
        <x:v>73.44293224604706</x:v>
      </x:c>
      <x:c r="P63" s="8" t="n">
        <x:f>N63^2</x:f>
        <x:v>5393.86429689746</x:v>
      </x:c>
      <x:c r="Q63" s="8" t="n">
        <x:f>K63-L63</x:f>
        <x:v>1</x:v>
      </x:c>
      <x:c r="R63" s="9" t="n">
        <x:f>IF(AND(INDEX('Сводка'!$T$3:$T$397,U63)=0,INDEX('Сводка'!$T$3:$T$397,V63)=0),1,0)</x:f>
        <x:v>1</x:v>
      </x:c>
      <x:c r="S63" s="9" t="n">
        <x:f>IF(AND(R63=1,O63&lt;=$G$13),1,0)</x:f>
        <x:v>0</x:v>
      </x:c>
      <x:c r="T63" s="10" t="n">
        <x:f>EOMONTH(J63-'Сводка'!$B$11,-1)</x:f>
        <x:v>45900</x:v>
      </x:c>
      <x:c r="U63" s="4" t="n">
        <x:f>MATCH(J63,'Сводка'!$R$3:$R$397,0)</x:f>
        <x:v>74</x:v>
      </x:c>
      <x:c r="V63" s="4" t="n">
        <x:f>MATCH(J63-'Сводка'!$B$11,'Сводка'!$R$3:$R$397,0)</x:f>
        <x:v>73</x:v>
      </x:c>
      <x:c r="W63" s="4" t="n">
        <x:f>MATCH(T63,$J$388:$J$400,0)</x:f>
        <x:v>3</x:v>
      </x:c>
      <x:c r="X63" s="3"/>
      <x:c r="Y63" s="3"/>
      <x:c r="Z63" s="3"/>
    </x:row>
    <x:row r="64" ht="15" customHeight="1">
      <x:c r="A64" s="7" t="str">
        <x:f>IF(46&lt;='Сводка'!$B$3,'Сводка'!$B$4+46,"")</x:f>
      </x:c>
      <x:c r="B64" s="19" t="str">
        <x:f>IF($A64="","",(A64-$T$405+1)/1000)</x:f>
      </x:c>
      <x:c r="C64" s="19" t="str">
        <x:f>IF($A64="","",2*(A64-$T$405)/$T$406-1)</x:f>
      </x:c>
      <x:c r="D64" s="3" t="str">
        <x:f>IF($A64="","",$B$4+$B$5*LN(B64))</x:f>
      </x:c>
      <x:c r="E64" s="3" t="str">
        <x:f>IF($A64="","",SQRT($T$403^2+H64^2))</x:f>
      </x:c>
      <x:c r="F64" s="3" t="str">
        <x:f>IF($A64="","",D64-$T$404*E64)</x:f>
      </x:c>
      <x:c r="G64" s="3" t="str">
        <x:f>IF($A64="","",D64+$T$404*E64)</x:f>
      </x:c>
      <x:c r="H64" s="3" t="str">
        <x:f>IF($A64="","",SQRT(MAX(0,(1)*$S$409*(1)+(1)*$T$409*(LN(B64))+(LN(B64))*$S$410*(1)+(LN(B64))*$T$410*(LN(B64)))))</x:f>
      </x:c>
      <x:c r="I64" s="3"/>
      <x:c r="J64" s="10" t="n">
        <x:v>45915</x:v>
      </x:c>
      <x:c r="K64" s="8" t="n">
        <x:f>INDEX('Сводка'!$S$3:$S$397,U64)</x:f>
        <x:v>204</x:v>
      </x:c>
      <x:c r="L64" s="8" t="n">
        <x:f>INDEX('Сводка'!$S$3:$S$397,V64)</x:f>
        <x:v>202</x:v>
      </x:c>
      <x:c r="M64" s="8" t="n">
        <x:f>INDEX($K$388:$N$400,W64,1)+INDEX($K$388:$N$400,W64,2)*LN(((J64-$T$405+1)/1000))</x:f>
        <x:v>128.5639277511138</x:v>
      </x:c>
      <x:c r="N64" s="8" t="n">
        <x:f>K64-M64</x:f>
        <x:v>75.4360722488862</x:v>
      </x:c>
      <x:c r="O64" s="8" t="n">
        <x:f>ABS(N64)</x:f>
        <x:v>75.4360722488862</x:v>
      </x:c>
      <x:c r="P64" s="8" t="n">
        <x:f>N64^2</x:f>
        <x:v>5690.60099633918</x:v>
      </x:c>
      <x:c r="Q64" s="8" t="n">
        <x:f>K64-L64</x:f>
        <x:v>2</x:v>
      </x:c>
      <x:c r="R64" s="9" t="n">
        <x:f>IF(AND(INDEX('Сводка'!$T$3:$T$397,U64)=0,INDEX('Сводка'!$T$3:$T$397,V64)=0),1,0)</x:f>
        <x:v>1</x:v>
      </x:c>
      <x:c r="S64" s="9" t="n">
        <x:f>IF(AND(R64=1,O64&lt;=$G$13),1,0)</x:f>
        <x:v>0</x:v>
      </x:c>
      <x:c r="T64" s="10" t="n">
        <x:f>EOMONTH(J64-'Сводка'!$B$11,-1)</x:f>
        <x:v>45900</x:v>
      </x:c>
      <x:c r="U64" s="4" t="n">
        <x:f>MATCH(J64,'Сводка'!$R$3:$R$397,0)</x:f>
        <x:v>75</x:v>
      </x:c>
      <x:c r="V64" s="4" t="n">
        <x:f>MATCH(J64-'Сводка'!$B$11,'Сводка'!$R$3:$R$397,0)</x:f>
        <x:v>74</x:v>
      </x:c>
      <x:c r="W64" s="4" t="n">
        <x:f>MATCH(T64,$J$388:$J$400,0)</x:f>
        <x:v>3</x:v>
      </x:c>
      <x:c r="X64" s="3"/>
      <x:c r="Y64" s="3"/>
      <x:c r="Z64" s="3"/>
    </x:row>
    <x:row r="65" ht="15" customHeight="1">
      <x:c r="A65" s="7" t="str">
        <x:f>IF(47&lt;='Сводка'!$B$3,'Сводка'!$B$4+47,"")</x:f>
      </x:c>
      <x:c r="B65" s="19" t="str">
        <x:f>IF($A65="","",(A65-$T$405+1)/1000)</x:f>
      </x:c>
      <x:c r="C65" s="19" t="str">
        <x:f>IF($A65="","",2*(A65-$T$405)/$T$406-1)</x:f>
      </x:c>
      <x:c r="D65" s="3" t="str">
        <x:f>IF($A65="","",$B$4+$B$5*LN(B65))</x:f>
      </x:c>
      <x:c r="E65" s="3" t="str">
        <x:f>IF($A65="","",SQRT($T$403^2+H65^2))</x:f>
      </x:c>
      <x:c r="F65" s="3" t="str">
        <x:f>IF($A65="","",D65-$T$404*E65)</x:f>
      </x:c>
      <x:c r="G65" s="3" t="str">
        <x:f>IF($A65="","",D65+$T$404*E65)</x:f>
      </x:c>
      <x:c r="H65" s="3" t="str">
        <x:f>IF($A65="","",SQRT(MAX(0,(1)*$S$409*(1)+(1)*$T$409*(LN(B65))+(LN(B65))*$S$410*(1)+(LN(B65))*$T$410*(LN(B65)))))</x:f>
      </x:c>
      <x:c r="I65" s="3"/>
      <x:c r="J65" s="10" t="n">
        <x:v>45916</x:v>
      </x:c>
      <x:c r="K65" s="8" t="n">
        <x:f>INDEX('Сводка'!$S$3:$S$397,U65)</x:f>
        <x:v>213</x:v>
      </x:c>
      <x:c r="L65" s="8" t="n">
        <x:f>INDEX('Сводка'!$S$3:$S$397,V65)</x:f>
        <x:v>204</x:v>
      </x:c>
      <x:c r="M65" s="8" t="n">
        <x:f>INDEX($K$388:$N$400,W65,1)+INDEX($K$388:$N$400,W65,2)*LN(((J65-$T$405+1)/1000))</x:f>
        <x:v>128.57078695608146</x:v>
      </x:c>
      <x:c r="N65" s="8" t="n">
        <x:f>K65-M65</x:f>
        <x:v>84.42921304391854</x:v>
      </x:c>
      <x:c r="O65" s="8" t="n">
        <x:f>ABS(N65)</x:f>
        <x:v>84.42921304391854</x:v>
      </x:c>
      <x:c r="P65" s="8" t="n">
        <x:f>N65^2</x:f>
        <x:v>7128.292015215384</x:v>
      </x:c>
      <x:c r="Q65" s="8" t="n">
        <x:f>K65-L65</x:f>
        <x:v>9</x:v>
      </x:c>
      <x:c r="R65" s="9" t="n">
        <x:f>IF(AND(INDEX('Сводка'!$T$3:$T$397,U65)=0,INDEX('Сводка'!$T$3:$T$397,V65)=0),1,0)</x:f>
        <x:v>1</x:v>
      </x:c>
      <x:c r="S65" s="9" t="n">
        <x:f>IF(AND(R65=1,O65&lt;=$G$13),1,0)</x:f>
        <x:v>0</x:v>
      </x:c>
      <x:c r="T65" s="10" t="n">
        <x:f>EOMONTH(J65-'Сводка'!$B$11,-1)</x:f>
        <x:v>45900</x:v>
      </x:c>
      <x:c r="U65" s="4" t="n">
        <x:f>MATCH(J65,'Сводка'!$R$3:$R$397,0)</x:f>
        <x:v>76</x:v>
      </x:c>
      <x:c r="V65" s="4" t="n">
        <x:f>MATCH(J65-'Сводка'!$B$11,'Сводка'!$R$3:$R$397,0)</x:f>
        <x:v>75</x:v>
      </x:c>
      <x:c r="W65" s="4" t="n">
        <x:f>MATCH(T65,$J$388:$J$400,0)</x:f>
        <x:v>3</x:v>
      </x:c>
      <x:c r="X65" s="3"/>
      <x:c r="Y65" s="3"/>
      <x:c r="Z65" s="3"/>
    </x:row>
    <x:row r="66" ht="15" customHeight="1">
      <x:c r="A66" s="7" t="str">
        <x:f>IF(48&lt;='Сводка'!$B$3,'Сводка'!$B$4+48,"")</x:f>
      </x:c>
      <x:c r="B66" s="19" t="str">
        <x:f>IF($A66="","",(A66-$T$405+1)/1000)</x:f>
      </x:c>
      <x:c r="C66" s="19" t="str">
        <x:f>IF($A66="","",2*(A66-$T$405)/$T$406-1)</x:f>
      </x:c>
      <x:c r="D66" s="3" t="str">
        <x:f>IF($A66="","",$B$4+$B$5*LN(B66))</x:f>
      </x:c>
      <x:c r="E66" s="3" t="str">
        <x:f>IF($A66="","",SQRT($T$403^2+H66^2))</x:f>
      </x:c>
      <x:c r="F66" s="3" t="str">
        <x:f>IF($A66="","",D66-$T$404*E66)</x:f>
      </x:c>
      <x:c r="G66" s="3" t="str">
        <x:f>IF($A66="","",D66+$T$404*E66)</x:f>
      </x:c>
      <x:c r="H66" s="3" t="str">
        <x:f>IF($A66="","",SQRT(MAX(0,(1)*$S$409*(1)+(1)*$T$409*(LN(B66))+(LN(B66))*$S$410*(1)+(LN(B66))*$T$410*(LN(B66)))))</x:f>
      </x:c>
      <x:c r="I66" s="3"/>
      <x:c r="J66" s="10" t="n">
        <x:v>45917</x:v>
      </x:c>
      <x:c r="K66" s="8" t="n">
        <x:f>INDEX('Сводка'!$S$3:$S$397,U66)</x:f>
        <x:v>219</x:v>
      </x:c>
      <x:c r="L66" s="8" t="n">
        <x:f>INDEX('Сводка'!$S$3:$S$397,V66)</x:f>
        <x:v>213</x:v>
      </x:c>
      <x:c r="M66" s="8" t="n">
        <x:f>INDEX($K$388:$N$400,W66,1)+INDEX($K$388:$N$400,W66,2)*LN(((J66-$T$405+1)/1000))</x:f>
        <x:v>128.57764536903886</x:v>
      </x:c>
      <x:c r="N66" s="8" t="n">
        <x:f>K66-M66</x:f>
        <x:v>90.42235463096114</x:v>
      </x:c>
      <x:c r="O66" s="8" t="n">
        <x:f>ABS(N66)</x:f>
        <x:v>90.42235463096114</x:v>
      </x:c>
      <x:c r="P66" s="8" t="n">
        <x:f>N66^2</x:f>
        <x:v>8176.202217007299</x:v>
      </x:c>
      <x:c r="Q66" s="8" t="n">
        <x:f>K66-L66</x:f>
        <x:v>6</x:v>
      </x:c>
      <x:c r="R66" s="9" t="n">
        <x:f>IF(AND(INDEX('Сводка'!$T$3:$T$397,U66)=0,INDEX('Сводка'!$T$3:$T$397,V66)=0),1,0)</x:f>
        <x:v>1</x:v>
      </x:c>
      <x:c r="S66" s="9" t="n">
        <x:f>IF(AND(R66=1,O66&lt;=$G$13),1,0)</x:f>
        <x:v>0</x:v>
      </x:c>
      <x:c r="T66" s="10" t="n">
        <x:f>EOMONTH(J66-'Сводка'!$B$11,-1)</x:f>
        <x:v>45900</x:v>
      </x:c>
      <x:c r="U66" s="4" t="n">
        <x:f>MATCH(J66,'Сводка'!$R$3:$R$397,0)</x:f>
        <x:v>77</x:v>
      </x:c>
      <x:c r="V66" s="4" t="n">
        <x:f>MATCH(J66-'Сводка'!$B$11,'Сводка'!$R$3:$R$397,0)</x:f>
        <x:v>76</x:v>
      </x:c>
      <x:c r="W66" s="4" t="n">
        <x:f>MATCH(T66,$J$388:$J$400,0)</x:f>
        <x:v>3</x:v>
      </x:c>
      <x:c r="X66" s="3"/>
      <x:c r="Y66" s="3"/>
      <x:c r="Z66" s="3"/>
    </x:row>
    <x:row r="67" ht="15" customHeight="1">
      <x:c r="A67" s="7" t="str">
        <x:f>IF(49&lt;='Сводка'!$B$3,'Сводка'!$B$4+49,"")</x:f>
      </x:c>
      <x:c r="B67" s="19" t="str">
        <x:f>IF($A67="","",(A67-$T$405+1)/1000)</x:f>
      </x:c>
      <x:c r="C67" s="19" t="str">
        <x:f>IF($A67="","",2*(A67-$T$405)/$T$406-1)</x:f>
      </x:c>
      <x:c r="D67" s="3" t="str">
        <x:f>IF($A67="","",$B$4+$B$5*LN(B67))</x:f>
      </x:c>
      <x:c r="E67" s="3" t="str">
        <x:f>IF($A67="","",SQRT($T$403^2+H67^2))</x:f>
      </x:c>
      <x:c r="F67" s="3" t="str">
        <x:f>IF($A67="","",D67-$T$404*E67)</x:f>
      </x:c>
      <x:c r="G67" s="3" t="str">
        <x:f>IF($A67="","",D67+$T$404*E67)</x:f>
      </x:c>
      <x:c r="H67" s="3" t="str">
        <x:f>IF($A67="","",SQRT(MAX(0,(1)*$S$409*(1)+(1)*$T$409*(LN(B67))+(LN(B67))*$S$410*(1)+(LN(B67))*$T$410*(LN(B67)))))</x:f>
      </x:c>
      <x:c r="I67" s="3"/>
      <x:c r="J67" s="10" t="n">
        <x:v>45918</x:v>
      </x:c>
      <x:c r="K67" s="8" t="n">
        <x:f>INDEX('Сводка'!$S$3:$S$397,U67)</x:f>
        <x:v>227</x:v>
      </x:c>
      <x:c r="L67" s="8" t="n">
        <x:f>INDEX('Сводка'!$S$3:$S$397,V67)</x:f>
        <x:v>219</x:v>
      </x:c>
      <x:c r="M67" s="8" t="n">
        <x:f>INDEX($K$388:$N$400,W67,1)+INDEX($K$388:$N$400,W67,2)*LN(((J67-$T$405+1)/1000))</x:f>
        <x:v>128.58450299016886</x:v>
      </x:c>
      <x:c r="N67" s="8" t="n">
        <x:f>K67-M67</x:f>
        <x:v>98.41549700983114</x:v>
      </x:c>
      <x:c r="O67" s="8" t="n">
        <x:f>ABS(N67)</x:f>
        <x:v>98.41549700983114</x:v>
      </x:c>
      <x:c r="P67" s="8" t="n">
        <x:f>N67^2</x:f>
        <x:v>9685.610051692083</x:v>
      </x:c>
      <x:c r="Q67" s="8" t="n">
        <x:f>K67-L67</x:f>
        <x:v>8</x:v>
      </x:c>
      <x:c r="R67" s="9" t="n">
        <x:f>IF(AND(INDEX('Сводка'!$T$3:$T$397,U67)=0,INDEX('Сводка'!$T$3:$T$397,V67)=0),1,0)</x:f>
        <x:v>1</x:v>
      </x:c>
      <x:c r="S67" s="9" t="n">
        <x:f>IF(AND(R67=1,O67&lt;=$G$13),1,0)</x:f>
        <x:v>0</x:v>
      </x:c>
      <x:c r="T67" s="10" t="n">
        <x:f>EOMONTH(J67-'Сводка'!$B$11,-1)</x:f>
        <x:v>45900</x:v>
      </x:c>
      <x:c r="U67" s="4" t="n">
        <x:f>MATCH(J67,'Сводка'!$R$3:$R$397,0)</x:f>
        <x:v>78</x:v>
      </x:c>
      <x:c r="V67" s="4" t="n">
        <x:f>MATCH(J67-'Сводка'!$B$11,'Сводка'!$R$3:$R$397,0)</x:f>
        <x:v>77</x:v>
      </x:c>
      <x:c r="W67" s="4" t="n">
        <x:f>MATCH(T67,$J$388:$J$400,0)</x:f>
        <x:v>3</x:v>
      </x:c>
      <x:c r="X67" s="3"/>
      <x:c r="Y67" s="3"/>
      <x:c r="Z67" s="3"/>
    </x:row>
    <x:row r="68" ht="15" customHeight="1">
      <x:c r="A68" s="7" t="str">
        <x:f>IF(50&lt;='Сводка'!$B$3,'Сводка'!$B$4+50,"")</x:f>
      </x:c>
      <x:c r="B68" s="19" t="str">
        <x:f>IF($A68="","",(A68-$T$405+1)/1000)</x:f>
      </x:c>
      <x:c r="C68" s="19" t="str">
        <x:f>IF($A68="","",2*(A68-$T$405)/$T$406-1)</x:f>
      </x:c>
      <x:c r="D68" s="3" t="str">
        <x:f>IF($A68="","",$B$4+$B$5*LN(B68))</x:f>
      </x:c>
      <x:c r="E68" s="3" t="str">
        <x:f>IF($A68="","",SQRT($T$403^2+H68^2))</x:f>
      </x:c>
      <x:c r="F68" s="3" t="str">
        <x:f>IF($A68="","",D68-$T$404*E68)</x:f>
      </x:c>
      <x:c r="G68" s="3" t="str">
        <x:f>IF($A68="","",D68+$T$404*E68)</x:f>
      </x:c>
      <x:c r="H68" s="3" t="str">
        <x:f>IF($A68="","",SQRT(MAX(0,(1)*$S$409*(1)+(1)*$T$409*(LN(B68))+(LN(B68))*$S$410*(1)+(LN(B68))*$T$410*(LN(B68)))))</x:f>
      </x:c>
      <x:c r="I68" s="3"/>
      <x:c r="J68" s="10" t="n">
        <x:v>45919</x:v>
      </x:c>
      <x:c r="K68" s="8" t="n">
        <x:f>INDEX('Сводка'!$S$3:$S$397,U68)</x:f>
        <x:v>241</x:v>
      </x:c>
      <x:c r="L68" s="8" t="n">
        <x:f>INDEX('Сводка'!$S$3:$S$397,V68)</x:f>
        <x:v>227</x:v>
      </x:c>
      <x:c r="M68" s="8" t="n">
        <x:f>INDEX($K$388:$N$400,W68,1)+INDEX($K$388:$N$400,W68,2)*LN(((J68-$T$405+1)/1000))</x:f>
        <x:v>128.5913598196543</x:v>
      </x:c>
      <x:c r="N68" s="8" t="n">
        <x:f>K68-M68</x:f>
        <x:v>112.40864018034571</x:v>
      </x:c>
      <x:c r="O68" s="8" t="n">
        <x:f>ABS(N68)</x:f>
        <x:v>112.40864018034571</x:v>
      </x:c>
      <x:c r="P68" s="8" t="n">
        <x:f>N68^2</x:f>
        <x:v>12635.702387194433</x:v>
      </x:c>
      <x:c r="Q68" s="8" t="n">
        <x:f>K68-L68</x:f>
        <x:v>14</x:v>
      </x:c>
      <x:c r="R68" s="9" t="n">
        <x:f>IF(AND(INDEX('Сводка'!$T$3:$T$397,U68)=0,INDEX('Сводка'!$T$3:$T$397,V68)=0),1,0)</x:f>
        <x:v>1</x:v>
      </x:c>
      <x:c r="S68" s="9" t="n">
        <x:f>IF(AND(R68=1,O68&lt;=$G$13),1,0)</x:f>
        <x:v>0</x:v>
      </x:c>
      <x:c r="T68" s="10" t="n">
        <x:f>EOMONTH(J68-'Сводка'!$B$11,-1)</x:f>
        <x:v>45900</x:v>
      </x:c>
      <x:c r="U68" s="4" t="n">
        <x:f>MATCH(J68,'Сводка'!$R$3:$R$397,0)</x:f>
        <x:v>79</x:v>
      </x:c>
      <x:c r="V68" s="4" t="n">
        <x:f>MATCH(J68-'Сводка'!$B$11,'Сводка'!$R$3:$R$397,0)</x:f>
        <x:v>78</x:v>
      </x:c>
      <x:c r="W68" s="4" t="n">
        <x:f>MATCH(T68,$J$388:$J$400,0)</x:f>
        <x:v>3</x:v>
      </x:c>
      <x:c r="X68" s="3"/>
      <x:c r="Y68" s="3"/>
      <x:c r="Z68" s="3"/>
    </x:row>
    <x:row r="69" ht="15" customHeight="1">
      <x:c r="A69" s="7" t="str">
        <x:f>IF(51&lt;='Сводка'!$B$3,'Сводка'!$B$4+51,"")</x:f>
      </x:c>
      <x:c r="B69" s="19" t="str">
        <x:f>IF($A69="","",(A69-$T$405+1)/1000)</x:f>
      </x:c>
      <x:c r="C69" s="19" t="str">
        <x:f>IF($A69="","",2*(A69-$T$405)/$T$406-1)</x:f>
      </x:c>
      <x:c r="D69" s="3" t="str">
        <x:f>IF($A69="","",$B$4+$B$5*LN(B69))</x:f>
      </x:c>
      <x:c r="E69" s="3" t="str">
        <x:f>IF($A69="","",SQRT($T$403^2+H69^2))</x:f>
      </x:c>
      <x:c r="F69" s="3" t="str">
        <x:f>IF($A69="","",D69-$T$404*E69)</x:f>
      </x:c>
      <x:c r="G69" s="3" t="str">
        <x:f>IF($A69="","",D69+$T$404*E69)</x:f>
      </x:c>
      <x:c r="H69" s="3" t="str">
        <x:f>IF($A69="","",SQRT(MAX(0,(1)*$S$409*(1)+(1)*$T$409*(LN(B69))+(LN(B69))*$S$410*(1)+(LN(B69))*$T$410*(LN(B69)))))</x:f>
      </x:c>
      <x:c r="I69" s="3"/>
      <x:c r="J69" s="10" t="n">
        <x:v>45920</x:v>
      </x:c>
      <x:c r="K69" s="8" t="n">
        <x:f>INDEX('Сводка'!$S$3:$S$397,U69)</x:f>
        <x:v>249</x:v>
      </x:c>
      <x:c r="L69" s="8" t="n">
        <x:f>INDEX('Сводка'!$S$3:$S$397,V69)</x:f>
        <x:v>241</x:v>
      </x:c>
      <x:c r="M69" s="8" t="n">
        <x:f>INDEX($K$388:$N$400,W69,1)+INDEX($K$388:$N$400,W69,2)*LN(((J69-$T$405+1)/1000))</x:f>
        <x:v>128.59821585767784</x:v>
      </x:c>
      <x:c r="N69" s="8" t="n">
        <x:f>K69-M69</x:f>
        <x:v>120.40178414232216</x:v>
      </x:c>
      <x:c r="O69" s="8" t="n">
        <x:f>ABS(N69)</x:f>
        <x:v>120.40178414232216</x:v>
      </x:c>
      <x:c r="P69" s="8" t="n">
        <x:f>N69^2</x:f>
        <x:v>14496.58962465434</x:v>
      </x:c>
      <x:c r="Q69" s="8" t="n">
        <x:f>K69-L69</x:f>
        <x:v>8</x:v>
      </x:c>
      <x:c r="R69" s="9" t="n">
        <x:f>IF(AND(INDEX('Сводка'!$T$3:$T$397,U69)=0,INDEX('Сводка'!$T$3:$T$397,V69)=0),1,0)</x:f>
        <x:v>1</x:v>
      </x:c>
      <x:c r="S69" s="9" t="n">
        <x:f>IF(AND(R69=1,O69&lt;=$G$13),1,0)</x:f>
        <x:v>0</x:v>
      </x:c>
      <x:c r="T69" s="10" t="n">
        <x:f>EOMONTH(J69-'Сводка'!$B$11,-1)</x:f>
        <x:v>45900</x:v>
      </x:c>
      <x:c r="U69" s="4" t="n">
        <x:f>MATCH(J69,'Сводка'!$R$3:$R$397,0)</x:f>
        <x:v>80</x:v>
      </x:c>
      <x:c r="V69" s="4" t="n">
        <x:f>MATCH(J69-'Сводка'!$B$11,'Сводка'!$R$3:$R$397,0)</x:f>
        <x:v>79</x:v>
      </x:c>
      <x:c r="W69" s="4" t="n">
        <x:f>MATCH(T69,$J$388:$J$400,0)</x:f>
        <x:v>3</x:v>
      </x:c>
      <x:c r="X69" s="3"/>
      <x:c r="Y69" s="3"/>
      <x:c r="Z69" s="3"/>
    </x:row>
    <x:row r="70" ht="15" customHeight="1">
      <x:c r="A70" s="7" t="str">
        <x:f>IF(52&lt;='Сводка'!$B$3,'Сводка'!$B$4+52,"")</x:f>
      </x:c>
      <x:c r="B70" s="19" t="str">
        <x:f>IF($A70="","",(A70-$T$405+1)/1000)</x:f>
      </x:c>
      <x:c r="C70" s="19" t="str">
        <x:f>IF($A70="","",2*(A70-$T$405)/$T$406-1)</x:f>
      </x:c>
      <x:c r="D70" s="3" t="str">
        <x:f>IF($A70="","",$B$4+$B$5*LN(B70))</x:f>
      </x:c>
      <x:c r="E70" s="3" t="str">
        <x:f>IF($A70="","",SQRT($T$403^2+H70^2))</x:f>
      </x:c>
      <x:c r="F70" s="3" t="str">
        <x:f>IF($A70="","",D70-$T$404*E70)</x:f>
      </x:c>
      <x:c r="G70" s="3" t="str">
        <x:f>IF($A70="","",D70+$T$404*E70)</x:f>
      </x:c>
      <x:c r="H70" s="3" t="str">
        <x:f>IF($A70="","",SQRT(MAX(0,(1)*$S$409*(1)+(1)*$T$409*(LN(B70))+(LN(B70))*$S$410*(1)+(LN(B70))*$T$410*(LN(B70)))))</x:f>
      </x:c>
      <x:c r="I70" s="3"/>
      <x:c r="J70" s="10" t="n">
        <x:v>45921</x:v>
      </x:c>
      <x:c r="K70" s="8" t="n">
        <x:f>INDEX('Сводка'!$S$3:$S$397,U70)</x:f>
        <x:v>260</x:v>
      </x:c>
      <x:c r="L70" s="8" t="n">
        <x:f>INDEX('Сводка'!$S$3:$S$397,V70)</x:f>
        <x:v>249</x:v>
      </x:c>
      <x:c r="M70" s="8" t="n">
        <x:f>INDEX($K$388:$N$400,W70,1)+INDEX($K$388:$N$400,W70,2)*LN(((J70-$T$405+1)/1000))</x:f>
        <x:v>128.6050711044223</x:v>
      </x:c>
      <x:c r="N70" s="8" t="n">
        <x:f>K70-M70</x:f>
        <x:v>131.3949288955777</x:v>
      </x:c>
      <x:c r="O70" s="8" t="n">
        <x:f>ABS(N70)</x:f>
        <x:v>131.3949288955777</x:v>
      </x:c>
      <x:c r="P70" s="8" t="n">
        <x:f>N70^2</x:f>
        <x:v>17264.62733947392</x:v>
      </x:c>
      <x:c r="Q70" s="8" t="n">
        <x:f>K70-L70</x:f>
        <x:v>11</x:v>
      </x:c>
      <x:c r="R70" s="9" t="n">
        <x:f>IF(AND(INDEX('Сводка'!$T$3:$T$397,U70)=0,INDEX('Сводка'!$T$3:$T$397,V70)=0),1,0)</x:f>
        <x:v>1</x:v>
      </x:c>
      <x:c r="S70" s="9" t="n">
        <x:f>IF(AND(R70=1,O70&lt;=$G$13),1,0)</x:f>
        <x:v>0</x:v>
      </x:c>
      <x:c r="T70" s="10" t="n">
        <x:f>EOMONTH(J70-'Сводка'!$B$11,-1)</x:f>
        <x:v>45900</x:v>
      </x:c>
      <x:c r="U70" s="4" t="n">
        <x:f>MATCH(J70,'Сводка'!$R$3:$R$397,0)</x:f>
        <x:v>81</x:v>
      </x:c>
      <x:c r="V70" s="4" t="n">
        <x:f>MATCH(J70-'Сводка'!$B$11,'Сводка'!$R$3:$R$397,0)</x:f>
        <x:v>80</x:v>
      </x:c>
      <x:c r="W70" s="4" t="n">
        <x:f>MATCH(T70,$J$388:$J$400,0)</x:f>
        <x:v>3</x:v>
      </x:c>
      <x:c r="X70" s="3"/>
      <x:c r="Y70" s="3"/>
      <x:c r="Z70" s="3"/>
    </x:row>
    <x:row r="71" ht="15" customHeight="1">
      <x:c r="A71" s="7" t="str">
        <x:f>IF(53&lt;='Сводка'!$B$3,'Сводка'!$B$4+53,"")</x:f>
      </x:c>
      <x:c r="B71" s="19" t="str">
        <x:f>IF($A71="","",(A71-$T$405+1)/1000)</x:f>
      </x:c>
      <x:c r="C71" s="19" t="str">
        <x:f>IF($A71="","",2*(A71-$T$405)/$T$406-1)</x:f>
      </x:c>
      <x:c r="D71" s="3" t="str">
        <x:f>IF($A71="","",$B$4+$B$5*LN(B71))</x:f>
      </x:c>
      <x:c r="E71" s="3" t="str">
        <x:f>IF($A71="","",SQRT($T$403^2+H71^2))</x:f>
      </x:c>
      <x:c r="F71" s="3" t="str">
        <x:f>IF($A71="","",D71-$T$404*E71)</x:f>
      </x:c>
      <x:c r="G71" s="3" t="str">
        <x:f>IF($A71="","",D71+$T$404*E71)</x:f>
      </x:c>
      <x:c r="H71" s="3" t="str">
        <x:f>IF($A71="","",SQRT(MAX(0,(1)*$S$409*(1)+(1)*$T$409*(LN(B71))+(LN(B71))*$S$410*(1)+(LN(B71))*$T$410*(LN(B71)))))</x:f>
      </x:c>
      <x:c r="I71" s="3"/>
      <x:c r="J71" s="10" t="n">
        <x:v>45922</x:v>
      </x:c>
      <x:c r="K71" s="8" t="n">
        <x:f>INDEX('Сводка'!$S$3:$S$397,U71)</x:f>
        <x:v>272</x:v>
      </x:c>
      <x:c r="L71" s="8" t="n">
        <x:f>INDEX('Сводка'!$S$3:$S$397,V71)</x:f>
        <x:v>260</x:v>
      </x:c>
      <x:c r="M71" s="8" t="n">
        <x:f>INDEX($K$388:$N$400,W71,1)+INDEX($K$388:$N$400,W71,2)*LN(((J71-$T$405+1)/1000))</x:f>
        <x:v>128.6119255600703</x:v>
      </x:c>
      <x:c r="N71" s="8" t="n">
        <x:f>K71-M71</x:f>
        <x:v>143.3880744399297</x:v>
      </x:c>
      <x:c r="O71" s="8" t="n">
        <x:f>ABS(N71)</x:f>
        <x:v>143.3880744399297</x:v>
      </x:c>
      <x:c r="P71" s="8" t="n">
        <x:f>N71^2</x:f>
        <x:v>20560.139891590825</x:v>
      </x:c>
      <x:c r="Q71" s="8" t="n">
        <x:f>K71-L71</x:f>
        <x:v>12</x:v>
      </x:c>
      <x:c r="R71" s="9" t="n">
        <x:f>IF(AND(INDEX('Сводка'!$T$3:$T$397,U71)=0,INDEX('Сводка'!$T$3:$T$397,V71)=0),1,0)</x:f>
        <x:v>1</x:v>
      </x:c>
      <x:c r="S71" s="9" t="n">
        <x:f>IF(AND(R71=1,O71&lt;=$G$13),1,0)</x:f>
        <x:v>0</x:v>
      </x:c>
      <x:c r="T71" s="10" t="n">
        <x:f>EOMONTH(J71-'Сводка'!$B$11,-1)</x:f>
        <x:v>45900</x:v>
      </x:c>
      <x:c r="U71" s="4" t="n">
        <x:f>MATCH(J71,'Сводка'!$R$3:$R$397,0)</x:f>
        <x:v>82</x:v>
      </x:c>
      <x:c r="V71" s="4" t="n">
        <x:f>MATCH(J71-'Сводка'!$B$11,'Сводка'!$R$3:$R$397,0)</x:f>
        <x:v>81</x:v>
      </x:c>
      <x:c r="W71" s="4" t="n">
        <x:f>MATCH(T71,$J$388:$J$400,0)</x:f>
        <x:v>3</x:v>
      </x:c>
      <x:c r="X71" s="3"/>
      <x:c r="Y71" s="3"/>
      <x:c r="Z71" s="3"/>
    </x:row>
    <x:row r="72" ht="15" customHeight="1">
      <x:c r="A72" s="7" t="str">
        <x:f>IF(54&lt;='Сводка'!$B$3,'Сводка'!$B$4+54,"")</x:f>
      </x:c>
      <x:c r="B72" s="19" t="str">
        <x:f>IF($A72="","",(A72-$T$405+1)/1000)</x:f>
      </x:c>
      <x:c r="C72" s="19" t="str">
        <x:f>IF($A72="","",2*(A72-$T$405)/$T$406-1)</x:f>
      </x:c>
      <x:c r="D72" s="3" t="str">
        <x:f>IF($A72="","",$B$4+$B$5*LN(B72))</x:f>
      </x:c>
      <x:c r="E72" s="3" t="str">
        <x:f>IF($A72="","",SQRT($T$403^2+H72^2))</x:f>
      </x:c>
      <x:c r="F72" s="3" t="str">
        <x:f>IF($A72="","",D72-$T$404*E72)</x:f>
      </x:c>
      <x:c r="G72" s="3" t="str">
        <x:f>IF($A72="","",D72+$T$404*E72)</x:f>
      </x:c>
      <x:c r="H72" s="3" t="str">
        <x:f>IF($A72="","",SQRT(MAX(0,(1)*$S$409*(1)+(1)*$T$409*(LN(B72))+(LN(B72))*$S$410*(1)+(LN(B72))*$T$410*(LN(B72)))))</x:f>
      </x:c>
      <x:c r="I72" s="3"/>
      <x:c r="J72" s="10" t="n">
        <x:v>45923</x:v>
      </x:c>
      <x:c r="K72" s="8" t="n">
        <x:f>INDEX('Сводка'!$S$3:$S$397,U72)</x:f>
        <x:v>279</x:v>
      </x:c>
      <x:c r="L72" s="8" t="n">
        <x:f>INDEX('Сводка'!$S$3:$S$397,V72)</x:f>
        <x:v>272</x:v>
      </x:c>
      <x:c r="M72" s="8" t="n">
        <x:f>INDEX($K$388:$N$400,W72,1)+INDEX($K$388:$N$400,W72,2)*LN(((J72-$T$405+1)/1000))</x:f>
        <x:v>128.6187792248043</x:v>
      </x:c>
      <x:c r="N72" s="8" t="n">
        <x:f>K72-M72</x:f>
        <x:v>150.3812207751957</x:v>
      </x:c>
      <x:c r="O72" s="8" t="n">
        <x:f>ABS(N72)</x:f>
        <x:v>150.3812207751957</x:v>
      </x:c>
      <x:c r="P72" s="8" t="n">
        <x:f>N72^2</x:f>
        <x:v>22614.511561838146</x:v>
      </x:c>
      <x:c r="Q72" s="8" t="n">
        <x:f>K72-L72</x:f>
        <x:v>7</x:v>
      </x:c>
      <x:c r="R72" s="9" t="n">
        <x:f>IF(AND(INDEX('Сводка'!$T$3:$T$397,U72)=0,INDEX('Сводка'!$T$3:$T$397,V72)=0),1,0)</x:f>
        <x:v>1</x:v>
      </x:c>
      <x:c r="S72" s="9" t="n">
        <x:f>IF(AND(R72=1,O72&lt;=$G$13),1,0)</x:f>
        <x:v>0</x:v>
      </x:c>
      <x:c r="T72" s="10" t="n">
        <x:f>EOMONTH(J72-'Сводка'!$B$11,-1)</x:f>
        <x:v>45900</x:v>
      </x:c>
      <x:c r="U72" s="4" t="n">
        <x:f>MATCH(J72,'Сводка'!$R$3:$R$397,0)</x:f>
        <x:v>83</x:v>
      </x:c>
      <x:c r="V72" s="4" t="n">
        <x:f>MATCH(J72-'Сводка'!$B$11,'Сводка'!$R$3:$R$397,0)</x:f>
        <x:v>82</x:v>
      </x:c>
      <x:c r="W72" s="4" t="n">
        <x:f>MATCH(T72,$J$388:$J$400,0)</x:f>
        <x:v>3</x:v>
      </x:c>
      <x:c r="X72" s="3"/>
      <x:c r="Y72" s="3"/>
      <x:c r="Z72" s="3"/>
    </x:row>
    <x:row r="73" ht="15" customHeight="1">
      <x:c r="A73" s="7" t="str">
        <x:f>IF(55&lt;='Сводка'!$B$3,'Сводка'!$B$4+55,"")</x:f>
      </x:c>
      <x:c r="B73" s="19" t="str">
        <x:f>IF($A73="","",(A73-$T$405+1)/1000)</x:f>
      </x:c>
      <x:c r="C73" s="19" t="str">
        <x:f>IF($A73="","",2*(A73-$T$405)/$T$406-1)</x:f>
      </x:c>
      <x:c r="D73" s="3" t="str">
        <x:f>IF($A73="","",$B$4+$B$5*LN(B73))</x:f>
      </x:c>
      <x:c r="E73" s="3" t="str">
        <x:f>IF($A73="","",SQRT($T$403^2+H73^2))</x:f>
      </x:c>
      <x:c r="F73" s="3" t="str">
        <x:f>IF($A73="","",D73-$T$404*E73)</x:f>
      </x:c>
      <x:c r="G73" s="3" t="str">
        <x:f>IF($A73="","",D73+$T$404*E73)</x:f>
      </x:c>
      <x:c r="H73" s="3" t="str">
        <x:f>IF($A73="","",SQRT(MAX(0,(1)*$S$409*(1)+(1)*$T$409*(LN(B73))+(LN(B73))*$S$410*(1)+(LN(B73))*$T$410*(LN(B73)))))</x:f>
      </x:c>
      <x:c r="I73" s="3"/>
      <x:c r="J73" s="10" t="n">
        <x:v>45924</x:v>
      </x:c>
      <x:c r="K73" s="8" t="n">
        <x:f>INDEX('Сводка'!$S$3:$S$397,U73)</x:f>
        <x:v>284</x:v>
      </x:c>
      <x:c r="L73" s="8" t="n">
        <x:f>INDEX('Сводка'!$S$3:$S$397,V73)</x:f>
        <x:v>279</x:v>
      </x:c>
      <x:c r="M73" s="8" t="n">
        <x:f>INDEX($K$388:$N$400,W73,1)+INDEX($K$388:$N$400,W73,2)*LN(((J73-$T$405+1)/1000))</x:f>
        <x:v>128.62563209880688</x:v>
      </x:c>
      <x:c r="N73" s="8" t="n">
        <x:f>K73-M73</x:f>
        <x:v>155.37436790119312</x:v>
      </x:c>
      <x:c r="O73" s="8" t="n">
        <x:f>ABS(N73)</x:f>
        <x:v>155.37436790119312</x:v>
      </x:c>
      <x:c r="P73" s="8" t="n">
        <x:f>N73^2</x:f>
        <x:v>24141.194200695314</x:v>
      </x:c>
      <x:c r="Q73" s="8" t="n">
        <x:f>K73-L73</x:f>
        <x:v>5</x:v>
      </x:c>
      <x:c r="R73" s="9" t="n">
        <x:f>IF(AND(INDEX('Сводка'!$T$3:$T$397,U73)=0,INDEX('Сводка'!$T$3:$T$397,V73)=0),1,0)</x:f>
        <x:v>1</x:v>
      </x:c>
      <x:c r="S73" s="9" t="n">
        <x:f>IF(AND(R73=1,O73&lt;=$G$13),1,0)</x:f>
        <x:v>0</x:v>
      </x:c>
      <x:c r="T73" s="10" t="n">
        <x:f>EOMONTH(J73-'Сводка'!$B$11,-1)</x:f>
        <x:v>45900</x:v>
      </x:c>
      <x:c r="U73" s="4" t="n">
        <x:f>MATCH(J73,'Сводка'!$R$3:$R$397,0)</x:f>
        <x:v>84</x:v>
      </x:c>
      <x:c r="V73" s="4" t="n">
        <x:f>MATCH(J73-'Сводка'!$B$11,'Сводка'!$R$3:$R$397,0)</x:f>
        <x:v>83</x:v>
      </x:c>
      <x:c r="W73" s="4" t="n">
        <x:f>MATCH(T73,$J$388:$J$400,0)</x:f>
        <x:v>3</x:v>
      </x:c>
      <x:c r="X73" s="3"/>
      <x:c r="Y73" s="3"/>
      <x:c r="Z73" s="3"/>
    </x:row>
    <x:row r="74" ht="15" customHeight="1">
      <x:c r="A74" s="7" t="str">
        <x:f>IF(56&lt;='Сводка'!$B$3,'Сводка'!$B$4+56,"")</x:f>
      </x:c>
      <x:c r="B74" s="19" t="str">
        <x:f>IF($A74="","",(A74-$T$405+1)/1000)</x:f>
      </x:c>
      <x:c r="C74" s="19" t="str">
        <x:f>IF($A74="","",2*(A74-$T$405)/$T$406-1)</x:f>
      </x:c>
      <x:c r="D74" s="3" t="str">
        <x:f>IF($A74="","",$B$4+$B$5*LN(B74))</x:f>
      </x:c>
      <x:c r="E74" s="3" t="str">
        <x:f>IF($A74="","",SQRT($T$403^2+H74^2))</x:f>
      </x:c>
      <x:c r="F74" s="3" t="str">
        <x:f>IF($A74="","",D74-$T$404*E74)</x:f>
      </x:c>
      <x:c r="G74" s="3" t="str">
        <x:f>IF($A74="","",D74+$T$404*E74)</x:f>
      </x:c>
      <x:c r="H74" s="3" t="str">
        <x:f>IF($A74="","",SQRT(MAX(0,(1)*$S$409*(1)+(1)*$T$409*(LN(B74))+(LN(B74))*$S$410*(1)+(LN(B74))*$T$410*(LN(B74)))))</x:f>
      </x:c>
      <x:c r="I74" s="3"/>
      <x:c r="J74" s="10" t="n">
        <x:v>45925</x:v>
      </x:c>
      <x:c r="K74" s="8" t="n">
        <x:f>INDEX('Сводка'!$S$3:$S$397,U74)</x:f>
        <x:v>288</x:v>
      </x:c>
      <x:c r="L74" s="8" t="n">
        <x:f>INDEX('Сводка'!$S$3:$S$397,V74)</x:f>
        <x:v>284</x:v>
      </x:c>
      <x:c r="M74" s="8" t="n">
        <x:f>INDEX($K$388:$N$400,W74,1)+INDEX($K$388:$N$400,W74,2)*LN(((J74-$T$405+1)/1000))</x:f>
        <x:v>128.63248418226044</x:v>
      </x:c>
      <x:c r="N74" s="8" t="n">
        <x:f>K74-M74</x:f>
        <x:v>159.36751581773956</x:v>
      </x:c>
      <x:c r="O74" s="8" t="n">
        <x:f>ABS(N74)</x:f>
        <x:v>159.36751581773956</x:v>
      </x:c>
      <x:c r="P74" s="8" t="n">
        <x:f>N74^2</x:f>
        <x:v>25398.00509791747</x:v>
      </x:c>
      <x:c r="Q74" s="8" t="n">
        <x:f>K74-L74</x:f>
        <x:v>4</x:v>
      </x:c>
      <x:c r="R74" s="9" t="n">
        <x:f>IF(AND(INDEX('Сводка'!$T$3:$T$397,U74)=0,INDEX('Сводка'!$T$3:$T$397,V74)=0),1,0)</x:f>
        <x:v>1</x:v>
      </x:c>
      <x:c r="S74" s="9" t="n">
        <x:f>IF(AND(R74=1,O74&lt;=$G$13),1,0)</x:f>
        <x:v>0</x:v>
      </x:c>
      <x:c r="T74" s="10" t="n">
        <x:f>EOMONTH(J74-'Сводка'!$B$11,-1)</x:f>
        <x:v>45900</x:v>
      </x:c>
      <x:c r="U74" s="4" t="n">
        <x:f>MATCH(J74,'Сводка'!$R$3:$R$397,0)</x:f>
        <x:v>85</x:v>
      </x:c>
      <x:c r="V74" s="4" t="n">
        <x:f>MATCH(J74-'Сводка'!$B$11,'Сводка'!$R$3:$R$397,0)</x:f>
        <x:v>84</x:v>
      </x:c>
      <x:c r="W74" s="4" t="n">
        <x:f>MATCH(T74,$J$388:$J$400,0)</x:f>
        <x:v>3</x:v>
      </x:c>
      <x:c r="X74" s="3"/>
      <x:c r="Y74" s="3"/>
      <x:c r="Z74" s="3"/>
    </x:row>
    <x:row r="75" ht="15" customHeight="1">
      <x:c r="A75" s="7" t="str">
        <x:f>IF(57&lt;='Сводка'!$B$3,'Сводка'!$B$4+57,"")</x:f>
      </x:c>
      <x:c r="B75" s="19" t="str">
        <x:f>IF($A75="","",(A75-$T$405+1)/1000)</x:f>
      </x:c>
      <x:c r="C75" s="19" t="str">
        <x:f>IF($A75="","",2*(A75-$T$405)/$T$406-1)</x:f>
      </x:c>
      <x:c r="D75" s="3" t="str">
        <x:f>IF($A75="","",$B$4+$B$5*LN(B75))</x:f>
      </x:c>
      <x:c r="E75" s="3" t="str">
        <x:f>IF($A75="","",SQRT($T$403^2+H75^2))</x:f>
      </x:c>
      <x:c r="F75" s="3" t="str">
        <x:f>IF($A75="","",D75-$T$404*E75)</x:f>
      </x:c>
      <x:c r="G75" s="3" t="str">
        <x:f>IF($A75="","",D75+$T$404*E75)</x:f>
      </x:c>
      <x:c r="H75" s="3" t="str">
        <x:f>IF($A75="","",SQRT(MAX(0,(1)*$S$409*(1)+(1)*$T$409*(LN(B75))+(LN(B75))*$S$410*(1)+(LN(B75))*$T$410*(LN(B75)))))</x:f>
      </x:c>
      <x:c r="I75" s="3"/>
      <x:c r="J75" s="10" t="n">
        <x:v>45926</x:v>
      </x:c>
      <x:c r="K75" s="8" t="n">
        <x:f>INDEX('Сводка'!$S$3:$S$397,U75)</x:f>
        <x:v>290</x:v>
      </x:c>
      <x:c r="L75" s="8" t="n">
        <x:f>INDEX('Сводка'!$S$3:$S$397,V75)</x:f>
        <x:v>288</x:v>
      </x:c>
      <x:c r="M75" s="8" t="n">
        <x:f>INDEX($K$388:$N$400,W75,1)+INDEX($K$388:$N$400,W75,2)*LN(((J75-$T$405+1)/1000))</x:f>
        <x:v>128.6393354753474</x:v>
      </x:c>
      <x:c r="N75" s="8" t="n">
        <x:f>K75-M75</x:f>
        <x:v>161.3606645246526</x:v>
      </x:c>
      <x:c r="O75" s="8" t="n">
        <x:f>ABS(N75)</x:f>
        <x:v>161.3606645246526</x:v>
      </x:c>
      <x:c r="P75" s="8" t="n">
        <x:f>N75^2</x:f>
        <x:v>26037.26405583748</x:v>
      </x:c>
      <x:c r="Q75" s="8" t="n">
        <x:f>K75-L75</x:f>
        <x:v>2</x:v>
      </x:c>
      <x:c r="R75" s="9" t="n">
        <x:f>IF(AND(INDEX('Сводка'!$T$3:$T$397,U75)=0,INDEX('Сводка'!$T$3:$T$397,V75)=0),1,0)</x:f>
        <x:v>1</x:v>
      </x:c>
      <x:c r="S75" s="9" t="n">
        <x:f>IF(AND(R75=1,O75&lt;=$G$13),1,0)</x:f>
        <x:v>0</x:v>
      </x:c>
      <x:c r="T75" s="10" t="n">
        <x:f>EOMONTH(J75-'Сводка'!$B$11,-1)</x:f>
        <x:v>45900</x:v>
      </x:c>
      <x:c r="U75" s="4" t="n">
        <x:f>MATCH(J75,'Сводка'!$R$3:$R$397,0)</x:f>
        <x:v>86</x:v>
      </x:c>
      <x:c r="V75" s="4" t="n">
        <x:f>MATCH(J75-'Сводка'!$B$11,'Сводка'!$R$3:$R$397,0)</x:f>
        <x:v>85</x:v>
      </x:c>
      <x:c r="W75" s="4" t="n">
        <x:f>MATCH(T75,$J$388:$J$400,0)</x:f>
        <x:v>3</x:v>
      </x:c>
      <x:c r="X75" s="3"/>
      <x:c r="Y75" s="3"/>
      <x:c r="Z75" s="3"/>
    </x:row>
    <x:row r="76" ht="15" customHeight="1">
      <x:c r="A76" s="7" t="str">
        <x:f>IF(58&lt;='Сводка'!$B$3,'Сводка'!$B$4+58,"")</x:f>
      </x:c>
      <x:c r="B76" s="19" t="str">
        <x:f>IF($A76="","",(A76-$T$405+1)/1000)</x:f>
      </x:c>
      <x:c r="C76" s="19" t="str">
        <x:f>IF($A76="","",2*(A76-$T$405)/$T$406-1)</x:f>
      </x:c>
      <x:c r="D76" s="3" t="str">
        <x:f>IF($A76="","",$B$4+$B$5*LN(B76))</x:f>
      </x:c>
      <x:c r="E76" s="3" t="str">
        <x:f>IF($A76="","",SQRT($T$403^2+H76^2))</x:f>
      </x:c>
      <x:c r="F76" s="3" t="str">
        <x:f>IF($A76="","",D76-$T$404*E76)</x:f>
      </x:c>
      <x:c r="G76" s="3" t="str">
        <x:f>IF($A76="","",D76+$T$404*E76)</x:f>
      </x:c>
      <x:c r="H76" s="3" t="str">
        <x:f>IF($A76="","",SQRT(MAX(0,(1)*$S$409*(1)+(1)*$T$409*(LN(B76))+(LN(B76))*$S$410*(1)+(LN(B76))*$T$410*(LN(B76)))))</x:f>
      </x:c>
      <x:c r="I76" s="3"/>
      <x:c r="J76" s="10" t="n">
        <x:v>45927</x:v>
      </x:c>
      <x:c r="K76" s="8" t="n">
        <x:f>INDEX('Сводка'!$S$3:$S$397,U76)</x:f>
        <x:v>291</x:v>
      </x:c>
      <x:c r="L76" s="8" t="n">
        <x:f>INDEX('Сводка'!$S$3:$S$397,V76)</x:f>
        <x:v>290</x:v>
      </x:c>
      <x:c r="M76" s="8" t="n">
        <x:f>INDEX($K$388:$N$400,W76,1)+INDEX($K$388:$N$400,W76,2)*LN(((J76-$T$405+1)/1000))</x:f>
        <x:v>128.64618597825003</x:v>
      </x:c>
      <x:c r="N76" s="8" t="n">
        <x:f>K76-M76</x:f>
        <x:v>162.35381402174997</x:v>
      </x:c>
      <x:c r="O76" s="8" t="n">
        <x:f>ABS(N76)</x:f>
        <x:v>162.35381402174997</x:v>
      </x:c>
      <x:c r="P76" s="8" t="n">
        <x:f>N76^2</x:f>
        <x:v>26358.760927408977</x:v>
      </x:c>
      <x:c r="Q76" s="8" t="n">
        <x:f>K76-L76</x:f>
        <x:v>1</x:v>
      </x:c>
      <x:c r="R76" s="9" t="n">
        <x:f>IF(AND(INDEX('Сводка'!$T$3:$T$397,U76)=0,INDEX('Сводка'!$T$3:$T$397,V76)=0),1,0)</x:f>
        <x:v>1</x:v>
      </x:c>
      <x:c r="S76" s="9" t="n">
        <x:f>IF(AND(R76=1,O76&lt;=$G$13),1,0)</x:f>
        <x:v>0</x:v>
      </x:c>
      <x:c r="T76" s="10" t="n">
        <x:f>EOMONTH(J76-'Сводка'!$B$11,-1)</x:f>
        <x:v>45900</x:v>
      </x:c>
      <x:c r="U76" s="4" t="n">
        <x:f>MATCH(J76,'Сводка'!$R$3:$R$397,0)</x:f>
        <x:v>87</x:v>
      </x:c>
      <x:c r="V76" s="4" t="n">
        <x:f>MATCH(J76-'Сводка'!$B$11,'Сводка'!$R$3:$R$397,0)</x:f>
        <x:v>86</x:v>
      </x:c>
      <x:c r="W76" s="4" t="n">
        <x:f>MATCH(T76,$J$388:$J$400,0)</x:f>
        <x:v>3</x:v>
      </x:c>
      <x:c r="X76" s="3"/>
      <x:c r="Y76" s="3"/>
      <x:c r="Z76" s="3"/>
    </x:row>
    <x:row r="77" ht="15" customHeight="1">
      <x:c r="A77" s="7" t="str">
        <x:f>IF(59&lt;='Сводка'!$B$3,'Сводка'!$B$4+59,"")</x:f>
      </x:c>
      <x:c r="B77" s="19" t="str">
        <x:f>IF($A77="","",(A77-$T$405+1)/1000)</x:f>
      </x:c>
      <x:c r="C77" s="19" t="str">
        <x:f>IF($A77="","",2*(A77-$T$405)/$T$406-1)</x:f>
      </x:c>
      <x:c r="D77" s="3" t="str">
        <x:f>IF($A77="","",$B$4+$B$5*LN(B77))</x:f>
      </x:c>
      <x:c r="E77" s="3" t="str">
        <x:f>IF($A77="","",SQRT($T$403^2+H77^2))</x:f>
      </x:c>
      <x:c r="F77" s="3" t="str">
        <x:f>IF($A77="","",D77-$T$404*E77)</x:f>
      </x:c>
      <x:c r="G77" s="3" t="str">
        <x:f>IF($A77="","",D77+$T$404*E77)</x:f>
      </x:c>
      <x:c r="H77" s="3" t="str">
        <x:f>IF($A77="","",SQRT(MAX(0,(1)*$S$409*(1)+(1)*$T$409*(LN(B77))+(LN(B77))*$S$410*(1)+(LN(B77))*$T$410*(LN(B77)))))</x:f>
      </x:c>
      <x:c r="I77" s="3"/>
      <x:c r="J77" s="10" t="n">
        <x:v>45928</x:v>
      </x:c>
      <x:c r="K77" s="8" t="n">
        <x:f>INDEX('Сводка'!$S$3:$S$397,U77)</x:f>
        <x:v>290</x:v>
      </x:c>
      <x:c r="L77" s="8" t="n">
        <x:f>INDEX('Сводка'!$S$3:$S$397,V77)</x:f>
        <x:v>291</x:v>
      </x:c>
      <x:c r="M77" s="8" t="n">
        <x:f>INDEX($K$388:$N$400,W77,1)+INDEX($K$388:$N$400,W77,2)*LN(((J77-$T$405+1)/1000))</x:f>
        <x:v>128.6530356911506</x:v>
      </x:c>
      <x:c r="N77" s="8" t="n">
        <x:f>K77-M77</x:f>
        <x:v>161.3469643088494</x:v>
      </x:c>
      <x:c r="O77" s="8" t="n">
        <x:f>ABS(N77)</x:f>
        <x:v>161.3469643088494</x:v>
      </x:c>
      <x:c r="P77" s="8" t="n">
        <x:f>N77^2</x:f>
        <x:v>26032.842891681124</x:v>
      </x:c>
      <x:c r="Q77" s="8" t="n">
        <x:f>K77-L77</x:f>
        <x:v>-1</x:v>
      </x:c>
      <x:c r="R77" s="9" t="n">
        <x:f>IF(AND(INDEX('Сводка'!$T$3:$T$397,U77)=0,INDEX('Сводка'!$T$3:$T$397,V77)=0),1,0)</x:f>
        <x:v>1</x:v>
      </x:c>
      <x:c r="S77" s="9" t="n">
        <x:f>IF(AND(R77=1,O77&lt;=$G$13),1,0)</x:f>
        <x:v>0</x:v>
      </x:c>
      <x:c r="T77" s="10" t="n">
        <x:f>EOMONTH(J77-'Сводка'!$B$11,-1)</x:f>
        <x:v>45900</x:v>
      </x:c>
      <x:c r="U77" s="4" t="n">
        <x:f>MATCH(J77,'Сводка'!$R$3:$R$397,0)</x:f>
        <x:v>88</x:v>
      </x:c>
      <x:c r="V77" s="4" t="n">
        <x:f>MATCH(J77-'Сводка'!$B$11,'Сводка'!$R$3:$R$397,0)</x:f>
        <x:v>87</x:v>
      </x:c>
      <x:c r="W77" s="4" t="n">
        <x:f>MATCH(T77,$J$388:$J$400,0)</x:f>
        <x:v>3</x:v>
      </x:c>
      <x:c r="X77" s="3"/>
      <x:c r="Y77" s="3"/>
      <x:c r="Z77" s="3"/>
    </x:row>
    <x:row r="78" ht="15" customHeight="1">
      <x:c r="A78" s="7" t="str">
        <x:f>IF(60&lt;='Сводка'!$B$3,'Сводка'!$B$4+60,"")</x:f>
      </x:c>
      <x:c r="B78" s="19" t="str">
        <x:f>IF($A78="","",(A78-$T$405+1)/1000)</x:f>
      </x:c>
      <x:c r="C78" s="19" t="str">
        <x:f>IF($A78="","",2*(A78-$T$405)/$T$406-1)</x:f>
      </x:c>
      <x:c r="D78" s="3" t="str">
        <x:f>IF($A78="","",$B$4+$B$5*LN(B78))</x:f>
      </x:c>
      <x:c r="E78" s="3" t="str">
        <x:f>IF($A78="","",SQRT($T$403^2+H78^2))</x:f>
      </x:c>
      <x:c r="F78" s="3" t="str">
        <x:f>IF($A78="","",D78-$T$404*E78)</x:f>
      </x:c>
      <x:c r="G78" s="3" t="str">
        <x:f>IF($A78="","",D78+$T$404*E78)</x:f>
      </x:c>
      <x:c r="H78" s="3" t="str">
        <x:f>IF($A78="","",SQRT(MAX(0,(1)*$S$409*(1)+(1)*$T$409*(LN(B78))+(LN(B78))*$S$410*(1)+(LN(B78))*$T$410*(LN(B78)))))</x:f>
      </x:c>
      <x:c r="I78" s="3"/>
      <x:c r="J78" s="10" t="n">
        <x:v>45929</x:v>
      </x:c>
      <x:c r="K78" s="8" t="n">
        <x:f>INDEX('Сводка'!$S$3:$S$397,U78)</x:f>
        <x:v>290</x:v>
      </x:c>
      <x:c r="L78" s="8" t="n">
        <x:f>INDEX('Сводка'!$S$3:$S$397,V78)</x:f>
        <x:v>290</x:v>
      </x:c>
      <x:c r="M78" s="8" t="n">
        <x:f>INDEX($K$388:$N$400,W78,1)+INDEX($K$388:$N$400,W78,2)*LN(((J78-$T$405+1)/1000))</x:f>
        <x:v>128.65988461423132</x:v>
      </x:c>
      <x:c r="N78" s="8" t="n">
        <x:f>K78-M78</x:f>
        <x:v>161.34011538576868</x:v>
      </x:c>
      <x:c r="O78" s="8" t="n">
        <x:f>ABS(N78)</x:f>
        <x:v>161.34011538576868</x:v>
      </x:c>
      <x:c r="P78" s="8" t="n">
        <x:f>N78^2</x:f>
        <x:v>26030.632832693154</x:v>
      </x:c>
      <x:c r="Q78" s="8" t="n">
        <x:f>K78-L78</x:f>
        <x:v>0</x:v>
      </x:c>
      <x:c r="R78" s="9" t="n">
        <x:f>IF(AND(INDEX('Сводка'!$T$3:$T$397,U78)=0,INDEX('Сводка'!$T$3:$T$397,V78)=0),1,0)</x:f>
        <x:v>1</x:v>
      </x:c>
      <x:c r="S78" s="9" t="n">
        <x:f>IF(AND(R78=1,O78&lt;=$G$13),1,0)</x:f>
        <x:v>0</x:v>
      </x:c>
      <x:c r="T78" s="10" t="n">
        <x:f>EOMONTH(J78-'Сводка'!$B$11,-1)</x:f>
        <x:v>45900</x:v>
      </x:c>
      <x:c r="U78" s="4" t="n">
        <x:f>MATCH(J78,'Сводка'!$R$3:$R$397,0)</x:f>
        <x:v>89</x:v>
      </x:c>
      <x:c r="V78" s="4" t="n">
        <x:f>MATCH(J78-'Сводка'!$B$11,'Сводка'!$R$3:$R$397,0)</x:f>
        <x:v>88</x:v>
      </x:c>
      <x:c r="W78" s="4" t="n">
        <x:f>MATCH(T78,$J$388:$J$400,0)</x:f>
        <x:v>3</x:v>
      </x:c>
      <x:c r="X78" s="3"/>
      <x:c r="Y78" s="3"/>
      <x:c r="Z78" s="3"/>
    </x:row>
    <x:row r="79" ht="15" customHeight="1">
      <x:c r="A79" s="7" t="str">
        <x:f>IF(61&lt;='Сводка'!$B$3,'Сводка'!$B$4+61,"")</x:f>
      </x:c>
      <x:c r="B79" s="19" t="str">
        <x:f>IF($A79="","",(A79-$T$405+1)/1000)</x:f>
      </x:c>
      <x:c r="C79" s="19" t="str">
        <x:f>IF($A79="","",2*(A79-$T$405)/$T$406-1)</x:f>
      </x:c>
      <x:c r="D79" s="3" t="str">
        <x:f>IF($A79="","",$B$4+$B$5*LN(B79))</x:f>
      </x:c>
      <x:c r="E79" s="3" t="str">
        <x:f>IF($A79="","",SQRT($T$403^2+H79^2))</x:f>
      </x:c>
      <x:c r="F79" s="3" t="str">
        <x:f>IF($A79="","",D79-$T$404*E79)</x:f>
      </x:c>
      <x:c r="G79" s="3" t="str">
        <x:f>IF($A79="","",D79+$T$404*E79)</x:f>
      </x:c>
      <x:c r="H79" s="3" t="str">
        <x:f>IF($A79="","",SQRT(MAX(0,(1)*$S$409*(1)+(1)*$T$409*(LN(B79))+(LN(B79))*$S$410*(1)+(LN(B79))*$T$410*(LN(B79)))))</x:f>
      </x:c>
      <x:c r="I79" s="3"/>
      <x:c r="J79" s="10" t="n">
        <x:v>45930</x:v>
      </x:c>
      <x:c r="K79" s="8" t="n">
        <x:f>INDEX('Сводка'!$S$3:$S$397,U79)</x:f>
        <x:v>293</x:v>
      </x:c>
      <x:c r="L79" s="8" t="n">
        <x:f>INDEX('Сводка'!$S$3:$S$397,V79)</x:f>
        <x:v>290</x:v>
      </x:c>
      <x:c r="M79" s="8" t="n">
        <x:f>INDEX($K$388:$N$400,W79,1)+INDEX($K$388:$N$400,W79,2)*LN(((J79-$T$405+1)/1000))</x:f>
        <x:v>128.66673274767422</x:v>
      </x:c>
      <x:c r="N79" s="8" t="n">
        <x:f>K79-M79</x:f>
        <x:v>164.33326725232578</x:v>
      </x:c>
      <x:c r="O79" s="8" t="n">
        <x:f>ABS(N79)</x:f>
        <x:v>164.33326725232578</x:v>
      </x:c>
      <x:c r="P79" s="8" t="n">
        <x:f>N79^2</x:f>
        <x:v>27005.42272582433</x:v>
      </x:c>
      <x:c r="Q79" s="8" t="n">
        <x:f>K79-L79</x:f>
        <x:v>3</x:v>
      </x:c>
      <x:c r="R79" s="9" t="n">
        <x:f>IF(AND(INDEX('Сводка'!$T$3:$T$397,U79)=0,INDEX('Сводка'!$T$3:$T$397,V79)=0),1,0)</x:f>
        <x:v>1</x:v>
      </x:c>
      <x:c r="S79" s="9" t="n">
        <x:f>IF(AND(R79=1,O79&lt;=$G$13),1,0)</x:f>
        <x:v>0</x:v>
      </x:c>
      <x:c r="T79" s="10" t="n">
        <x:f>EOMONTH(J79-'Сводка'!$B$11,-1)</x:f>
        <x:v>45900</x:v>
      </x:c>
      <x:c r="U79" s="4" t="n">
        <x:f>MATCH(J79,'Сводка'!$R$3:$R$397,0)</x:f>
        <x:v>90</x:v>
      </x:c>
      <x:c r="V79" s="4" t="n">
        <x:f>MATCH(J79-'Сводка'!$B$11,'Сводка'!$R$3:$R$397,0)</x:f>
        <x:v>89</x:v>
      </x:c>
      <x:c r="W79" s="4" t="n">
        <x:f>MATCH(T79,$J$388:$J$400,0)</x:f>
        <x:v>3</x:v>
      </x:c>
      <x:c r="X79" s="3"/>
      <x:c r="Y79" s="3"/>
      <x:c r="Z79" s="3"/>
    </x:row>
    <x:row r="80" ht="15" customHeight="1">
      <x:c r="A80" s="7" t="str">
        <x:f>IF(62&lt;='Сводка'!$B$3,'Сводка'!$B$4+62,"")</x:f>
      </x:c>
      <x:c r="B80" s="19" t="str">
        <x:f>IF($A80="","",(A80-$T$405+1)/1000)</x:f>
      </x:c>
      <x:c r="C80" s="19" t="str">
        <x:f>IF($A80="","",2*(A80-$T$405)/$T$406-1)</x:f>
      </x:c>
      <x:c r="D80" s="3" t="str">
        <x:f>IF($A80="","",$B$4+$B$5*LN(B80))</x:f>
      </x:c>
      <x:c r="E80" s="3" t="str">
        <x:f>IF($A80="","",SQRT($T$403^2+H80^2))</x:f>
      </x:c>
      <x:c r="F80" s="3" t="str">
        <x:f>IF($A80="","",D80-$T$404*E80)</x:f>
      </x:c>
      <x:c r="G80" s="3" t="str">
        <x:f>IF($A80="","",D80+$T$404*E80)</x:f>
      </x:c>
      <x:c r="H80" s="3" t="str">
        <x:f>IF($A80="","",SQRT(MAX(0,(1)*$S$409*(1)+(1)*$T$409*(LN(B80))+(LN(B80))*$S$410*(1)+(LN(B80))*$T$410*(LN(B80)))))</x:f>
      </x:c>
      <x:c r="I80" s="3"/>
      <x:c r="J80" s="10" t="n">
        <x:v>45931</x:v>
      </x:c>
      <x:c r="K80" s="8" t="n">
        <x:f>INDEX('Сводка'!$S$3:$S$397,U80)</x:f>
        <x:v>292</x:v>
      </x:c>
      <x:c r="L80" s="8" t="n">
        <x:f>INDEX('Сводка'!$S$3:$S$397,V80)</x:f>
        <x:v>293</x:v>
      </x:c>
      <x:c r="M80" s="8" t="n">
        <x:f>INDEX($K$388:$N$400,W80,1)+INDEX($K$388:$N$400,W80,2)*LN(((J80-$T$405+1)/1000))</x:f>
        <x:v>128.67358009166145</x:v>
      </x:c>
      <x:c r="N80" s="8" t="n">
        <x:f>K80-M80</x:f>
        <x:v>163.32641990833855</x:v>
      </x:c>
      <x:c r="O80" s="8" t="n">
        <x:f>ABS(N80)</x:f>
        <x:v>163.32641990833855</x:v>
      </x:c>
      <x:c r="P80" s="8" t="n">
        <x:f>N80^2</x:f>
        <x:v>26675.519440074928</x:v>
      </x:c>
      <x:c r="Q80" s="8" t="n">
        <x:f>K80-L80</x:f>
        <x:v>-1</x:v>
      </x:c>
      <x:c r="R80" s="9" t="n">
        <x:f>IF(AND(INDEX('Сводка'!$T$3:$T$397,U80)=0,INDEX('Сводка'!$T$3:$T$397,V80)=0),1,0)</x:f>
        <x:v>1</x:v>
      </x:c>
      <x:c r="S80" s="9" t="n">
        <x:f>IF(AND(R80=1,O80&lt;=$G$13),1,0)</x:f>
        <x:v>0</x:v>
      </x:c>
      <x:c r="T80" s="10" t="n">
        <x:f>EOMONTH(J80-'Сводка'!$B$11,-1)</x:f>
        <x:v>45900</x:v>
      </x:c>
      <x:c r="U80" s="4" t="n">
        <x:f>MATCH(J80,'Сводка'!$R$3:$R$397,0)</x:f>
        <x:v>91</x:v>
      </x:c>
      <x:c r="V80" s="4" t="n">
        <x:f>MATCH(J80-'Сводка'!$B$11,'Сводка'!$R$3:$R$397,0)</x:f>
        <x:v>90</x:v>
      </x:c>
      <x:c r="W80" s="4" t="n">
        <x:f>MATCH(T80,$J$388:$J$400,0)</x:f>
        <x:v>3</x:v>
      </x:c>
      <x:c r="X80" s="3"/>
      <x:c r="Y80" s="3"/>
      <x:c r="Z80" s="3"/>
    </x:row>
    <x:row r="81" ht="15" customHeight="1">
      <x:c r="A81" s="7" t="str">
        <x:f>IF(63&lt;='Сводка'!$B$3,'Сводка'!$B$4+63,"")</x:f>
      </x:c>
      <x:c r="B81" s="19" t="str">
        <x:f>IF($A81="","",(A81-$T$405+1)/1000)</x:f>
      </x:c>
      <x:c r="C81" s="19" t="str">
        <x:f>IF($A81="","",2*(A81-$T$405)/$T$406-1)</x:f>
      </x:c>
      <x:c r="D81" s="3" t="str">
        <x:f>IF($A81="","",$B$4+$B$5*LN(B81))</x:f>
      </x:c>
      <x:c r="E81" s="3" t="str">
        <x:f>IF($A81="","",SQRT($T$403^2+H81^2))</x:f>
      </x:c>
      <x:c r="F81" s="3" t="str">
        <x:f>IF($A81="","",D81-$T$404*E81)</x:f>
      </x:c>
      <x:c r="G81" s="3" t="str">
        <x:f>IF($A81="","",D81+$T$404*E81)</x:f>
      </x:c>
      <x:c r="H81" s="3" t="str">
        <x:f>IF($A81="","",SQRT(MAX(0,(1)*$S$409*(1)+(1)*$T$409*(LN(B81))+(LN(B81))*$S$410*(1)+(LN(B81))*$T$410*(LN(B81)))))</x:f>
      </x:c>
      <x:c r="I81" s="3"/>
      <x:c r="J81" s="10" t="n">
        <x:v>45932</x:v>
      </x:c>
      <x:c r="K81" s="8" t="n">
        <x:f>INDEX('Сводка'!$S$3:$S$397,U81)</x:f>
        <x:v>284</x:v>
      </x:c>
      <x:c r="L81" s="8" t="n">
        <x:f>INDEX('Сводка'!$S$3:$S$397,V81)</x:f>
        <x:v>292</x:v>
      </x:c>
      <x:c r="M81" s="8" t="n">
        <x:f>INDEX($K$388:$N$400,W81,1)+INDEX($K$388:$N$400,W81,2)*LN(((J81-$T$405+1)/1000))</x:f>
        <x:v>129.51792944102294</x:v>
      </x:c>
      <x:c r="N81" s="8" t="n">
        <x:f>K81-M81</x:f>
        <x:v>154.48207055897706</x:v>
      </x:c>
      <x:c r="O81" s="8" t="n">
        <x:f>ABS(N81)</x:f>
        <x:v>154.48207055897706</x:v>
      </x:c>
      <x:c r="P81" s="8" t="n">
        <x:f>N81^2</x:f>
        <x:v>23864.710124188765</x:v>
      </x:c>
      <x:c r="Q81" s="8" t="n">
        <x:f>K81-L81</x:f>
        <x:v>-8</x:v>
      </x:c>
      <x:c r="R81" s="9" t="n">
        <x:f>IF(AND(INDEX('Сводка'!$T$3:$T$397,U81)=0,INDEX('Сводка'!$T$3:$T$397,V81)=0),1,0)</x:f>
        <x:v>1</x:v>
      </x:c>
      <x:c r="S81" s="9" t="n">
        <x:f>IF(AND(R81=1,O81&lt;=$G$13),1,0)</x:f>
        <x:v>0</x:v>
      </x:c>
      <x:c r="T81" s="10" t="n">
        <x:f>EOMONTH(J81-'Сводка'!$B$11,-1)</x:f>
        <x:v>45930</x:v>
      </x:c>
      <x:c r="U81" s="4" t="n">
        <x:f>MATCH(J81,'Сводка'!$R$3:$R$397,0)</x:f>
        <x:v>92</x:v>
      </x:c>
      <x:c r="V81" s="4" t="n">
        <x:f>MATCH(J81-'Сводка'!$B$11,'Сводка'!$R$3:$R$397,0)</x:f>
        <x:v>91</x:v>
      </x:c>
      <x:c r="W81" s="4" t="n">
        <x:f>MATCH(T81,$J$388:$J$400,0)</x:f>
        <x:v>4</x:v>
      </x:c>
      <x:c r="X81" s="3"/>
      <x:c r="Y81" s="3"/>
      <x:c r="Z81" s="3"/>
    </x:row>
    <x:row r="82" ht="15" customHeight="1">
      <x:c r="A82" s="7" t="str">
        <x:f>IF(64&lt;='Сводка'!$B$3,'Сводка'!$B$4+64,"")</x:f>
      </x:c>
      <x:c r="B82" s="19" t="str">
        <x:f>IF($A82="","",(A82-$T$405+1)/1000)</x:f>
      </x:c>
      <x:c r="C82" s="19" t="str">
        <x:f>IF($A82="","",2*(A82-$T$405)/$T$406-1)</x:f>
      </x:c>
      <x:c r="D82" s="3" t="str">
        <x:f>IF($A82="","",$B$4+$B$5*LN(B82))</x:f>
      </x:c>
      <x:c r="E82" s="3" t="str">
        <x:f>IF($A82="","",SQRT($T$403^2+H82^2))</x:f>
      </x:c>
      <x:c r="F82" s="3" t="str">
        <x:f>IF($A82="","",D82-$T$404*E82)</x:f>
      </x:c>
      <x:c r="G82" s="3" t="str">
        <x:f>IF($A82="","",D82+$T$404*E82)</x:f>
      </x:c>
      <x:c r="H82" s="3" t="str">
        <x:f>IF($A82="","",SQRT(MAX(0,(1)*$S$409*(1)+(1)*$T$409*(LN(B82))+(LN(B82))*$S$410*(1)+(LN(B82))*$T$410*(LN(B82)))))</x:f>
      </x:c>
      <x:c r="I82" s="3"/>
      <x:c r="J82" s="10" t="n">
        <x:v>45933</x:v>
      </x:c>
      <x:c r="K82" s="8" t="n">
        <x:f>INDEX('Сводка'!$S$3:$S$397,U82)</x:f>
        <x:v>274</x:v>
      </x:c>
      <x:c r="L82" s="8" t="n">
        <x:f>INDEX('Сводка'!$S$3:$S$397,V82)</x:f>
        <x:v>284</x:v>
      </x:c>
      <x:c r="M82" s="8" t="n">
        <x:f>INDEX($K$388:$N$400,W82,1)+INDEX($K$388:$N$400,W82,2)*LN(((J82-$T$405+1)/1000))</x:f>
        <x:v>129.52482362572476</x:v>
      </x:c>
      <x:c r="N82" s="8" t="n">
        <x:f>K82-M82</x:f>
        <x:v>144.47517637427524</x:v>
      </x:c>
      <x:c r="O82" s="8" t="n">
        <x:f>ABS(N82)</x:f>
        <x:v>144.47517637427524</x:v>
      </x:c>
      <x:c r="P82" s="8" t="n">
        <x:f>N82^2</x:f>
        <x:v>20873.07658837794</x:v>
      </x:c>
      <x:c r="Q82" s="8" t="n">
        <x:f>K82-L82</x:f>
        <x:v>-10</x:v>
      </x:c>
      <x:c r="R82" s="9" t="n">
        <x:f>IF(AND(INDEX('Сводка'!$T$3:$T$397,U82)=0,INDEX('Сводка'!$T$3:$T$397,V82)=0),1,0)</x:f>
        <x:v>1</x:v>
      </x:c>
      <x:c r="S82" s="9" t="n">
        <x:f>IF(AND(R82=1,O82&lt;=$G$13),1,0)</x:f>
        <x:v>0</x:v>
      </x:c>
      <x:c r="T82" s="10" t="n">
        <x:f>EOMONTH(J82-'Сводка'!$B$11,-1)</x:f>
        <x:v>45930</x:v>
      </x:c>
      <x:c r="U82" s="4" t="n">
        <x:f>MATCH(J82,'Сводка'!$R$3:$R$397,0)</x:f>
        <x:v>93</x:v>
      </x:c>
      <x:c r="V82" s="4" t="n">
        <x:f>MATCH(J82-'Сводка'!$B$11,'Сводка'!$R$3:$R$397,0)</x:f>
        <x:v>92</x:v>
      </x:c>
      <x:c r="W82" s="4" t="n">
        <x:f>MATCH(T82,$J$388:$J$400,0)</x:f>
        <x:v>4</x:v>
      </x:c>
      <x:c r="X82" s="3"/>
      <x:c r="Y82" s="3"/>
      <x:c r="Z82" s="3"/>
    </x:row>
    <x:row r="83" ht="15" customHeight="1">
      <x:c r="A83" s="7" t="str">
        <x:f>IF(65&lt;='Сводка'!$B$3,'Сводка'!$B$4+65,"")</x:f>
      </x:c>
      <x:c r="B83" s="19" t="str">
        <x:f>IF($A83="","",(A83-$T$405+1)/1000)</x:f>
      </x:c>
      <x:c r="C83" s="19" t="str">
        <x:f>IF($A83="","",2*(A83-$T$405)/$T$406-1)</x:f>
      </x:c>
      <x:c r="D83" s="3" t="str">
        <x:f>IF($A83="","",$B$4+$B$5*LN(B83))</x:f>
      </x:c>
      <x:c r="E83" s="3" t="str">
        <x:f>IF($A83="","",SQRT($T$403^2+H83^2))</x:f>
      </x:c>
      <x:c r="F83" s="3" t="str">
        <x:f>IF($A83="","",D83-$T$404*E83)</x:f>
      </x:c>
      <x:c r="G83" s="3" t="str">
        <x:f>IF($A83="","",D83+$T$404*E83)</x:f>
      </x:c>
      <x:c r="H83" s="3" t="str">
        <x:f>IF($A83="","",SQRT(MAX(0,(1)*$S$409*(1)+(1)*$T$409*(LN(B83))+(LN(B83))*$S$410*(1)+(LN(B83))*$T$410*(LN(B83)))))</x:f>
      </x:c>
      <x:c r="I83" s="3"/>
      <x:c r="J83" s="10" t="n">
        <x:v>45934</x:v>
      </x:c>
      <x:c r="K83" s="8" t="n">
        <x:f>INDEX('Сводка'!$S$3:$S$397,U83)</x:f>
        <x:v>258</x:v>
      </x:c>
      <x:c r="L83" s="8" t="n">
        <x:f>INDEX('Сводка'!$S$3:$S$397,V83)</x:f>
        <x:v>274</x:v>
      </x:c>
      <x:c r="M83" s="8" t="n">
        <x:f>INDEX($K$388:$N$400,W83,1)+INDEX($K$388:$N$400,W83,2)*LN(((J83-$T$405+1)/1000))</x:f>
        <x:v>129.53171701593686</x:v>
      </x:c>
      <x:c r="N83" s="8" t="n">
        <x:f>K83-M83</x:f>
        <x:v>128.46828298406314</x:v>
      </x:c>
      <x:c r="O83" s="8" t="n">
        <x:f>ABS(N83)</x:f>
        <x:v>128.46828298406314</x:v>
      </x:c>
      <x:c r="P83" s="8" t="n">
        <x:f>N83^2</x:f>
        <x:v>16504.099732873325</x:v>
      </x:c>
      <x:c r="Q83" s="8" t="n">
        <x:f>K83-L83</x:f>
        <x:v>-16</x:v>
      </x:c>
      <x:c r="R83" s="9" t="n">
        <x:f>IF(AND(INDEX('Сводка'!$T$3:$T$397,U83)=0,INDEX('Сводка'!$T$3:$T$397,V83)=0),1,0)</x:f>
        <x:v>1</x:v>
      </x:c>
      <x:c r="S83" s="9" t="n">
        <x:f>IF(AND(R83=1,O83&lt;=$G$13),1,0)</x:f>
        <x:v>0</x:v>
      </x:c>
      <x:c r="T83" s="10" t="n">
        <x:f>EOMONTH(J83-'Сводка'!$B$11,-1)</x:f>
        <x:v>45930</x:v>
      </x:c>
      <x:c r="U83" s="4" t="n">
        <x:f>MATCH(J83,'Сводка'!$R$3:$R$397,0)</x:f>
        <x:v>94</x:v>
      </x:c>
      <x:c r="V83" s="4" t="n">
        <x:f>MATCH(J83-'Сводка'!$B$11,'Сводка'!$R$3:$R$397,0)</x:f>
        <x:v>93</x:v>
      </x:c>
      <x:c r="W83" s="4" t="n">
        <x:f>MATCH(T83,$J$388:$J$400,0)</x:f>
        <x:v>4</x:v>
      </x:c>
      <x:c r="X83" s="3"/>
      <x:c r="Y83" s="3"/>
      <x:c r="Z83" s="3"/>
    </x:row>
    <x:row r="84" ht="15" customHeight="1">
      <x:c r="A84" s="7" t="str">
        <x:f>IF(66&lt;='Сводка'!$B$3,'Сводка'!$B$4+66,"")</x:f>
      </x:c>
      <x:c r="B84" s="19" t="str">
        <x:f>IF($A84="","",(A84-$T$405+1)/1000)</x:f>
      </x:c>
      <x:c r="C84" s="19" t="str">
        <x:f>IF($A84="","",2*(A84-$T$405)/$T$406-1)</x:f>
      </x:c>
      <x:c r="D84" s="3" t="str">
        <x:f>IF($A84="","",$B$4+$B$5*LN(B84))</x:f>
      </x:c>
      <x:c r="E84" s="3" t="str">
        <x:f>IF($A84="","",SQRT($T$403^2+H84^2))</x:f>
      </x:c>
      <x:c r="F84" s="3" t="str">
        <x:f>IF($A84="","",D84-$T$404*E84)</x:f>
      </x:c>
      <x:c r="G84" s="3" t="str">
        <x:f>IF($A84="","",D84+$T$404*E84)</x:f>
      </x:c>
      <x:c r="H84" s="3" t="str">
        <x:f>IF($A84="","",SQRT(MAX(0,(1)*$S$409*(1)+(1)*$T$409*(LN(B84))+(LN(B84))*$S$410*(1)+(LN(B84))*$T$410*(LN(B84)))))</x:f>
      </x:c>
      <x:c r="I84" s="3"/>
      <x:c r="J84" s="10" t="n">
        <x:v>45935</x:v>
      </x:c>
      <x:c r="K84" s="8" t="n">
        <x:f>INDEX('Сводка'!$S$3:$S$397,U84)</x:f>
        <x:v>240</x:v>
      </x:c>
      <x:c r="L84" s="8" t="n">
        <x:f>INDEX('Сводка'!$S$3:$S$397,V84)</x:f>
        <x:v>258</x:v>
      </x:c>
      <x:c r="M84" s="8" t="n">
        <x:f>INDEX($K$388:$N$400,W84,1)+INDEX($K$388:$N$400,W84,2)*LN(((J84-$T$405+1)/1000))</x:f>
        <x:v>129.5386096118423</x:v>
      </x:c>
      <x:c r="N84" s="8" t="n">
        <x:f>K84-M84</x:f>
        <x:v>110.4613903881577</x:v>
      </x:c>
      <x:c r="O84" s="8" t="n">
        <x:f>ABS(N84)</x:f>
        <x:v>110.4613903881577</x:v>
      </x:c>
      <x:c r="P84" s="8" t="n">
        <x:f>N84^2</x:f>
        <x:v>12201.718766484977</x:v>
      </x:c>
      <x:c r="Q84" s="8" t="n">
        <x:f>K84-L84</x:f>
        <x:v>-18</x:v>
      </x:c>
      <x:c r="R84" s="9" t="n">
        <x:f>IF(AND(INDEX('Сводка'!$T$3:$T$397,U84)=0,INDEX('Сводка'!$T$3:$T$397,V84)=0),1,0)</x:f>
        <x:v>1</x:v>
      </x:c>
      <x:c r="S84" s="9" t="n">
        <x:f>IF(AND(R84=1,O84&lt;=$G$13),1,0)</x:f>
        <x:v>0</x:v>
      </x:c>
      <x:c r="T84" s="10" t="n">
        <x:f>EOMONTH(J84-'Сводка'!$B$11,-1)</x:f>
        <x:v>45930</x:v>
      </x:c>
      <x:c r="U84" s="4" t="n">
        <x:f>MATCH(J84,'Сводка'!$R$3:$R$397,0)</x:f>
        <x:v>95</x:v>
      </x:c>
      <x:c r="V84" s="4" t="n">
        <x:f>MATCH(J84-'Сводка'!$B$11,'Сводка'!$R$3:$R$397,0)</x:f>
        <x:v>94</x:v>
      </x:c>
      <x:c r="W84" s="4" t="n">
        <x:f>MATCH(T84,$J$388:$J$400,0)</x:f>
        <x:v>4</x:v>
      </x:c>
      <x:c r="X84" s="3"/>
      <x:c r="Y84" s="3"/>
      <x:c r="Z84" s="3"/>
    </x:row>
    <x:row r="85" ht="15" customHeight="1">
      <x:c r="A85" s="7" t="str">
        <x:f>IF(67&lt;='Сводка'!$B$3,'Сводка'!$B$4+67,"")</x:f>
      </x:c>
      <x:c r="B85" s="19" t="str">
        <x:f>IF($A85="","",(A85-$T$405+1)/1000)</x:f>
      </x:c>
      <x:c r="C85" s="19" t="str">
        <x:f>IF($A85="","",2*(A85-$T$405)/$T$406-1)</x:f>
      </x:c>
      <x:c r="D85" s="3" t="str">
        <x:f>IF($A85="","",$B$4+$B$5*LN(B85))</x:f>
      </x:c>
      <x:c r="E85" s="3" t="str">
        <x:f>IF($A85="","",SQRT($T$403^2+H85^2))</x:f>
      </x:c>
      <x:c r="F85" s="3" t="str">
        <x:f>IF($A85="","",D85-$T$404*E85)</x:f>
      </x:c>
      <x:c r="G85" s="3" t="str">
        <x:f>IF($A85="","",D85+$T$404*E85)</x:f>
      </x:c>
      <x:c r="H85" s="3" t="str">
        <x:f>IF($A85="","",SQRT(MAX(0,(1)*$S$409*(1)+(1)*$T$409*(LN(B85))+(LN(B85))*$S$410*(1)+(LN(B85))*$T$410*(LN(B85)))))</x:f>
      </x:c>
      <x:c r="I85" s="3"/>
      <x:c r="J85" s="10" t="n">
        <x:v>45936</x:v>
      </x:c>
      <x:c r="K85" s="8" t="n">
        <x:f>INDEX('Сводка'!$S$3:$S$397,U85)</x:f>
        <x:v>224</x:v>
      </x:c>
      <x:c r="L85" s="8" t="n">
        <x:f>INDEX('Сводка'!$S$3:$S$397,V85)</x:f>
        <x:v>240</x:v>
      </x:c>
      <x:c r="M85" s="8" t="n">
        <x:f>INDEX($K$388:$N$400,W85,1)+INDEX($K$388:$N$400,W85,2)*LN(((J85-$T$405+1)/1000))</x:f>
        <x:v>129.54550141362415</x:v>
      </x:c>
      <x:c r="N85" s="8" t="n">
        <x:f>K85-M85</x:f>
        <x:v>94.45449858637585</x:v>
      </x:c>
      <x:c r="O85" s="8" t="n">
        <x:f>ABS(N85)</x:f>
        <x:v>94.45449858637585</x:v>
      </x:c>
      <x:c r="P85" s="8" t="n">
        <x:f>N85^2</x:f>
        <x:v>8921.652303203677</x:v>
      </x:c>
      <x:c r="Q85" s="8" t="n">
        <x:f>K85-L85</x:f>
        <x:v>-16</x:v>
      </x:c>
      <x:c r="R85" s="9" t="n">
        <x:f>IF(AND(INDEX('Сводка'!$T$3:$T$397,U85)=0,INDEX('Сводка'!$T$3:$T$397,V85)=0),1,0)</x:f>
        <x:v>1</x:v>
      </x:c>
      <x:c r="S85" s="9" t="n">
        <x:f>IF(AND(R85=1,O85&lt;=$G$13),1,0)</x:f>
        <x:v>0</x:v>
      </x:c>
      <x:c r="T85" s="10" t="n">
        <x:f>EOMONTH(J85-'Сводка'!$B$11,-1)</x:f>
        <x:v>45930</x:v>
      </x:c>
      <x:c r="U85" s="4" t="n">
        <x:f>MATCH(J85,'Сводка'!$R$3:$R$397,0)</x:f>
        <x:v>96</x:v>
      </x:c>
      <x:c r="V85" s="4" t="n">
        <x:f>MATCH(J85-'Сводка'!$B$11,'Сводка'!$R$3:$R$397,0)</x:f>
        <x:v>95</x:v>
      </x:c>
      <x:c r="W85" s="4" t="n">
        <x:f>MATCH(T85,$J$388:$J$400,0)</x:f>
        <x:v>4</x:v>
      </x:c>
      <x:c r="X85" s="3"/>
      <x:c r="Y85" s="3"/>
      <x:c r="Z85" s="3"/>
    </x:row>
    <x:row r="86" ht="15" customHeight="1">
      <x:c r="A86" s="7" t="str">
        <x:f>IF(68&lt;='Сводка'!$B$3,'Сводка'!$B$4+68,"")</x:f>
      </x:c>
      <x:c r="B86" s="19" t="str">
        <x:f>IF($A86="","",(A86-$T$405+1)/1000)</x:f>
      </x:c>
      <x:c r="C86" s="19" t="str">
        <x:f>IF($A86="","",2*(A86-$T$405)/$T$406-1)</x:f>
      </x:c>
      <x:c r="D86" s="3" t="str">
        <x:f>IF($A86="","",$B$4+$B$5*LN(B86))</x:f>
      </x:c>
      <x:c r="E86" s="3" t="str">
        <x:f>IF($A86="","",SQRT($T$403^2+H86^2))</x:f>
      </x:c>
      <x:c r="F86" s="3" t="str">
        <x:f>IF($A86="","",D86-$T$404*E86)</x:f>
      </x:c>
      <x:c r="G86" s="3" t="str">
        <x:f>IF($A86="","",D86+$T$404*E86)</x:f>
      </x:c>
      <x:c r="H86" s="3" t="str">
        <x:f>IF($A86="","",SQRT(MAX(0,(1)*$S$409*(1)+(1)*$T$409*(LN(B86))+(LN(B86))*$S$410*(1)+(LN(B86))*$T$410*(LN(B86)))))</x:f>
      </x:c>
      <x:c r="I86" s="3"/>
      <x:c r="J86" s="10" t="n">
        <x:v>45937</x:v>
      </x:c>
      <x:c r="K86" s="8" t="n">
        <x:f>INDEX('Сводка'!$S$3:$S$397,U86)</x:f>
        <x:v>210</x:v>
      </x:c>
      <x:c r="L86" s="8" t="n">
        <x:f>INDEX('Сводка'!$S$3:$S$397,V86)</x:f>
        <x:v>224</x:v>
      </x:c>
      <x:c r="M86" s="8" t="n">
        <x:f>INDEX($K$388:$N$400,W86,1)+INDEX($K$388:$N$400,W86,2)*LN(((J86-$T$405+1)/1000))</x:f>
        <x:v>129.55239242146533</x:v>
      </x:c>
      <x:c r="N86" s="8" t="n">
        <x:f>K86-M86</x:f>
        <x:v>80.44760757853467</x:v>
      </x:c>
      <x:c r="O86" s="8" t="n">
        <x:f>ABS(N86)</x:f>
        <x:v>80.44760757853467</x:v>
      </x:c>
      <x:c r="P86" s="8" t="n">
        <x:f>N86^2</x:f>
        <x:v>6471.817565109909</x:v>
      </x:c>
      <x:c r="Q86" s="8" t="n">
        <x:f>K86-L86</x:f>
        <x:v>-14</x:v>
      </x:c>
      <x:c r="R86" s="9" t="n">
        <x:f>IF(AND(INDEX('Сводка'!$T$3:$T$397,U86)=0,INDEX('Сводка'!$T$3:$T$397,V86)=0),1,0)</x:f>
        <x:v>1</x:v>
      </x:c>
      <x:c r="S86" s="9" t="n">
        <x:f>IF(AND(R86=1,O86&lt;=$G$13),1,0)</x:f>
        <x:v>0</x:v>
      </x:c>
      <x:c r="T86" s="10" t="n">
        <x:f>EOMONTH(J86-'Сводка'!$B$11,-1)</x:f>
        <x:v>45930</x:v>
      </x:c>
      <x:c r="U86" s="4" t="n">
        <x:f>MATCH(J86,'Сводка'!$R$3:$R$397,0)</x:f>
        <x:v>97</x:v>
      </x:c>
      <x:c r="V86" s="4" t="n">
        <x:f>MATCH(J86-'Сводка'!$B$11,'Сводка'!$R$3:$R$397,0)</x:f>
        <x:v>96</x:v>
      </x:c>
      <x:c r="W86" s="4" t="n">
        <x:f>MATCH(T86,$J$388:$J$400,0)</x:f>
        <x:v>4</x:v>
      </x:c>
      <x:c r="X86" s="3"/>
      <x:c r="Y86" s="3"/>
      <x:c r="Z86" s="3"/>
    </x:row>
    <x:row r="87" ht="15" customHeight="1">
      <x:c r="A87" s="7" t="str">
        <x:f>IF(69&lt;='Сводка'!$B$3,'Сводка'!$B$4+69,"")</x:f>
      </x:c>
      <x:c r="B87" s="19" t="str">
        <x:f>IF($A87="","",(A87-$T$405+1)/1000)</x:f>
      </x:c>
      <x:c r="C87" s="19" t="str">
        <x:f>IF($A87="","",2*(A87-$T$405)/$T$406-1)</x:f>
      </x:c>
      <x:c r="D87" s="3" t="str">
        <x:f>IF($A87="","",$B$4+$B$5*LN(B87))</x:f>
      </x:c>
      <x:c r="E87" s="3" t="str">
        <x:f>IF($A87="","",SQRT($T$403^2+H87^2))</x:f>
      </x:c>
      <x:c r="F87" s="3" t="str">
        <x:f>IF($A87="","",D87-$T$404*E87)</x:f>
      </x:c>
      <x:c r="G87" s="3" t="str">
        <x:f>IF($A87="","",D87+$T$404*E87)</x:f>
      </x:c>
      <x:c r="H87" s="3" t="str">
        <x:f>IF($A87="","",SQRT(MAX(0,(1)*$S$409*(1)+(1)*$T$409*(LN(B87))+(LN(B87))*$S$410*(1)+(LN(B87))*$T$410*(LN(B87)))))</x:f>
      </x:c>
      <x:c r="I87" s="3"/>
      <x:c r="J87" s="10" t="n">
        <x:v>45938</x:v>
      </x:c>
      <x:c r="K87" s="8" t="n">
        <x:f>INDEX('Сводка'!$S$3:$S$397,U87)</x:f>
        <x:v>198</x:v>
      </x:c>
      <x:c r="L87" s="8" t="n">
        <x:f>INDEX('Сводка'!$S$3:$S$397,V87)</x:f>
        <x:v>210</x:v>
      </x:c>
      <x:c r="M87" s="8" t="n">
        <x:f>INDEX($K$388:$N$400,W87,1)+INDEX($K$388:$N$400,W87,2)*LN(((J87-$T$405+1)/1000))</x:f>
        <x:v>129.55928263554878</x:v>
      </x:c>
      <x:c r="N87" s="8" t="n">
        <x:f>K87-M87</x:f>
        <x:v>68.44071736445122</x:v>
      </x:c>
      <x:c r="O87" s="8" t="n">
        <x:f>ABS(N87)</x:f>
        <x:v>68.44071736445122</x:v>
      </x:c>
      <x:c r="P87" s="8" t="n">
        <x:f>N87^2</x:f>
        <x:v>4684.131793360694</x:v>
      </x:c>
      <x:c r="Q87" s="8" t="n">
        <x:f>K87-L87</x:f>
        <x:v>-12</x:v>
      </x:c>
      <x:c r="R87" s="9" t="n">
        <x:f>IF(AND(INDEX('Сводка'!$T$3:$T$397,U87)=0,INDEX('Сводка'!$T$3:$T$397,V87)=0),1,0)</x:f>
        <x:v>1</x:v>
      </x:c>
      <x:c r="S87" s="9" t="n">
        <x:f>IF(AND(R87=1,O87&lt;=$G$13),1,0)</x:f>
        <x:v>0</x:v>
      </x:c>
      <x:c r="T87" s="10" t="n">
        <x:f>EOMONTH(J87-'Сводка'!$B$11,-1)</x:f>
        <x:v>45930</x:v>
      </x:c>
      <x:c r="U87" s="4" t="n">
        <x:f>MATCH(J87,'Сводка'!$R$3:$R$397,0)</x:f>
        <x:v>98</x:v>
      </x:c>
      <x:c r="V87" s="4" t="n">
        <x:f>MATCH(J87-'Сводка'!$B$11,'Сводка'!$R$3:$R$397,0)</x:f>
        <x:v>97</x:v>
      </x:c>
      <x:c r="W87" s="4" t="n">
        <x:f>MATCH(T87,$J$388:$J$400,0)</x:f>
        <x:v>4</x:v>
      </x:c>
      <x:c r="X87" s="3"/>
      <x:c r="Y87" s="3"/>
      <x:c r="Z87" s="3"/>
    </x:row>
    <x:row r="88" ht="15" customHeight="1">
      <x:c r="A88" s="7" t="str">
        <x:f>IF(70&lt;='Сводка'!$B$3,'Сводка'!$B$4+70,"")</x:f>
      </x:c>
      <x:c r="B88" s="19" t="str">
        <x:f>IF($A88="","",(A88-$T$405+1)/1000)</x:f>
      </x:c>
      <x:c r="C88" s="19" t="str">
        <x:f>IF($A88="","",2*(A88-$T$405)/$T$406-1)</x:f>
      </x:c>
      <x:c r="D88" s="3" t="str">
        <x:f>IF($A88="","",$B$4+$B$5*LN(B88))</x:f>
      </x:c>
      <x:c r="E88" s="3" t="str">
        <x:f>IF($A88="","",SQRT($T$403^2+H88^2))</x:f>
      </x:c>
      <x:c r="F88" s="3" t="str">
        <x:f>IF($A88="","",D88-$T$404*E88)</x:f>
      </x:c>
      <x:c r="G88" s="3" t="str">
        <x:f>IF($A88="","",D88+$T$404*E88)</x:f>
      </x:c>
      <x:c r="H88" s="3" t="str">
        <x:f>IF($A88="","",SQRT(MAX(0,(1)*$S$409*(1)+(1)*$T$409*(LN(B88))+(LN(B88))*$S$410*(1)+(LN(B88))*$T$410*(LN(B88)))))</x:f>
      </x:c>
      <x:c r="I88" s="3"/>
      <x:c r="J88" s="10" t="n">
        <x:v>45939</x:v>
      </x:c>
      <x:c r="K88" s="8" t="n">
        <x:f>INDEX('Сводка'!$S$3:$S$397,U88)</x:f>
        <x:v>178</x:v>
      </x:c>
      <x:c r="L88" s="8" t="n">
        <x:f>INDEX('Сводка'!$S$3:$S$397,V88)</x:f>
        <x:v>198</x:v>
      </x:c>
      <x:c r="M88" s="8" t="n">
        <x:f>INDEX($K$388:$N$400,W88,1)+INDEX($K$388:$N$400,W88,2)*LN(((J88-$T$405+1)/1000))</x:f>
        <x:v>129.5661720560573</x:v>
      </x:c>
      <x:c r="N88" s="8" t="n">
        <x:f>K88-M88</x:f>
        <x:v>48.4338279439427</x:v>
      </x:c>
      <x:c r="O88" s="8" t="n">
        <x:f>ABS(N88)</x:f>
        <x:v>48.4338279439427</x:v>
      </x:c>
      <x:c r="P88" s="8" t="n">
        <x:f>N88^2</x:f>
        <x:v>2345.835689303445</x:v>
      </x:c>
      <x:c r="Q88" s="8" t="n">
        <x:f>K88-L88</x:f>
        <x:v>-20</x:v>
      </x:c>
      <x:c r="R88" s="9" t="n">
        <x:f>IF(AND(INDEX('Сводка'!$T$3:$T$397,U88)=0,INDEX('Сводка'!$T$3:$T$397,V88)=0),1,0)</x:f>
        <x:v>1</x:v>
      </x:c>
      <x:c r="S88" s="9" t="n">
        <x:f>IF(AND(R88=1,O88&lt;=$G$13),1,0)</x:f>
        <x:v>0</x:v>
      </x:c>
      <x:c r="T88" s="10" t="n">
        <x:f>EOMONTH(J88-'Сводка'!$B$11,-1)</x:f>
        <x:v>45930</x:v>
      </x:c>
      <x:c r="U88" s="4" t="n">
        <x:f>MATCH(J88,'Сводка'!$R$3:$R$397,0)</x:f>
        <x:v>99</x:v>
      </x:c>
      <x:c r="V88" s="4" t="n">
        <x:f>MATCH(J88-'Сводка'!$B$11,'Сводка'!$R$3:$R$397,0)</x:f>
        <x:v>98</x:v>
      </x:c>
      <x:c r="W88" s="4" t="n">
        <x:f>MATCH(T88,$J$388:$J$400,0)</x:f>
        <x:v>4</x:v>
      </x:c>
      <x:c r="X88" s="3"/>
      <x:c r="Y88" s="3"/>
      <x:c r="Z88" s="3"/>
    </x:row>
    <x:row r="89" ht="15" customHeight="1">
      <x:c r="A89" s="7" t="str">
        <x:f>IF(71&lt;='Сводка'!$B$3,'Сводка'!$B$4+71,"")</x:f>
      </x:c>
      <x:c r="B89" s="19" t="str">
        <x:f>IF($A89="","",(A89-$T$405+1)/1000)</x:f>
      </x:c>
      <x:c r="C89" s="19" t="str">
        <x:f>IF($A89="","",2*(A89-$T$405)/$T$406-1)</x:f>
      </x:c>
      <x:c r="D89" s="3" t="str">
        <x:f>IF($A89="","",$B$4+$B$5*LN(B89))</x:f>
      </x:c>
      <x:c r="E89" s="3" t="str">
        <x:f>IF($A89="","",SQRT($T$403^2+H89^2))</x:f>
      </x:c>
      <x:c r="F89" s="3" t="str">
        <x:f>IF($A89="","",D89-$T$404*E89)</x:f>
      </x:c>
      <x:c r="G89" s="3" t="str">
        <x:f>IF($A89="","",D89+$T$404*E89)</x:f>
      </x:c>
      <x:c r="H89" s="3" t="str">
        <x:f>IF($A89="","",SQRT(MAX(0,(1)*$S$409*(1)+(1)*$T$409*(LN(B89))+(LN(B89))*$S$410*(1)+(LN(B89))*$T$410*(LN(B89)))))</x:f>
      </x:c>
      <x:c r="I89" s="3"/>
      <x:c r="J89" s="10" t="n">
        <x:v>45940</x:v>
      </x:c>
      <x:c r="K89" s="8" t="n">
        <x:f>INDEX('Сводка'!$S$3:$S$397,U89)</x:f>
        <x:v>163</x:v>
      </x:c>
      <x:c r="L89" s="8" t="n">
        <x:f>INDEX('Сводка'!$S$3:$S$397,V89)</x:f>
        <x:v>178</x:v>
      </x:c>
      <x:c r="M89" s="8" t="n">
        <x:f>INDEX($K$388:$N$400,W89,1)+INDEX($K$388:$N$400,W89,2)*LN(((J89-$T$405+1)/1000))</x:f>
        <x:v>129.5730606831737</x:v>
      </x:c>
      <x:c r="N89" s="8" t="n">
        <x:f>K89-M89</x:f>
        <x:v>33.42693931682629</x:v>
      </x:c>
      <x:c r="O89" s="8" t="n">
        <x:f>ABS(N89)</x:f>
        <x:v>33.42693931682629</x:v>
      </x:c>
      <x:c r="P89" s="8" t="n">
        <x:f>N89^2</x:f>
        <x:v>1117.3602720907875</x:v>
      </x:c>
      <x:c r="Q89" s="8" t="n">
        <x:f>K89-L89</x:f>
        <x:v>-15</x:v>
      </x:c>
      <x:c r="R89" s="9" t="n">
        <x:f>IF(AND(INDEX('Сводка'!$T$3:$T$397,U89)=0,INDEX('Сводка'!$T$3:$T$397,V89)=0),1,0)</x:f>
        <x:v>1</x:v>
      </x:c>
      <x:c r="S89" s="9" t="n">
        <x:f>IF(AND(R89=1,O89&lt;=$G$13),1,0)</x:f>
        <x:v>0</x:v>
      </x:c>
      <x:c r="T89" s="10" t="n">
        <x:f>EOMONTH(J89-'Сводка'!$B$11,-1)</x:f>
        <x:v>45930</x:v>
      </x:c>
      <x:c r="U89" s="4" t="n">
        <x:f>MATCH(J89,'Сводка'!$R$3:$R$397,0)</x:f>
        <x:v>100</x:v>
      </x:c>
      <x:c r="V89" s="4" t="n">
        <x:f>MATCH(J89-'Сводка'!$B$11,'Сводка'!$R$3:$R$397,0)</x:f>
        <x:v>99</x:v>
      </x:c>
      <x:c r="W89" s="4" t="n">
        <x:f>MATCH(T89,$J$388:$J$400,0)</x:f>
        <x:v>4</x:v>
      </x:c>
      <x:c r="X89" s="3"/>
      <x:c r="Y89" s="3"/>
      <x:c r="Z89" s="3"/>
    </x:row>
    <x:row r="90" ht="15" customHeight="1">
      <x:c r="A90" s="7" t="str">
        <x:f>IF(72&lt;='Сводка'!$B$3,'Сводка'!$B$4+72,"")</x:f>
      </x:c>
      <x:c r="B90" s="19" t="str">
        <x:f>IF($A90="","",(A90-$T$405+1)/1000)</x:f>
      </x:c>
      <x:c r="C90" s="19" t="str">
        <x:f>IF($A90="","",2*(A90-$T$405)/$T$406-1)</x:f>
      </x:c>
      <x:c r="D90" s="3" t="str">
        <x:f>IF($A90="","",$B$4+$B$5*LN(B90))</x:f>
      </x:c>
      <x:c r="E90" s="3" t="str">
        <x:f>IF($A90="","",SQRT($T$403^2+H90^2))</x:f>
      </x:c>
      <x:c r="F90" s="3" t="str">
        <x:f>IF($A90="","",D90-$T$404*E90)</x:f>
      </x:c>
      <x:c r="G90" s="3" t="str">
        <x:f>IF($A90="","",D90+$T$404*E90)</x:f>
      </x:c>
      <x:c r="H90" s="3" t="str">
        <x:f>IF($A90="","",SQRT(MAX(0,(1)*$S$409*(1)+(1)*$T$409*(LN(B90))+(LN(B90))*$S$410*(1)+(LN(B90))*$T$410*(LN(B90)))))</x:f>
      </x:c>
      <x:c r="I90" s="3"/>
      <x:c r="J90" s="10" t="n">
        <x:v>45941</x:v>
      </x:c>
      <x:c r="K90" s="8" t="n">
        <x:f>INDEX('Сводка'!$S$3:$S$397,U90)</x:f>
        <x:v>152</x:v>
      </x:c>
      <x:c r="L90" s="8" t="n">
        <x:f>INDEX('Сводка'!$S$3:$S$397,V90)</x:f>
        <x:v>163</x:v>
      </x:c>
      <x:c r="M90" s="8" t="n">
        <x:f>INDEX($K$388:$N$400,W90,1)+INDEX($K$388:$N$400,W90,2)*LN(((J90-$T$405+1)/1000))</x:f>
        <x:v>129.5799485170807</x:v>
      </x:c>
      <x:c r="N90" s="8" t="n">
        <x:f>K90-M90</x:f>
        <x:v>22.42005148291929</x:v>
      </x:c>
      <x:c r="O90" s="8" t="n">
        <x:f>ABS(N90)</x:f>
        <x:v>22.42005148291929</x:v>
      </x:c>
      <x:c r="P90" s="8" t="n">
        <x:f>N90^2</x:f>
        <x:v>502.6587084967515</x:v>
      </x:c>
      <x:c r="Q90" s="8" t="n">
        <x:f>K90-L90</x:f>
        <x:v>-11</x:v>
      </x:c>
      <x:c r="R90" s="9" t="n">
        <x:f>IF(AND(INDEX('Сводка'!$T$3:$T$397,U90)=0,INDEX('Сводка'!$T$3:$T$397,V90)=0),1,0)</x:f>
        <x:v>1</x:v>
      </x:c>
      <x:c r="S90" s="9" t="n">
        <x:f>IF(AND(R90=1,O90&lt;=$G$13),1,0)</x:f>
        <x:v>0</x:v>
      </x:c>
      <x:c r="T90" s="10" t="n">
        <x:f>EOMONTH(J90-'Сводка'!$B$11,-1)</x:f>
        <x:v>45930</x:v>
      </x:c>
      <x:c r="U90" s="4" t="n">
        <x:f>MATCH(J90,'Сводка'!$R$3:$R$397,0)</x:f>
        <x:v>101</x:v>
      </x:c>
      <x:c r="V90" s="4" t="n">
        <x:f>MATCH(J90-'Сводка'!$B$11,'Сводка'!$R$3:$R$397,0)</x:f>
        <x:v>100</x:v>
      </x:c>
      <x:c r="W90" s="4" t="n">
        <x:f>MATCH(T90,$J$388:$J$400,0)</x:f>
        <x:v>4</x:v>
      </x:c>
      <x:c r="X90" s="3"/>
      <x:c r="Y90" s="3"/>
      <x:c r="Z90" s="3"/>
    </x:row>
    <x:row r="91" ht="15" customHeight="1">
      <x:c r="A91" s="7" t="str">
        <x:f>IF(73&lt;='Сводка'!$B$3,'Сводка'!$B$4+73,"")</x:f>
      </x:c>
      <x:c r="B91" s="19" t="str">
        <x:f>IF($A91="","",(A91-$T$405+1)/1000)</x:f>
      </x:c>
      <x:c r="C91" s="19" t="str">
        <x:f>IF($A91="","",2*(A91-$T$405)/$T$406-1)</x:f>
      </x:c>
      <x:c r="D91" s="3" t="str">
        <x:f>IF($A91="","",$B$4+$B$5*LN(B91))</x:f>
      </x:c>
      <x:c r="E91" s="3" t="str">
        <x:f>IF($A91="","",SQRT($T$403^2+H91^2))</x:f>
      </x:c>
      <x:c r="F91" s="3" t="str">
        <x:f>IF($A91="","",D91-$T$404*E91)</x:f>
      </x:c>
      <x:c r="G91" s="3" t="str">
        <x:f>IF($A91="","",D91+$T$404*E91)</x:f>
      </x:c>
      <x:c r="H91" s="3" t="str">
        <x:f>IF($A91="","",SQRT(MAX(0,(1)*$S$409*(1)+(1)*$T$409*(LN(B91))+(LN(B91))*$S$410*(1)+(LN(B91))*$T$410*(LN(B91)))))</x:f>
      </x:c>
      <x:c r="I91" s="3"/>
      <x:c r="J91" s="10" t="n">
        <x:v>45942</x:v>
      </x:c>
      <x:c r="K91" s="8" t="n">
        <x:f>INDEX('Сводка'!$S$3:$S$397,U91)</x:f>
        <x:v>138</x:v>
      </x:c>
      <x:c r="L91" s="8" t="n">
        <x:f>INDEX('Сводка'!$S$3:$S$397,V91)</x:f>
        <x:v>152</x:v>
      </x:c>
      <x:c r="M91" s="8" t="n">
        <x:f>INDEX($K$388:$N$400,W91,1)+INDEX($K$388:$N$400,W91,2)*LN(((J91-$T$405+1)/1000))</x:f>
        <x:v>129.58683555796094</x:v>
      </x:c>
      <x:c r="N91" s="8" t="n">
        <x:f>K91-M91</x:f>
        <x:v>8.413164442039061</x:v>
      </x:c>
      <x:c r="O91" s="8" t="n">
        <x:f>ABS(N91)</x:f>
        <x:v>8.413164442039061</x:v>
      </x:c>
      <x:c r="P91" s="8" t="n">
        <x:f>N91^2</x:f>
        <x:v>70.78133592879043</x:v>
      </x:c>
      <x:c r="Q91" s="8" t="n">
        <x:f>K91-L91</x:f>
        <x:v>-14</x:v>
      </x:c>
      <x:c r="R91" s="9" t="n">
        <x:f>IF(AND(INDEX('Сводка'!$T$3:$T$397,U91)=0,INDEX('Сводка'!$T$3:$T$397,V91)=0),1,0)</x:f>
        <x:v>1</x:v>
      </x:c>
      <x:c r="S91" s="9" t="n">
        <x:f>IF(AND(R91=1,O91&lt;=$G$13),1,0)</x:f>
        <x:v>0</x:v>
      </x:c>
      <x:c r="T91" s="10" t="n">
        <x:f>EOMONTH(J91-'Сводка'!$B$11,-1)</x:f>
        <x:v>45930</x:v>
      </x:c>
      <x:c r="U91" s="4" t="n">
        <x:f>MATCH(J91,'Сводка'!$R$3:$R$397,0)</x:f>
        <x:v>102</x:v>
      </x:c>
      <x:c r="V91" s="4" t="n">
        <x:f>MATCH(J91-'Сводка'!$B$11,'Сводка'!$R$3:$R$397,0)</x:f>
        <x:v>101</x:v>
      </x:c>
      <x:c r="W91" s="4" t="n">
        <x:f>MATCH(T91,$J$388:$J$400,0)</x:f>
        <x:v>4</x:v>
      </x:c>
      <x:c r="X91" s="3"/>
      <x:c r="Y91" s="3"/>
      <x:c r="Z91" s="3"/>
    </x:row>
    <x:row r="92" ht="15" customHeight="1">
      <x:c r="A92" s="7" t="str">
        <x:f>IF(74&lt;='Сводка'!$B$3,'Сводка'!$B$4+74,"")</x:f>
      </x:c>
      <x:c r="B92" s="19" t="str">
        <x:f>IF($A92="","",(A92-$T$405+1)/1000)</x:f>
      </x:c>
      <x:c r="C92" s="19" t="str">
        <x:f>IF($A92="","",2*(A92-$T$405)/$T$406-1)</x:f>
      </x:c>
      <x:c r="D92" s="3" t="str">
        <x:f>IF($A92="","",$B$4+$B$5*LN(B92))</x:f>
      </x:c>
      <x:c r="E92" s="3" t="str">
        <x:f>IF($A92="","",SQRT($T$403^2+H92^2))</x:f>
      </x:c>
      <x:c r="F92" s="3" t="str">
        <x:f>IF($A92="","",D92-$T$404*E92)</x:f>
      </x:c>
      <x:c r="G92" s="3" t="str">
        <x:f>IF($A92="","",D92+$T$404*E92)</x:f>
      </x:c>
      <x:c r="H92" s="3" t="str">
        <x:f>IF($A92="","",SQRT(MAX(0,(1)*$S$409*(1)+(1)*$T$409*(LN(B92))+(LN(B92))*$S$410*(1)+(LN(B92))*$T$410*(LN(B92)))))</x:f>
      </x:c>
      <x:c r="I92" s="3"/>
      <x:c r="J92" s="10" t="n">
        <x:v>45943</x:v>
      </x:c>
      <x:c r="K92" s="8" t="n">
        <x:f>INDEX('Сводка'!$S$3:$S$397,U92)</x:f>
        <x:v>123</x:v>
      </x:c>
      <x:c r="L92" s="8" t="n">
        <x:f>INDEX('Сводка'!$S$3:$S$397,V92)</x:f>
        <x:v>138</x:v>
      </x:c>
      <x:c r="M92" s="8" t="n">
        <x:f>INDEX($K$388:$N$400,W92,1)+INDEX($K$388:$N$400,W92,2)*LN(((J92-$T$405+1)/1000))</x:f>
        <x:v>129.593721805997</x:v>
      </x:c>
      <x:c r="N92" s="8" t="n">
        <x:f>K92-M92</x:f>
        <x:v>-6.593721805997006</x:v>
      </x:c>
      <x:c r="O92" s="8" t="n">
        <x:f>ABS(N92)</x:f>
        <x:v>6.593721805997006</x:v>
      </x:c>
      <x:c r="P92" s="8" t="n">
        <x:f>N92^2</x:f>
        <x:v>43.47716725488042</x:v>
      </x:c>
      <x:c r="Q92" s="8" t="n">
        <x:f>K92-L92</x:f>
        <x:v>-15</x:v>
      </x:c>
      <x:c r="R92" s="9" t="n">
        <x:f>IF(AND(INDEX('Сводка'!$T$3:$T$397,U92)=0,INDEX('Сводка'!$T$3:$T$397,V92)=0),1,0)</x:f>
        <x:v>1</x:v>
      </x:c>
      <x:c r="S92" s="9" t="n">
        <x:f>IF(AND(R92=1,O92&lt;=$G$13),1,0)</x:f>
        <x:v>1</x:v>
      </x:c>
      <x:c r="T92" s="10" t="n">
        <x:f>EOMONTH(J92-'Сводка'!$B$11,-1)</x:f>
        <x:v>45930</x:v>
      </x:c>
      <x:c r="U92" s="4" t="n">
        <x:f>MATCH(J92,'Сводка'!$R$3:$R$397,0)</x:f>
        <x:v>103</x:v>
      </x:c>
      <x:c r="V92" s="4" t="n">
        <x:f>MATCH(J92-'Сводка'!$B$11,'Сводка'!$R$3:$R$397,0)</x:f>
        <x:v>102</x:v>
      </x:c>
      <x:c r="W92" s="4" t="n">
        <x:f>MATCH(T92,$J$388:$J$400,0)</x:f>
        <x:v>4</x:v>
      </x:c>
      <x:c r="X92" s="3"/>
      <x:c r="Y92" s="3"/>
      <x:c r="Z92" s="3"/>
    </x:row>
    <x:row r="93" ht="15" customHeight="1">
      <x:c r="A93" s="7" t="str">
        <x:f>IF(75&lt;='Сводка'!$B$3,'Сводка'!$B$4+75,"")</x:f>
      </x:c>
      <x:c r="B93" s="19" t="str">
        <x:f>IF($A93="","",(A93-$T$405+1)/1000)</x:f>
      </x:c>
      <x:c r="C93" s="19" t="str">
        <x:f>IF($A93="","",2*(A93-$T$405)/$T$406-1)</x:f>
      </x:c>
      <x:c r="D93" s="3" t="str">
        <x:f>IF($A93="","",$B$4+$B$5*LN(B93))</x:f>
      </x:c>
      <x:c r="E93" s="3" t="str">
        <x:f>IF($A93="","",SQRT($T$403^2+H93^2))</x:f>
      </x:c>
      <x:c r="F93" s="3" t="str">
        <x:f>IF($A93="","",D93-$T$404*E93)</x:f>
      </x:c>
      <x:c r="G93" s="3" t="str">
        <x:f>IF($A93="","",D93+$T$404*E93)</x:f>
      </x:c>
      <x:c r="H93" s="3" t="str">
        <x:f>IF($A93="","",SQRT(MAX(0,(1)*$S$409*(1)+(1)*$T$409*(LN(B93))+(LN(B93))*$S$410*(1)+(LN(B93))*$T$410*(LN(B93)))))</x:f>
      </x:c>
      <x:c r="I93" s="3"/>
      <x:c r="J93" s="10" t="n">
        <x:v>45944</x:v>
      </x:c>
      <x:c r="K93" s="8" t="n">
        <x:f>INDEX('Сводка'!$S$3:$S$397,U93)</x:f>
        <x:v>111</x:v>
      </x:c>
      <x:c r="L93" s="8" t="n">
        <x:f>INDEX('Сводка'!$S$3:$S$397,V93)</x:f>
        <x:v>123</x:v>
      </x:c>
      <x:c r="M93" s="8" t="n">
        <x:f>INDEX($K$388:$N$400,W93,1)+INDEX($K$388:$N$400,W93,2)*LN(((J93-$T$405+1)/1000))</x:f>
        <x:v>129.60060726137144</x:v>
      </x:c>
      <x:c r="N93" s="8" t="n">
        <x:f>K93-M93</x:f>
        <x:v>-18.600607261371437</x:v>
      </x:c>
      <x:c r="O93" s="8" t="n">
        <x:f>ABS(N93)</x:f>
        <x:v>18.600607261371437</x:v>
      </x:c>
      <x:c r="P93" s="8" t="n">
        <x:f>N93^2</x:f>
        <x:v>345.9825904917838</x:v>
      </x:c>
      <x:c r="Q93" s="8" t="n">
        <x:f>K93-L93</x:f>
        <x:v>-12</x:v>
      </x:c>
      <x:c r="R93" s="9" t="n">
        <x:f>IF(AND(INDEX('Сводка'!$T$3:$T$397,U93)=0,INDEX('Сводка'!$T$3:$T$397,V93)=0),1,0)</x:f>
        <x:v>1</x:v>
      </x:c>
      <x:c r="S93" s="9" t="n">
        <x:f>IF(AND(R93=1,O93&lt;=$G$13),1,0)</x:f>
        <x:v>0</x:v>
      </x:c>
      <x:c r="T93" s="10" t="n">
        <x:f>EOMONTH(J93-'Сводка'!$B$11,-1)</x:f>
        <x:v>45930</x:v>
      </x:c>
      <x:c r="U93" s="4" t="n">
        <x:f>MATCH(J93,'Сводка'!$R$3:$R$397,0)</x:f>
        <x:v>104</x:v>
      </x:c>
      <x:c r="V93" s="4" t="n">
        <x:f>MATCH(J93-'Сводка'!$B$11,'Сводка'!$R$3:$R$397,0)</x:f>
        <x:v>103</x:v>
      </x:c>
      <x:c r="W93" s="4" t="n">
        <x:f>MATCH(T93,$J$388:$J$400,0)</x:f>
        <x:v>4</x:v>
      </x:c>
      <x:c r="X93" s="3"/>
      <x:c r="Y93" s="3"/>
      <x:c r="Z93" s="3"/>
    </x:row>
    <x:row r="94" ht="15" customHeight="1">
      <x:c r="A94" s="7" t="str">
        <x:f>IF(76&lt;='Сводка'!$B$3,'Сводка'!$B$4+76,"")</x:f>
      </x:c>
      <x:c r="B94" s="19" t="str">
        <x:f>IF($A94="","",(A94-$T$405+1)/1000)</x:f>
      </x:c>
      <x:c r="C94" s="19" t="str">
        <x:f>IF($A94="","",2*(A94-$T$405)/$T$406-1)</x:f>
      </x:c>
      <x:c r="D94" s="3" t="str">
        <x:f>IF($A94="","",$B$4+$B$5*LN(B94))</x:f>
      </x:c>
      <x:c r="E94" s="3" t="str">
        <x:f>IF($A94="","",SQRT($T$403^2+H94^2))</x:f>
      </x:c>
      <x:c r="F94" s="3" t="str">
        <x:f>IF($A94="","",D94-$T$404*E94)</x:f>
      </x:c>
      <x:c r="G94" s="3" t="str">
        <x:f>IF($A94="","",D94+$T$404*E94)</x:f>
      </x:c>
      <x:c r="H94" s="3" t="str">
        <x:f>IF($A94="","",SQRT(MAX(0,(1)*$S$409*(1)+(1)*$T$409*(LN(B94))+(LN(B94))*$S$410*(1)+(LN(B94))*$T$410*(LN(B94)))))</x:f>
      </x:c>
      <x:c r="I94" s="3"/>
      <x:c r="J94" s="10" t="n">
        <x:v>45945</x:v>
      </x:c>
      <x:c r="K94" s="8" t="n">
        <x:f>INDEX('Сводка'!$S$3:$S$397,U94)</x:f>
        <x:v>100</x:v>
      </x:c>
      <x:c r="L94" s="8" t="n">
        <x:f>INDEX('Сводка'!$S$3:$S$397,V94)</x:f>
        <x:v>111</x:v>
      </x:c>
      <x:c r="M94" s="8" t="n">
        <x:f>INDEX($K$388:$N$400,W94,1)+INDEX($K$388:$N$400,W94,2)*LN(((J94-$T$405+1)/1000))</x:f>
        <x:v>129.60749192426667</x:v>
      </x:c>
      <x:c r="N94" s="8" t="n">
        <x:f>K94-M94</x:f>
        <x:v>-29.607491924266668</x:v>
      </x:c>
      <x:c r="O94" s="8" t="n">
        <x:f>ABS(N94)</x:f>
        <x:v>29.607491924266668</x:v>
      </x:c>
      <x:c r="P94" s="8" t="n">
        <x:f>N94^2</x:f>
        <x:v>876.603578045516</x:v>
      </x:c>
      <x:c r="Q94" s="8" t="n">
        <x:f>K94-L94</x:f>
        <x:v>-11</x:v>
      </x:c>
      <x:c r="R94" s="9" t="n">
        <x:f>IF(AND(INDEX('Сводка'!$T$3:$T$397,U94)=0,INDEX('Сводка'!$T$3:$T$397,V94)=0),1,0)</x:f>
        <x:v>1</x:v>
      </x:c>
      <x:c r="S94" s="9" t="n">
        <x:f>IF(AND(R94=1,O94&lt;=$G$13),1,0)</x:f>
        <x:v>0</x:v>
      </x:c>
      <x:c r="T94" s="10" t="n">
        <x:f>EOMONTH(J94-'Сводка'!$B$11,-1)</x:f>
        <x:v>45930</x:v>
      </x:c>
      <x:c r="U94" s="4" t="n">
        <x:f>MATCH(J94,'Сводка'!$R$3:$R$397,0)</x:f>
        <x:v>105</x:v>
      </x:c>
      <x:c r="V94" s="4" t="n">
        <x:f>MATCH(J94-'Сводка'!$B$11,'Сводка'!$R$3:$R$397,0)</x:f>
        <x:v>104</x:v>
      </x:c>
      <x:c r="W94" s="4" t="n">
        <x:f>MATCH(T94,$J$388:$J$400,0)</x:f>
        <x:v>4</x:v>
      </x:c>
      <x:c r="X94" s="3"/>
      <x:c r="Y94" s="3"/>
      <x:c r="Z94" s="3"/>
    </x:row>
    <x:row r="95" ht="15" customHeight="1">
      <x:c r="A95" s="7" t="str">
        <x:f>IF(77&lt;='Сводка'!$B$3,'Сводка'!$B$4+77,"")</x:f>
      </x:c>
      <x:c r="B95" s="19" t="str">
        <x:f>IF($A95="","",(A95-$T$405+1)/1000)</x:f>
      </x:c>
      <x:c r="C95" s="19" t="str">
        <x:f>IF($A95="","",2*(A95-$T$405)/$T$406-1)</x:f>
      </x:c>
      <x:c r="D95" s="3" t="str">
        <x:f>IF($A95="","",$B$4+$B$5*LN(B95))</x:f>
      </x:c>
      <x:c r="E95" s="3" t="str">
        <x:f>IF($A95="","",SQRT($T$403^2+H95^2))</x:f>
      </x:c>
      <x:c r="F95" s="3" t="str">
        <x:f>IF($A95="","",D95-$T$404*E95)</x:f>
      </x:c>
      <x:c r="G95" s="3" t="str">
        <x:f>IF($A95="","",D95+$T$404*E95)</x:f>
      </x:c>
      <x:c r="H95" s="3" t="str">
        <x:f>IF($A95="","",SQRT(MAX(0,(1)*$S$409*(1)+(1)*$T$409*(LN(B95))+(LN(B95))*$S$410*(1)+(LN(B95))*$T$410*(LN(B95)))))</x:f>
      </x:c>
      <x:c r="I95" s="3"/>
      <x:c r="J95" s="10" t="n">
        <x:v>45946</x:v>
      </x:c>
      <x:c r="K95" s="8" t="n">
        <x:f>INDEX('Сводка'!$S$3:$S$397,U95)</x:f>
        <x:v>89</x:v>
      </x:c>
      <x:c r="L95" s="8" t="n">
        <x:f>INDEX('Сводка'!$S$3:$S$397,V95)</x:f>
        <x:v>100</x:v>
      </x:c>
      <x:c r="M95" s="8" t="n">
        <x:f>INDEX($K$388:$N$400,W95,1)+INDEX($K$388:$N$400,W95,2)*LN(((J95-$T$405+1)/1000))</x:f>
        <x:v>129.6143757948651</x:v>
      </x:c>
      <x:c r="N95" s="8" t="n">
        <x:f>K95-M95</x:f>
        <x:v>-40.61437579486511</x:v>
      </x:c>
      <x:c r="O95" s="8" t="n">
        <x:f>ABS(N95)</x:f>
        <x:v>40.61437579486511</x:v>
      </x:c>
      <x:c r="P95" s="8" t="n">
        <x:f>N95^2</x:f>
        <x:v>1649.527521206525</x:v>
      </x:c>
      <x:c r="Q95" s="8" t="n">
        <x:f>K95-L95</x:f>
        <x:v>-11</x:v>
      </x:c>
      <x:c r="R95" s="9" t="n">
        <x:f>IF(AND(INDEX('Сводка'!$T$3:$T$397,U95)=0,INDEX('Сводка'!$T$3:$T$397,V95)=0),1,0)</x:f>
        <x:v>1</x:v>
      </x:c>
      <x:c r="S95" s="9" t="n">
        <x:f>IF(AND(R95=1,O95&lt;=$G$13),1,0)</x:f>
        <x:v>0</x:v>
      </x:c>
      <x:c r="T95" s="10" t="n">
        <x:f>EOMONTH(J95-'Сводка'!$B$11,-1)</x:f>
        <x:v>45930</x:v>
      </x:c>
      <x:c r="U95" s="4" t="n">
        <x:f>MATCH(J95,'Сводка'!$R$3:$R$397,0)</x:f>
        <x:v>106</x:v>
      </x:c>
      <x:c r="V95" s="4" t="n">
        <x:f>MATCH(J95-'Сводка'!$B$11,'Сводка'!$R$3:$R$397,0)</x:f>
        <x:v>105</x:v>
      </x:c>
      <x:c r="W95" s="4" t="n">
        <x:f>MATCH(T95,$J$388:$J$400,0)</x:f>
        <x:v>4</x:v>
      </x:c>
      <x:c r="X95" s="3"/>
      <x:c r="Y95" s="3"/>
      <x:c r="Z95" s="3"/>
    </x:row>
    <x:row r="96" ht="15" customHeight="1">
      <x:c r="A96" s="7" t="str">
        <x:f>IF(78&lt;='Сводка'!$B$3,'Сводка'!$B$4+78,"")</x:f>
      </x:c>
      <x:c r="B96" s="19" t="str">
        <x:f>IF($A96="","",(A96-$T$405+1)/1000)</x:f>
      </x:c>
      <x:c r="C96" s="19" t="str">
        <x:f>IF($A96="","",2*(A96-$T$405)/$T$406-1)</x:f>
      </x:c>
      <x:c r="D96" s="3" t="str">
        <x:f>IF($A96="","",$B$4+$B$5*LN(B96))</x:f>
      </x:c>
      <x:c r="E96" s="3" t="str">
        <x:f>IF($A96="","",SQRT($T$403^2+H96^2))</x:f>
      </x:c>
      <x:c r="F96" s="3" t="str">
        <x:f>IF($A96="","",D96-$T$404*E96)</x:f>
      </x:c>
      <x:c r="G96" s="3" t="str">
        <x:f>IF($A96="","",D96+$T$404*E96)</x:f>
      </x:c>
      <x:c r="H96" s="3" t="str">
        <x:f>IF($A96="","",SQRT(MAX(0,(1)*$S$409*(1)+(1)*$T$409*(LN(B96))+(LN(B96))*$S$410*(1)+(LN(B96))*$T$410*(LN(B96)))))</x:f>
      </x:c>
      <x:c r="I96" s="3"/>
      <x:c r="J96" s="10" t="n">
        <x:v>45947</x:v>
      </x:c>
      <x:c r="K96" s="8" t="n">
        <x:f>INDEX('Сводка'!$S$3:$S$397,U96)</x:f>
        <x:v>79</x:v>
      </x:c>
      <x:c r="L96" s="8" t="n">
        <x:f>INDEX('Сводка'!$S$3:$S$397,V96)</x:f>
        <x:v>89</x:v>
      </x:c>
      <x:c r="M96" s="8" t="n">
        <x:f>INDEX($K$388:$N$400,W96,1)+INDEX($K$388:$N$400,W96,2)*LN(((J96-$T$405+1)/1000))</x:f>
        <x:v>129.62125887334912</x:v>
      </x:c>
      <x:c r="N96" s="8" t="n">
        <x:f>K96-M96</x:f>
        <x:v>-50.62125887334912</x:v>
      </x:c>
      <x:c r="O96" s="8" t="n">
        <x:f>ABS(N96)</x:f>
        <x:v>50.62125887334912</x:v>
      </x:c>
      <x:c r="P96" s="8" t="n">
        <x:f>N96^2</x:f>
        <x:v>2562.511849922627</x:v>
      </x:c>
      <x:c r="Q96" s="8" t="n">
        <x:f>K96-L96</x:f>
        <x:v>-10</x:v>
      </x:c>
      <x:c r="R96" s="9" t="n">
        <x:f>IF(AND(INDEX('Сводка'!$T$3:$T$397,U96)=0,INDEX('Сводка'!$T$3:$T$397,V96)=0),1,0)</x:f>
        <x:v>1</x:v>
      </x:c>
      <x:c r="S96" s="9" t="n">
        <x:f>IF(AND(R96=1,O96&lt;=$G$13),1,0)</x:f>
        <x:v>0</x:v>
      </x:c>
      <x:c r="T96" s="10" t="n">
        <x:f>EOMONTH(J96-'Сводка'!$B$11,-1)</x:f>
        <x:v>45930</x:v>
      </x:c>
      <x:c r="U96" s="4" t="n">
        <x:f>MATCH(J96,'Сводка'!$R$3:$R$397,0)</x:f>
        <x:v>107</x:v>
      </x:c>
      <x:c r="V96" s="4" t="n">
        <x:f>MATCH(J96-'Сводка'!$B$11,'Сводка'!$R$3:$R$397,0)</x:f>
        <x:v>106</x:v>
      </x:c>
      <x:c r="W96" s="4" t="n">
        <x:f>MATCH(T96,$J$388:$J$400,0)</x:f>
        <x:v>4</x:v>
      </x:c>
      <x:c r="X96" s="3"/>
      <x:c r="Y96" s="3"/>
      <x:c r="Z96" s="3"/>
    </x:row>
    <x:row r="97" ht="15" customHeight="1">
      <x:c r="A97" s="7" t="str">
        <x:f>IF(79&lt;='Сводка'!$B$3,'Сводка'!$B$4+79,"")</x:f>
      </x:c>
      <x:c r="B97" s="19" t="str">
        <x:f>IF($A97="","",(A97-$T$405+1)/1000)</x:f>
      </x:c>
      <x:c r="C97" s="19" t="str">
        <x:f>IF($A97="","",2*(A97-$T$405)/$T$406-1)</x:f>
      </x:c>
      <x:c r="D97" s="3" t="str">
        <x:f>IF($A97="","",$B$4+$B$5*LN(B97))</x:f>
      </x:c>
      <x:c r="E97" s="3" t="str">
        <x:f>IF($A97="","",SQRT($T$403^2+H97^2))</x:f>
      </x:c>
      <x:c r="F97" s="3" t="str">
        <x:f>IF($A97="","",D97-$T$404*E97)</x:f>
      </x:c>
      <x:c r="G97" s="3" t="str">
        <x:f>IF($A97="","",D97+$T$404*E97)</x:f>
      </x:c>
      <x:c r="H97" s="3" t="str">
        <x:f>IF($A97="","",SQRT(MAX(0,(1)*$S$409*(1)+(1)*$T$409*(LN(B97))+(LN(B97))*$S$410*(1)+(LN(B97))*$T$410*(LN(B97)))))</x:f>
      </x:c>
      <x:c r="I97" s="3"/>
      <x:c r="J97" s="10" t="n">
        <x:v>45948</x:v>
      </x:c>
      <x:c r="K97" s="8" t="n">
        <x:f>INDEX('Сводка'!$S$3:$S$397,U97)</x:f>
        <x:v>66</x:v>
      </x:c>
      <x:c r="L97" s="8" t="n">
        <x:f>INDEX('Сводка'!$S$3:$S$397,V97)</x:f>
        <x:v>79</x:v>
      </x:c>
      <x:c r="M97" s="8" t="n">
        <x:f>INDEX($K$388:$N$400,W97,1)+INDEX($K$388:$N$400,W97,2)*LN(((J97-$T$405+1)/1000))</x:f>
        <x:v>129.62814115990096</x:v>
      </x:c>
      <x:c r="N97" s="8" t="n">
        <x:f>K97-M97</x:f>
        <x:v>-63.62814115990096</x:v>
      </x:c>
      <x:c r="O97" s="8" t="n">
        <x:f>ABS(N97)</x:f>
        <x:v>63.62814115990096</x:v>
      </x:c>
      <x:c r="P97" s="8" t="n">
        <x:f>N97^2</x:f>
        <x:v>4048.540347464283</x:v>
      </x:c>
      <x:c r="Q97" s="8" t="n">
        <x:f>K97-L97</x:f>
        <x:v>-13</x:v>
      </x:c>
      <x:c r="R97" s="9" t="n">
        <x:f>IF(AND(INDEX('Сводка'!$T$3:$T$397,U97)=0,INDEX('Сводка'!$T$3:$T$397,V97)=0),1,0)</x:f>
        <x:v>1</x:v>
      </x:c>
      <x:c r="S97" s="9" t="n">
        <x:f>IF(AND(R97=1,O97&lt;=$G$13),1,0)</x:f>
        <x:v>0</x:v>
      </x:c>
      <x:c r="T97" s="10" t="n">
        <x:f>EOMONTH(J97-'Сводка'!$B$11,-1)</x:f>
        <x:v>45930</x:v>
      </x:c>
      <x:c r="U97" s="4" t="n">
        <x:f>MATCH(J97,'Сводка'!$R$3:$R$397,0)</x:f>
        <x:v>108</x:v>
      </x:c>
      <x:c r="V97" s="4" t="n">
        <x:f>MATCH(J97-'Сводка'!$B$11,'Сводка'!$R$3:$R$397,0)</x:f>
        <x:v>107</x:v>
      </x:c>
      <x:c r="W97" s="4" t="n">
        <x:f>MATCH(T97,$J$388:$J$400,0)</x:f>
        <x:v>4</x:v>
      </x:c>
      <x:c r="X97" s="3"/>
      <x:c r="Y97" s="3"/>
      <x:c r="Z97" s="3"/>
    </x:row>
    <x:row r="98" ht="15" customHeight="1">
      <x:c r="A98" s="7" t="str">
        <x:f>IF(80&lt;='Сводка'!$B$3,'Сводка'!$B$4+80,"")</x:f>
      </x:c>
      <x:c r="B98" s="19" t="str">
        <x:f>IF($A98="","",(A98-$T$405+1)/1000)</x:f>
      </x:c>
      <x:c r="C98" s="19" t="str">
        <x:f>IF($A98="","",2*(A98-$T$405)/$T$406-1)</x:f>
      </x:c>
      <x:c r="D98" s="3" t="str">
        <x:f>IF($A98="","",$B$4+$B$5*LN(B98))</x:f>
      </x:c>
      <x:c r="E98" s="3" t="str">
        <x:f>IF($A98="","",SQRT($T$403^2+H98^2))</x:f>
      </x:c>
      <x:c r="F98" s="3" t="str">
        <x:f>IF($A98="","",D98-$T$404*E98)</x:f>
      </x:c>
      <x:c r="G98" s="3" t="str">
        <x:f>IF($A98="","",D98+$T$404*E98)</x:f>
      </x:c>
      <x:c r="H98" s="3" t="str">
        <x:f>IF($A98="","",SQRT(MAX(0,(1)*$S$409*(1)+(1)*$T$409*(LN(B98))+(LN(B98))*$S$410*(1)+(LN(B98))*$T$410*(LN(B98)))))</x:f>
      </x:c>
      <x:c r="I98" s="3"/>
      <x:c r="J98" s="10" t="n">
        <x:v>45949</x:v>
      </x:c>
      <x:c r="K98" s="8" t="n">
        <x:f>INDEX('Сводка'!$S$3:$S$397,U98)</x:f>
        <x:v>56</x:v>
      </x:c>
      <x:c r="L98" s="8" t="n">
        <x:f>INDEX('Сводка'!$S$3:$S$397,V98)</x:f>
        <x:v>66</x:v>
      </x:c>
      <x:c r="M98" s="8" t="n">
        <x:f>INDEX($K$388:$N$400,W98,1)+INDEX($K$388:$N$400,W98,2)*LN(((J98-$T$405+1)/1000))</x:f>
        <x:v>129.6350226547028</x:v>
      </x:c>
      <x:c r="N98" s="8" t="n">
        <x:f>K98-M98</x:f>
        <x:v>-73.6350226547028</x:v>
      </x:c>
      <x:c r="O98" s="8" t="n">
        <x:f>ABS(N98)</x:f>
        <x:v>73.6350226547028</x:v>
      </x:c>
      <x:c r="P98" s="8" t="n">
        <x:f>N98^2</x:f>
        <x:v>5422.116561358594</x:v>
      </x:c>
      <x:c r="Q98" s="8" t="n">
        <x:f>K98-L98</x:f>
        <x:v>-10</x:v>
      </x:c>
      <x:c r="R98" s="9" t="n">
        <x:f>IF(AND(INDEX('Сводка'!$T$3:$T$397,U98)=0,INDEX('Сводка'!$T$3:$T$397,V98)=0),1,0)</x:f>
        <x:v>1</x:v>
      </x:c>
      <x:c r="S98" s="9" t="n">
        <x:f>IF(AND(R98=1,O98&lt;=$G$13),1,0)</x:f>
        <x:v>0</x:v>
      </x:c>
      <x:c r="T98" s="10" t="n">
        <x:f>EOMONTH(J98-'Сводка'!$B$11,-1)</x:f>
        <x:v>45930</x:v>
      </x:c>
      <x:c r="U98" s="4" t="n">
        <x:f>MATCH(J98,'Сводка'!$R$3:$R$397,0)</x:f>
        <x:v>109</x:v>
      </x:c>
      <x:c r="V98" s="4" t="n">
        <x:f>MATCH(J98-'Сводка'!$B$11,'Сводка'!$R$3:$R$397,0)</x:f>
        <x:v>108</x:v>
      </x:c>
      <x:c r="W98" s="4" t="n">
        <x:f>MATCH(T98,$J$388:$J$400,0)</x:f>
        <x:v>4</x:v>
      </x:c>
      <x:c r="X98" s="3"/>
      <x:c r="Y98" s="3"/>
      <x:c r="Z98" s="3"/>
    </x:row>
    <x:row r="99" ht="15" customHeight="1">
      <x:c r="A99" s="7" t="str">
        <x:f>IF(81&lt;='Сводка'!$B$3,'Сводка'!$B$4+81,"")</x:f>
      </x:c>
      <x:c r="B99" s="19" t="str">
        <x:f>IF($A99="","",(A99-$T$405+1)/1000)</x:f>
      </x:c>
      <x:c r="C99" s="19" t="str">
        <x:f>IF($A99="","",2*(A99-$T$405)/$T$406-1)</x:f>
      </x:c>
      <x:c r="D99" s="3" t="str">
        <x:f>IF($A99="","",$B$4+$B$5*LN(B99))</x:f>
      </x:c>
      <x:c r="E99" s="3" t="str">
        <x:f>IF($A99="","",SQRT($T$403^2+H99^2))</x:f>
      </x:c>
      <x:c r="F99" s="3" t="str">
        <x:f>IF($A99="","",D99-$T$404*E99)</x:f>
      </x:c>
      <x:c r="G99" s="3" t="str">
        <x:f>IF($A99="","",D99+$T$404*E99)</x:f>
      </x:c>
      <x:c r="H99" s="3" t="str">
        <x:f>IF($A99="","",SQRT(MAX(0,(1)*$S$409*(1)+(1)*$T$409*(LN(B99))+(LN(B99))*$S$410*(1)+(LN(B99))*$T$410*(LN(B99)))))</x:f>
      </x:c>
      <x:c r="I99" s="3"/>
      <x:c r="J99" s="10" t="n">
        <x:v>45950</x:v>
      </x:c>
      <x:c r="K99" s="8" t="n">
        <x:f>INDEX('Сводка'!$S$3:$S$397,U99)</x:f>
        <x:v>46</x:v>
      </x:c>
      <x:c r="L99" s="8" t="n">
        <x:f>INDEX('Сводка'!$S$3:$S$397,V99)</x:f>
        <x:v>56</x:v>
      </x:c>
      <x:c r="M99" s="8" t="n">
        <x:f>INDEX($K$388:$N$400,W99,1)+INDEX($K$388:$N$400,W99,2)*LN(((J99-$T$405+1)/1000))</x:f>
        <x:v>129.64190335793685</x:v>
      </x:c>
      <x:c r="N99" s="8" t="n">
        <x:f>K99-M99</x:f>
        <x:v>-83.64190335793685</x:v>
      </x:c>
      <x:c r="O99" s="8" t="n">
        <x:f>ABS(N99)</x:f>
        <x:v>83.64190335793685</x:v>
      </x:c>
      <x:c r="P99" s="8" t="n">
        <x:f>N99^2</x:f>
        <x:v>6995.967997338448</x:v>
      </x:c>
      <x:c r="Q99" s="8" t="n">
        <x:f>K99-L99</x:f>
        <x:v>-10</x:v>
      </x:c>
      <x:c r="R99" s="9" t="n">
        <x:f>IF(AND(INDEX('Сводка'!$T$3:$T$397,U99)=0,INDEX('Сводка'!$T$3:$T$397,V99)=0),1,0)</x:f>
        <x:v>1</x:v>
      </x:c>
      <x:c r="S99" s="9" t="n">
        <x:f>IF(AND(R99=1,O99&lt;=$G$13),1,0)</x:f>
        <x:v>0</x:v>
      </x:c>
      <x:c r="T99" s="10" t="n">
        <x:f>EOMONTH(J99-'Сводка'!$B$11,-1)</x:f>
        <x:v>45930</x:v>
      </x:c>
      <x:c r="U99" s="4" t="n">
        <x:f>MATCH(J99,'Сводка'!$R$3:$R$397,0)</x:f>
        <x:v>110</x:v>
      </x:c>
      <x:c r="V99" s="4" t="n">
        <x:f>MATCH(J99-'Сводка'!$B$11,'Сводка'!$R$3:$R$397,0)</x:f>
        <x:v>109</x:v>
      </x:c>
      <x:c r="W99" s="4" t="n">
        <x:f>MATCH(T99,$J$388:$J$400,0)</x:f>
        <x:v>4</x:v>
      </x:c>
      <x:c r="X99" s="3"/>
      <x:c r="Y99" s="3"/>
      <x:c r="Z99" s="3"/>
    </x:row>
    <x:row r="100" ht="15" customHeight="1">
      <x:c r="A100" s="7" t="str">
        <x:f>IF(82&lt;='Сводка'!$B$3,'Сводка'!$B$4+82,"")</x:f>
      </x:c>
      <x:c r="B100" s="19" t="str">
        <x:f>IF($A100="","",(A100-$T$405+1)/1000)</x:f>
      </x:c>
      <x:c r="C100" s="19" t="str">
        <x:f>IF($A100="","",2*(A100-$T$405)/$T$406-1)</x:f>
      </x:c>
      <x:c r="D100" s="3" t="str">
        <x:f>IF($A100="","",$B$4+$B$5*LN(B100))</x:f>
      </x:c>
      <x:c r="E100" s="3" t="str">
        <x:f>IF($A100="","",SQRT($T$403^2+H100^2))</x:f>
      </x:c>
      <x:c r="F100" s="3" t="str">
        <x:f>IF($A100="","",D100-$T$404*E100)</x:f>
      </x:c>
      <x:c r="G100" s="3" t="str">
        <x:f>IF($A100="","",D100+$T$404*E100)</x:f>
      </x:c>
      <x:c r="H100" s="3" t="str">
        <x:f>IF($A100="","",SQRT(MAX(0,(1)*$S$409*(1)+(1)*$T$409*(LN(B100))+(LN(B100))*$S$410*(1)+(LN(B100))*$T$410*(LN(B100)))))</x:f>
      </x:c>
      <x:c r="I100" s="3"/>
      <x:c r="J100" s="10" t="n">
        <x:v>45951</x:v>
      </x:c>
      <x:c r="K100" s="8" t="n">
        <x:f>INDEX('Сводка'!$S$3:$S$397,U100)</x:f>
        <x:v>36</x:v>
      </x:c>
      <x:c r="L100" s="8" t="n">
        <x:f>INDEX('Сводка'!$S$3:$S$397,V100)</x:f>
        <x:v>46</x:v>
      </x:c>
      <x:c r="M100" s="8" t="n">
        <x:f>INDEX($K$388:$N$400,W100,1)+INDEX($K$388:$N$400,W100,2)*LN(((J100-$T$405+1)/1000))</x:f>
        <x:v>129.64878326978518</x:v>
      </x:c>
      <x:c r="N100" s="8" t="n">
        <x:f>K100-M100</x:f>
        <x:v>-93.64878326978518</x:v>
      </x:c>
      <x:c r="O100" s="8" t="n">
        <x:f>ABS(N100)</x:f>
        <x:v>93.64878326978518</x:v>
      </x:c>
      <x:c r="P100" s="8" t="n">
        <x:f>N100^2</x:f>
        <x:v>8770.094607911198</x:v>
      </x:c>
      <x:c r="Q100" s="8" t="n">
        <x:f>K100-L100</x:f>
        <x:v>-10</x:v>
      </x:c>
      <x:c r="R100" s="9" t="n">
        <x:f>IF(AND(INDEX('Сводка'!$T$3:$T$397,U100)=0,INDEX('Сводка'!$T$3:$T$397,V100)=0),1,0)</x:f>
        <x:v>1</x:v>
      </x:c>
      <x:c r="S100" s="9" t="n">
        <x:f>IF(AND(R100=1,O100&lt;=$G$13),1,0)</x:f>
        <x:v>0</x:v>
      </x:c>
      <x:c r="T100" s="10" t="n">
        <x:f>EOMONTH(J100-'Сводка'!$B$11,-1)</x:f>
        <x:v>45930</x:v>
      </x:c>
      <x:c r="U100" s="4" t="n">
        <x:f>MATCH(J100,'Сводка'!$R$3:$R$397,0)</x:f>
        <x:v>111</x:v>
      </x:c>
      <x:c r="V100" s="4" t="n">
        <x:f>MATCH(J100-'Сводка'!$B$11,'Сводка'!$R$3:$R$397,0)</x:f>
        <x:v>110</x:v>
      </x:c>
      <x:c r="W100" s="4" t="n">
        <x:f>MATCH(T100,$J$388:$J$400,0)</x:f>
        <x:v>4</x:v>
      </x:c>
      <x:c r="X100" s="3"/>
      <x:c r="Y100" s="3"/>
      <x:c r="Z100" s="3"/>
    </x:row>
    <x:row r="101" ht="15" customHeight="1">
      <x:c r="A101" s="7" t="str">
        <x:f>IF(83&lt;='Сводка'!$B$3,'Сводка'!$B$4+83,"")</x:f>
      </x:c>
      <x:c r="B101" s="19" t="str">
        <x:f>IF($A101="","",(A101-$T$405+1)/1000)</x:f>
      </x:c>
      <x:c r="C101" s="19" t="str">
        <x:f>IF($A101="","",2*(A101-$T$405)/$T$406-1)</x:f>
      </x:c>
      <x:c r="D101" s="3" t="str">
        <x:f>IF($A101="","",$B$4+$B$5*LN(B101))</x:f>
      </x:c>
      <x:c r="E101" s="3" t="str">
        <x:f>IF($A101="","",SQRT($T$403^2+H101^2))</x:f>
      </x:c>
      <x:c r="F101" s="3" t="str">
        <x:f>IF($A101="","",D101-$T$404*E101)</x:f>
      </x:c>
      <x:c r="G101" s="3" t="str">
        <x:f>IF($A101="","",D101+$T$404*E101)</x:f>
      </x:c>
      <x:c r="H101" s="3" t="str">
        <x:f>IF($A101="","",SQRT(MAX(0,(1)*$S$409*(1)+(1)*$T$409*(LN(B101))+(LN(B101))*$S$410*(1)+(LN(B101))*$T$410*(LN(B101)))))</x:f>
      </x:c>
      <x:c r="I101" s="3"/>
      <x:c r="J101" s="10" t="n">
        <x:v>45952</x:v>
      </x:c>
      <x:c r="K101" s="8" t="n">
        <x:f>INDEX('Сводка'!$S$3:$S$397,U101)</x:f>
        <x:v>30</x:v>
      </x:c>
      <x:c r="L101" s="8" t="n">
        <x:f>INDEX('Сводка'!$S$3:$S$397,V101)</x:f>
        <x:v>36</x:v>
      </x:c>
      <x:c r="M101" s="8" t="n">
        <x:f>INDEX($K$388:$N$400,W101,1)+INDEX($K$388:$N$400,W101,2)*LN(((J101-$T$405+1)/1000))</x:f>
        <x:v>129.65566239042977</x:v>
      </x:c>
      <x:c r="N101" s="8" t="n">
        <x:f>K101-M101</x:f>
        <x:v>-99.65566239042977</x:v>
      </x:c>
      <x:c r="O101" s="8" t="n">
        <x:f>ABS(N101)</x:f>
        <x:v>99.65566239042977</x:v>
      </x:c>
      <x:c r="P101" s="8" t="n">
        <x:f>N101^2</x:f>
        <x:v>9931.251046475318</x:v>
      </x:c>
      <x:c r="Q101" s="8" t="n">
        <x:f>K101-L101</x:f>
        <x:v>-6</x:v>
      </x:c>
      <x:c r="R101" s="9" t="n">
        <x:f>IF(AND(INDEX('Сводка'!$T$3:$T$397,U101)=0,INDEX('Сводка'!$T$3:$T$397,V101)=0),1,0)</x:f>
        <x:v>1</x:v>
      </x:c>
      <x:c r="S101" s="9" t="n">
        <x:f>IF(AND(R101=1,O101&lt;=$G$13),1,0)</x:f>
        <x:v>0</x:v>
      </x:c>
      <x:c r="T101" s="10" t="n">
        <x:f>EOMONTH(J101-'Сводка'!$B$11,-1)</x:f>
        <x:v>45930</x:v>
      </x:c>
      <x:c r="U101" s="4" t="n">
        <x:f>MATCH(J101,'Сводка'!$R$3:$R$397,0)</x:f>
        <x:v>112</x:v>
      </x:c>
      <x:c r="V101" s="4" t="n">
        <x:f>MATCH(J101-'Сводка'!$B$11,'Сводка'!$R$3:$R$397,0)</x:f>
        <x:v>111</x:v>
      </x:c>
      <x:c r="W101" s="4" t="n">
        <x:f>MATCH(T101,$J$388:$J$400,0)</x:f>
        <x:v>4</x:v>
      </x:c>
      <x:c r="X101" s="3"/>
      <x:c r="Y101" s="3"/>
      <x:c r="Z101" s="3"/>
    </x:row>
    <x:row r="102" ht="15" customHeight="1">
      <x:c r="A102" s="7" t="str">
        <x:f>IF(84&lt;='Сводка'!$B$3,'Сводка'!$B$4+84,"")</x:f>
      </x:c>
      <x:c r="B102" s="19" t="str">
        <x:f>IF($A102="","",(A102-$T$405+1)/1000)</x:f>
      </x:c>
      <x:c r="C102" s="19" t="str">
        <x:f>IF($A102="","",2*(A102-$T$405)/$T$406-1)</x:f>
      </x:c>
      <x:c r="D102" s="3" t="str">
        <x:f>IF($A102="","",$B$4+$B$5*LN(B102))</x:f>
      </x:c>
      <x:c r="E102" s="3" t="str">
        <x:f>IF($A102="","",SQRT($T$403^2+H102^2))</x:f>
      </x:c>
      <x:c r="F102" s="3" t="str">
        <x:f>IF($A102="","",D102-$T$404*E102)</x:f>
      </x:c>
      <x:c r="G102" s="3" t="str">
        <x:f>IF($A102="","",D102+$T$404*E102)</x:f>
      </x:c>
      <x:c r="H102" s="3" t="str">
        <x:f>IF($A102="","",SQRT(MAX(0,(1)*$S$409*(1)+(1)*$T$409*(LN(B102))+(LN(B102))*$S$410*(1)+(LN(B102))*$T$410*(LN(B102)))))</x:f>
      </x:c>
      <x:c r="I102" s="3"/>
      <x:c r="J102" s="10" t="n">
        <x:v>45953</x:v>
      </x:c>
      <x:c r="K102" s="8" t="n">
        <x:f>INDEX('Сводка'!$S$3:$S$397,U102)</x:f>
        <x:v>19</x:v>
      </x:c>
      <x:c r="L102" s="8" t="n">
        <x:f>INDEX('Сводка'!$S$3:$S$397,V102)</x:f>
        <x:v>30</x:v>
      </x:c>
      <x:c r="M102" s="8" t="n">
        <x:f>INDEX($K$388:$N$400,W102,1)+INDEX($K$388:$N$400,W102,2)*LN(((J102-$T$405+1)/1000))</x:f>
        <x:v>129.66254072005262</x:v>
      </x:c>
      <x:c r="N102" s="8" t="n">
        <x:f>K102-M102</x:f>
        <x:v>-110.66254072005262</x:v>
      </x:c>
      <x:c r="O102" s="8" t="n">
        <x:f>ABS(N102)</x:f>
        <x:v>110.66254072005262</x:v>
      </x:c>
      <x:c r="P102" s="8" t="n">
        <x:f>N102^2</x:f>
        <x:v>12246.197918617303</x:v>
      </x:c>
      <x:c r="Q102" s="8" t="n">
        <x:f>K102-L102</x:f>
        <x:v>-11</x:v>
      </x:c>
      <x:c r="R102" s="9" t="n">
        <x:f>IF(AND(INDEX('Сводка'!$T$3:$T$397,U102)=0,INDEX('Сводка'!$T$3:$T$397,V102)=0),1,0)</x:f>
        <x:v>1</x:v>
      </x:c>
      <x:c r="S102" s="9" t="n">
        <x:f>IF(AND(R102=1,O102&lt;=$G$13),1,0)</x:f>
        <x:v>0</x:v>
      </x:c>
      <x:c r="T102" s="10" t="n">
        <x:f>EOMONTH(J102-'Сводка'!$B$11,-1)</x:f>
        <x:v>45930</x:v>
      </x:c>
      <x:c r="U102" s="4" t="n">
        <x:f>MATCH(J102,'Сводка'!$R$3:$R$397,0)</x:f>
        <x:v>113</x:v>
      </x:c>
      <x:c r="V102" s="4" t="n">
        <x:f>MATCH(J102-'Сводка'!$B$11,'Сводка'!$R$3:$R$397,0)</x:f>
        <x:v>112</x:v>
      </x:c>
      <x:c r="W102" s="4" t="n">
        <x:f>MATCH(T102,$J$388:$J$400,0)</x:f>
        <x:v>4</x:v>
      </x:c>
      <x:c r="X102" s="3"/>
      <x:c r="Y102" s="3"/>
      <x:c r="Z102" s="3"/>
    </x:row>
    <x:row r="103" ht="15" customHeight="1">
      <x:c r="A103" s="7" t="str">
        <x:f>IF(85&lt;='Сводка'!$B$3,'Сводка'!$B$4+85,"")</x:f>
      </x:c>
      <x:c r="B103" s="19" t="str">
        <x:f>IF($A103="","",(A103-$T$405+1)/1000)</x:f>
      </x:c>
      <x:c r="C103" s="19" t="str">
        <x:f>IF($A103="","",2*(A103-$T$405)/$T$406-1)</x:f>
      </x:c>
      <x:c r="D103" s="3" t="str">
        <x:f>IF($A103="","",$B$4+$B$5*LN(B103))</x:f>
      </x:c>
      <x:c r="E103" s="3" t="str">
        <x:f>IF($A103="","",SQRT($T$403^2+H103^2))</x:f>
      </x:c>
      <x:c r="F103" s="3" t="str">
        <x:f>IF($A103="","",D103-$T$404*E103)</x:f>
      </x:c>
      <x:c r="G103" s="3" t="str">
        <x:f>IF($A103="","",D103+$T$404*E103)</x:f>
      </x:c>
      <x:c r="H103" s="3" t="str">
        <x:f>IF($A103="","",SQRT(MAX(0,(1)*$S$409*(1)+(1)*$T$409*(LN(B103))+(LN(B103))*$S$410*(1)+(LN(B103))*$T$410*(LN(B103)))))</x:f>
      </x:c>
      <x:c r="I103" s="3"/>
      <x:c r="J103" s="10" t="n">
        <x:v>45954</x:v>
      </x:c>
      <x:c r="K103" s="8" t="n">
        <x:f>INDEX('Сводка'!$S$3:$S$397,U103)</x:f>
        <x:v>12</x:v>
      </x:c>
      <x:c r="L103" s="8" t="n">
        <x:f>INDEX('Сводка'!$S$3:$S$397,V103)</x:f>
        <x:v>19</x:v>
      </x:c>
      <x:c r="M103" s="8" t="n">
        <x:f>INDEX($K$388:$N$400,W103,1)+INDEX($K$388:$N$400,W103,2)*LN(((J103-$T$405+1)/1000))</x:f>
        <x:v>129.66941825883563</x:v>
      </x:c>
      <x:c r="N103" s="8" t="n">
        <x:f>K103-M103</x:f>
        <x:v>-117.66941825883563</x:v>
      </x:c>
      <x:c r="O103" s="8" t="n">
        <x:f>ABS(N103)</x:f>
        <x:v>117.66941825883563</x:v>
      </x:c>
      <x:c r="P103" s="8" t="n">
        <x:f>N103^2</x:f>
        <x:v>13846.0919933728</x:v>
      </x:c>
      <x:c r="Q103" s="8" t="n">
        <x:f>K103-L103</x:f>
        <x:v>-7</x:v>
      </x:c>
      <x:c r="R103" s="9" t="n">
        <x:f>IF(AND(INDEX('Сводка'!$T$3:$T$397,U103)=0,INDEX('Сводка'!$T$3:$T$397,V103)=0),1,0)</x:f>
        <x:v>1</x:v>
      </x:c>
      <x:c r="S103" s="9" t="n">
        <x:f>IF(AND(R103=1,O103&lt;=$G$13),1,0)</x:f>
        <x:v>0</x:v>
      </x:c>
      <x:c r="T103" s="10" t="n">
        <x:f>EOMONTH(J103-'Сводка'!$B$11,-1)</x:f>
        <x:v>45930</x:v>
      </x:c>
      <x:c r="U103" s="4" t="n">
        <x:f>MATCH(J103,'Сводка'!$R$3:$R$397,0)</x:f>
        <x:v>114</x:v>
      </x:c>
      <x:c r="V103" s="4" t="n">
        <x:f>MATCH(J103-'Сводка'!$B$11,'Сводка'!$R$3:$R$397,0)</x:f>
        <x:v>113</x:v>
      </x:c>
      <x:c r="W103" s="4" t="n">
        <x:f>MATCH(T103,$J$388:$J$400,0)</x:f>
        <x:v>4</x:v>
      </x:c>
      <x:c r="X103" s="3"/>
      <x:c r="Y103" s="3"/>
      <x:c r="Z103" s="3"/>
    </x:row>
    <x:row r="104" ht="15" customHeight="1">
      <x:c r="A104" s="7" t="str">
        <x:f>IF(86&lt;='Сводка'!$B$3,'Сводка'!$B$4+86,"")</x:f>
      </x:c>
      <x:c r="B104" s="19" t="str">
        <x:f>IF($A104="","",(A104-$T$405+1)/1000)</x:f>
      </x:c>
      <x:c r="C104" s="19" t="str">
        <x:f>IF($A104="","",2*(A104-$T$405)/$T$406-1)</x:f>
      </x:c>
      <x:c r="D104" s="3" t="str">
        <x:f>IF($A104="","",$B$4+$B$5*LN(B104))</x:f>
      </x:c>
      <x:c r="E104" s="3" t="str">
        <x:f>IF($A104="","",SQRT($T$403^2+H104^2))</x:f>
      </x:c>
      <x:c r="F104" s="3" t="str">
        <x:f>IF($A104="","",D104-$T$404*E104)</x:f>
      </x:c>
      <x:c r="G104" s="3" t="str">
        <x:f>IF($A104="","",D104+$T$404*E104)</x:f>
      </x:c>
      <x:c r="H104" s="3" t="str">
        <x:f>IF($A104="","",SQRT(MAX(0,(1)*$S$409*(1)+(1)*$T$409*(LN(B104))+(LN(B104))*$S$410*(1)+(LN(B104))*$T$410*(LN(B104)))))</x:f>
      </x:c>
      <x:c r="I104" s="3"/>
      <x:c r="J104" s="10" t="n">
        <x:v>45955</x:v>
      </x:c>
      <x:c r="K104" s="8" t="n">
        <x:f>INDEX('Сводка'!$S$3:$S$397,U104)</x:f>
        <x:v>5</x:v>
      </x:c>
      <x:c r="L104" s="8" t="n">
        <x:f>INDEX('Сводка'!$S$3:$S$397,V104)</x:f>
        <x:v>12</x:v>
      </x:c>
      <x:c r="M104" s="8" t="n">
        <x:f>INDEX($K$388:$N$400,W104,1)+INDEX($K$388:$N$400,W104,2)*LN(((J104-$T$405+1)/1000))</x:f>
        <x:v>129.6762950069606</x:v>
      </x:c>
      <x:c r="N104" s="8" t="n">
        <x:f>K104-M104</x:f>
        <x:v>-124.6762950069606</x:v>
      </x:c>
      <x:c r="O104" s="8" t="n">
        <x:f>ABS(N104)</x:f>
        <x:v>124.6762950069606</x:v>
      </x:c>
      <x:c r="P104" s="8" t="n">
        <x:f>N104^2</x:f>
        <x:v>15544.178536662668</x:v>
      </x:c>
      <x:c r="Q104" s="8" t="n">
        <x:f>K104-L104</x:f>
        <x:v>-7</x:v>
      </x:c>
      <x:c r="R104" s="9" t="n">
        <x:f>IF(AND(INDEX('Сводка'!$T$3:$T$397,U104)=0,INDEX('Сводка'!$T$3:$T$397,V104)=0),1,0)</x:f>
        <x:v>1</x:v>
      </x:c>
      <x:c r="S104" s="9" t="n">
        <x:f>IF(AND(R104=1,O104&lt;=$G$13),1,0)</x:f>
        <x:v>0</x:v>
      </x:c>
      <x:c r="T104" s="10" t="n">
        <x:f>EOMONTH(J104-'Сводка'!$B$11,-1)</x:f>
        <x:v>45930</x:v>
      </x:c>
      <x:c r="U104" s="4" t="n">
        <x:f>MATCH(J104,'Сводка'!$R$3:$R$397,0)</x:f>
        <x:v>115</x:v>
      </x:c>
      <x:c r="V104" s="4" t="n">
        <x:f>MATCH(J104-'Сводка'!$B$11,'Сводка'!$R$3:$R$397,0)</x:f>
        <x:v>114</x:v>
      </x:c>
      <x:c r="W104" s="4" t="n">
        <x:f>MATCH(T104,$J$388:$J$400,0)</x:f>
        <x:v>4</x:v>
      </x:c>
      <x:c r="X104" s="3"/>
      <x:c r="Y104" s="3"/>
      <x:c r="Z104" s="3"/>
    </x:row>
    <x:row r="105" ht="15" customHeight="1">
      <x:c r="A105" s="7" t="str">
        <x:f>IF(87&lt;='Сводка'!$B$3,'Сводка'!$B$4+87,"")</x:f>
      </x:c>
      <x:c r="B105" s="19" t="str">
        <x:f>IF($A105="","",(A105-$T$405+1)/1000)</x:f>
      </x:c>
      <x:c r="C105" s="19" t="str">
        <x:f>IF($A105="","",2*(A105-$T$405)/$T$406-1)</x:f>
      </x:c>
      <x:c r="D105" s="3" t="str">
        <x:f>IF($A105="","",$B$4+$B$5*LN(B105))</x:f>
      </x:c>
      <x:c r="E105" s="3" t="str">
        <x:f>IF($A105="","",SQRT($T$403^2+H105^2))</x:f>
      </x:c>
      <x:c r="F105" s="3" t="str">
        <x:f>IF($A105="","",D105-$T$404*E105)</x:f>
      </x:c>
      <x:c r="G105" s="3" t="str">
        <x:f>IF($A105="","",D105+$T$404*E105)</x:f>
      </x:c>
      <x:c r="H105" s="3" t="str">
        <x:f>IF($A105="","",SQRT(MAX(0,(1)*$S$409*(1)+(1)*$T$409*(LN(B105))+(LN(B105))*$S$410*(1)+(LN(B105))*$T$410*(LN(B105)))))</x:f>
      </x:c>
      <x:c r="I105" s="3"/>
      <x:c r="J105" s="10" t="n">
        <x:v>45956</x:v>
      </x:c>
      <x:c r="K105" s="8" t="n">
        <x:f>INDEX('Сводка'!$S$3:$S$397,U105)</x:f>
        <x:v>-1</x:v>
      </x:c>
      <x:c r="L105" s="8" t="n">
        <x:f>INDEX('Сводка'!$S$3:$S$397,V105)</x:f>
        <x:v>5</x:v>
      </x:c>
      <x:c r="M105" s="8" t="n">
        <x:f>INDEX($K$388:$N$400,W105,1)+INDEX($K$388:$N$400,W105,2)*LN(((J105-$T$405+1)/1000))</x:f>
        <x:v>129.6831709646093</x:v>
      </x:c>
      <x:c r="N105" s="8" t="n">
        <x:f>K105-M105</x:f>
        <x:v>-130.6831709646093</x:v>
      </x:c>
      <x:c r="O105" s="8" t="n">
        <x:f>ABS(N105)</x:f>
        <x:v>130.6831709646093</x:v>
      </x:c>
      <x:c r="P105" s="8" t="n">
        <x:f>N105^2</x:f>
        <x:v>17078.091173365305</x:v>
      </x:c>
      <x:c r="Q105" s="8" t="n">
        <x:f>K105-L105</x:f>
        <x:v>-6</x:v>
      </x:c>
      <x:c r="R105" s="9" t="n">
        <x:f>IF(AND(INDEX('Сводка'!$T$3:$T$397,U105)=0,INDEX('Сводка'!$T$3:$T$397,V105)=0),1,0)</x:f>
        <x:v>1</x:v>
      </x:c>
      <x:c r="S105" s="9" t="n">
        <x:f>IF(AND(R105=1,O105&lt;=$G$13),1,0)</x:f>
        <x:v>0</x:v>
      </x:c>
      <x:c r="T105" s="10" t="n">
        <x:f>EOMONTH(J105-'Сводка'!$B$11,-1)</x:f>
        <x:v>45930</x:v>
      </x:c>
      <x:c r="U105" s="4" t="n">
        <x:f>MATCH(J105,'Сводка'!$R$3:$R$397,0)</x:f>
        <x:v>116</x:v>
      </x:c>
      <x:c r="V105" s="4" t="n">
        <x:f>MATCH(J105-'Сводка'!$B$11,'Сводка'!$R$3:$R$397,0)</x:f>
        <x:v>115</x:v>
      </x:c>
      <x:c r="W105" s="4" t="n">
        <x:f>MATCH(T105,$J$388:$J$400,0)</x:f>
        <x:v>4</x:v>
      </x:c>
      <x:c r="X105" s="3"/>
      <x:c r="Y105" s="3"/>
      <x:c r="Z105" s="3"/>
    </x:row>
    <x:row r="106" ht="15" customHeight="1">
      <x:c r="A106" s="7" t="str">
        <x:f>IF(88&lt;='Сводка'!$B$3,'Сводка'!$B$4+88,"")</x:f>
      </x:c>
      <x:c r="B106" s="19" t="str">
        <x:f>IF($A106="","",(A106-$T$405+1)/1000)</x:f>
      </x:c>
      <x:c r="C106" s="19" t="str">
        <x:f>IF($A106="","",2*(A106-$T$405)/$T$406-1)</x:f>
      </x:c>
      <x:c r="D106" s="3" t="str">
        <x:f>IF($A106="","",$B$4+$B$5*LN(B106))</x:f>
      </x:c>
      <x:c r="E106" s="3" t="str">
        <x:f>IF($A106="","",SQRT($T$403^2+H106^2))</x:f>
      </x:c>
      <x:c r="F106" s="3" t="str">
        <x:f>IF($A106="","",D106-$T$404*E106)</x:f>
      </x:c>
      <x:c r="G106" s="3" t="str">
        <x:f>IF($A106="","",D106+$T$404*E106)</x:f>
      </x:c>
      <x:c r="H106" s="3" t="str">
        <x:f>IF($A106="","",SQRT(MAX(0,(1)*$S$409*(1)+(1)*$T$409*(LN(B106))+(LN(B106))*$S$410*(1)+(LN(B106))*$T$410*(LN(B106)))))</x:f>
      </x:c>
      <x:c r="I106" s="3"/>
      <x:c r="J106" s="10" t="n">
        <x:v>45957</x:v>
      </x:c>
      <x:c r="K106" s="8" t="n">
        <x:f>INDEX('Сводка'!$S$3:$S$397,U106)</x:f>
        <x:v>-11</x:v>
      </x:c>
      <x:c r="L106" s="8" t="n">
        <x:f>INDEX('Сводка'!$S$3:$S$397,V106)</x:f>
        <x:v>-1</x:v>
      </x:c>
      <x:c r="M106" s="8" t="n">
        <x:f>INDEX($K$388:$N$400,W106,1)+INDEX($K$388:$N$400,W106,2)*LN(((J106-$T$405+1)/1000))</x:f>
        <x:v>129.6900461319635</x:v>
      </x:c>
      <x:c r="N106" s="8" t="n">
        <x:f>K106-M106</x:f>
        <x:v>-140.6900461319635</x:v>
      </x:c>
      <x:c r="O106" s="8" t="n">
        <x:f>ABS(N106)</x:f>
        <x:v>140.6900461319635</x:v>
      </x:c>
      <x:c r="P106" s="8" t="n">
        <x:f>N106^2</x:f>
        <x:v>19793.689080614018</x:v>
      </x:c>
      <x:c r="Q106" s="8" t="n">
        <x:f>K106-L106</x:f>
        <x:v>-10</x:v>
      </x:c>
      <x:c r="R106" s="9" t="n">
        <x:f>IF(AND(INDEX('Сводка'!$T$3:$T$397,U106)=0,INDEX('Сводка'!$T$3:$T$397,V106)=0),1,0)</x:f>
        <x:v>1</x:v>
      </x:c>
      <x:c r="S106" s="9" t="n">
        <x:f>IF(AND(R106=1,O106&lt;=$G$13),1,0)</x:f>
        <x:v>0</x:v>
      </x:c>
      <x:c r="T106" s="10" t="n">
        <x:f>EOMONTH(J106-'Сводка'!$B$11,-1)</x:f>
        <x:v>45930</x:v>
      </x:c>
      <x:c r="U106" s="4" t="n">
        <x:f>MATCH(J106,'Сводка'!$R$3:$R$397,0)</x:f>
        <x:v>117</x:v>
      </x:c>
      <x:c r="V106" s="4" t="n">
        <x:f>MATCH(J106-'Сводка'!$B$11,'Сводка'!$R$3:$R$397,0)</x:f>
        <x:v>116</x:v>
      </x:c>
      <x:c r="W106" s="4" t="n">
        <x:f>MATCH(T106,$J$388:$J$400,0)</x:f>
        <x:v>4</x:v>
      </x:c>
      <x:c r="X106" s="3"/>
      <x:c r="Y106" s="3"/>
      <x:c r="Z106" s="3"/>
    </x:row>
    <x:row r="107" ht="15" customHeight="1">
      <x:c r="A107" s="7" t="str">
        <x:f>IF(89&lt;='Сводка'!$B$3,'Сводка'!$B$4+89,"")</x:f>
      </x:c>
      <x:c r="B107" s="19" t="str">
        <x:f>IF($A107="","",(A107-$T$405+1)/1000)</x:f>
      </x:c>
      <x:c r="C107" s="19" t="str">
        <x:f>IF($A107="","",2*(A107-$T$405)/$T$406-1)</x:f>
      </x:c>
      <x:c r="D107" s="3" t="str">
        <x:f>IF($A107="","",$B$4+$B$5*LN(B107))</x:f>
      </x:c>
      <x:c r="E107" s="3" t="str">
        <x:f>IF($A107="","",SQRT($T$403^2+H107^2))</x:f>
      </x:c>
      <x:c r="F107" s="3" t="str">
        <x:f>IF($A107="","",D107-$T$404*E107)</x:f>
      </x:c>
      <x:c r="G107" s="3" t="str">
        <x:f>IF($A107="","",D107+$T$404*E107)</x:f>
      </x:c>
      <x:c r="H107" s="3" t="str">
        <x:f>IF($A107="","",SQRT(MAX(0,(1)*$S$409*(1)+(1)*$T$409*(LN(B107))+(LN(B107))*$S$410*(1)+(LN(B107))*$T$410*(LN(B107)))))</x:f>
      </x:c>
      <x:c r="I107" s="3"/>
      <x:c r="J107" s="10" t="n">
        <x:v>45958</x:v>
      </x:c>
      <x:c r="K107" s="8" t="n">
        <x:f>INDEX('Сводка'!$S$3:$S$397,U107)</x:f>
        <x:v>-20</x:v>
      </x:c>
      <x:c r="L107" s="8" t="n">
        <x:f>INDEX('Сводка'!$S$3:$S$397,V107)</x:f>
        <x:v>-11</x:v>
      </x:c>
      <x:c r="M107" s="8" t="n">
        <x:f>INDEX($K$388:$N$400,W107,1)+INDEX($K$388:$N$400,W107,2)*LN(((J107-$T$405+1)/1000))</x:f>
        <x:v>129.6969205092048</x:v>
      </x:c>
      <x:c r="N107" s="8" t="n">
        <x:f>K107-M107</x:f>
        <x:v>-149.6969205092048</x:v>
      </x:c>
      <x:c r="O107" s="8" t="n">
        <x:f>ABS(N107)</x:f>
        <x:v>149.6969205092048</x:v>
      </x:c>
      <x:c r="P107" s="8" t="n">
        <x:f>N107^2</x:f>
        <x:v>22409.16800993918</x:v>
      </x:c>
      <x:c r="Q107" s="8" t="n">
        <x:f>K107-L107</x:f>
        <x:v>-9</x:v>
      </x:c>
      <x:c r="R107" s="9" t="n">
        <x:f>IF(AND(INDEX('Сводка'!$T$3:$T$397,U107)=0,INDEX('Сводка'!$T$3:$T$397,V107)=0),1,0)</x:f>
        <x:v>1</x:v>
      </x:c>
      <x:c r="S107" s="9" t="n">
        <x:f>IF(AND(R107=1,O107&lt;=$G$13),1,0)</x:f>
        <x:v>0</x:v>
      </x:c>
      <x:c r="T107" s="10" t="n">
        <x:f>EOMONTH(J107-'Сводка'!$B$11,-1)</x:f>
        <x:v>45930</x:v>
      </x:c>
      <x:c r="U107" s="4" t="n">
        <x:f>MATCH(J107,'Сводка'!$R$3:$R$397,0)</x:f>
        <x:v>118</x:v>
      </x:c>
      <x:c r="V107" s="4" t="n">
        <x:f>MATCH(J107-'Сводка'!$B$11,'Сводка'!$R$3:$R$397,0)</x:f>
        <x:v>117</x:v>
      </x:c>
      <x:c r="W107" s="4" t="n">
        <x:f>MATCH(T107,$J$388:$J$400,0)</x:f>
        <x:v>4</x:v>
      </x:c>
      <x:c r="X107" s="3"/>
      <x:c r="Y107" s="3"/>
      <x:c r="Z107" s="3"/>
    </x:row>
    <x:row r="108" ht="15" customHeight="1">
      <x:c r="A108" s="7" t="str">
        <x:f>IF(90&lt;='Сводка'!$B$3,'Сводка'!$B$4+90,"")</x:f>
      </x:c>
      <x:c r="B108" s="19" t="str">
        <x:f>IF($A108="","",(A108-$T$405+1)/1000)</x:f>
      </x:c>
      <x:c r="C108" s="19" t="str">
        <x:f>IF($A108="","",2*(A108-$T$405)/$T$406-1)</x:f>
      </x:c>
      <x:c r="D108" s="3" t="str">
        <x:f>IF($A108="","",$B$4+$B$5*LN(B108))</x:f>
      </x:c>
      <x:c r="E108" s="3" t="str">
        <x:f>IF($A108="","",SQRT($T$403^2+H108^2))</x:f>
      </x:c>
      <x:c r="F108" s="3" t="str">
        <x:f>IF($A108="","",D108-$T$404*E108)</x:f>
      </x:c>
      <x:c r="G108" s="3" t="str">
        <x:f>IF($A108="","",D108+$T$404*E108)</x:f>
      </x:c>
      <x:c r="H108" s="3" t="str">
        <x:f>IF($A108="","",SQRT(MAX(0,(1)*$S$409*(1)+(1)*$T$409*(LN(B108))+(LN(B108))*$S$410*(1)+(LN(B108))*$T$410*(LN(B108)))))</x:f>
      </x:c>
      <x:c r="I108" s="3"/>
      <x:c r="J108" s="10" t="n">
        <x:v>45959</x:v>
      </x:c>
      <x:c r="K108" s="8" t="n">
        <x:f>INDEX('Сводка'!$S$3:$S$397,U108)</x:f>
        <x:v>-27</x:v>
      </x:c>
      <x:c r="L108" s="8" t="n">
        <x:f>INDEX('Сводка'!$S$3:$S$397,V108)</x:f>
        <x:v>-20</x:v>
      </x:c>
      <x:c r="M108" s="8" t="n">
        <x:f>INDEX($K$388:$N$400,W108,1)+INDEX($K$388:$N$400,W108,2)*LN(((J108-$T$405+1)/1000))</x:f>
        <x:v>129.70379409651477</x:v>
      </x:c>
      <x:c r="N108" s="8" t="n">
        <x:f>K108-M108</x:f>
        <x:v>-156.70379409651477</x:v>
      </x:c>
      <x:c r="O108" s="8" t="n">
        <x:f>ABS(N108)</x:f>
        <x:v>156.70379409651477</x:v>
      </x:c>
      <x:c r="P108" s="8" t="n">
        <x:f>N108^2</x:f>
        <x:v>24556.079084242898</x:v>
      </x:c>
      <x:c r="Q108" s="8" t="n">
        <x:f>K108-L108</x:f>
        <x:v>-7</x:v>
      </x:c>
      <x:c r="R108" s="9" t="n">
        <x:f>IF(AND(INDEX('Сводка'!$T$3:$T$397,U108)=0,INDEX('Сводка'!$T$3:$T$397,V108)=0),1,0)</x:f>
        <x:v>1</x:v>
      </x:c>
      <x:c r="S108" s="9" t="n">
        <x:f>IF(AND(R108=1,O108&lt;=$G$13),1,0)</x:f>
        <x:v>0</x:v>
      </x:c>
      <x:c r="T108" s="10" t="n">
        <x:f>EOMONTH(J108-'Сводка'!$B$11,-1)</x:f>
        <x:v>45930</x:v>
      </x:c>
      <x:c r="U108" s="4" t="n">
        <x:f>MATCH(J108,'Сводка'!$R$3:$R$397,0)</x:f>
        <x:v>119</x:v>
      </x:c>
      <x:c r="V108" s="4" t="n">
        <x:f>MATCH(J108-'Сводка'!$B$11,'Сводка'!$R$3:$R$397,0)</x:f>
        <x:v>118</x:v>
      </x:c>
      <x:c r="W108" s="4" t="n">
        <x:f>MATCH(T108,$J$388:$J$400,0)</x:f>
        <x:v>4</x:v>
      </x:c>
      <x:c r="X108" s="3"/>
      <x:c r="Y108" s="3"/>
      <x:c r="Z108" s="3"/>
    </x:row>
    <x:row r="109" ht="15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10" t="n">
        <x:v>45960</x:v>
      </x:c>
      <x:c r="K109" s="8" t="n">
        <x:f>INDEX('Сводка'!$S$3:$S$397,U109)</x:f>
        <x:v>-33</x:v>
      </x:c>
      <x:c r="L109" s="8" t="n">
        <x:f>INDEX('Сводка'!$S$3:$S$397,V109)</x:f>
        <x:v>-27</x:v>
      </x:c>
      <x:c r="M109" s="8" t="n">
        <x:f>INDEX($K$388:$N$400,W109,1)+INDEX($K$388:$N$400,W109,2)*LN(((J109-$T$405+1)/1000))</x:f>
        <x:v>129.71066689407496</x:v>
      </x:c>
      <x:c r="N109" s="8" t="n">
        <x:f>K109-M109</x:f>
        <x:v>-162.71066689407496</x:v>
      </x:c>
      <x:c r="O109" s="8" t="n">
        <x:f>ABS(N109)</x:f>
        <x:v>162.71066689407496</x:v>
      </x:c>
      <x:c r="P109" s="8" t="n">
        <x:f>N109^2</x:f>
        <x:v>26474.76112111462</x:v>
      </x:c>
      <x:c r="Q109" s="8" t="n">
        <x:f>K109-L109</x:f>
        <x:v>-6</x:v>
      </x:c>
      <x:c r="R109" s="9" t="n">
        <x:f>IF(AND(INDEX('Сводка'!$T$3:$T$397,U109)=0,INDEX('Сводка'!$T$3:$T$397,V109)=0),1,0)</x:f>
        <x:v>1</x:v>
      </x:c>
      <x:c r="S109" s="9" t="n">
        <x:f>IF(AND(R109=1,O109&lt;=$G$13),1,0)</x:f>
        <x:v>0</x:v>
      </x:c>
      <x:c r="T109" s="10" t="n">
        <x:f>EOMONTH(J109-'Сводка'!$B$11,-1)</x:f>
        <x:v>45930</x:v>
      </x:c>
      <x:c r="U109" s="4" t="n">
        <x:f>MATCH(J109,'Сводка'!$R$3:$R$397,0)</x:f>
        <x:v>120</x:v>
      </x:c>
      <x:c r="V109" s="4" t="n">
        <x:f>MATCH(J109-'Сводка'!$B$11,'Сводка'!$R$3:$R$397,0)</x:f>
        <x:v>119</x:v>
      </x:c>
      <x:c r="W109" s="4" t="n">
        <x:f>MATCH(T109,$J$388:$J$400,0)</x:f>
        <x:v>4</x:v>
      </x:c>
      <x:c r="X109" s="3"/>
      <x:c r="Y109" s="3"/>
      <x:c r="Z109" s="3"/>
    </x:row>
    <x:row r="110" ht="15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10" t="n">
        <x:v>45961</x:v>
      </x:c>
      <x:c r="K110" s="8" t="n">
        <x:f>INDEX('Сводка'!$S$3:$S$397,U110)</x:f>
        <x:v>-36</x:v>
      </x:c>
      <x:c r="L110" s="8" t="n">
        <x:f>INDEX('Сводка'!$S$3:$S$397,V110)</x:f>
        <x:v>-33</x:v>
      </x:c>
      <x:c r="M110" s="8" t="n">
        <x:f>INDEX($K$388:$N$400,W110,1)+INDEX($K$388:$N$400,W110,2)*LN(((J110-$T$405+1)/1000))</x:f>
        <x:v>129.7175389020668</x:v>
      </x:c>
      <x:c r="N110" s="8" t="n">
        <x:f>K110-M110</x:f>
        <x:v>-165.7175389020668</x:v>
      </x:c>
      <x:c r="O110" s="8" t="n">
        <x:f>ABS(N110)</x:f>
        <x:v>165.7175389020668</x:v>
      </x:c>
      <x:c r="P110" s="8" t="n">
        <x:f>N110^2</x:f>
        <x:v>27462.30269975802</x:v>
      </x:c>
      <x:c r="Q110" s="8" t="n">
        <x:f>K110-L110</x:f>
        <x:v>-3</x:v>
      </x:c>
      <x:c r="R110" s="9" t="n">
        <x:f>IF(AND(INDEX('Сводка'!$T$3:$T$397,U110)=0,INDEX('Сводка'!$T$3:$T$397,V110)=0),1,0)</x:f>
        <x:v>1</x:v>
      </x:c>
      <x:c r="S110" s="9" t="n">
        <x:f>IF(AND(R110=1,O110&lt;=$G$13),1,0)</x:f>
        <x:v>0</x:v>
      </x:c>
      <x:c r="T110" s="10" t="n">
        <x:f>EOMONTH(J110-'Сводка'!$B$11,-1)</x:f>
        <x:v>45930</x:v>
      </x:c>
      <x:c r="U110" s="4" t="n">
        <x:f>MATCH(J110,'Сводка'!$R$3:$R$397,0)</x:f>
        <x:v>121</x:v>
      </x:c>
      <x:c r="V110" s="4" t="n">
        <x:f>MATCH(J110-'Сводка'!$B$11,'Сводка'!$R$3:$R$397,0)</x:f>
        <x:v>120</x:v>
      </x:c>
      <x:c r="W110" s="4" t="n">
        <x:f>MATCH(T110,$J$388:$J$400,0)</x:f>
        <x:v>4</x:v>
      </x:c>
      <x:c r="X110" s="3"/>
      <x:c r="Y110" s="3"/>
      <x:c r="Z110" s="3"/>
    </x:row>
    <x:row r="111" ht="15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10" t="n">
        <x:v>45962</x:v>
      </x:c>
      <x:c r="K111" s="8" t="n">
        <x:f>INDEX('Сводка'!$S$3:$S$397,U111)</x:f>
        <x:v>-37</x:v>
      </x:c>
      <x:c r="L111" s="8" t="n">
        <x:f>INDEX('Сводка'!$S$3:$S$397,V111)</x:f>
        <x:v>-36</x:v>
      </x:c>
      <x:c r="M111" s="8" t="n">
        <x:f>INDEX($K$388:$N$400,W111,1)+INDEX($K$388:$N$400,W111,2)*LN(((J111-$T$405+1)/1000))</x:f>
        <x:v>129.72441012067168</x:v>
      </x:c>
      <x:c r="N111" s="8" t="n">
        <x:f>K111-M111</x:f>
        <x:v>-166.72441012067168</x:v>
      </x:c>
      <x:c r="O111" s="8" t="n">
        <x:f>ABS(N111)</x:f>
        <x:v>166.72441012067168</x:v>
      </x:c>
      <x:c r="P111" s="8" t="n">
        <x:f>N111^2</x:f>
        <x:v>27797.02893008593</x:v>
      </x:c>
      <x:c r="Q111" s="8" t="n">
        <x:f>K111-L111</x:f>
        <x:v>-1</x:v>
      </x:c>
      <x:c r="R111" s="9" t="n">
        <x:f>IF(AND(INDEX('Сводка'!$T$3:$T$397,U111)=0,INDEX('Сводка'!$T$3:$T$397,V111)=0),1,0)</x:f>
        <x:v>1</x:v>
      </x:c>
      <x:c r="S111" s="9" t="n">
        <x:f>IF(AND(R111=1,O111&lt;=$G$13),1,0)</x:f>
        <x:v>0</x:v>
      </x:c>
      <x:c r="T111" s="10" t="n">
        <x:f>EOMONTH(J111-'Сводка'!$B$11,-1)</x:f>
        <x:v>45930</x:v>
      </x:c>
      <x:c r="U111" s="4" t="n">
        <x:f>MATCH(J111,'Сводка'!$R$3:$R$397,0)</x:f>
        <x:v>122</x:v>
      </x:c>
      <x:c r="V111" s="4" t="n">
        <x:f>MATCH(J111-'Сводка'!$B$11,'Сводка'!$R$3:$R$397,0)</x:f>
        <x:v>121</x:v>
      </x:c>
      <x:c r="W111" s="4" t="n">
        <x:f>MATCH(T111,$J$388:$J$400,0)</x:f>
        <x:v>4</x:v>
      </x:c>
      <x:c r="X111" s="3"/>
      <x:c r="Y111" s="3"/>
      <x:c r="Z111" s="3"/>
    </x:row>
    <x:row r="112" ht="15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10" t="n">
        <x:v>45963</x:v>
      </x:c>
      <x:c r="K112" s="8" t="n">
        <x:f>INDEX('Сводка'!$S$3:$S$397,U112)</x:f>
        <x:v>-40</x:v>
      </x:c>
      <x:c r="L112" s="8" t="n">
        <x:f>INDEX('Сводка'!$S$3:$S$397,V112)</x:f>
        <x:v>-37</x:v>
      </x:c>
      <x:c r="M112" s="8" t="n">
        <x:f>INDEX($K$388:$N$400,W112,1)+INDEX($K$388:$N$400,W112,2)*LN(((J112-$T$405+1)/1000))</x:f>
        <x:v>129.54365266079097</x:v>
      </x:c>
      <x:c r="N112" s="8" t="n">
        <x:f>K112-M112</x:f>
        <x:v>-169.54365266079097</x:v>
      </x:c>
      <x:c r="O112" s="8" t="n">
        <x:f>ABS(N112)</x:f>
        <x:v>169.54365266079097</x:v>
      </x:c>
      <x:c r="P112" s="8" t="n">
        <x:f>N112^2</x:f>
        <x:v>28745.05015756293</x:v>
      </x:c>
      <x:c r="Q112" s="8" t="n">
        <x:f>K112-L112</x:f>
        <x:v>-3</x:v>
      </x:c>
      <x:c r="R112" s="9" t="n">
        <x:f>IF(AND(INDEX('Сводка'!$T$3:$T$397,U112)=0,INDEX('Сводка'!$T$3:$T$397,V112)=0),1,0)</x:f>
        <x:v>1</x:v>
      </x:c>
      <x:c r="S112" s="9" t="n">
        <x:f>IF(AND(R112=1,O112&lt;=$G$13),1,0)</x:f>
        <x:v>0</x:v>
      </x:c>
      <x:c r="T112" s="10" t="n">
        <x:f>EOMONTH(J112-'Сводка'!$B$11,-1)</x:f>
        <x:v>45961</x:v>
      </x:c>
      <x:c r="U112" s="4" t="n">
        <x:f>MATCH(J112,'Сводка'!$R$3:$R$397,0)</x:f>
        <x:v>123</x:v>
      </x:c>
      <x:c r="V112" s="4" t="n">
        <x:f>MATCH(J112-'Сводка'!$B$11,'Сводка'!$R$3:$R$397,0)</x:f>
        <x:v>122</x:v>
      </x:c>
      <x:c r="W112" s="4" t="n">
        <x:f>MATCH(T112,$J$388:$J$400,0)</x:f>
        <x:v>5</x:v>
      </x:c>
      <x:c r="X112" s="3"/>
      <x:c r="Y112" s="3"/>
      <x:c r="Z112" s="3"/>
    </x:row>
    <x:row r="113" ht="15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10" t="n">
        <x:v>45964</x:v>
      </x:c>
      <x:c r="K113" s="8" t="n">
        <x:f>INDEX('Сводка'!$S$3:$S$397,U113)</x:f>
        <x:v>-46</x:v>
      </x:c>
      <x:c r="L113" s="8" t="n">
        <x:f>INDEX('Сводка'!$S$3:$S$397,V113)</x:f>
        <x:v>-40</x:v>
      </x:c>
      <x:c r="M113" s="8" t="n">
        <x:f>INDEX($K$388:$N$400,W113,1)+INDEX($K$388:$N$400,W113,2)*LN(((J113-$T$405+1)/1000))</x:f>
        <x:v>129.5505114725094</x:v>
      </x:c>
      <x:c r="N113" s="8" t="n">
        <x:f>K113-M113</x:f>
        <x:v>-175.5505114725094</x:v>
      </x:c>
      <x:c r="O113" s="8" t="n">
        <x:f>ABS(N113)</x:f>
        <x:v>175.5505114725094</x:v>
      </x:c>
      <x:c r="P113" s="8" t="n">
        <x:f>N113^2</x:f>
        <x:v>30817.982078259658</x:v>
      </x:c>
      <x:c r="Q113" s="8" t="n">
        <x:f>K113-L113</x:f>
        <x:v>-6</x:v>
      </x:c>
      <x:c r="R113" s="9" t="n">
        <x:f>IF(AND(INDEX('Сводка'!$T$3:$T$397,U113)=0,INDEX('Сводка'!$T$3:$T$397,V113)=0),1,0)</x:f>
        <x:v>1</x:v>
      </x:c>
      <x:c r="S113" s="9" t="n">
        <x:f>IF(AND(R113=1,O113&lt;=$G$13),1,0)</x:f>
        <x:v>0</x:v>
      </x:c>
      <x:c r="T113" s="10" t="n">
        <x:f>EOMONTH(J113-'Сводка'!$B$11,-1)</x:f>
        <x:v>45961</x:v>
      </x:c>
      <x:c r="U113" s="4" t="n">
        <x:f>MATCH(J113,'Сводка'!$R$3:$R$397,0)</x:f>
        <x:v>124</x:v>
      </x:c>
      <x:c r="V113" s="4" t="n">
        <x:f>MATCH(J113-'Сводка'!$B$11,'Сводка'!$R$3:$R$397,0)</x:f>
        <x:v>123</x:v>
      </x:c>
      <x:c r="W113" s="4" t="n">
        <x:f>MATCH(T113,$J$388:$J$400,0)</x:f>
        <x:v>5</x:v>
      </x:c>
      <x:c r="X113" s="3"/>
      <x:c r="Y113" s="3"/>
      <x:c r="Z113" s="3"/>
    </x:row>
    <x:row r="114" ht="15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10" t="n">
        <x:v>45965</x:v>
      </x:c>
      <x:c r="K114" s="8" t="n">
        <x:f>INDEX('Сводка'!$S$3:$S$397,U114)</x:f>
        <x:v>-49</x:v>
      </x:c>
      <x:c r="L114" s="8" t="n">
        <x:f>INDEX('Сводка'!$S$3:$S$397,V114)</x:f>
        <x:v>-46</x:v>
      </x:c>
      <x:c r="M114" s="8" t="n">
        <x:f>INDEX($K$388:$N$400,W114,1)+INDEX($K$388:$N$400,W114,2)*LN(((J114-$T$405+1)/1000))</x:f>
        <x:v>129.55736949662818</x:v>
      </x:c>
      <x:c r="N114" s="8" t="n">
        <x:f>K114-M114</x:f>
        <x:v>-178.55736949662818</x:v>
      </x:c>
      <x:c r="O114" s="8" t="n">
        <x:f>ABS(N114)</x:f>
        <x:v>178.55736949662818</x:v>
      </x:c>
      <x:c r="P114" s="8" t="n">
        <x:f>N114^2</x:f>
        <x:v>31882.734201555406</x:v>
      </x:c>
      <x:c r="Q114" s="8" t="n">
        <x:f>K114-L114</x:f>
        <x:v>-3</x:v>
      </x:c>
      <x:c r="R114" s="9" t="n">
        <x:f>IF(AND(INDEX('Сводка'!$T$3:$T$397,U114)=0,INDEX('Сводка'!$T$3:$T$397,V114)=0),1,0)</x:f>
        <x:v>1</x:v>
      </x:c>
      <x:c r="S114" s="9" t="n">
        <x:f>IF(AND(R114=1,O114&lt;=$G$13),1,0)</x:f>
        <x:v>0</x:v>
      </x:c>
      <x:c r="T114" s="10" t="n">
        <x:f>EOMONTH(J114-'Сводка'!$B$11,-1)</x:f>
        <x:v>45961</x:v>
      </x:c>
      <x:c r="U114" s="4" t="n">
        <x:f>MATCH(J114,'Сводка'!$R$3:$R$397,0)</x:f>
        <x:v>125</x:v>
      </x:c>
      <x:c r="V114" s="4" t="n">
        <x:f>MATCH(J114-'Сводка'!$B$11,'Сводка'!$R$3:$R$397,0)</x:f>
        <x:v>124</x:v>
      </x:c>
      <x:c r="W114" s="4" t="n">
        <x:f>MATCH(T114,$J$388:$J$400,0)</x:f>
        <x:v>5</x:v>
      </x:c>
      <x:c r="X114" s="3"/>
      <x:c r="Y114" s="3"/>
      <x:c r="Z114" s="3"/>
    </x:row>
    <x:row r="115" ht="15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10" t="n">
        <x:v>45966</x:v>
      </x:c>
      <x:c r="K115" s="8" t="n">
        <x:f>INDEX('Сводка'!$S$3:$S$397,U115)</x:f>
        <x:v>-56</x:v>
      </x:c>
      <x:c r="L115" s="8" t="n">
        <x:f>INDEX('Сводка'!$S$3:$S$397,V115)</x:f>
        <x:v>-49</x:v>
      </x:c>
      <x:c r="M115" s="8" t="n">
        <x:f>INDEX($K$388:$N$400,W115,1)+INDEX($K$388:$N$400,W115,2)*LN(((J115-$T$405+1)/1000))</x:f>
        <x:v>129.56422673332816</x:v>
      </x:c>
      <x:c r="N115" s="8" t="n">
        <x:f>K115-M115</x:f>
        <x:v>-185.56422673332816</x:v>
      </x:c>
      <x:c r="O115" s="8" t="n">
        <x:f>ABS(N115)</x:f>
        <x:v>185.56422673332816</x:v>
      </x:c>
      <x:c r="P115" s="8" t="n">
        <x:f>N115^2</x:f>
        <x:v>34434.08224313802</x:v>
      </x:c>
      <x:c r="Q115" s="8" t="n">
        <x:f>K115-L115</x:f>
        <x:v>-7</x:v>
      </x:c>
      <x:c r="R115" s="9" t="n">
        <x:f>IF(AND(INDEX('Сводка'!$T$3:$T$397,U115)=0,INDEX('Сводка'!$T$3:$T$397,V115)=0),1,0)</x:f>
        <x:v>1</x:v>
      </x:c>
      <x:c r="S115" s="9" t="n">
        <x:f>IF(AND(R115=1,O115&lt;=$G$13),1,0)</x:f>
        <x:v>0</x:v>
      </x:c>
      <x:c r="T115" s="10" t="n">
        <x:f>EOMONTH(J115-'Сводка'!$B$11,-1)</x:f>
        <x:v>45961</x:v>
      </x:c>
      <x:c r="U115" s="4" t="n">
        <x:f>MATCH(J115,'Сводка'!$R$3:$R$397,0)</x:f>
        <x:v>126</x:v>
      </x:c>
      <x:c r="V115" s="4" t="n">
        <x:f>MATCH(J115-'Сводка'!$B$11,'Сводка'!$R$3:$R$397,0)</x:f>
        <x:v>125</x:v>
      </x:c>
      <x:c r="W115" s="4" t="n">
        <x:f>MATCH(T115,$J$388:$J$400,0)</x:f>
        <x:v>5</x:v>
      </x:c>
      <x:c r="X115" s="3"/>
      <x:c r="Y115" s="3"/>
      <x:c r="Z115" s="3"/>
    </x:row>
    <x:row r="116" ht="15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10" t="n">
        <x:v>45967</x:v>
      </x:c>
      <x:c r="K116" s="8" t="n">
        <x:f>INDEX('Сводка'!$S$3:$S$397,U116)</x:f>
        <x:v>-61</x:v>
      </x:c>
      <x:c r="L116" s="8" t="n">
        <x:f>INDEX('Сводка'!$S$3:$S$397,V116)</x:f>
        <x:v>-56</x:v>
      </x:c>
      <x:c r="M116" s="8" t="n">
        <x:f>INDEX($K$388:$N$400,W116,1)+INDEX($K$388:$N$400,W116,2)*LN(((J116-$T$405+1)/1000))</x:f>
        <x:v>129.5710831827901</x:v>
      </x:c>
      <x:c r="N116" s="8" t="n">
        <x:f>K116-M116</x:f>
        <x:v>-190.5710831827901</x:v>
      </x:c>
      <x:c r="O116" s="8" t="n">
        <x:f>ABS(N116)</x:f>
        <x:v>190.5710831827901</x:v>
      </x:c>
      <x:c r="P116" s="8" t="n">
        <x:f>N116^2</x:f>
        <x:v>36317.3377454619</x:v>
      </x:c>
      <x:c r="Q116" s="8" t="n">
        <x:f>K116-L116</x:f>
        <x:v>-5</x:v>
      </x:c>
      <x:c r="R116" s="9" t="n">
        <x:f>IF(AND(INDEX('Сводка'!$T$3:$T$397,U116)=0,INDEX('Сводка'!$T$3:$T$397,V116)=0),1,0)</x:f>
        <x:v>1</x:v>
      </x:c>
      <x:c r="S116" s="9" t="n">
        <x:f>IF(AND(R116=1,O116&lt;=$G$13),1,0)</x:f>
        <x:v>0</x:v>
      </x:c>
      <x:c r="T116" s="10" t="n">
        <x:f>EOMONTH(J116-'Сводка'!$B$11,-1)</x:f>
        <x:v>45961</x:v>
      </x:c>
      <x:c r="U116" s="4" t="n">
        <x:f>MATCH(J116,'Сводка'!$R$3:$R$397,0)</x:f>
        <x:v>127</x:v>
      </x:c>
      <x:c r="V116" s="4" t="n">
        <x:f>MATCH(J116-'Сводка'!$B$11,'Сводка'!$R$3:$R$397,0)</x:f>
        <x:v>126</x:v>
      </x:c>
      <x:c r="W116" s="4" t="n">
        <x:f>MATCH(T116,$J$388:$J$400,0)</x:f>
        <x:v>5</x:v>
      </x:c>
      <x:c r="X116" s="3"/>
      <x:c r="Y116" s="3"/>
      <x:c r="Z116" s="3"/>
    </x:row>
    <x:row r="117" ht="15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10" t="n">
        <x:v>45968</x:v>
      </x:c>
      <x:c r="K117" s="8" t="n">
        <x:f>INDEX('Сводка'!$S$3:$S$397,U117)</x:f>
        <x:v>-69</x:v>
      </x:c>
      <x:c r="L117" s="8" t="n">
        <x:f>INDEX('Сводка'!$S$3:$S$397,V117)</x:f>
        <x:v>-61</x:v>
      </x:c>
      <x:c r="M117" s="8" t="n">
        <x:f>INDEX($K$388:$N$400,W117,1)+INDEX($K$388:$N$400,W117,2)*LN(((J117-$T$405+1)/1000))</x:f>
        <x:v>129.57793884519478</x:v>
      </x:c>
      <x:c r="N117" s="8" t="n">
        <x:f>K117-M117</x:f>
        <x:v>-198.57793884519478</x:v>
      </x:c>
      <x:c r="O117" s="8" t="n">
        <x:f>ABS(N117)</x:f>
        <x:v>198.57793884519478</x:v>
      </x:c>
      <x:c r="P117" s="8" t="n">
        <x:f>N117^2</x:f>
        <x:v>39433.197796005916</x:v>
      </x:c>
      <x:c r="Q117" s="8" t="n">
        <x:f>K117-L117</x:f>
        <x:v>-8</x:v>
      </x:c>
      <x:c r="R117" s="9" t="n">
        <x:f>IF(AND(INDEX('Сводка'!$T$3:$T$397,U117)=0,INDEX('Сводка'!$T$3:$T$397,V117)=0),1,0)</x:f>
        <x:v>1</x:v>
      </x:c>
      <x:c r="S117" s="9" t="n">
        <x:f>IF(AND(R117=1,O117&lt;=$G$13),1,0)</x:f>
        <x:v>0</x:v>
      </x:c>
      <x:c r="T117" s="10" t="n">
        <x:f>EOMONTH(J117-'Сводка'!$B$11,-1)</x:f>
        <x:v>45961</x:v>
      </x:c>
      <x:c r="U117" s="4" t="n">
        <x:f>MATCH(J117,'Сводка'!$R$3:$R$397,0)</x:f>
        <x:v>128</x:v>
      </x:c>
      <x:c r="V117" s="4" t="n">
        <x:f>MATCH(J117-'Сводка'!$B$11,'Сводка'!$R$3:$R$397,0)</x:f>
        <x:v>127</x:v>
      </x:c>
      <x:c r="W117" s="4" t="n">
        <x:f>MATCH(T117,$J$388:$J$400,0)</x:f>
        <x:v>5</x:v>
      </x:c>
      <x:c r="X117" s="3"/>
      <x:c r="Y117" s="3"/>
      <x:c r="Z117" s="3"/>
    </x:row>
    <x:row r="118" ht="15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10" t="n">
        <x:v>45969</x:v>
      </x:c>
      <x:c r="K118" s="8" t="n">
        <x:f>INDEX('Сводка'!$S$3:$S$397,U118)</x:f>
        <x:v>-74</x:v>
      </x:c>
      <x:c r="L118" s="8" t="n">
        <x:f>INDEX('Сводка'!$S$3:$S$397,V118)</x:f>
        <x:v>-69</x:v>
      </x:c>
      <x:c r="M118" s="8" t="n">
        <x:f>INDEX($K$388:$N$400,W118,1)+INDEX($K$388:$N$400,W118,2)*LN(((J118-$T$405+1)/1000))</x:f>
        <x:v>129.58479372072284</x:v>
      </x:c>
      <x:c r="N118" s="8" t="n">
        <x:f>K118-M118</x:f>
        <x:v>-203.58479372072284</x:v>
      </x:c>
      <x:c r="O118" s="8" t="n">
        <x:f>ABS(N118)</x:f>
        <x:v>203.58479372072284</x:v>
      </x:c>
      <x:c r="P118" s="8" t="n">
        <x:f>N118^2</x:f>
        <x:v>41446.76823430927</x:v>
      </x:c>
      <x:c r="Q118" s="8" t="n">
        <x:f>K118-L118</x:f>
        <x:v>-5</x:v>
      </x:c>
      <x:c r="R118" s="9" t="n">
        <x:f>IF(AND(INDEX('Сводка'!$T$3:$T$397,U118)=0,INDEX('Сводка'!$T$3:$T$397,V118)=0),1,0)</x:f>
        <x:v>1</x:v>
      </x:c>
      <x:c r="S118" s="9" t="n">
        <x:f>IF(AND(R118=1,O118&lt;=$G$13),1,0)</x:f>
        <x:v>0</x:v>
      </x:c>
      <x:c r="T118" s="10" t="n">
        <x:f>EOMONTH(J118-'Сводка'!$B$11,-1)</x:f>
        <x:v>45961</x:v>
      </x:c>
      <x:c r="U118" s="4" t="n">
        <x:f>MATCH(J118,'Сводка'!$R$3:$R$397,0)</x:f>
        <x:v>129</x:v>
      </x:c>
      <x:c r="V118" s="4" t="n">
        <x:f>MATCH(J118-'Сводка'!$B$11,'Сводка'!$R$3:$R$397,0)</x:f>
        <x:v>128</x:v>
      </x:c>
      <x:c r="W118" s="4" t="n">
        <x:f>MATCH(T118,$J$388:$J$400,0)</x:f>
        <x:v>5</x:v>
      </x:c>
      <x:c r="X118" s="3"/>
      <x:c r="Y118" s="3"/>
      <x:c r="Z118" s="3"/>
    </x:row>
    <x:row r="119" ht="15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10" t="n">
        <x:v>45970</x:v>
      </x:c>
      <x:c r="K119" s="8" t="n">
        <x:f>INDEX('Сводка'!$S$3:$S$397,U119)</x:f>
        <x:v>-80</x:v>
      </x:c>
      <x:c r="L119" s="8" t="n">
        <x:f>INDEX('Сводка'!$S$3:$S$397,V119)</x:f>
        <x:v>-74</x:v>
      </x:c>
      <x:c r="M119" s="8" t="n">
        <x:f>INDEX($K$388:$N$400,W119,1)+INDEX($K$388:$N$400,W119,2)*LN(((J119-$T$405+1)/1000))</x:f>
        <x:v>129.59164780955493</x:v>
      </x:c>
      <x:c r="N119" s="8" t="n">
        <x:f>K119-M119</x:f>
        <x:v>-209.59164780955493</x:v>
      </x:c>
      <x:c r="O119" s="8" t="n">
        <x:f>ABS(N119)</x:f>
        <x:v>209.59164780955493</x:v>
      </x:c>
      <x:c r="P119" s="8" t="n">
        <x:f>N119^2</x:f>
        <x:v>43928.65883152451</x:v>
      </x:c>
      <x:c r="Q119" s="8" t="n">
        <x:f>K119-L119</x:f>
        <x:v>-6</x:v>
      </x:c>
      <x:c r="R119" s="9" t="n">
        <x:f>IF(AND(INDEX('Сводка'!$T$3:$T$397,U119)=0,INDEX('Сводка'!$T$3:$T$397,V119)=0),1,0)</x:f>
        <x:v>1</x:v>
      </x:c>
      <x:c r="S119" s="9" t="n">
        <x:f>IF(AND(R119=1,O119&lt;=$G$13),1,0)</x:f>
        <x:v>0</x:v>
      </x:c>
      <x:c r="T119" s="10" t="n">
        <x:f>EOMONTH(J119-'Сводка'!$B$11,-1)</x:f>
        <x:v>45961</x:v>
      </x:c>
      <x:c r="U119" s="4" t="n">
        <x:f>MATCH(J119,'Сводка'!$R$3:$R$397,0)</x:f>
        <x:v>130</x:v>
      </x:c>
      <x:c r="V119" s="4" t="n">
        <x:f>MATCH(J119-'Сводка'!$B$11,'Сводка'!$R$3:$R$397,0)</x:f>
        <x:v>129</x:v>
      </x:c>
      <x:c r="W119" s="4" t="n">
        <x:f>MATCH(T119,$J$388:$J$400,0)</x:f>
        <x:v>5</x:v>
      </x:c>
      <x:c r="X119" s="3"/>
      <x:c r="Y119" s="3"/>
      <x:c r="Z119" s="3"/>
    </x:row>
    <x:row r="120" ht="15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10" t="n">
        <x:v>45971</x:v>
      </x:c>
      <x:c r="K120" s="8" t="n">
        <x:f>INDEX('Сводка'!$S$3:$S$397,U120)</x:f>
        <x:v>-83</x:v>
      </x:c>
      <x:c r="L120" s="8" t="n">
        <x:f>INDEX('Сводка'!$S$3:$S$397,V120)</x:f>
        <x:v>-80</x:v>
      </x:c>
      <x:c r="M120" s="8" t="n">
        <x:f>INDEX($K$388:$N$400,W120,1)+INDEX($K$388:$N$400,W120,2)*LN(((J120-$T$405+1)/1000))</x:f>
        <x:v>129.59850111187154</x:v>
      </x:c>
      <x:c r="N120" s="8" t="n">
        <x:f>K120-M120</x:f>
        <x:v>-212.59850111187154</x:v>
      </x:c>
      <x:c r="O120" s="8" t="n">
        <x:f>ABS(N120)</x:f>
        <x:v>212.59850111187154</x:v>
      </x:c>
      <x:c r="P120" s="8" t="n">
        <x:f>N120^2</x:f>
        <x:v>45198.12267501445</x:v>
      </x:c>
      <x:c r="Q120" s="8" t="n">
        <x:f>K120-L120</x:f>
        <x:v>-3</x:v>
      </x:c>
      <x:c r="R120" s="9" t="n">
        <x:f>IF(AND(INDEX('Сводка'!$T$3:$T$397,U120)=0,INDEX('Сводка'!$T$3:$T$397,V120)=0),1,0)</x:f>
        <x:v>1</x:v>
      </x:c>
      <x:c r="S120" s="9" t="n">
        <x:f>IF(AND(R120=1,O120&lt;=$G$13),1,0)</x:f>
        <x:v>0</x:v>
      </x:c>
      <x:c r="T120" s="10" t="n">
        <x:f>EOMONTH(J120-'Сводка'!$B$11,-1)</x:f>
        <x:v>45961</x:v>
      </x:c>
      <x:c r="U120" s="4" t="n">
        <x:f>MATCH(J120,'Сводка'!$R$3:$R$397,0)</x:f>
        <x:v>131</x:v>
      </x:c>
      <x:c r="V120" s="4" t="n">
        <x:f>MATCH(J120-'Сводка'!$B$11,'Сводка'!$R$3:$R$397,0)</x:f>
        <x:v>130</x:v>
      </x:c>
      <x:c r="W120" s="4" t="n">
        <x:f>MATCH(T120,$J$388:$J$400,0)</x:f>
        <x:v>5</x:v>
      </x:c>
      <x:c r="X120" s="3"/>
      <x:c r="Y120" s="3"/>
      <x:c r="Z120" s="3"/>
    </x:row>
    <x:row r="121" ht="15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10" t="n">
        <x:v>45972</x:v>
      </x:c>
      <x:c r="K121" s="8" t="n">
        <x:f>INDEX('Сводка'!$S$3:$S$397,U121)</x:f>
        <x:v>-89</x:v>
      </x:c>
      <x:c r="L121" s="8" t="n">
        <x:f>INDEX('Сводка'!$S$3:$S$397,V121)</x:f>
        <x:v>-83</x:v>
      </x:c>
      <x:c r="M121" s="8" t="n">
        <x:f>INDEX($K$388:$N$400,W121,1)+INDEX($K$388:$N$400,W121,2)*LN(((J121-$T$405+1)/1000))</x:f>
        <x:v>129.60535362785322</x:v>
      </x:c>
      <x:c r="N121" s="8" t="n">
        <x:f>K121-M121</x:f>
        <x:v>-218.60535362785322</x:v>
      </x:c>
      <x:c r="O121" s="8" t="n">
        <x:f>ABS(N121)</x:f>
        <x:v>218.60535362785322</x:v>
      </x:c>
      <x:c r="P121" s="8" t="n">
        <x:f>N121^2</x:f>
        <x:v>47788.30063475876</x:v>
      </x:c>
      <x:c r="Q121" s="8" t="n">
        <x:f>K121-L121</x:f>
        <x:v>-6</x:v>
      </x:c>
      <x:c r="R121" s="9" t="n">
        <x:f>IF(AND(INDEX('Сводка'!$T$3:$T$397,U121)=0,INDEX('Сводка'!$T$3:$T$397,V121)=0),1,0)</x:f>
        <x:v>1</x:v>
      </x:c>
      <x:c r="S121" s="9" t="n">
        <x:f>IF(AND(R121=1,O121&lt;=$G$13),1,0)</x:f>
        <x:v>0</x:v>
      </x:c>
      <x:c r="T121" s="10" t="n">
        <x:f>EOMONTH(J121-'Сводка'!$B$11,-1)</x:f>
        <x:v>45961</x:v>
      </x:c>
      <x:c r="U121" s="4" t="n">
        <x:f>MATCH(J121,'Сводка'!$R$3:$R$397,0)</x:f>
        <x:v>132</x:v>
      </x:c>
      <x:c r="V121" s="4" t="n">
        <x:f>MATCH(J121-'Сводка'!$B$11,'Сводка'!$R$3:$R$397,0)</x:f>
        <x:v>131</x:v>
      </x:c>
      <x:c r="W121" s="4" t="n">
        <x:f>MATCH(T121,$J$388:$J$400,0)</x:f>
        <x:v>5</x:v>
      </x:c>
      <x:c r="X121" s="3"/>
      <x:c r="Y121" s="3"/>
      <x:c r="Z121" s="3"/>
    </x:row>
    <x:row r="122" ht="15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10" t="n">
        <x:v>45973</x:v>
      </x:c>
      <x:c r="K122" s="8" t="n">
        <x:f>INDEX('Сводка'!$S$3:$S$397,U122)</x:f>
        <x:v>-88</x:v>
      </x:c>
      <x:c r="L122" s="8" t="n">
        <x:f>INDEX('Сводка'!$S$3:$S$397,V122)</x:f>
        <x:v>-89</x:v>
      </x:c>
      <x:c r="M122" s="8" t="n">
        <x:f>INDEX($K$388:$N$400,W122,1)+INDEX($K$388:$N$400,W122,2)*LN(((J122-$T$405+1)/1000))</x:f>
        <x:v>129.61220535768035</x:v>
      </x:c>
      <x:c r="N122" s="8" t="n">
        <x:f>K122-M122</x:f>
        <x:v>-217.61220535768035</x:v>
      </x:c>
      <x:c r="O122" s="8" t="n">
        <x:f>ABS(N122)</x:f>
        <x:v>217.61220535768035</x:v>
      </x:c>
      <x:c r="P122" s="8" t="n">
        <x:f>N122^2</x:f>
        <x:v>47355.07192063324</x:v>
      </x:c>
      <x:c r="Q122" s="8" t="n">
        <x:f>K122-L122</x:f>
        <x:v>1</x:v>
      </x:c>
      <x:c r="R122" s="9" t="n">
        <x:f>IF(AND(INDEX('Сводка'!$T$3:$T$397,U122)=0,INDEX('Сводка'!$T$3:$T$397,V122)=0),1,0)</x:f>
        <x:v>1</x:v>
      </x:c>
      <x:c r="S122" s="9" t="n">
        <x:f>IF(AND(R122=1,O122&lt;=$G$13),1,0)</x:f>
        <x:v>0</x:v>
      </x:c>
      <x:c r="T122" s="10" t="n">
        <x:f>EOMONTH(J122-'Сводка'!$B$11,-1)</x:f>
        <x:v>45961</x:v>
      </x:c>
      <x:c r="U122" s="4" t="n">
        <x:f>MATCH(J122,'Сводка'!$R$3:$R$397,0)</x:f>
        <x:v>133</x:v>
      </x:c>
      <x:c r="V122" s="4" t="n">
        <x:f>MATCH(J122-'Сводка'!$B$11,'Сводка'!$R$3:$R$397,0)</x:f>
        <x:v>132</x:v>
      </x:c>
      <x:c r="W122" s="4" t="n">
        <x:f>MATCH(T122,$J$388:$J$400,0)</x:f>
        <x:v>5</x:v>
      </x:c>
      <x:c r="X122" s="3"/>
      <x:c r="Y122" s="3"/>
      <x:c r="Z122" s="3"/>
    </x:row>
    <x:row r="123" ht="15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10" t="n">
        <x:v>45974</x:v>
      </x:c>
      <x:c r="K123" s="8" t="n">
        <x:f>INDEX('Сводка'!$S$3:$S$397,U123)</x:f>
        <x:v>-89</x:v>
      </x:c>
      <x:c r="L123" s="8" t="n">
        <x:f>INDEX('Сводка'!$S$3:$S$397,V123)</x:f>
        <x:v>-88</x:v>
      </x:c>
      <x:c r="M123" s="8" t="n">
        <x:f>INDEX($K$388:$N$400,W123,1)+INDEX($K$388:$N$400,W123,2)*LN(((J123-$T$405+1)/1000))</x:f>
        <x:v>129.6190563015333</x:v>
      </x:c>
      <x:c r="N123" s="8" t="n">
        <x:f>K123-M123</x:f>
        <x:v>-218.6190563015333</x:v>
      </x:c>
      <x:c r="O123" s="8" t="n">
        <x:f>ABS(N123)</x:f>
        <x:v>218.6190563015333</x:v>
      </x:c>
      <x:c r="P123" s="8" t="n">
        <x:f>N123^2</x:f>
        <x:v>47794.29177817299</x:v>
      </x:c>
      <x:c r="Q123" s="8" t="n">
        <x:f>K123-L123</x:f>
        <x:v>-1</x:v>
      </x:c>
      <x:c r="R123" s="9" t="n">
        <x:f>IF(AND(INDEX('Сводка'!$T$3:$T$397,U123)=0,INDEX('Сводка'!$T$3:$T$397,V123)=0),1,0)</x:f>
        <x:v>1</x:v>
      </x:c>
      <x:c r="S123" s="9" t="n">
        <x:f>IF(AND(R123=1,O123&lt;=$G$13),1,0)</x:f>
        <x:v>0</x:v>
      </x:c>
      <x:c r="T123" s="10" t="n">
        <x:f>EOMONTH(J123-'Сводка'!$B$11,-1)</x:f>
        <x:v>45961</x:v>
      </x:c>
      <x:c r="U123" s="4" t="n">
        <x:f>MATCH(J123,'Сводка'!$R$3:$R$397,0)</x:f>
        <x:v>134</x:v>
      </x:c>
      <x:c r="V123" s="4" t="n">
        <x:f>MATCH(J123-'Сводка'!$B$11,'Сводка'!$R$3:$R$397,0)</x:f>
        <x:v>133</x:v>
      </x:c>
      <x:c r="W123" s="4" t="n">
        <x:f>MATCH(T123,$J$388:$J$400,0)</x:f>
        <x:v>5</x:v>
      </x:c>
      <x:c r="X123" s="3"/>
      <x:c r="Y123" s="3"/>
      <x:c r="Z123" s="3"/>
    </x:row>
    <x:row r="124" ht="15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10" t="n">
        <x:v>45975</x:v>
      </x:c>
      <x:c r="K124" s="8" t="n">
        <x:f>INDEX('Сводка'!$S$3:$S$397,U124)</x:f>
        <x:v>-95</x:v>
      </x:c>
      <x:c r="L124" s="8" t="n">
        <x:f>INDEX('Сводка'!$S$3:$S$397,V124)</x:f>
        <x:v>-89</x:v>
      </x:c>
      <x:c r="M124" s="8" t="n">
        <x:f>INDEX($K$388:$N$400,W124,1)+INDEX($K$388:$N$400,W124,2)*LN(((J124-$T$405+1)/1000))</x:f>
        <x:v>129.62590645959241</x:v>
      </x:c>
      <x:c r="N124" s="8" t="n">
        <x:f>K124-M124</x:f>
        <x:v>-224.62590645959241</x:v>
      </x:c>
      <x:c r="O124" s="8" t="n">
        <x:f>ABS(N124)</x:f>
        <x:v>224.62590645959241</x:v>
      </x:c>
      <x:c r="P124" s="8" t="n">
        <x:f>N124^2</x:f>
        <x:v>50456.79785279356</x:v>
      </x:c>
      <x:c r="Q124" s="8" t="n">
        <x:f>K124-L124</x:f>
        <x:v>-6</x:v>
      </x:c>
      <x:c r="R124" s="9" t="n">
        <x:f>IF(AND(INDEX('Сводка'!$T$3:$T$397,U124)=0,INDEX('Сводка'!$T$3:$T$397,V124)=0),1,0)</x:f>
        <x:v>1</x:v>
      </x:c>
      <x:c r="S124" s="9" t="n">
        <x:f>IF(AND(R124=1,O124&lt;=$G$13),1,0)</x:f>
        <x:v>0</x:v>
      </x:c>
      <x:c r="T124" s="10" t="n">
        <x:f>EOMONTH(J124-'Сводка'!$B$11,-1)</x:f>
        <x:v>45961</x:v>
      </x:c>
      <x:c r="U124" s="4" t="n">
        <x:f>MATCH(J124,'Сводка'!$R$3:$R$397,0)</x:f>
        <x:v>135</x:v>
      </x:c>
      <x:c r="V124" s="4" t="n">
        <x:f>MATCH(J124-'Сводка'!$B$11,'Сводка'!$R$3:$R$397,0)</x:f>
        <x:v>134</x:v>
      </x:c>
      <x:c r="W124" s="4" t="n">
        <x:f>MATCH(T124,$J$388:$J$400,0)</x:f>
        <x:v>5</x:v>
      </x:c>
      <x:c r="X124" s="3"/>
      <x:c r="Y124" s="3"/>
      <x:c r="Z124" s="3"/>
    </x:row>
    <x:row r="125" ht="15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10" t="n">
        <x:v>45976</x:v>
      </x:c>
      <x:c r="K125" s="8" t="n">
        <x:f>INDEX('Сводка'!$S$3:$S$397,U125)</x:f>
        <x:v>-90</x:v>
      </x:c>
      <x:c r="L125" s="8" t="n">
        <x:f>INDEX('Сводка'!$S$3:$S$397,V125)</x:f>
        <x:v>-95</x:v>
      </x:c>
      <x:c r="M125" s="8" t="n">
        <x:f>INDEX($K$388:$N$400,W125,1)+INDEX($K$388:$N$400,W125,2)*LN(((J125-$T$405+1)/1000))</x:f>
        <x:v>129.63275583203787</x:v>
      </x:c>
      <x:c r="N125" s="8" t="n">
        <x:f>K125-M125</x:f>
        <x:v>-219.63275583203787</x:v>
      </x:c>
      <x:c r="O125" s="8" t="n">
        <x:f>ABS(N125)</x:f>
        <x:v>219.63275583203787</x:v>
      </x:c>
      <x:c r="P125" s="8" t="n">
        <x:f>N125^2</x:f>
        <x:v>48238.54743437556</x:v>
      </x:c>
      <x:c r="Q125" s="8" t="n">
        <x:f>K125-L125</x:f>
        <x:v>5</x:v>
      </x:c>
      <x:c r="R125" s="9" t="n">
        <x:f>IF(AND(INDEX('Сводка'!$T$3:$T$397,U125)=0,INDEX('Сводка'!$T$3:$T$397,V125)=0),1,0)</x:f>
        <x:v>1</x:v>
      </x:c>
      <x:c r="S125" s="9" t="n">
        <x:f>IF(AND(R125=1,O125&lt;=$G$13),1,0)</x:f>
        <x:v>0</x:v>
      </x:c>
      <x:c r="T125" s="10" t="n">
        <x:f>EOMONTH(J125-'Сводка'!$B$11,-1)</x:f>
        <x:v>45961</x:v>
      </x:c>
      <x:c r="U125" s="4" t="n">
        <x:f>MATCH(J125,'Сводка'!$R$3:$R$397,0)</x:f>
        <x:v>136</x:v>
      </x:c>
      <x:c r="V125" s="4" t="n">
        <x:f>MATCH(J125-'Сводка'!$B$11,'Сводка'!$R$3:$R$397,0)</x:f>
        <x:v>135</x:v>
      </x:c>
      <x:c r="W125" s="4" t="n">
        <x:f>MATCH(T125,$J$388:$J$400,0)</x:f>
        <x:v>5</x:v>
      </x:c>
      <x:c r="X125" s="3"/>
      <x:c r="Y125" s="3"/>
      <x:c r="Z125" s="3"/>
    </x:row>
    <x:row r="126" ht="15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10" t="n">
        <x:v>45977</x:v>
      </x:c>
      <x:c r="K126" s="8" t="n">
        <x:f>INDEX('Сводка'!$S$3:$S$397,U126)</x:f>
        <x:v>-81</x:v>
      </x:c>
      <x:c r="L126" s="8" t="n">
        <x:f>INDEX('Сводка'!$S$3:$S$397,V126)</x:f>
        <x:v>-90</x:v>
      </x:c>
      <x:c r="M126" s="8" t="n">
        <x:f>INDEX($K$388:$N$400,W126,1)+INDEX($K$388:$N$400,W126,2)*LN(((J126-$T$405+1)/1000))</x:f>
        <x:v>129.63960441904987</x:v>
      </x:c>
      <x:c r="N126" s="8" t="n">
        <x:f>K126-M126</x:f>
        <x:v>-210.63960441904987</x:v>
      </x:c>
      <x:c r="O126" s="8" t="n">
        <x:f>ABS(N126)</x:f>
        <x:v>210.63960441904987</x:v>
      </x:c>
      <x:c r="P126" s="8" t="n">
        <x:f>N126^2</x:f>
        <x:v>44369.04294981382</x:v>
      </x:c>
      <x:c r="Q126" s="8" t="n">
        <x:f>K126-L126</x:f>
        <x:v>9</x:v>
      </x:c>
      <x:c r="R126" s="9" t="n">
        <x:f>IF(AND(INDEX('Сводка'!$T$3:$T$397,U126)=0,INDEX('Сводка'!$T$3:$T$397,V126)=0),1,0)</x:f>
        <x:v>1</x:v>
      </x:c>
      <x:c r="S126" s="9" t="n">
        <x:f>IF(AND(R126=1,O126&lt;=$G$13),1,0)</x:f>
        <x:v>0</x:v>
      </x:c>
      <x:c r="T126" s="10" t="n">
        <x:f>EOMONTH(J126-'Сводка'!$B$11,-1)</x:f>
        <x:v>45961</x:v>
      </x:c>
      <x:c r="U126" s="4" t="n">
        <x:f>MATCH(J126,'Сводка'!$R$3:$R$397,0)</x:f>
        <x:v>137</x:v>
      </x:c>
      <x:c r="V126" s="4" t="n">
        <x:f>MATCH(J126-'Сводка'!$B$11,'Сводка'!$R$3:$R$397,0)</x:f>
        <x:v>136</x:v>
      </x:c>
      <x:c r="W126" s="4" t="n">
        <x:f>MATCH(T126,$J$388:$J$400,0)</x:f>
        <x:v>5</x:v>
      </x:c>
      <x:c r="X126" s="3"/>
      <x:c r="Y126" s="3"/>
      <x:c r="Z126" s="3"/>
    </x:row>
    <x:row r="127" ht="15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10" t="n">
        <x:v>45978</x:v>
      </x:c>
      <x:c r="K127" s="8" t="n">
        <x:f>INDEX('Сводка'!$S$3:$S$397,U127)</x:f>
        <x:v>-83</x:v>
      </x:c>
      <x:c r="L127" s="8" t="n">
        <x:f>INDEX('Сводка'!$S$3:$S$397,V127)</x:f>
        <x:v>-81</x:v>
      </x:c>
      <x:c r="M127" s="8" t="n">
        <x:f>INDEX($K$388:$N$400,W127,1)+INDEX($K$388:$N$400,W127,2)*LN(((J127-$T$405+1)/1000))</x:f>
        <x:v>129.64645222080853</x:v>
      </x:c>
      <x:c r="N127" s="8" t="n">
        <x:f>K127-M127</x:f>
        <x:v>-212.64645222080853</x:v>
      </x:c>
      <x:c r="O127" s="8" t="n">
        <x:f>ABS(N127)</x:f>
        <x:v>212.64645222080853</x:v>
      </x:c>
      <x:c r="P127" s="8" t="n">
        <x:f>N127^2</x:f>
        <x:v>45218.5136420966</x:v>
      </x:c>
      <x:c r="Q127" s="8" t="n">
        <x:f>K127-L127</x:f>
        <x:v>-2</x:v>
      </x:c>
      <x:c r="R127" s="9" t="n">
        <x:f>IF(AND(INDEX('Сводка'!$T$3:$T$397,U127)=0,INDEX('Сводка'!$T$3:$T$397,V127)=0),1,0)</x:f>
        <x:v>1</x:v>
      </x:c>
      <x:c r="S127" s="9" t="n">
        <x:f>IF(AND(R127=1,O127&lt;=$G$13),1,0)</x:f>
        <x:v>0</x:v>
      </x:c>
      <x:c r="T127" s="10" t="n">
        <x:f>EOMONTH(J127-'Сводка'!$B$11,-1)</x:f>
        <x:v>45961</x:v>
      </x:c>
      <x:c r="U127" s="4" t="n">
        <x:f>MATCH(J127,'Сводка'!$R$3:$R$397,0)</x:f>
        <x:v>138</x:v>
      </x:c>
      <x:c r="V127" s="4" t="n">
        <x:f>MATCH(J127-'Сводка'!$B$11,'Сводка'!$R$3:$R$397,0)</x:f>
        <x:v>137</x:v>
      </x:c>
      <x:c r="W127" s="4" t="n">
        <x:f>MATCH(T127,$J$388:$J$400,0)</x:f>
        <x:v>5</x:v>
      </x:c>
      <x:c r="X127" s="3"/>
      <x:c r="Y127" s="3"/>
      <x:c r="Z127" s="3"/>
    </x:row>
    <x:row r="128" ht="15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10" t="n">
        <x:v>45979</x:v>
      </x:c>
      <x:c r="K128" s="8" t="n">
        <x:f>INDEX('Сводка'!$S$3:$S$397,U128)</x:f>
        <x:v>-72</x:v>
      </x:c>
      <x:c r="L128" s="8" t="n">
        <x:f>INDEX('Сводка'!$S$3:$S$397,V128)</x:f>
        <x:v>-83</x:v>
      </x:c>
      <x:c r="M128" s="8" t="n">
        <x:f>INDEX($K$388:$N$400,W128,1)+INDEX($K$388:$N$400,W128,2)*LN(((J128-$T$405+1)/1000))</x:f>
        <x:v>129.6532992374939</x:v>
      </x:c>
      <x:c r="N128" s="8" t="n">
        <x:f>K128-M128</x:f>
        <x:v>-201.6532992374939</x:v>
      </x:c>
      <x:c r="O128" s="8" t="n">
        <x:f>ABS(N128)</x:f>
        <x:v>201.6532992374939</x:v>
      </x:c>
      <x:c r="P128" s="8" t="n">
        <x:f>N128^2</x:f>
        <x:v>40664.05309336626</x:v>
      </x:c>
      <x:c r="Q128" s="8" t="n">
        <x:f>K128-L128</x:f>
        <x:v>11</x:v>
      </x:c>
      <x:c r="R128" s="9" t="n">
        <x:f>IF(AND(INDEX('Сводка'!$T$3:$T$397,U128)=0,INDEX('Сводка'!$T$3:$T$397,V128)=0),1,0)</x:f>
        <x:v>1</x:v>
      </x:c>
      <x:c r="S128" s="9" t="n">
        <x:f>IF(AND(R128=1,O128&lt;=$G$13),1,0)</x:f>
        <x:v>0</x:v>
      </x:c>
      <x:c r="T128" s="10" t="n">
        <x:f>EOMONTH(J128-'Сводка'!$B$11,-1)</x:f>
        <x:v>45961</x:v>
      </x:c>
      <x:c r="U128" s="4" t="n">
        <x:f>MATCH(J128,'Сводка'!$R$3:$R$397,0)</x:f>
        <x:v>139</x:v>
      </x:c>
      <x:c r="V128" s="4" t="n">
        <x:f>MATCH(J128-'Сводка'!$B$11,'Сводка'!$R$3:$R$397,0)</x:f>
        <x:v>138</x:v>
      </x:c>
      <x:c r="W128" s="4" t="n">
        <x:f>MATCH(T128,$J$388:$J$400,0)</x:f>
        <x:v>5</x:v>
      </x:c>
      <x:c r="X128" s="3"/>
      <x:c r="Y128" s="3"/>
      <x:c r="Z128" s="3"/>
    </x:row>
    <x:row r="129" ht="15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10" t="n">
        <x:v>45980</x:v>
      </x:c>
      <x:c r="K129" s="8" t="n">
        <x:f>INDEX('Сводка'!$S$3:$S$397,U129)</x:f>
        <x:v>-74</x:v>
      </x:c>
      <x:c r="L129" s="8" t="n">
        <x:f>INDEX('Сводка'!$S$3:$S$397,V129)</x:f>
        <x:v>-72</x:v>
      </x:c>
      <x:c r="M129" s="8" t="n">
        <x:f>INDEX($K$388:$N$400,W129,1)+INDEX($K$388:$N$400,W129,2)*LN(((J129-$T$405+1)/1000))</x:f>
        <x:v>129.660145469286</x:v>
      </x:c>
      <x:c r="N129" s="8" t="n">
        <x:f>K129-M129</x:f>
        <x:v>-203.660145469286</x:v>
      </x:c>
      <x:c r="O129" s="8" t="n">
        <x:f>ABS(N129)</x:f>
        <x:v>203.660145469286</x:v>
      </x:c>
      <x:c r="P129" s="8" t="n">
        <x:f>N129^2</x:f>
        <x:v>41477.45485257073</x:v>
      </x:c>
      <x:c r="Q129" s="8" t="n">
        <x:f>K129-L129</x:f>
        <x:v>-2</x:v>
      </x:c>
      <x:c r="R129" s="9" t="n">
        <x:f>IF(AND(INDEX('Сводка'!$T$3:$T$397,U129)=0,INDEX('Сводка'!$T$3:$T$397,V129)=0),1,0)</x:f>
        <x:v>1</x:v>
      </x:c>
      <x:c r="S129" s="9" t="n">
        <x:f>IF(AND(R129=1,O129&lt;=$G$13),1,0)</x:f>
        <x:v>0</x:v>
      </x:c>
      <x:c r="T129" s="10" t="n">
        <x:f>EOMONTH(J129-'Сводка'!$B$11,-1)</x:f>
        <x:v>45961</x:v>
      </x:c>
      <x:c r="U129" s="4" t="n">
        <x:f>MATCH(J129,'Сводка'!$R$3:$R$397,0)</x:f>
        <x:v>140</x:v>
      </x:c>
      <x:c r="V129" s="4" t="n">
        <x:f>MATCH(J129-'Сводка'!$B$11,'Сводка'!$R$3:$R$397,0)</x:f>
        <x:v>139</x:v>
      </x:c>
      <x:c r="W129" s="4" t="n">
        <x:f>MATCH(T129,$J$388:$J$400,0)</x:f>
        <x:v>5</x:v>
      </x:c>
      <x:c r="X129" s="3"/>
      <x:c r="Y129" s="3"/>
      <x:c r="Z129" s="3"/>
    </x:row>
    <x:row r="130" ht="15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10" t="n">
        <x:v>45981</x:v>
      </x:c>
      <x:c r="K130" s="8" t="n">
        <x:f>INDEX('Сводка'!$S$3:$S$397,U130)</x:f>
        <x:v>-71</x:v>
      </x:c>
      <x:c r="L130" s="8" t="n">
        <x:f>INDEX('Сводка'!$S$3:$S$397,V130)</x:f>
        <x:v>-74</x:v>
      </x:c>
      <x:c r="M130" s="8" t="n">
        <x:f>INDEX($K$388:$N$400,W130,1)+INDEX($K$388:$N$400,W130,2)*LN(((J130-$T$405+1)/1000))</x:f>
        <x:v>129.66699091636465</x:v>
      </x:c>
      <x:c r="N130" s="8" t="n">
        <x:f>K130-M130</x:f>
        <x:v>-200.66699091636465</x:v>
      </x:c>
      <x:c r="O130" s="8" t="n">
        <x:f>ABS(N130)</x:f>
        <x:v>200.66699091636465</x:v>
      </x:c>
      <x:c r="P130" s="8" t="n">
        <x:f>N130^2</x:f>
        <x:v>40267.241243428376</x:v>
      </x:c>
      <x:c r="Q130" s="8" t="n">
        <x:f>K130-L130</x:f>
        <x:v>3</x:v>
      </x:c>
      <x:c r="R130" s="9" t="n">
        <x:f>IF(AND(INDEX('Сводка'!$T$3:$T$397,U130)=0,INDEX('Сводка'!$T$3:$T$397,V130)=0),1,0)</x:f>
        <x:v>1</x:v>
      </x:c>
      <x:c r="S130" s="9" t="n">
        <x:f>IF(AND(R130=1,O130&lt;=$G$13),1,0)</x:f>
        <x:v>0</x:v>
      </x:c>
      <x:c r="T130" s="10" t="n">
        <x:f>EOMONTH(J130-'Сводка'!$B$11,-1)</x:f>
        <x:v>45961</x:v>
      </x:c>
      <x:c r="U130" s="4" t="n">
        <x:f>MATCH(J130,'Сводка'!$R$3:$R$397,0)</x:f>
        <x:v>141</x:v>
      </x:c>
      <x:c r="V130" s="4" t="n">
        <x:f>MATCH(J130-'Сводка'!$B$11,'Сводка'!$R$3:$R$397,0)</x:f>
        <x:v>140</x:v>
      </x:c>
      <x:c r="W130" s="4" t="n">
        <x:f>MATCH(T130,$J$388:$J$400,0)</x:f>
        <x:v>5</x:v>
      </x:c>
      <x:c r="X130" s="3"/>
      <x:c r="Y130" s="3"/>
      <x:c r="Z130" s="3"/>
    </x:row>
    <x:row r="131" ht="15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10" t="n">
        <x:v>45982</x:v>
      </x:c>
      <x:c r="K131" s="8" t="n">
        <x:f>INDEX('Сводка'!$S$3:$S$397,U131)</x:f>
        <x:v>-85</x:v>
      </x:c>
      <x:c r="L131" s="8" t="n">
        <x:f>INDEX('Сводка'!$S$3:$S$397,V131)</x:f>
        <x:v>-71</x:v>
      </x:c>
      <x:c r="M131" s="8" t="n">
        <x:f>INDEX($K$388:$N$400,W131,1)+INDEX($K$388:$N$400,W131,2)*LN(((J131-$T$405+1)/1000))</x:f>
        <x:v>129.6738355789099</x:v>
      </x:c>
      <x:c r="N131" s="8" t="n">
        <x:f>K131-M131</x:f>
        <x:v>-214.6738355789099</x:v>
      </x:c>
      <x:c r="O131" s="8" t="n">
        <x:f>ABS(N131)</x:f>
        <x:v>214.6738355789099</x:v>
      </x:c>
      <x:c r="P131" s="8" t="n">
        <x:f>N131^2</x:f>
        <x:v>46084.855682160836</x:v>
      </x:c>
      <x:c r="Q131" s="8" t="n">
        <x:f>K131-L131</x:f>
        <x:v>-14</x:v>
      </x:c>
      <x:c r="R131" s="9" t="n">
        <x:f>IF(AND(INDEX('Сводка'!$T$3:$T$397,U131)=0,INDEX('Сводка'!$T$3:$T$397,V131)=0),1,0)</x:f>
        <x:v>1</x:v>
      </x:c>
      <x:c r="S131" s="9" t="n">
        <x:f>IF(AND(R131=1,O131&lt;=$G$13),1,0)</x:f>
        <x:v>0</x:v>
      </x:c>
      <x:c r="T131" s="10" t="n">
        <x:f>EOMONTH(J131-'Сводка'!$B$11,-1)</x:f>
        <x:v>45961</x:v>
      </x:c>
      <x:c r="U131" s="4" t="n">
        <x:f>MATCH(J131,'Сводка'!$R$3:$R$397,0)</x:f>
        <x:v>142</x:v>
      </x:c>
      <x:c r="V131" s="4" t="n">
        <x:f>MATCH(J131-'Сводка'!$B$11,'Сводка'!$R$3:$R$397,0)</x:f>
        <x:v>141</x:v>
      </x:c>
      <x:c r="W131" s="4" t="n">
        <x:f>MATCH(T131,$J$388:$J$400,0)</x:f>
        <x:v>5</x:v>
      </x:c>
      <x:c r="X131" s="3"/>
      <x:c r="Y131" s="3"/>
      <x:c r="Z131" s="3"/>
    </x:row>
    <x:row r="132" ht="15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10" t="n">
        <x:v>45983</x:v>
      </x:c>
      <x:c r="K132" s="8" t="n">
        <x:f>INDEX('Сводка'!$S$3:$S$397,U132)</x:f>
        <x:v>-98</x:v>
      </x:c>
      <x:c r="L132" s="8" t="n">
        <x:f>INDEX('Сводка'!$S$3:$S$397,V132)</x:f>
        <x:v>-85</x:v>
      </x:c>
      <x:c r="M132" s="8" t="n">
        <x:f>INDEX($K$388:$N$400,W132,1)+INDEX($K$388:$N$400,W132,2)*LN(((J132-$T$405+1)/1000))</x:f>
        <x:v>129.68067945710135</x:v>
      </x:c>
      <x:c r="N132" s="8" t="n">
        <x:f>K132-M132</x:f>
        <x:v>-227.68067945710135</x:v>
      </x:c>
      <x:c r="O132" s="8" t="n">
        <x:f>ABS(N132)</x:f>
        <x:v>227.68067945710135</x:v>
      </x:c>
      <x:c r="P132" s="8" t="n">
        <x:f>N132^2</x:f>
        <x:v>51838.49179804733</x:v>
      </x:c>
      <x:c r="Q132" s="8" t="n">
        <x:f>K132-L132</x:f>
        <x:v>-13</x:v>
      </x:c>
      <x:c r="R132" s="9" t="n">
        <x:f>IF(AND(INDEX('Сводка'!$T$3:$T$397,U132)=0,INDEX('Сводка'!$T$3:$T$397,V132)=0),1,0)</x:f>
        <x:v>1</x:v>
      </x:c>
      <x:c r="S132" s="9" t="n">
        <x:f>IF(AND(R132=1,O132&lt;=$G$13),1,0)</x:f>
        <x:v>0</x:v>
      </x:c>
      <x:c r="T132" s="10" t="n">
        <x:f>EOMONTH(J132-'Сводка'!$B$11,-1)</x:f>
        <x:v>45961</x:v>
      </x:c>
      <x:c r="U132" s="4" t="n">
        <x:f>MATCH(J132,'Сводка'!$R$3:$R$397,0)</x:f>
        <x:v>143</x:v>
      </x:c>
      <x:c r="V132" s="4" t="n">
        <x:f>MATCH(J132-'Сводка'!$B$11,'Сводка'!$R$3:$R$397,0)</x:f>
        <x:v>142</x:v>
      </x:c>
      <x:c r="W132" s="4" t="n">
        <x:f>MATCH(T132,$J$388:$J$400,0)</x:f>
        <x:v>5</x:v>
      </x:c>
      <x:c r="X132" s="3"/>
      <x:c r="Y132" s="3"/>
      <x:c r="Z132" s="3"/>
    </x:row>
    <x:row r="133" ht="15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10" t="n">
        <x:v>45984</x:v>
      </x:c>
      <x:c r="K133" s="8" t="n">
        <x:f>INDEX('Сводка'!$S$3:$S$397,U133)</x:f>
        <x:v>-118</x:v>
      </x:c>
      <x:c r="L133" s="8" t="n">
        <x:f>INDEX('Сводка'!$S$3:$S$397,V133)</x:f>
        <x:v>-98</x:v>
      </x:c>
      <x:c r="M133" s="8" t="n">
        <x:f>INDEX($K$388:$N$400,W133,1)+INDEX($K$388:$N$400,W133,2)*LN(((J133-$T$405+1)/1000))</x:f>
        <x:v>129.6875225511189</x:v>
      </x:c>
      <x:c r="N133" s="8" t="n">
        <x:f>K133-M133</x:f>
        <x:v>-247.6875225511189</x:v>
      </x:c>
      <x:c r="O133" s="8" t="n">
        <x:f>ABS(N133)</x:f>
        <x:v>247.6875225511189</x:v>
      </x:c>
      <x:c r="P133" s="8" t="n">
        <x:f>N133^2</x:f>
        <x:v>61349.10882751103</x:v>
      </x:c>
      <x:c r="Q133" s="8" t="n">
        <x:f>K133-L133</x:f>
        <x:v>-20</x:v>
      </x:c>
      <x:c r="R133" s="9" t="n">
        <x:f>IF(AND(INDEX('Сводка'!$T$3:$T$397,U133)=0,INDEX('Сводка'!$T$3:$T$397,V133)=0),1,0)</x:f>
        <x:v>1</x:v>
      </x:c>
      <x:c r="S133" s="9" t="n">
        <x:f>IF(AND(R133=1,O133&lt;=$G$13),1,0)</x:f>
        <x:v>0</x:v>
      </x:c>
      <x:c r="T133" s="10" t="n">
        <x:f>EOMONTH(J133-'Сводка'!$B$11,-1)</x:f>
        <x:v>45961</x:v>
      </x:c>
      <x:c r="U133" s="4" t="n">
        <x:f>MATCH(J133,'Сводка'!$R$3:$R$397,0)</x:f>
        <x:v>144</x:v>
      </x:c>
      <x:c r="V133" s="4" t="n">
        <x:f>MATCH(J133-'Сводка'!$B$11,'Сводка'!$R$3:$R$397,0)</x:f>
        <x:v>143</x:v>
      </x:c>
      <x:c r="W133" s="4" t="n">
        <x:f>MATCH(T133,$J$388:$J$400,0)</x:f>
        <x:v>5</x:v>
      </x:c>
      <x:c r="X133" s="3"/>
      <x:c r="Y133" s="3"/>
      <x:c r="Z133" s="3"/>
    </x:row>
    <x:row r="134" ht="15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10" t="n">
        <x:v>45985</x:v>
      </x:c>
      <x:c r="K134" s="8" t="n">
        <x:f>INDEX('Сводка'!$S$3:$S$397,U134)</x:f>
        <x:v>-123</x:v>
      </x:c>
      <x:c r="L134" s="8" t="n">
        <x:f>INDEX('Сводка'!$S$3:$S$397,V134)</x:f>
        <x:v>-118</x:v>
      </x:c>
      <x:c r="M134" s="8" t="n">
        <x:f>INDEX($K$388:$N$400,W134,1)+INDEX($K$388:$N$400,W134,2)*LN(((J134-$T$405+1)/1000))</x:f>
        <x:v>129.69436486114216</x:v>
      </x:c>
      <x:c r="N134" s="8" t="n">
        <x:f>K134-M134</x:f>
        <x:v>-252.69436486114216</x:v>
      </x:c>
      <x:c r="O134" s="8" t="n">
        <x:f>ABS(N134)</x:f>
        <x:v>252.69436486114216</x:v>
      </x:c>
      <x:c r="P134" s="8" t="n">
        <x:f>N134^2</x:f>
        <x:v>63854.44203257604</x:v>
      </x:c>
      <x:c r="Q134" s="8" t="n">
        <x:f>K134-L134</x:f>
        <x:v>-5</x:v>
      </x:c>
      <x:c r="R134" s="9" t="n">
        <x:f>IF(AND(INDEX('Сводка'!$T$3:$T$397,U134)=0,INDEX('Сводка'!$T$3:$T$397,V134)=0),1,0)</x:f>
        <x:v>1</x:v>
      </x:c>
      <x:c r="S134" s="9" t="n">
        <x:f>IF(AND(R134=1,O134&lt;=$G$13),1,0)</x:f>
        <x:v>0</x:v>
      </x:c>
      <x:c r="T134" s="10" t="n">
        <x:f>EOMONTH(J134-'Сводка'!$B$11,-1)</x:f>
        <x:v>45961</x:v>
      </x:c>
      <x:c r="U134" s="4" t="n">
        <x:f>MATCH(J134,'Сводка'!$R$3:$R$397,0)</x:f>
        <x:v>145</x:v>
      </x:c>
      <x:c r="V134" s="4" t="n">
        <x:f>MATCH(J134-'Сводка'!$B$11,'Сводка'!$R$3:$R$397,0)</x:f>
        <x:v>144</x:v>
      </x:c>
      <x:c r="W134" s="4" t="n">
        <x:f>MATCH(T134,$J$388:$J$400,0)</x:f>
        <x:v>5</x:v>
      </x:c>
      <x:c r="X134" s="3"/>
      <x:c r="Y134" s="3"/>
      <x:c r="Z134" s="3"/>
    </x:row>
    <x:row r="135" ht="15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10" t="n">
        <x:v>45986</x:v>
      </x:c>
      <x:c r="K135" s="8" t="n">
        <x:f>INDEX('Сводка'!$S$3:$S$397,U135)</x:f>
        <x:v>-116</x:v>
      </x:c>
      <x:c r="L135" s="8" t="n">
        <x:f>INDEX('Сводка'!$S$3:$S$397,V135)</x:f>
        <x:v>-123</x:v>
      </x:c>
      <x:c r="M135" s="8" t="n">
        <x:f>INDEX($K$388:$N$400,W135,1)+INDEX($K$388:$N$400,W135,2)*LN(((J135-$T$405+1)/1000))</x:f>
        <x:v>129.7012063873508</x:v>
      </x:c>
      <x:c r="N135" s="8" t="n">
        <x:f>K135-M135</x:f>
        <x:v>-245.7012063873508</x:v>
      </x:c>
      <x:c r="O135" s="8" t="n">
        <x:f>ABS(N135)</x:f>
        <x:v>245.7012063873508</x:v>
      </x:c>
      <x:c r="P135" s="8" t="n">
        <x:f>N135^2</x:f>
        <x:v>60369.082820199554</x:v>
      </x:c>
      <x:c r="Q135" s="8" t="n">
        <x:f>K135-L135</x:f>
        <x:v>7</x:v>
      </x:c>
      <x:c r="R135" s="9" t="n">
        <x:f>IF(AND(INDEX('Сводка'!$T$3:$T$397,U135)=0,INDEX('Сводка'!$T$3:$T$397,V135)=0),1,0)</x:f>
        <x:v>1</x:v>
      </x:c>
      <x:c r="S135" s="9" t="n">
        <x:f>IF(AND(R135=1,O135&lt;=$G$13),1,0)</x:f>
        <x:v>0</x:v>
      </x:c>
      <x:c r="T135" s="10" t="n">
        <x:f>EOMONTH(J135-'Сводка'!$B$11,-1)</x:f>
        <x:v>45961</x:v>
      </x:c>
      <x:c r="U135" s="4" t="n">
        <x:f>MATCH(J135,'Сводка'!$R$3:$R$397,0)</x:f>
        <x:v>146</x:v>
      </x:c>
      <x:c r="V135" s="4" t="n">
        <x:f>MATCH(J135-'Сводка'!$B$11,'Сводка'!$R$3:$R$397,0)</x:f>
        <x:v>145</x:v>
      </x:c>
      <x:c r="W135" s="4" t="n">
        <x:f>MATCH(T135,$J$388:$J$400,0)</x:f>
        <x:v>5</x:v>
      </x:c>
      <x:c r="X135" s="3"/>
      <x:c r="Y135" s="3"/>
      <x:c r="Z135" s="3"/>
    </x:row>
    <x:row r="136" ht="15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10" t="n">
        <x:v>45987</x:v>
      </x:c>
      <x:c r="K136" s="8" t="n">
        <x:f>INDEX('Сводка'!$S$3:$S$397,U136)</x:f>
        <x:v>-119</x:v>
      </x:c>
      <x:c r="L136" s="8" t="n">
        <x:f>INDEX('Сводка'!$S$3:$S$397,V136)</x:f>
        <x:v>-116</x:v>
      </x:c>
      <x:c r="M136" s="8" t="n">
        <x:f>INDEX($K$388:$N$400,W136,1)+INDEX($K$388:$N$400,W136,2)*LN(((J136-$T$405+1)/1000))</x:f>
        <x:v>129.70804712992427</x:v>
      </x:c>
      <x:c r="N136" s="8" t="n">
        <x:f>K136-M136</x:f>
        <x:v>-248.70804712992427</x:v>
      </x:c>
      <x:c r="O136" s="8" t="n">
        <x:f>ABS(N136)</x:f>
        <x:v>248.70804712992427</x:v>
      </x:c>
      <x:c r="P136" s="8" t="n">
        <x:f>N136^2</x:f>
        <x:v>61855.69270718063</x:v>
      </x:c>
      <x:c r="Q136" s="8" t="n">
        <x:f>K136-L136</x:f>
        <x:v>-3</x:v>
      </x:c>
      <x:c r="R136" s="9" t="n">
        <x:f>IF(AND(INDEX('Сводка'!$T$3:$T$397,U136)=0,INDEX('Сводка'!$T$3:$T$397,V136)=0),1,0)</x:f>
        <x:v>1</x:v>
      </x:c>
      <x:c r="S136" s="9" t="n">
        <x:f>IF(AND(R136=1,O136&lt;=$G$13),1,0)</x:f>
        <x:v>0</x:v>
      </x:c>
      <x:c r="T136" s="10" t="n">
        <x:f>EOMONTH(J136-'Сводка'!$B$11,-1)</x:f>
        <x:v>45961</x:v>
      </x:c>
      <x:c r="U136" s="4" t="n">
        <x:f>MATCH(J136,'Сводка'!$R$3:$R$397,0)</x:f>
        <x:v>147</x:v>
      </x:c>
      <x:c r="V136" s="4" t="n">
        <x:f>MATCH(J136-'Сводка'!$B$11,'Сводка'!$R$3:$R$397,0)</x:f>
        <x:v>146</x:v>
      </x:c>
      <x:c r="W136" s="4" t="n">
        <x:f>MATCH(T136,$J$388:$J$400,0)</x:f>
        <x:v>5</x:v>
      </x:c>
      <x:c r="X136" s="3"/>
      <x:c r="Y136" s="3"/>
      <x:c r="Z136" s="3"/>
    </x:row>
    <x:row r="137" ht="15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10" t="n">
        <x:v>45988</x:v>
      </x:c>
      <x:c r="K137" s="8" t="n">
        <x:f>INDEX('Сводка'!$S$3:$S$397,U137)</x:f>
        <x:v>-114</x:v>
      </x:c>
      <x:c r="L137" s="8" t="n">
        <x:f>INDEX('Сводка'!$S$3:$S$397,V137)</x:f>
        <x:v>-119</x:v>
      </x:c>
      <x:c r="M137" s="8" t="n">
        <x:f>INDEX($K$388:$N$400,W137,1)+INDEX($K$388:$N$400,W137,2)*LN(((J137-$T$405+1)/1000))</x:f>
        <x:v>129.7148870890422</x:v>
      </x:c>
      <x:c r="N137" s="8" t="n">
        <x:f>K137-M137</x:f>
        <x:v>-243.7148870890422</x:v>
      </x:c>
      <x:c r="O137" s="8" t="n">
        <x:f>ABS(N137)</x:f>
        <x:v>243.7148870890422</x:v>
      </x:c>
      <x:c r="P137" s="8" t="n">
        <x:f>N137^2</x:f>
        <x:v>59396.94618882459</x:v>
      </x:c>
      <x:c r="Q137" s="8" t="n">
        <x:f>K137-L137</x:f>
        <x:v>5</x:v>
      </x:c>
      <x:c r="R137" s="9" t="n">
        <x:f>IF(AND(INDEX('Сводка'!$T$3:$T$397,U137)=0,INDEX('Сводка'!$T$3:$T$397,V137)=0),1,0)</x:f>
        <x:v>1</x:v>
      </x:c>
      <x:c r="S137" s="9" t="n">
        <x:f>IF(AND(R137=1,O137&lt;=$G$13),1,0)</x:f>
        <x:v>0</x:v>
      </x:c>
      <x:c r="T137" s="10" t="n">
        <x:f>EOMONTH(J137-'Сводка'!$B$11,-1)</x:f>
        <x:v>45961</x:v>
      </x:c>
      <x:c r="U137" s="4" t="n">
        <x:f>MATCH(J137,'Сводка'!$R$3:$R$397,0)</x:f>
        <x:v>148</x:v>
      </x:c>
      <x:c r="V137" s="4" t="n">
        <x:f>MATCH(J137-'Сводка'!$B$11,'Сводка'!$R$3:$R$397,0)</x:f>
        <x:v>147</x:v>
      </x:c>
      <x:c r="W137" s="4" t="n">
        <x:f>MATCH(T137,$J$388:$J$400,0)</x:f>
        <x:v>5</x:v>
      </x:c>
      <x:c r="X137" s="3"/>
      <x:c r="Y137" s="3"/>
      <x:c r="Z137" s="3"/>
    </x:row>
    <x:row r="138" ht="15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10" t="n">
        <x:v>45989</x:v>
      </x:c>
      <x:c r="K138" s="8" t="n">
        <x:f>INDEX('Сводка'!$S$3:$S$397,U138)</x:f>
        <x:v>-86</x:v>
      </x:c>
      <x:c r="L138" s="8" t="n">
        <x:f>INDEX('Сводка'!$S$3:$S$397,V138)</x:f>
        <x:v>-114</x:v>
      </x:c>
      <x:c r="M138" s="8" t="n">
        <x:f>INDEX($K$388:$N$400,W138,1)+INDEX($K$388:$N$400,W138,2)*LN(((J138-$T$405+1)/1000))</x:f>
        <x:v>129.72172626488393</x:v>
      </x:c>
      <x:c r="N138" s="8" t="n">
        <x:f>K138-M138</x:f>
        <x:v>-215.72172626488393</x:v>
      </x:c>
      <x:c r="O138" s="8" t="n">
        <x:f>ABS(N138)</x:f>
        <x:v>215.72172626488393</x:v>
      </x:c>
      <x:c r="P138" s="8" t="n">
        <x:f>N138^2</x:f>
        <x:v>46535.86318270151</x:v>
      </x:c>
      <x:c r="Q138" s="8" t="n">
        <x:f>K138-L138</x:f>
        <x:v>28</x:v>
      </x:c>
      <x:c r="R138" s="9" t="n">
        <x:f>IF(AND(INDEX('Сводка'!$T$3:$T$397,U138)=0,INDEX('Сводка'!$T$3:$T$397,V138)=0),1,0)</x:f>
        <x:v>0</x:v>
      </x:c>
      <x:c r="S138" s="9" t="n">
        <x:f>IF(AND(R138=1,O138&lt;=$G$13),1,0)</x:f>
        <x:v>0</x:v>
      </x:c>
      <x:c r="T138" s="10" t="n">
        <x:f>EOMONTH(J138-'Сводка'!$B$11,-1)</x:f>
        <x:v>45961</x:v>
      </x:c>
      <x:c r="U138" s="4" t="n">
        <x:f>MATCH(J138,'Сводка'!$R$3:$R$397,0)</x:f>
        <x:v>149</x:v>
      </x:c>
      <x:c r="V138" s="4" t="n">
        <x:f>MATCH(J138-'Сводка'!$B$11,'Сводка'!$R$3:$R$397,0)</x:f>
        <x:v>148</x:v>
      </x:c>
      <x:c r="W138" s="4" t="n">
        <x:f>MATCH(T138,$J$388:$J$400,0)</x:f>
        <x:v>5</x:v>
      </x:c>
      <x:c r="X138" s="3"/>
      <x:c r="Y138" s="3"/>
      <x:c r="Z138" s="3"/>
    </x:row>
    <x:row r="139" ht="15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10" t="n">
        <x:v>45990</x:v>
      </x:c>
      <x:c r="K139" s="8" t="n">
        <x:f>INDEX('Сводка'!$S$3:$S$397,U139)</x:f>
        <x:v>-58</x:v>
      </x:c>
      <x:c r="L139" s="8" t="n">
        <x:f>INDEX('Сводка'!$S$3:$S$397,V139)</x:f>
        <x:v>-86</x:v>
      </x:c>
      <x:c r="M139" s="8" t="n">
        <x:f>INDEX($K$388:$N$400,W139,1)+INDEX($K$388:$N$400,W139,2)*LN(((J139-$T$405+1)/1000))</x:f>
        <x:v>129.72856465762885</x:v>
      </x:c>
      <x:c r="N139" s="8" t="n">
        <x:f>K139-M139</x:f>
        <x:v>-187.72856465762885</x:v>
      </x:c>
      <x:c r="O139" s="8" t="n">
        <x:f>ABS(N139)</x:f>
        <x:v>187.72856465762885</x:v>
      </x:c>
      <x:c r="P139" s="8" t="n">
        <x:f>N139^2</x:f>
        <x:v>35242.013988413535</x:v>
      </x:c>
      <x:c r="Q139" s="8" t="n">
        <x:f>K139-L139</x:f>
        <x:v>28</x:v>
      </x:c>
      <x:c r="R139" s="9" t="n">
        <x:f>IF(AND(INDEX('Сводка'!$T$3:$T$397,U139)=0,INDEX('Сводка'!$T$3:$T$397,V139)=0),1,0)</x:f>
        <x:v>0</x:v>
      </x:c>
      <x:c r="S139" s="9" t="n">
        <x:f>IF(AND(R139=1,O139&lt;=$G$13),1,0)</x:f>
        <x:v>0</x:v>
      </x:c>
      <x:c r="T139" s="10" t="n">
        <x:f>EOMONTH(J139-'Сводка'!$B$11,-1)</x:f>
        <x:v>45961</x:v>
      </x:c>
      <x:c r="U139" s="4" t="n">
        <x:f>MATCH(J139,'Сводка'!$R$3:$R$397,0)</x:f>
        <x:v>150</x:v>
      </x:c>
      <x:c r="V139" s="4" t="n">
        <x:f>MATCH(J139-'Сводка'!$B$11,'Сводка'!$R$3:$R$397,0)</x:f>
        <x:v>149</x:v>
      </x:c>
      <x:c r="W139" s="4" t="n">
        <x:f>MATCH(T139,$J$388:$J$400,0)</x:f>
        <x:v>5</x:v>
      </x:c>
      <x:c r="X139" s="3"/>
      <x:c r="Y139" s="3"/>
      <x:c r="Z139" s="3"/>
    </x:row>
    <x:row r="140" ht="15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10" t="n">
        <x:v>45991</x:v>
      </x:c>
      <x:c r="K140" s="8" t="n">
        <x:f>INDEX('Сводка'!$S$3:$S$397,U140)</x:f>
        <x:v>-53</x:v>
      </x:c>
      <x:c r="L140" s="8" t="n">
        <x:f>INDEX('Сводка'!$S$3:$S$397,V140)</x:f>
        <x:v>-58</x:v>
      </x:c>
      <x:c r="M140" s="8" t="n">
        <x:f>INDEX($K$388:$N$400,W140,1)+INDEX($K$388:$N$400,W140,2)*LN(((J140-$T$405+1)/1000))</x:f>
        <x:v>129.73540226745632</x:v>
      </x:c>
      <x:c r="N140" s="8" t="n">
        <x:f>K140-M140</x:f>
        <x:v>-182.73540226745632</x:v>
      </x:c>
      <x:c r="O140" s="8" t="n">
        <x:f>ABS(N140)</x:f>
        <x:v>182.73540226745632</x:v>
      </x:c>
      <x:c r="P140" s="8" t="n">
        <x:f>N140^2</x:f>
        <x:v>33392.22724184908</x:v>
      </x:c>
      <x:c r="Q140" s="8" t="n">
        <x:f>K140-L140</x:f>
        <x:v>5</x:v>
      </x:c>
      <x:c r="R140" s="9" t="n">
        <x:f>IF(AND(INDEX('Сводка'!$T$3:$T$397,U140)=0,INDEX('Сводка'!$T$3:$T$397,V140)=0),1,0)</x:f>
        <x:v>1</x:v>
      </x:c>
      <x:c r="S140" s="9" t="n">
        <x:f>IF(AND(R140=1,O140&lt;=$G$13),1,0)</x:f>
        <x:v>0</x:v>
      </x:c>
      <x:c r="T140" s="10" t="n">
        <x:f>EOMONTH(J140-'Сводка'!$B$11,-1)</x:f>
        <x:v>45961</x:v>
      </x:c>
      <x:c r="U140" s="4" t="n">
        <x:f>MATCH(J140,'Сводка'!$R$3:$R$397,0)</x:f>
        <x:v>151</x:v>
      </x:c>
      <x:c r="V140" s="4" t="n">
        <x:f>MATCH(J140-'Сводка'!$B$11,'Сводка'!$R$3:$R$397,0)</x:f>
        <x:v>150</x:v>
      </x:c>
      <x:c r="W140" s="4" t="n">
        <x:f>MATCH(T140,$J$388:$J$400,0)</x:f>
        <x:v>5</x:v>
      </x:c>
      <x:c r="X140" s="3"/>
      <x:c r="Y140" s="3"/>
      <x:c r="Z140" s="3"/>
    </x:row>
    <x:row r="141" ht="15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10" t="n">
        <x:v>45992</x:v>
      </x:c>
      <x:c r="K141" s="8" t="n">
        <x:f>INDEX('Сводка'!$S$3:$S$397,U141)</x:f>
        <x:v>-56</x:v>
      </x:c>
      <x:c r="L141" s="8" t="n">
        <x:f>INDEX('Сводка'!$S$3:$S$397,V141)</x:f>
        <x:v>-53</x:v>
      </x:c>
      <x:c r="M141" s="8" t="n">
        <x:f>INDEX($K$388:$N$400,W141,1)+INDEX($K$388:$N$400,W141,2)*LN(((J141-$T$405+1)/1000))</x:f>
        <x:v>129.74223909454557</x:v>
      </x:c>
      <x:c r="N141" s="8" t="n">
        <x:f>K141-M141</x:f>
        <x:v>-185.74223909454557</x:v>
      </x:c>
      <x:c r="O141" s="8" t="n">
        <x:f>ABS(N141)</x:f>
        <x:v>185.74223909454557</x:v>
      </x:c>
      <x:c r="P141" s="8" t="n">
        <x:f>N141^2</x:f>
        <x:v>34500.179383855335</x:v>
      </x:c>
      <x:c r="Q141" s="8" t="n">
        <x:f>K141-L141</x:f>
        <x:v>-3</x:v>
      </x:c>
      <x:c r="R141" s="9" t="n">
        <x:f>IF(AND(INDEX('Сводка'!$T$3:$T$397,U141)=0,INDEX('Сводка'!$T$3:$T$397,V141)=0),1,0)</x:f>
        <x:v>1</x:v>
      </x:c>
      <x:c r="S141" s="9" t="n">
        <x:f>IF(AND(R141=1,O141&lt;=$G$13),1,0)</x:f>
        <x:v>0</x:v>
      </x:c>
      <x:c r="T141" s="10" t="n">
        <x:f>EOMONTH(J141-'Сводка'!$B$11,-1)</x:f>
        <x:v>45961</x:v>
      </x:c>
      <x:c r="U141" s="4" t="n">
        <x:f>MATCH(J141,'Сводка'!$R$3:$R$397,0)</x:f>
        <x:v>152</x:v>
      </x:c>
      <x:c r="V141" s="4" t="n">
        <x:f>MATCH(J141-'Сводка'!$B$11,'Сводка'!$R$3:$R$397,0)</x:f>
        <x:v>151</x:v>
      </x:c>
      <x:c r="W141" s="4" t="n">
        <x:f>MATCH(T141,$J$388:$J$400,0)</x:f>
        <x:v>5</x:v>
      </x:c>
      <x:c r="X141" s="3"/>
      <x:c r="Y141" s="3"/>
      <x:c r="Z141" s="3"/>
    </x:row>
    <x:row r="142" ht="15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10" t="n">
        <x:v>45993</x:v>
      </x:c>
      <x:c r="K142" s="8" t="n">
        <x:f>INDEX('Сводка'!$S$3:$S$397,U142)</x:f>
        <x:v>-46</x:v>
      </x:c>
      <x:c r="L142" s="8" t="n">
        <x:f>INDEX('Сводка'!$S$3:$S$397,V142)</x:f>
        <x:v>-56</x:v>
      </x:c>
      <x:c r="M142" s="8" t="n">
        <x:f>INDEX($K$388:$N$400,W142,1)+INDEX($K$388:$N$400,W142,2)*LN(((J142-$T$405+1)/1000))</x:f>
        <x:v>128.26496026871357</x:v>
      </x:c>
      <x:c r="N142" s="8" t="n">
        <x:f>K142-M142</x:f>
        <x:v>-174.26496026871357</x:v>
      </x:c>
      <x:c r="O142" s="8" t="n">
        <x:f>ABS(N142)</x:f>
        <x:v>174.26496026871357</x:v>
      </x:c>
      <x:c r="P142" s="8" t="n">
        <x:f>N142^2</x:f>
        <x:v>30368.276377456317</x:v>
      </x:c>
      <x:c r="Q142" s="8" t="n">
        <x:f>K142-L142</x:f>
        <x:v>10</x:v>
      </x:c>
      <x:c r="R142" s="9" t="n">
        <x:f>IF(AND(INDEX('Сводка'!$T$3:$T$397,U142)=0,INDEX('Сводка'!$T$3:$T$397,V142)=0),1,0)</x:f>
        <x:v>1</x:v>
      </x:c>
      <x:c r="S142" s="9" t="n">
        <x:f>IF(AND(R142=1,O142&lt;=$G$13),1,0)</x:f>
        <x:v>0</x:v>
      </x:c>
      <x:c r="T142" s="10" t="n">
        <x:f>EOMONTH(J142-'Сводка'!$B$11,-1)</x:f>
        <x:v>45991</x:v>
      </x:c>
      <x:c r="U142" s="4" t="n">
        <x:f>MATCH(J142,'Сводка'!$R$3:$R$397,0)</x:f>
        <x:v>153</x:v>
      </x:c>
      <x:c r="V142" s="4" t="n">
        <x:f>MATCH(J142-'Сводка'!$B$11,'Сводка'!$R$3:$R$397,0)</x:f>
        <x:v>152</x:v>
      </x:c>
      <x:c r="W142" s="4" t="n">
        <x:f>MATCH(T142,$J$388:$J$400,0)</x:f>
        <x:v>6</x:v>
      </x:c>
      <x:c r="X142" s="3"/>
      <x:c r="Y142" s="3"/>
      <x:c r="Z142" s="3"/>
    </x:row>
    <x:row r="143" ht="15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10" t="n">
        <x:v>45994</x:v>
      </x:c>
      <x:c r="K143" s="8" t="n">
        <x:f>INDEX('Сводка'!$S$3:$S$397,U143)</x:f>
        <x:v>-30</x:v>
      </x:c>
      <x:c r="L143" s="8" t="n">
        <x:f>INDEX('Сводка'!$S$3:$S$397,V143)</x:f>
        <x:v>-46</x:v>
      </x:c>
      <x:c r="M143" s="8" t="n">
        <x:f>INDEX($K$388:$N$400,W143,1)+INDEX($K$388:$N$400,W143,2)*LN(((J143-$T$405+1)/1000))</x:f>
        <x:v>128.27171034822632</x:v>
      </x:c>
      <x:c r="N143" s="8" t="n">
        <x:f>K143-M143</x:f>
        <x:v>-158.27171034822632</x:v>
      </x:c>
      <x:c r="O143" s="8" t="n">
        <x:f>ABS(N143)</x:f>
        <x:v>158.27171034822632</x:v>
      </x:c>
      <x:c r="P143" s="8" t="n">
        <x:f>N143^2</x:f>
        <x:v>25049.934296552852</x:v>
      </x:c>
      <x:c r="Q143" s="8" t="n">
        <x:f>K143-L143</x:f>
        <x:v>16</x:v>
      </x:c>
      <x:c r="R143" s="9" t="n">
        <x:f>IF(AND(INDEX('Сводка'!$T$3:$T$397,U143)=0,INDEX('Сводка'!$T$3:$T$397,V143)=0),1,0)</x:f>
        <x:v>1</x:v>
      </x:c>
      <x:c r="S143" s="9" t="n">
        <x:f>IF(AND(R143=1,O143&lt;=$G$13),1,0)</x:f>
        <x:v>0</x:v>
      </x:c>
      <x:c r="T143" s="10" t="n">
        <x:f>EOMONTH(J143-'Сводка'!$B$11,-1)</x:f>
        <x:v>45991</x:v>
      </x:c>
      <x:c r="U143" s="4" t="n">
        <x:f>MATCH(J143,'Сводка'!$R$3:$R$397,0)</x:f>
        <x:v>154</x:v>
      </x:c>
      <x:c r="V143" s="4" t="n">
        <x:f>MATCH(J143-'Сводка'!$B$11,'Сводка'!$R$3:$R$397,0)</x:f>
        <x:v>153</x:v>
      </x:c>
      <x:c r="W143" s="4" t="n">
        <x:f>MATCH(T143,$J$388:$J$400,0)</x:f>
        <x:v>6</x:v>
      </x:c>
      <x:c r="X143" s="3"/>
      <x:c r="Y143" s="3"/>
      <x:c r="Z143" s="3"/>
    </x:row>
    <x:row r="144" ht="15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10" t="n">
        <x:v>45995</x:v>
      </x:c>
      <x:c r="K144" s="8" t="n">
        <x:f>INDEX('Сводка'!$S$3:$S$397,U144)</x:f>
        <x:v>-20</x:v>
      </x:c>
      <x:c r="L144" s="8" t="n">
        <x:f>INDEX('Сводка'!$S$3:$S$397,V144)</x:f>
        <x:v>-30</x:v>
      </x:c>
      <x:c r="M144" s="8" t="n">
        <x:f>INDEX($K$388:$N$400,W144,1)+INDEX($K$388:$N$400,W144,2)*LN(((J144-$T$405+1)/1000))</x:f>
        <x:v>128.2784596552862</x:v>
      </x:c>
      <x:c r="N144" s="8" t="n">
        <x:f>K144-M144</x:f>
        <x:v>-148.2784596552862</x:v>
      </x:c>
      <x:c r="O144" s="8" t="n">
        <x:f>ABS(N144)</x:f>
        <x:v>148.2784596552862</x:v>
      </x:c>
      <x:c r="P144" s="8" t="n">
        <x:f>N144^2</x:f>
        <x:v>21986.50159774434</x:v>
      </x:c>
      <x:c r="Q144" s="8" t="n">
        <x:f>K144-L144</x:f>
        <x:v>10</x:v>
      </x:c>
      <x:c r="R144" s="9" t="n">
        <x:f>IF(AND(INDEX('Сводка'!$T$3:$T$397,U144)=0,INDEX('Сводка'!$T$3:$T$397,V144)=0),1,0)</x:f>
        <x:v>1</x:v>
      </x:c>
      <x:c r="S144" s="9" t="n">
        <x:f>IF(AND(R144=1,O144&lt;=$G$13),1,0)</x:f>
        <x:v>0</x:v>
      </x:c>
      <x:c r="T144" s="10" t="n">
        <x:f>EOMONTH(J144-'Сводка'!$B$11,-1)</x:f>
        <x:v>45991</x:v>
      </x:c>
      <x:c r="U144" s="4" t="n">
        <x:f>MATCH(J144,'Сводка'!$R$3:$R$397,0)</x:f>
        <x:v>155</x:v>
      </x:c>
      <x:c r="V144" s="4" t="n">
        <x:f>MATCH(J144-'Сводка'!$B$11,'Сводка'!$R$3:$R$397,0)</x:f>
        <x:v>154</x:v>
      </x:c>
      <x:c r="W144" s="4" t="n">
        <x:f>MATCH(T144,$J$388:$J$400,0)</x:f>
        <x:v>6</x:v>
      </x:c>
      <x:c r="X144" s="3"/>
      <x:c r="Y144" s="3"/>
      <x:c r="Z144" s="3"/>
    </x:row>
    <x:row r="145" ht="15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10" t="n">
        <x:v>45996</x:v>
      </x:c>
      <x:c r="K145" s="8" t="n">
        <x:f>INDEX('Сводка'!$S$3:$S$397,U145)</x:f>
        <x:v>-16</x:v>
      </x:c>
      <x:c r="L145" s="8" t="n">
        <x:f>INDEX('Сводка'!$S$3:$S$397,V145)</x:f>
        <x:v>-20</x:v>
      </x:c>
      <x:c r="M145" s="8" t="n">
        <x:f>INDEX($K$388:$N$400,W145,1)+INDEX($K$388:$N$400,W145,2)*LN(((J145-$T$405+1)/1000))</x:f>
        <x:v>128.28520819006997</x:v>
      </x:c>
      <x:c r="N145" s="8" t="n">
        <x:f>K145-M145</x:f>
        <x:v>-144.28520819006997</x:v>
      </x:c>
      <x:c r="O145" s="8" t="n">
        <x:f>ABS(N145)</x:f>
        <x:v>144.28520819006997</x:v>
      </x:c>
      <x:c r="P145" s="8" t="n">
        <x:f>N145^2</x:f>
        <x:v>20818.22130245183</x:v>
      </x:c>
      <x:c r="Q145" s="8" t="n">
        <x:f>K145-L145</x:f>
        <x:v>4</x:v>
      </x:c>
      <x:c r="R145" s="9" t="n">
        <x:f>IF(AND(INDEX('Сводка'!$T$3:$T$397,U145)=0,INDEX('Сводка'!$T$3:$T$397,V145)=0),1,0)</x:f>
        <x:v>0</x:v>
      </x:c>
      <x:c r="S145" s="9" t="n">
        <x:f>IF(AND(R145=1,O145&lt;=$G$13),1,0)</x:f>
        <x:v>0</x:v>
      </x:c>
      <x:c r="T145" s="10" t="n">
        <x:f>EOMONTH(J145-'Сводка'!$B$11,-1)</x:f>
        <x:v>45991</x:v>
      </x:c>
      <x:c r="U145" s="4" t="n">
        <x:f>MATCH(J145,'Сводка'!$R$3:$R$397,0)</x:f>
        <x:v>156</x:v>
      </x:c>
      <x:c r="V145" s="4" t="n">
        <x:f>MATCH(J145-'Сводка'!$B$11,'Сводка'!$R$3:$R$397,0)</x:f>
        <x:v>155</x:v>
      </x:c>
      <x:c r="W145" s="4" t="n">
        <x:f>MATCH(T145,$J$388:$J$400,0)</x:f>
        <x:v>6</x:v>
      </x:c>
      <x:c r="X145" s="3"/>
      <x:c r="Y145" s="3"/>
      <x:c r="Z145" s="3"/>
    </x:row>
    <x:row r="146" ht="15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10" t="n">
        <x:v>45997</x:v>
      </x:c>
      <x:c r="K146" s="8" t="n">
        <x:f>INDEX('Сводка'!$S$3:$S$397,U146)</x:f>
        <x:v>-12</x:v>
      </x:c>
      <x:c r="L146" s="8" t="n">
        <x:f>INDEX('Сводка'!$S$3:$S$397,V146)</x:f>
        <x:v>-16</x:v>
      </x:c>
      <x:c r="M146" s="8" t="n">
        <x:f>INDEX($K$388:$N$400,W146,1)+INDEX($K$388:$N$400,W146,2)*LN(((J146-$T$405+1)/1000))</x:f>
        <x:v>128.29195595275434</x:v>
      </x:c>
      <x:c r="N146" s="8" t="n">
        <x:f>K146-M146</x:f>
        <x:v>-140.29195595275434</x:v>
      </x:c>
      <x:c r="O146" s="8" t="n">
        <x:f>ABS(N146)</x:f>
        <x:v>140.29195595275434</x:v>
      </x:c>
      <x:c r="P146" s="8" t="n">
        <x:f>N146^2</x:f>
        <x:v>19681.832905049563</x:v>
      </x:c>
      <x:c r="Q146" s="8" t="n">
        <x:f>K146-L146</x:f>
        <x:v>4</x:v>
      </x:c>
      <x:c r="R146" s="9" t="n">
        <x:f>IF(AND(INDEX('Сводка'!$T$3:$T$397,U146)=0,INDEX('Сводка'!$T$3:$T$397,V146)=0),1,0)</x:f>
        <x:v>0</x:v>
      </x:c>
      <x:c r="S146" s="9" t="n">
        <x:f>IF(AND(R146=1,O146&lt;=$G$13),1,0)</x:f>
        <x:v>0</x:v>
      </x:c>
      <x:c r="T146" s="10" t="n">
        <x:f>EOMONTH(J146-'Сводка'!$B$11,-1)</x:f>
        <x:v>45991</x:v>
      </x:c>
      <x:c r="U146" s="4" t="n">
        <x:f>MATCH(J146,'Сводка'!$R$3:$R$397,0)</x:f>
        <x:v>157</x:v>
      </x:c>
      <x:c r="V146" s="4" t="n">
        <x:f>MATCH(J146-'Сводка'!$B$11,'Сводка'!$R$3:$R$397,0)</x:f>
        <x:v>156</x:v>
      </x:c>
      <x:c r="W146" s="4" t="n">
        <x:f>MATCH(T146,$J$388:$J$400,0)</x:f>
        <x:v>6</x:v>
      </x:c>
      <x:c r="X146" s="3"/>
      <x:c r="Y146" s="3"/>
      <x:c r="Z146" s="3"/>
    </x:row>
    <x:row r="147" ht="15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10" t="n">
        <x:v>45998</x:v>
      </x:c>
      <x:c r="K147" s="8" t="n">
        <x:f>INDEX('Сводка'!$S$3:$S$397,U147)</x:f>
        <x:v>-8</x:v>
      </x:c>
      <x:c r="L147" s="8" t="n">
        <x:f>INDEX('Сводка'!$S$3:$S$397,V147)</x:f>
        <x:v>-12</x:v>
      </x:c>
      <x:c r="M147" s="8" t="n">
        <x:f>INDEX($K$388:$N$400,W147,1)+INDEX($K$388:$N$400,W147,2)*LN(((J147-$T$405+1)/1000))</x:f>
        <x:v>128.29870294351593</x:v>
      </x:c>
      <x:c r="N147" s="8" t="n">
        <x:f>K147-M147</x:f>
        <x:v>-136.29870294351593</x:v>
      </x:c>
      <x:c r="O147" s="8" t="n">
        <x:f>ABS(N147)</x:f>
        <x:v>136.29870294351593</x:v>
      </x:c>
      <x:c r="P147" s="8" t="n">
        <x:f>N147^2</x:f>
        <x:v>18577.3364240848</x:v>
      </x:c>
      <x:c r="Q147" s="8" t="n">
        <x:f>K147-L147</x:f>
        <x:v>4</x:v>
      </x:c>
      <x:c r="R147" s="9" t="n">
        <x:f>IF(AND(INDEX('Сводка'!$T$3:$T$397,U147)=0,INDEX('Сводка'!$T$3:$T$397,V147)=0),1,0)</x:f>
        <x:v>0</x:v>
      </x:c>
      <x:c r="S147" s="9" t="n">
        <x:f>IF(AND(R147=1,O147&lt;=$G$13),1,0)</x:f>
        <x:v>0</x:v>
      </x:c>
      <x:c r="T147" s="10" t="n">
        <x:f>EOMONTH(J147-'Сводка'!$B$11,-1)</x:f>
        <x:v>45991</x:v>
      </x:c>
      <x:c r="U147" s="4" t="n">
        <x:f>MATCH(J147,'Сводка'!$R$3:$R$397,0)</x:f>
        <x:v>158</x:v>
      </x:c>
      <x:c r="V147" s="4" t="n">
        <x:f>MATCH(J147-'Сводка'!$B$11,'Сводка'!$R$3:$R$397,0)</x:f>
        <x:v>157</x:v>
      </x:c>
      <x:c r="W147" s="4" t="n">
        <x:f>MATCH(T147,$J$388:$J$400,0)</x:f>
        <x:v>6</x:v>
      </x:c>
      <x:c r="X147" s="3"/>
      <x:c r="Y147" s="3"/>
      <x:c r="Z147" s="3"/>
    </x:row>
    <x:row r="148" ht="15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10" t="n">
        <x:v>45999</x:v>
      </x:c>
      <x:c r="K148" s="8" t="n">
        <x:f>INDEX('Сводка'!$S$3:$S$397,U148)</x:f>
        <x:v>-13</x:v>
      </x:c>
      <x:c r="L148" s="8" t="n">
        <x:f>INDEX('Сводка'!$S$3:$S$397,V148)</x:f>
        <x:v>-8</x:v>
      </x:c>
      <x:c r="M148" s="8" t="n">
        <x:f>INDEX($K$388:$N$400,W148,1)+INDEX($K$388:$N$400,W148,2)*LN(((J148-$T$405+1)/1000))</x:f>
        <x:v>128.3054491625314</x:v>
      </x:c>
      <x:c r="N148" s="8" t="n">
        <x:f>K148-M148</x:f>
        <x:v>-141.3054491625314</x:v>
      </x:c>
      <x:c r="O148" s="8" t="n">
        <x:f>ABS(N148)</x:f>
        <x:v>141.3054491625314</x:v>
      </x:c>
      <x:c r="P148" s="8" t="n">
        <x:f>N148^2</x:f>
        <x:v>19967.229963024747</x:v>
      </x:c>
      <x:c r="Q148" s="8" t="n">
        <x:f>K148-L148</x:f>
        <x:v>-5</x:v>
      </x:c>
      <x:c r="R148" s="9" t="n">
        <x:f>IF(AND(INDEX('Сводка'!$T$3:$T$397,U148)=0,INDEX('Сводка'!$T$3:$T$397,V148)=0),1,0)</x:f>
        <x:v>1</x:v>
      </x:c>
      <x:c r="S148" s="9" t="n">
        <x:f>IF(AND(R148=1,O148&lt;=$G$13),1,0)</x:f>
        <x:v>0</x:v>
      </x:c>
      <x:c r="T148" s="10" t="n">
        <x:f>EOMONTH(J148-'Сводка'!$B$11,-1)</x:f>
        <x:v>45991</x:v>
      </x:c>
      <x:c r="U148" s="4" t="n">
        <x:f>MATCH(J148,'Сводка'!$R$3:$R$397,0)</x:f>
        <x:v>159</x:v>
      </x:c>
      <x:c r="V148" s="4" t="n">
        <x:f>MATCH(J148-'Сводка'!$B$11,'Сводка'!$R$3:$R$397,0)</x:f>
        <x:v>158</x:v>
      </x:c>
      <x:c r="W148" s="4" t="n">
        <x:f>MATCH(T148,$J$388:$J$400,0)</x:f>
        <x:v>6</x:v>
      </x:c>
      <x:c r="X148" s="3"/>
      <x:c r="Y148" s="3"/>
      <x:c r="Z148" s="3"/>
    </x:row>
    <x:row r="149" ht="15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10" t="n">
        <x:v>46000</x:v>
      </x:c>
      <x:c r="K149" s="8" t="n">
        <x:f>INDEX('Сводка'!$S$3:$S$397,U149)</x:f>
        <x:v>-20</x:v>
      </x:c>
      <x:c r="L149" s="8" t="n">
        <x:f>INDEX('Сводка'!$S$3:$S$397,V149)</x:f>
        <x:v>-13</x:v>
      </x:c>
      <x:c r="M149" s="8" t="n">
        <x:f>INDEX($K$388:$N$400,W149,1)+INDEX($K$388:$N$400,W149,2)*LN(((J149-$T$405+1)/1000))</x:f>
        <x:v>128.31219460997724</x:v>
      </x:c>
      <x:c r="N149" s="8" t="n">
        <x:f>K149-M149</x:f>
        <x:v>-148.31219460997724</x:v>
      </x:c>
      <x:c r="O149" s="8" t="n">
        <x:f>ABS(N149)</x:f>
        <x:v>148.31219460997724</x:v>
      </x:c>
      <x:c r="P149" s="8" t="n">
        <x:f>N149^2</x:f>
        <x:v>21996.50707002776</x:v>
      </x:c>
      <x:c r="Q149" s="8" t="n">
        <x:f>K149-L149</x:f>
        <x:v>-7</x:v>
      </x:c>
      <x:c r="R149" s="9" t="n">
        <x:f>IF(AND(INDEX('Сводка'!$T$3:$T$397,U149)=0,INDEX('Сводка'!$T$3:$T$397,V149)=0),1,0)</x:f>
        <x:v>1</x:v>
      </x:c>
      <x:c r="S149" s="9" t="n">
        <x:f>IF(AND(R149=1,O149&lt;=$G$13),1,0)</x:f>
        <x:v>0</x:v>
      </x:c>
      <x:c r="T149" s="10" t="n">
        <x:f>EOMONTH(J149-'Сводка'!$B$11,-1)</x:f>
        <x:v>45991</x:v>
      </x:c>
      <x:c r="U149" s="4" t="n">
        <x:f>MATCH(J149,'Сводка'!$R$3:$R$397,0)</x:f>
        <x:v>160</x:v>
      </x:c>
      <x:c r="V149" s="4" t="n">
        <x:f>MATCH(J149-'Сводка'!$B$11,'Сводка'!$R$3:$R$397,0)</x:f>
        <x:v>159</x:v>
      </x:c>
      <x:c r="W149" s="4" t="n">
        <x:f>MATCH(T149,$J$388:$J$400,0)</x:f>
        <x:v>6</x:v>
      </x:c>
      <x:c r="X149" s="3"/>
      <x:c r="Y149" s="3"/>
      <x:c r="Z149" s="3"/>
    </x:row>
    <x:row r="150" ht="15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10" t="n">
        <x:v>46001</x:v>
      </x:c>
      <x:c r="K150" s="8" t="n">
        <x:f>INDEX('Сводка'!$S$3:$S$397,U150)</x:f>
        <x:v>-28</x:v>
      </x:c>
      <x:c r="L150" s="8" t="n">
        <x:f>INDEX('Сводка'!$S$3:$S$397,V150)</x:f>
        <x:v>-20</x:v>
      </x:c>
      <x:c r="M150" s="8" t="n">
        <x:f>INDEX($K$388:$N$400,W150,1)+INDEX($K$388:$N$400,W150,2)*LN(((J150-$T$405+1)/1000))</x:f>
        <x:v>128.31893928602992</x:v>
      </x:c>
      <x:c r="N150" s="8" t="n">
        <x:f>K150-M150</x:f>
        <x:v>-156.31893928602992</x:v>
      </x:c>
      <x:c r="O150" s="8" t="n">
        <x:f>ABS(N150)</x:f>
        <x:v>156.31893928602992</x:v>
      </x:c>
      <x:c r="P150" s="8" t="n">
        <x:f>N150^2</x:f>
        <x:v>24435.61077950951</x:v>
      </x:c>
      <x:c r="Q150" s="8" t="n">
        <x:f>K150-L150</x:f>
        <x:v>-8</x:v>
      </x:c>
      <x:c r="R150" s="9" t="n">
        <x:f>IF(AND(INDEX('Сводка'!$T$3:$T$397,U150)=0,INDEX('Сводка'!$T$3:$T$397,V150)=0),1,0)</x:f>
        <x:v>1</x:v>
      </x:c>
      <x:c r="S150" s="9" t="n">
        <x:f>IF(AND(R150=1,O150&lt;=$G$13),1,0)</x:f>
        <x:v>0</x:v>
      </x:c>
      <x:c r="T150" s="10" t="n">
        <x:f>EOMONTH(J150-'Сводка'!$B$11,-1)</x:f>
        <x:v>45991</x:v>
      </x:c>
      <x:c r="U150" s="4" t="n">
        <x:f>MATCH(J150,'Сводка'!$R$3:$R$397,0)</x:f>
        <x:v>161</x:v>
      </x:c>
      <x:c r="V150" s="4" t="n">
        <x:f>MATCH(J150-'Сводка'!$B$11,'Сводка'!$R$3:$R$397,0)</x:f>
        <x:v>160</x:v>
      </x:c>
      <x:c r="W150" s="4" t="n">
        <x:f>MATCH(T150,$J$388:$J$400,0)</x:f>
        <x:v>6</x:v>
      </x:c>
      <x:c r="X150" s="3"/>
      <x:c r="Y150" s="3"/>
      <x:c r="Z150" s="3"/>
    </x:row>
    <x:row r="151" ht="15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10" t="n">
        <x:v>46002</x:v>
      </x:c>
      <x:c r="K151" s="8" t="n">
        <x:f>INDEX('Сводка'!$S$3:$S$397,U151)</x:f>
        <x:v>-38</x:v>
      </x:c>
      <x:c r="L151" s="8" t="n">
        <x:f>INDEX('Сводка'!$S$3:$S$397,V151)</x:f>
        <x:v>-28</x:v>
      </x:c>
      <x:c r="M151" s="8" t="n">
        <x:f>INDEX($K$388:$N$400,W151,1)+INDEX($K$388:$N$400,W151,2)*LN(((J151-$T$405+1)/1000))</x:f>
        <x:v>128.32568319086585</x:v>
      </x:c>
      <x:c r="N151" s="8" t="n">
        <x:f>K151-M151</x:f>
        <x:v>-166.32568319086585</x:v>
      </x:c>
      <x:c r="O151" s="8" t="n">
        <x:f>ABS(N151)</x:f>
        <x:v>166.32568319086585</x:v>
      </x:c>
      <x:c r="P151" s="8" t="n">
        <x:f>N151^2</x:f>
        <x:v>27664.232888908275</x:v>
      </x:c>
      <x:c r="Q151" s="8" t="n">
        <x:f>K151-L151</x:f>
        <x:v>-10</x:v>
      </x:c>
      <x:c r="R151" s="9" t="n">
        <x:f>IF(AND(INDEX('Сводка'!$T$3:$T$397,U151)=0,INDEX('Сводка'!$T$3:$T$397,V151)=0),1,0)</x:f>
        <x:v>1</x:v>
      </x:c>
      <x:c r="S151" s="9" t="n">
        <x:f>IF(AND(R151=1,O151&lt;=$G$13),1,0)</x:f>
        <x:v>0</x:v>
      </x:c>
      <x:c r="T151" s="10" t="n">
        <x:f>EOMONTH(J151-'Сводка'!$B$11,-1)</x:f>
        <x:v>45991</x:v>
      </x:c>
      <x:c r="U151" s="4" t="n">
        <x:f>MATCH(J151,'Сводка'!$R$3:$R$397,0)</x:f>
        <x:v>162</x:v>
      </x:c>
      <x:c r="V151" s="4" t="n">
        <x:f>MATCH(J151-'Сводка'!$B$11,'Сводка'!$R$3:$R$397,0)</x:f>
        <x:v>161</x:v>
      </x:c>
      <x:c r="W151" s="4" t="n">
        <x:f>MATCH(T151,$J$388:$J$400,0)</x:f>
        <x:v>6</x:v>
      </x:c>
      <x:c r="X151" s="3"/>
      <x:c r="Y151" s="3"/>
      <x:c r="Z151" s="3"/>
    </x:row>
    <x:row r="152" ht="15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10" t="n">
        <x:v>46003</x:v>
      </x:c>
      <x:c r="K152" s="8" t="n">
        <x:f>INDEX('Сводка'!$S$3:$S$397,U152)</x:f>
        <x:v>-37.7</x:v>
      </x:c>
      <x:c r="L152" s="8" t="n">
        <x:f>INDEX('Сводка'!$S$3:$S$397,V152)</x:f>
        <x:v>-38</x:v>
      </x:c>
      <x:c r="M152" s="8" t="n">
        <x:f>INDEX($K$388:$N$400,W152,1)+INDEX($K$388:$N$400,W152,2)*LN(((J152-$T$405+1)/1000))</x:f>
        <x:v>128.33242632466136</x:v>
      </x:c>
      <x:c r="N152" s="8" t="n">
        <x:f>K152-M152</x:f>
        <x:v>-166.03242632466134</x:v>
      </x:c>
      <x:c r="O152" s="8" t="n">
        <x:f>ABS(N152)</x:f>
        <x:v>166.03242632466134</x:v>
      </x:c>
      <x:c r="P152" s="8" t="n">
        <x:f>N152^2</x:f>
        <x:v>27566.766591254098</x:v>
      </x:c>
      <x:c r="Q152" s="8" t="n">
        <x:f>K152-L152</x:f>
        <x:v>0.29999999999999716</x:v>
      </x:c>
      <x:c r="R152" s="9" t="n">
        <x:f>IF(AND(INDEX('Сводка'!$T$3:$T$397,U152)=0,INDEX('Сводка'!$T$3:$T$397,V152)=0),1,0)</x:f>
        <x:v>0</x:v>
      </x:c>
      <x:c r="S152" s="9" t="n">
        <x:f>IF(AND(R152=1,O152&lt;=$G$13),1,0)</x:f>
        <x:v>0</x:v>
      </x:c>
      <x:c r="T152" s="10" t="n">
        <x:f>EOMONTH(J152-'Сводка'!$B$11,-1)</x:f>
        <x:v>45991</x:v>
      </x:c>
      <x:c r="U152" s="4" t="n">
        <x:f>MATCH(J152,'Сводка'!$R$3:$R$397,0)</x:f>
        <x:v>163</x:v>
      </x:c>
      <x:c r="V152" s="4" t="n">
        <x:f>MATCH(J152-'Сводка'!$B$11,'Сводка'!$R$3:$R$397,0)</x:f>
        <x:v>162</x:v>
      </x:c>
      <x:c r="W152" s="4" t="n">
        <x:f>MATCH(T152,$J$388:$J$400,0)</x:f>
        <x:v>6</x:v>
      </x:c>
      <x:c r="X152" s="3"/>
      <x:c r="Y152" s="3"/>
      <x:c r="Z152" s="3"/>
    </x:row>
    <x:row r="153" ht="15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10" t="n">
        <x:v>46004</x:v>
      </x:c>
      <x:c r="K153" s="8" t="n">
        <x:f>INDEX('Сводка'!$S$3:$S$397,U153)</x:f>
        <x:v>-37.3</x:v>
      </x:c>
      <x:c r="L153" s="8" t="n">
        <x:f>INDEX('Сводка'!$S$3:$S$397,V153)</x:f>
        <x:v>-37.7</x:v>
      </x:c>
      <x:c r="M153" s="8" t="n">
        <x:f>INDEX($K$388:$N$400,W153,1)+INDEX($K$388:$N$400,W153,2)*LN(((J153-$T$405+1)/1000))</x:f>
        <x:v>128.33916868759277</x:v>
      </x:c>
      <x:c r="N153" s="8" t="n">
        <x:f>K153-M153</x:f>
        <x:v>-165.63916868759276</x:v>
      </x:c>
      <x:c r="O153" s="8" t="n">
        <x:f>ABS(N153)</x:f>
        <x:v>165.63916868759276</x:v>
      </x:c>
      <x:c r="P153" s="8" t="n">
        <x:f>N153^2</x:f>
        <x:v>27436.33420351681</x:v>
      </x:c>
      <x:c r="Q153" s="8" t="n">
        <x:f>K153-L153</x:f>
        <x:v>0.4000000000000057</x:v>
      </x:c>
      <x:c r="R153" s="9" t="n">
        <x:f>IF(AND(INDEX('Сводка'!$T$3:$T$397,U153)=0,INDEX('Сводка'!$T$3:$T$397,V153)=0),1,0)</x:f>
        <x:v>0</x:v>
      </x:c>
      <x:c r="S153" s="9" t="n">
        <x:f>IF(AND(R153=1,O153&lt;=$G$13),1,0)</x:f>
        <x:v>0</x:v>
      </x:c>
      <x:c r="T153" s="10" t="n">
        <x:f>EOMONTH(J153-'Сводка'!$B$11,-1)</x:f>
        <x:v>45991</x:v>
      </x:c>
      <x:c r="U153" s="4" t="n">
        <x:f>MATCH(J153,'Сводка'!$R$3:$R$397,0)</x:f>
        <x:v>164</x:v>
      </x:c>
      <x:c r="V153" s="4" t="n">
        <x:f>MATCH(J153-'Сводка'!$B$11,'Сводка'!$R$3:$R$397,0)</x:f>
        <x:v>163</x:v>
      </x:c>
      <x:c r="W153" s="4" t="n">
        <x:f>MATCH(T153,$J$388:$J$400,0)</x:f>
        <x:v>6</x:v>
      </x:c>
      <x:c r="X153" s="3"/>
      <x:c r="Y153" s="3"/>
      <x:c r="Z153" s="3"/>
    </x:row>
    <x:row r="154" ht="15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10" t="n">
        <x:v>46005</x:v>
      </x:c>
      <x:c r="K154" s="8" t="n">
        <x:f>INDEX('Сводка'!$S$3:$S$397,U154)</x:f>
        <x:v>-37</x:v>
      </x:c>
      <x:c r="L154" s="8" t="n">
        <x:f>INDEX('Сводка'!$S$3:$S$397,V154)</x:f>
        <x:v>-37.3</x:v>
      </x:c>
      <x:c r="M154" s="8" t="n">
        <x:f>INDEX($K$388:$N$400,W154,1)+INDEX($K$388:$N$400,W154,2)*LN(((J154-$T$405+1)/1000))</x:f>
        <x:v>128.34591027983632</x:v>
      </x:c>
      <x:c r="N154" s="8" t="n">
        <x:f>K154-M154</x:f>
        <x:v>-165.34591027983632</x:v>
      </x:c>
      <x:c r="O154" s="8" t="n">
        <x:f>ABS(N154)</x:f>
        <x:v>165.34591027983632</x:v>
      </x:c>
      <x:c r="P154" s="8" t="n">
        <x:f>N154^2</x:f>
        <x:v>27339.27004626768</x:v>
      </x:c>
      <x:c r="Q154" s="8" t="n">
        <x:f>K154-L154</x:f>
        <x:v>0.29999999999999716</x:v>
      </x:c>
      <x:c r="R154" s="9" t="n">
        <x:f>IF(AND(INDEX('Сводка'!$T$3:$T$397,U154)=0,INDEX('Сводка'!$T$3:$T$397,V154)=0),1,0)</x:f>
        <x:v>0</x:v>
      </x:c>
      <x:c r="S154" s="9" t="n">
        <x:f>IF(AND(R154=1,O154&lt;=$G$13),1,0)</x:f>
        <x:v>0</x:v>
      </x:c>
      <x:c r="T154" s="10" t="n">
        <x:f>EOMONTH(J154-'Сводка'!$B$11,-1)</x:f>
        <x:v>45991</x:v>
      </x:c>
      <x:c r="U154" s="4" t="n">
        <x:f>MATCH(J154,'Сводка'!$R$3:$R$397,0)</x:f>
        <x:v>165</x:v>
      </x:c>
      <x:c r="V154" s="4" t="n">
        <x:f>MATCH(J154-'Сводка'!$B$11,'Сводка'!$R$3:$R$397,0)</x:f>
        <x:v>164</x:v>
      </x:c>
      <x:c r="W154" s="4" t="n">
        <x:f>MATCH(T154,$J$388:$J$400,0)</x:f>
        <x:v>6</x:v>
      </x:c>
      <x:c r="X154" s="3"/>
      <x:c r="Y154" s="3"/>
      <x:c r="Z154" s="3"/>
    </x:row>
    <x:row r="155" ht="15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10" t="n">
        <x:v>46006</x:v>
      </x:c>
      <x:c r="K155" s="8" t="n">
        <x:f>INDEX('Сводка'!$S$3:$S$397,U155)</x:f>
        <x:v>-37</x:v>
      </x:c>
      <x:c r="L155" s="8" t="n">
        <x:f>INDEX('Сводка'!$S$3:$S$397,V155)</x:f>
        <x:v>-37</x:v>
      </x:c>
      <x:c r="M155" s="8" t="n">
        <x:f>INDEX($K$388:$N$400,W155,1)+INDEX($K$388:$N$400,W155,2)*LN(((J155-$T$405+1)/1000))</x:f>
        <x:v>128.35265110156814</x:v>
      </x:c>
      <x:c r="N155" s="8" t="n">
        <x:f>K155-M155</x:f>
        <x:v>-165.35265110156814</x:v>
      </x:c>
      <x:c r="O155" s="8" t="n">
        <x:f>ABS(N155)</x:f>
        <x:v>165.35265110156814</x:v>
      </x:c>
      <x:c r="P155" s="8" t="n">
        <x:f>N155^2</x:f>
        <x:v>27341.499226316922</x:v>
      </x:c>
      <x:c r="Q155" s="8" t="n">
        <x:f>K155-L155</x:f>
        <x:v>0</x:v>
      </x:c>
      <x:c r="R155" s="9" t="n">
        <x:f>IF(AND(INDEX('Сводка'!$T$3:$T$397,U155)=0,INDEX('Сводка'!$T$3:$T$397,V155)=0),1,0)</x:f>
        <x:v>1</x:v>
      </x:c>
      <x:c r="S155" s="9" t="n">
        <x:f>IF(AND(R155=1,O155&lt;=$G$13),1,0)</x:f>
        <x:v>0</x:v>
      </x:c>
      <x:c r="T155" s="10" t="n">
        <x:f>EOMONTH(J155-'Сводка'!$B$11,-1)</x:f>
        <x:v>45991</x:v>
      </x:c>
      <x:c r="U155" s="4" t="n">
        <x:f>MATCH(J155,'Сводка'!$R$3:$R$397,0)</x:f>
        <x:v>166</x:v>
      </x:c>
      <x:c r="V155" s="4" t="n">
        <x:f>MATCH(J155-'Сводка'!$B$11,'Сводка'!$R$3:$R$397,0)</x:f>
        <x:v>165</x:v>
      </x:c>
      <x:c r="W155" s="4" t="n">
        <x:f>MATCH(T155,$J$388:$J$400,0)</x:f>
        <x:v>6</x:v>
      </x:c>
      <x:c r="X155" s="3"/>
      <x:c r="Y155" s="3"/>
      <x:c r="Z155" s="3"/>
    </x:row>
    <x:row r="156" ht="15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10" t="n">
        <x:v>46007</x:v>
      </x:c>
      <x:c r="K156" s="8" t="n">
        <x:f>INDEX('Сводка'!$S$3:$S$397,U156)</x:f>
        <x:v>-41</x:v>
      </x:c>
      <x:c r="L156" s="8" t="n">
        <x:f>INDEX('Сводка'!$S$3:$S$397,V156)</x:f>
        <x:v>-37</x:v>
      </x:c>
      <x:c r="M156" s="8" t="n">
        <x:f>INDEX($K$388:$N$400,W156,1)+INDEX($K$388:$N$400,W156,2)*LN(((J156-$T$405+1)/1000))</x:f>
        <x:v>128.35939115296435</x:v>
      </x:c>
      <x:c r="N156" s="8" t="n">
        <x:f>K156-M156</x:f>
        <x:v>-169.35939115296435</x:v>
      </x:c>
      <x:c r="O156" s="8" t="n">
        <x:f>ABS(N156)</x:f>
        <x:v>169.35939115296435</x:v>
      </x:c>
      <x:c r="P156" s="8" t="n">
        <x:f>N156^2</x:f>
        <x:v>28682.60337170278</x:v>
      </x:c>
      <x:c r="Q156" s="8" t="n">
        <x:f>K156-L156</x:f>
        <x:v>-4</x:v>
      </x:c>
      <x:c r="R156" s="9" t="n">
        <x:f>IF(AND(INDEX('Сводка'!$T$3:$T$397,U156)=0,INDEX('Сводка'!$T$3:$T$397,V156)=0),1,0)</x:f>
        <x:v>1</x:v>
      </x:c>
      <x:c r="S156" s="9" t="n">
        <x:f>IF(AND(R156=1,O156&lt;=$G$13),1,0)</x:f>
        <x:v>0</x:v>
      </x:c>
      <x:c r="T156" s="10" t="n">
        <x:f>EOMONTH(J156-'Сводка'!$B$11,-1)</x:f>
        <x:v>45991</x:v>
      </x:c>
      <x:c r="U156" s="4" t="n">
        <x:f>MATCH(J156,'Сводка'!$R$3:$R$397,0)</x:f>
        <x:v>167</x:v>
      </x:c>
      <x:c r="V156" s="4" t="n">
        <x:f>MATCH(J156-'Сводка'!$B$11,'Сводка'!$R$3:$R$397,0)</x:f>
        <x:v>166</x:v>
      </x:c>
      <x:c r="W156" s="4" t="n">
        <x:f>MATCH(T156,$J$388:$J$400,0)</x:f>
        <x:v>6</x:v>
      </x:c>
      <x:c r="X156" s="3"/>
      <x:c r="Y156" s="3"/>
      <x:c r="Z156" s="3"/>
    </x:row>
    <x:row r="157" ht="15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10" t="n">
        <x:v>46008</x:v>
      </x:c>
      <x:c r="K157" s="8" t="n">
        <x:f>INDEX('Сводка'!$S$3:$S$397,U157)</x:f>
        <x:v>-35</x:v>
      </x:c>
      <x:c r="L157" s="8" t="n">
        <x:f>INDEX('Сводка'!$S$3:$S$397,V157)</x:f>
        <x:v>-41</x:v>
      </x:c>
      <x:c r="M157" s="8" t="n">
        <x:f>INDEX($K$388:$N$400,W157,1)+INDEX($K$388:$N$400,W157,2)*LN(((J157-$T$405+1)/1000))</x:f>
        <x:v>128.36613043420098</x:v>
      </x:c>
      <x:c r="N157" s="8" t="n">
        <x:f>K157-M157</x:f>
        <x:v>-163.36613043420098</x:v>
      </x:c>
      <x:c r="O157" s="8" t="n">
        <x:f>ABS(N157)</x:f>
        <x:v>163.36613043420098</x:v>
      </x:c>
      <x:c r="P157" s="8" t="n">
        <x:f>N157^2</x:f>
        <x:v>26688.49257304437</x:v>
      </x:c>
      <x:c r="Q157" s="8" t="n">
        <x:f>K157-L157</x:f>
        <x:v>6</x:v>
      </x:c>
      <x:c r="R157" s="9" t="n">
        <x:f>IF(AND(INDEX('Сводка'!$T$3:$T$397,U157)=0,INDEX('Сводка'!$T$3:$T$397,V157)=0),1,0)</x:f>
        <x:v>1</x:v>
      </x:c>
      <x:c r="S157" s="9" t="n">
        <x:f>IF(AND(R157=1,O157&lt;=$G$13),1,0)</x:f>
        <x:v>0</x:v>
      </x:c>
      <x:c r="T157" s="10" t="n">
        <x:f>EOMONTH(J157-'Сводка'!$B$11,-1)</x:f>
        <x:v>45991</x:v>
      </x:c>
      <x:c r="U157" s="4" t="n">
        <x:f>MATCH(J157,'Сводка'!$R$3:$R$397,0)</x:f>
        <x:v>168</x:v>
      </x:c>
      <x:c r="V157" s="4" t="n">
        <x:f>MATCH(J157-'Сводка'!$B$11,'Сводка'!$R$3:$R$397,0)</x:f>
        <x:v>167</x:v>
      </x:c>
      <x:c r="W157" s="4" t="n">
        <x:f>MATCH(T157,$J$388:$J$400,0)</x:f>
        <x:v>6</x:v>
      </x:c>
      <x:c r="X157" s="3"/>
      <x:c r="Y157" s="3"/>
      <x:c r="Z157" s="3"/>
    </x:row>
    <x:row r="158" ht="15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10" t="n">
        <x:v>46009</x:v>
      </x:c>
      <x:c r="K158" s="8" t="n">
        <x:f>INDEX('Сводка'!$S$3:$S$397,U158)</x:f>
        <x:v>-33</x:v>
      </x:c>
      <x:c r="L158" s="8" t="n">
        <x:f>INDEX('Сводка'!$S$3:$S$397,V158)</x:f>
        <x:v>-35</x:v>
      </x:c>
      <x:c r="M158" s="8" t="n">
        <x:f>INDEX($K$388:$N$400,W158,1)+INDEX($K$388:$N$400,W158,2)*LN(((J158-$T$405+1)/1000))</x:f>
        <x:v>128.37286894545406</x:v>
      </x:c>
      <x:c r="N158" s="8" t="n">
        <x:f>K158-M158</x:f>
        <x:v>-161.37286894545406</x:v>
      </x:c>
      <x:c r="O158" s="8" t="n">
        <x:f>ABS(N158)</x:f>
        <x:v>161.37286894545406</x:v>
      </x:c>
      <x:c r="P158" s="8" t="n">
        <x:f>N158^2</x:f>
        <x:v>26041.202831686693</x:v>
      </x:c>
      <x:c r="Q158" s="8" t="n">
        <x:f>K158-L158</x:f>
        <x:v>2</x:v>
      </x:c>
      <x:c r="R158" s="9" t="n">
        <x:f>IF(AND(INDEX('Сводка'!$T$3:$T$397,U158)=0,INDEX('Сводка'!$T$3:$T$397,V158)=0),1,0)</x:f>
        <x:v>1</x:v>
      </x:c>
      <x:c r="S158" s="9" t="n">
        <x:f>IF(AND(R158=1,O158&lt;=$G$13),1,0)</x:f>
        <x:v>0</x:v>
      </x:c>
      <x:c r="T158" s="10" t="n">
        <x:f>EOMONTH(J158-'Сводка'!$B$11,-1)</x:f>
        <x:v>45991</x:v>
      </x:c>
      <x:c r="U158" s="4" t="n">
        <x:f>MATCH(J158,'Сводка'!$R$3:$R$397,0)</x:f>
        <x:v>169</x:v>
      </x:c>
      <x:c r="V158" s="4" t="n">
        <x:f>MATCH(J158-'Сводка'!$B$11,'Сводка'!$R$3:$R$397,0)</x:f>
        <x:v>168</x:v>
      </x:c>
      <x:c r="W158" s="4" t="n">
        <x:f>MATCH(T158,$J$388:$J$400,0)</x:f>
        <x:v>6</x:v>
      </x:c>
      <x:c r="X158" s="3"/>
      <x:c r="Y158" s="3"/>
      <x:c r="Z158" s="3"/>
    </x:row>
    <x:row r="159" ht="15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10" t="n">
        <x:v>46010</x:v>
      </x:c>
      <x:c r="K159" s="8" t="n">
        <x:f>INDEX('Сводка'!$S$3:$S$397,U159)</x:f>
        <x:v>-31</x:v>
      </x:c>
      <x:c r="L159" s="8" t="n">
        <x:f>INDEX('Сводка'!$S$3:$S$397,V159)</x:f>
        <x:v>-33</x:v>
      </x:c>
      <x:c r="M159" s="8" t="n">
        <x:f>INDEX($K$388:$N$400,W159,1)+INDEX($K$388:$N$400,W159,2)*LN(((J159-$T$405+1)/1000))</x:f>
        <x:v>128.37960668689948</x:v>
      </x:c>
      <x:c r="N159" s="8" t="n">
        <x:f>K159-M159</x:f>
        <x:v>-159.37960668689948</x:v>
      </x:c>
      <x:c r="O159" s="8" t="n">
        <x:f>ABS(N159)</x:f>
        <x:v>159.37960668689948</x:v>
      </x:c>
      <x:c r="P159" s="8" t="n">
        <x:f>N159^2</x:f>
        <x:v>25401.859027670773</x:v>
      </x:c>
      <x:c r="Q159" s="8" t="n">
        <x:f>K159-L159</x:f>
        <x:v>2</x:v>
      </x:c>
      <x:c r="R159" s="9" t="n">
        <x:f>IF(AND(INDEX('Сводка'!$T$3:$T$397,U159)=0,INDEX('Сводка'!$T$3:$T$397,V159)=0),1,0)</x:f>
        <x:v>1</x:v>
      </x:c>
      <x:c r="S159" s="9" t="n">
        <x:f>IF(AND(R159=1,O159&lt;=$G$13),1,0)</x:f>
        <x:v>0</x:v>
      </x:c>
      <x:c r="T159" s="10" t="n">
        <x:f>EOMONTH(J159-'Сводка'!$B$11,-1)</x:f>
        <x:v>45991</x:v>
      </x:c>
      <x:c r="U159" s="4" t="n">
        <x:f>MATCH(J159,'Сводка'!$R$3:$R$397,0)</x:f>
        <x:v>170</x:v>
      </x:c>
      <x:c r="V159" s="4" t="n">
        <x:f>MATCH(J159-'Сводка'!$B$11,'Сводка'!$R$3:$R$397,0)</x:f>
        <x:v>169</x:v>
      </x:c>
      <x:c r="W159" s="4" t="n">
        <x:f>MATCH(T159,$J$388:$J$400,0)</x:f>
        <x:v>6</x:v>
      </x:c>
      <x:c r="X159" s="3"/>
      <x:c r="Y159" s="3"/>
      <x:c r="Z159" s="3"/>
    </x:row>
    <x:row r="160" ht="15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10" t="n">
        <x:v>46011</x:v>
      </x:c>
      <x:c r="K160" s="8" t="n">
        <x:f>INDEX('Сводка'!$S$3:$S$397,U160)</x:f>
        <x:v>-31</x:v>
      </x:c>
      <x:c r="L160" s="8" t="n">
        <x:f>INDEX('Сводка'!$S$3:$S$397,V160)</x:f>
        <x:v>-31</x:v>
      </x:c>
      <x:c r="M160" s="8" t="n">
        <x:f>INDEX($K$388:$N$400,W160,1)+INDEX($K$388:$N$400,W160,2)*LN(((J160-$T$405+1)/1000))</x:f>
        <x:v>128.38634365871312</x:v>
      </x:c>
      <x:c r="N160" s="8" t="n">
        <x:f>K160-M160</x:f>
        <x:v>-159.38634365871312</x:v>
      </x:c>
      <x:c r="O160" s="8" t="n">
        <x:f>ABS(N160)</x:f>
        <x:v>159.38634365871312</x:v>
      </x:c>
      <x:c r="P160" s="8" t="n">
        <x:f>N160^2</x:f>
        <x:v>25404.0065448934</x:v>
      </x:c>
      <x:c r="Q160" s="8" t="n">
        <x:f>K160-L160</x:f>
        <x:v>0</x:v>
      </x:c>
      <x:c r="R160" s="9" t="n">
        <x:f>IF(AND(INDEX('Сводка'!$T$3:$T$397,U160)=0,INDEX('Сводка'!$T$3:$T$397,V160)=0),1,0)</x:f>
        <x:v>1</x:v>
      </x:c>
      <x:c r="S160" s="9" t="n">
        <x:f>IF(AND(R160=1,O160&lt;=$G$13),1,0)</x:f>
        <x:v>0</x:v>
      </x:c>
      <x:c r="T160" s="10" t="n">
        <x:f>EOMONTH(J160-'Сводка'!$B$11,-1)</x:f>
        <x:v>45991</x:v>
      </x:c>
      <x:c r="U160" s="4" t="n">
        <x:f>MATCH(J160,'Сводка'!$R$3:$R$397,0)</x:f>
        <x:v>171</x:v>
      </x:c>
      <x:c r="V160" s="4" t="n">
        <x:f>MATCH(J160-'Сводка'!$B$11,'Сводка'!$R$3:$R$397,0)</x:f>
        <x:v>170</x:v>
      </x:c>
      <x:c r="W160" s="4" t="n">
        <x:f>MATCH(T160,$J$388:$J$400,0)</x:f>
        <x:v>6</x:v>
      </x:c>
      <x:c r="X160" s="3"/>
      <x:c r="Y160" s="3"/>
      <x:c r="Z160" s="3"/>
    </x:row>
    <x:row r="161" ht="15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10" t="n">
        <x:v>46012</x:v>
      </x:c>
      <x:c r="K161" s="8" t="n">
        <x:f>INDEX('Сводка'!$S$3:$S$397,U161)</x:f>
        <x:v>-30</x:v>
      </x:c>
      <x:c r="L161" s="8" t="n">
        <x:f>INDEX('Сводка'!$S$3:$S$397,V161)</x:f>
        <x:v>-31</x:v>
      </x:c>
      <x:c r="M161" s="8" t="n">
        <x:f>INDEX($K$388:$N$400,W161,1)+INDEX($K$388:$N$400,W161,2)*LN(((J161-$T$405+1)/1000))</x:f>
        <x:v>128.39307986107076</x:v>
      </x:c>
      <x:c r="N161" s="8" t="n">
        <x:f>K161-M161</x:f>
        <x:v>-158.39307986107076</x:v>
      </x:c>
      <x:c r="O161" s="8" t="n">
        <x:f>ABS(N161)</x:f>
        <x:v>158.39307986107076</x:v>
      </x:c>
      <x:c r="P161" s="8" t="n">
        <x:f>N161^2</x:f>
        <x:v>25088.367747875538</x:v>
      </x:c>
      <x:c r="Q161" s="8" t="n">
        <x:f>K161-L161</x:f>
        <x:v>1</x:v>
      </x:c>
      <x:c r="R161" s="9" t="n">
        <x:f>IF(AND(INDEX('Сводка'!$T$3:$T$397,U161)=0,INDEX('Сводка'!$T$3:$T$397,V161)=0),1,0)</x:f>
        <x:v>1</x:v>
      </x:c>
      <x:c r="S161" s="9" t="n">
        <x:f>IF(AND(R161=1,O161&lt;=$G$13),1,0)</x:f>
        <x:v>0</x:v>
      </x:c>
      <x:c r="T161" s="10" t="n">
        <x:f>EOMONTH(J161-'Сводка'!$B$11,-1)</x:f>
        <x:v>45991</x:v>
      </x:c>
      <x:c r="U161" s="4" t="n">
        <x:f>MATCH(J161,'Сводка'!$R$3:$R$397,0)</x:f>
        <x:v>172</x:v>
      </x:c>
      <x:c r="V161" s="4" t="n">
        <x:f>MATCH(J161-'Сводка'!$B$11,'Сводка'!$R$3:$R$397,0)</x:f>
        <x:v>171</x:v>
      </x:c>
      <x:c r="W161" s="4" t="n">
        <x:f>MATCH(T161,$J$388:$J$400,0)</x:f>
        <x:v>6</x:v>
      </x:c>
      <x:c r="X161" s="3"/>
      <x:c r="Y161" s="3"/>
      <x:c r="Z161" s="3"/>
    </x:row>
    <x:row r="162" ht="15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10" t="n">
        <x:v>46013</x:v>
      </x:c>
      <x:c r="K162" s="8" t="n">
        <x:f>INDEX('Сводка'!$S$3:$S$397,U162)</x:f>
        <x:v>-27</x:v>
      </x:c>
      <x:c r="L162" s="8" t="n">
        <x:f>INDEX('Сводка'!$S$3:$S$397,V162)</x:f>
        <x:v>-30</x:v>
      </x:c>
      <x:c r="M162" s="8" t="n">
        <x:f>INDEX($K$388:$N$400,W162,1)+INDEX($K$388:$N$400,W162,2)*LN(((J162-$T$405+1)/1000))</x:f>
        <x:v>128.3998152941482</x:v>
      </x:c>
      <x:c r="N162" s="8" t="n">
        <x:f>K162-M162</x:f>
        <x:v>-155.3998152941482</x:v>
      </x:c>
      <x:c r="O162" s="8" t="n">
        <x:f>ABS(N162)</x:f>
        <x:v>155.3998152941482</x:v>
      </x:c>
      <x:c r="P162" s="8" t="n">
        <x:f>N162^2</x:f>
        <x:v>24149.102593455376</x:v>
      </x:c>
      <x:c r="Q162" s="8" t="n">
        <x:f>K162-L162</x:f>
        <x:v>3</x:v>
      </x:c>
      <x:c r="R162" s="9" t="n">
        <x:f>IF(AND(INDEX('Сводка'!$T$3:$T$397,U162)=0,INDEX('Сводка'!$T$3:$T$397,V162)=0),1,0)</x:f>
        <x:v>1</x:v>
      </x:c>
      <x:c r="S162" s="9" t="n">
        <x:f>IF(AND(R162=1,O162&lt;=$G$13),1,0)</x:f>
        <x:v>0</x:v>
      </x:c>
      <x:c r="T162" s="10" t="n">
        <x:f>EOMONTH(J162-'Сводка'!$B$11,-1)</x:f>
        <x:v>45991</x:v>
      </x:c>
      <x:c r="U162" s="4" t="n">
        <x:f>MATCH(J162,'Сводка'!$R$3:$R$397,0)</x:f>
        <x:v>173</x:v>
      </x:c>
      <x:c r="V162" s="4" t="n">
        <x:f>MATCH(J162-'Сводка'!$B$11,'Сводка'!$R$3:$R$397,0)</x:f>
        <x:v>172</x:v>
      </x:c>
      <x:c r="W162" s="4" t="n">
        <x:f>MATCH(T162,$J$388:$J$400,0)</x:f>
        <x:v>6</x:v>
      </x:c>
      <x:c r="X162" s="3"/>
      <x:c r="Y162" s="3"/>
      <x:c r="Z162" s="3"/>
    </x:row>
    <x:row r="163" ht="15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10" t="n">
        <x:v>46014</x:v>
      </x:c>
      <x:c r="K163" s="8" t="n">
        <x:f>INDEX('Сводка'!$S$3:$S$397,U163)</x:f>
        <x:v>-23</x:v>
      </x:c>
      <x:c r="L163" s="8" t="n">
        <x:f>INDEX('Сводка'!$S$3:$S$397,V163)</x:f>
        <x:v>-27</x:v>
      </x:c>
      <x:c r="M163" s="8" t="n">
        <x:f>INDEX($K$388:$N$400,W163,1)+INDEX($K$388:$N$400,W163,2)*LN(((J163-$T$405+1)/1000))</x:f>
        <x:v>128.40654995812108</x:v>
      </x:c>
      <x:c r="N163" s="8" t="n">
        <x:f>K163-M163</x:f>
        <x:v>-151.40654995812108</x:v>
      </x:c>
      <x:c r="O163" s="8" t="n">
        <x:f>ABS(N163)</x:f>
        <x:v>151.40654995812108</x:v>
      </x:c>
      <x:c r="P163" s="8" t="n">
        <x:f>N163^2</x:f>
        <x:v>22923.94337022101</x:v>
      </x:c>
      <x:c r="Q163" s="8" t="n">
        <x:f>K163-L163</x:f>
        <x:v>4</x:v>
      </x:c>
      <x:c r="R163" s="9" t="n">
        <x:f>IF(AND(INDEX('Сводка'!$T$3:$T$397,U163)=0,INDEX('Сводка'!$T$3:$T$397,V163)=0),1,0)</x:f>
        <x:v>1</x:v>
      </x:c>
      <x:c r="S163" s="9" t="n">
        <x:f>IF(AND(R163=1,O163&lt;=$G$13),1,0)</x:f>
        <x:v>0</x:v>
      </x:c>
      <x:c r="T163" s="10" t="n">
        <x:f>EOMONTH(J163-'Сводка'!$B$11,-1)</x:f>
        <x:v>45991</x:v>
      </x:c>
      <x:c r="U163" s="4" t="n">
        <x:f>MATCH(J163,'Сводка'!$R$3:$R$397,0)</x:f>
        <x:v>174</x:v>
      </x:c>
      <x:c r="V163" s="4" t="n">
        <x:f>MATCH(J163-'Сводка'!$B$11,'Сводка'!$R$3:$R$397,0)</x:f>
        <x:v>173</x:v>
      </x:c>
      <x:c r="W163" s="4" t="n">
        <x:f>MATCH(T163,$J$388:$J$400,0)</x:f>
        <x:v>6</x:v>
      </x:c>
      <x:c r="X163" s="3"/>
      <x:c r="Y163" s="3"/>
      <x:c r="Z163" s="3"/>
    </x:row>
    <x:row r="164" ht="15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10" t="n">
        <x:v>46015</x:v>
      </x:c>
      <x:c r="K164" s="8" t="n">
        <x:f>INDEX('Сводка'!$S$3:$S$397,U164)</x:f>
        <x:v>-21</x:v>
      </x:c>
      <x:c r="L164" s="8" t="n">
        <x:f>INDEX('Сводка'!$S$3:$S$397,V164)</x:f>
        <x:v>-23</x:v>
      </x:c>
      <x:c r="M164" s="8" t="n">
        <x:f>INDEX($K$388:$N$400,W164,1)+INDEX($K$388:$N$400,W164,2)*LN(((J164-$T$405+1)/1000))</x:f>
        <x:v>128.413283853165</x:v>
      </x:c>
      <x:c r="N164" s="8" t="n">
        <x:f>K164-M164</x:f>
        <x:v>-149.413283853165</x:v>
      </x:c>
      <x:c r="O164" s="8" t="n">
        <x:f>ABS(N164)</x:f>
        <x:v>149.413283853165</x:v>
      </x:c>
      <x:c r="P164" s="8" t="n">
        <x:f>N164^2</x:f>
        <x:v>22324.32939178646</x:v>
      </x:c>
      <x:c r="Q164" s="8" t="n">
        <x:f>K164-L164</x:f>
        <x:v>2</x:v>
      </x:c>
      <x:c r="R164" s="9" t="n">
        <x:f>IF(AND(INDEX('Сводка'!$T$3:$T$397,U164)=0,INDEX('Сводка'!$T$3:$T$397,V164)=0),1,0)</x:f>
        <x:v>1</x:v>
      </x:c>
      <x:c r="S164" s="9" t="n">
        <x:f>IF(AND(R164=1,O164&lt;=$G$13),1,0)</x:f>
        <x:v>0</x:v>
      </x:c>
      <x:c r="T164" s="10" t="n">
        <x:f>EOMONTH(J164-'Сводка'!$B$11,-1)</x:f>
        <x:v>45991</x:v>
      </x:c>
      <x:c r="U164" s="4" t="n">
        <x:f>MATCH(J164,'Сводка'!$R$3:$R$397,0)</x:f>
        <x:v>175</x:v>
      </x:c>
      <x:c r="V164" s="4" t="n">
        <x:f>MATCH(J164-'Сводка'!$B$11,'Сводка'!$R$3:$R$397,0)</x:f>
        <x:v>174</x:v>
      </x:c>
      <x:c r="W164" s="4" t="n">
        <x:f>MATCH(T164,$J$388:$J$400,0)</x:f>
        <x:v>6</x:v>
      </x:c>
      <x:c r="X164" s="3"/>
      <x:c r="Y164" s="3"/>
      <x:c r="Z164" s="3"/>
    </x:row>
    <x:row r="165" ht="15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10" t="n">
        <x:v>46016</x:v>
      </x:c>
      <x:c r="K165" s="8" t="n">
        <x:f>INDEX('Сводка'!$S$3:$S$397,U165)</x:f>
        <x:v>-19</x:v>
      </x:c>
      <x:c r="L165" s="8" t="n">
        <x:f>INDEX('Сводка'!$S$3:$S$397,V165)</x:f>
        <x:v>-21</x:v>
      </x:c>
      <x:c r="M165" s="8" t="n">
        <x:f>INDEX($K$388:$N$400,W165,1)+INDEX($K$388:$N$400,W165,2)*LN(((J165-$T$405+1)/1000))</x:f>
        <x:v>128.4200169794556</x:v>
      </x:c>
      <x:c r="N165" s="8" t="n">
        <x:f>K165-M165</x:f>
        <x:v>-147.4200169794556</x:v>
      </x:c>
      <x:c r="O165" s="8" t="n">
        <x:f>ABS(N165)</x:f>
        <x:v>147.4200169794556</x:v>
      </x:c>
      <x:c r="P165" s="8" t="n">
        <x:f>N165^2</x:f>
        <x:v>21732.661406222975</x:v>
      </x:c>
      <x:c r="Q165" s="8" t="n">
        <x:f>K165-L165</x:f>
        <x:v>2</x:v>
      </x:c>
      <x:c r="R165" s="9" t="n">
        <x:f>IF(AND(INDEX('Сводка'!$T$3:$T$397,U165)=0,INDEX('Сводка'!$T$3:$T$397,V165)=0),1,0)</x:f>
        <x:v>1</x:v>
      </x:c>
      <x:c r="S165" s="9" t="n">
        <x:f>IF(AND(R165=1,O165&lt;=$G$13),1,0)</x:f>
        <x:v>0</x:v>
      </x:c>
      <x:c r="T165" s="10" t="n">
        <x:f>EOMONTH(J165-'Сводка'!$B$11,-1)</x:f>
        <x:v>45991</x:v>
      </x:c>
      <x:c r="U165" s="4" t="n">
        <x:f>MATCH(J165,'Сводка'!$R$3:$R$397,0)</x:f>
        <x:v>176</x:v>
      </x:c>
      <x:c r="V165" s="4" t="n">
        <x:f>MATCH(J165-'Сводка'!$B$11,'Сводка'!$R$3:$R$397,0)</x:f>
        <x:v>175</x:v>
      </x:c>
      <x:c r="W165" s="4" t="n">
        <x:f>MATCH(T165,$J$388:$J$400,0)</x:f>
        <x:v>6</x:v>
      </x:c>
      <x:c r="X165" s="3"/>
      <x:c r="Y165" s="3"/>
      <x:c r="Z165" s="3"/>
    </x:row>
    <x:row r="166" ht="15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10" t="n">
        <x:v>46017</x:v>
      </x:c>
      <x:c r="K166" s="8" t="n">
        <x:f>INDEX('Сводка'!$S$3:$S$397,U166)</x:f>
        <x:v>-17</x:v>
      </x:c>
      <x:c r="L166" s="8" t="n">
        <x:f>INDEX('Сводка'!$S$3:$S$397,V166)</x:f>
        <x:v>-19</x:v>
      </x:c>
      <x:c r="M166" s="8" t="n">
        <x:f>INDEX($K$388:$N$400,W166,1)+INDEX($K$388:$N$400,W166,2)*LN(((J166-$T$405+1)/1000))</x:f>
        <x:v>128.4267493371683</x:v>
      </x:c>
      <x:c r="N166" s="8" t="n">
        <x:f>K166-M166</x:f>
        <x:v>-145.4267493371683</x:v>
      </x:c>
      <x:c r="O166" s="8" t="n">
        <x:f>ABS(N166)</x:f>
        <x:v>145.4267493371683</x:v>
      </x:c>
      <x:c r="P166" s="8" t="n">
        <x:f>N166^2</x:f>
        <x:v>21148.93942277558</x:v>
      </x:c>
      <x:c r="Q166" s="8" t="n">
        <x:f>K166-L166</x:f>
        <x:v>2</x:v>
      </x:c>
      <x:c r="R166" s="9" t="n">
        <x:f>IF(AND(INDEX('Сводка'!$T$3:$T$397,U166)=0,INDEX('Сводка'!$T$3:$T$397,V166)=0),1,0)</x:f>
        <x:v>1</x:v>
      </x:c>
      <x:c r="S166" s="9" t="n">
        <x:f>IF(AND(R166=1,O166&lt;=$G$13),1,0)</x:f>
        <x:v>0</x:v>
      </x:c>
      <x:c r="T166" s="10" t="n">
        <x:f>EOMONTH(J166-'Сводка'!$B$11,-1)</x:f>
        <x:v>45991</x:v>
      </x:c>
      <x:c r="U166" s="4" t="n">
        <x:f>MATCH(J166,'Сводка'!$R$3:$R$397,0)</x:f>
        <x:v>177</x:v>
      </x:c>
      <x:c r="V166" s="4" t="n">
        <x:f>MATCH(J166-'Сводка'!$B$11,'Сводка'!$R$3:$R$397,0)</x:f>
        <x:v>176</x:v>
      </x:c>
      <x:c r="W166" s="4" t="n">
        <x:f>MATCH(T166,$J$388:$J$400,0)</x:f>
        <x:v>6</x:v>
      </x:c>
      <x:c r="X166" s="3"/>
      <x:c r="Y166" s="3"/>
      <x:c r="Z166" s="3"/>
    </x:row>
    <x:row r="167" ht="15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10" t="n">
        <x:v>46018</x:v>
      </x:c>
      <x:c r="K167" s="8" t="n">
        <x:f>INDEX('Сводка'!$S$3:$S$397,U167)</x:f>
        <x:v>-15</x:v>
      </x:c>
      <x:c r="L167" s="8" t="n">
        <x:f>INDEX('Сводка'!$S$3:$S$397,V167)</x:f>
        <x:v>-17</x:v>
      </x:c>
      <x:c r="M167" s="8" t="n">
        <x:f>INDEX($K$388:$N$400,W167,1)+INDEX($K$388:$N$400,W167,2)*LN(((J167-$T$405+1)/1000))</x:f>
        <x:v>128.43348092647867</x:v>
      </x:c>
      <x:c r="N167" s="8" t="n">
        <x:f>K167-M167</x:f>
        <x:v>-143.43348092647867</x:v>
      </x:c>
      <x:c r="O167" s="8" t="n">
        <x:f>ABS(N167)</x:f>
        <x:v>143.43348092647867</x:v>
      </x:c>
      <x:c r="P167" s="8" t="n">
        <x:f>N167^2</x:f>
        <x:v>20573.16345068652</x:v>
      </x:c>
      <x:c r="Q167" s="8" t="n">
        <x:f>K167-L167</x:f>
        <x:v>2</x:v>
      </x:c>
      <x:c r="R167" s="9" t="n">
        <x:f>IF(AND(INDEX('Сводка'!$T$3:$T$397,U167)=0,INDEX('Сводка'!$T$3:$T$397,V167)=0),1,0)</x:f>
        <x:v>1</x:v>
      </x:c>
      <x:c r="S167" s="9" t="n">
        <x:f>IF(AND(R167=1,O167&lt;=$G$13),1,0)</x:f>
        <x:v>0</x:v>
      </x:c>
      <x:c r="T167" s="10" t="n">
        <x:f>EOMONTH(J167-'Сводка'!$B$11,-1)</x:f>
        <x:v>45991</x:v>
      </x:c>
      <x:c r="U167" s="4" t="n">
        <x:f>MATCH(J167,'Сводка'!$R$3:$R$397,0)</x:f>
        <x:v>178</x:v>
      </x:c>
      <x:c r="V167" s="4" t="n">
        <x:f>MATCH(J167-'Сводка'!$B$11,'Сводка'!$R$3:$R$397,0)</x:f>
        <x:v>177</x:v>
      </x:c>
      <x:c r="W167" s="4" t="n">
        <x:f>MATCH(T167,$J$388:$J$400,0)</x:f>
        <x:v>6</x:v>
      </x:c>
      <x:c r="X167" s="3"/>
      <x:c r="Y167" s="3"/>
      <x:c r="Z167" s="3"/>
    </x:row>
    <x:row r="168" ht="15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10" t="n">
        <x:v>46019</x:v>
      </x:c>
      <x:c r="K168" s="8" t="n">
        <x:f>INDEX('Сводка'!$S$3:$S$397,U168)</x:f>
        <x:v>-12</x:v>
      </x:c>
      <x:c r="L168" s="8" t="n">
        <x:f>INDEX('Сводка'!$S$3:$S$397,V168)</x:f>
        <x:v>-15</x:v>
      </x:c>
      <x:c r="M168" s="8" t="n">
        <x:f>INDEX($K$388:$N$400,W168,1)+INDEX($K$388:$N$400,W168,2)*LN(((J168-$T$405+1)/1000))</x:f>
        <x:v>128.44021174756193</x:v>
      </x:c>
      <x:c r="N168" s="8" t="n">
        <x:f>K168-M168</x:f>
        <x:v>-140.44021174756193</x:v>
      </x:c>
      <x:c r="O168" s="8" t="n">
        <x:f>ABS(N168)</x:f>
        <x:v>140.44021174756193</x:v>
      </x:c>
      <x:c r="P168" s="8" t="n">
        <x:f>N168^2</x:f>
        <x:v>19723.453075700032</x:v>
      </x:c>
      <x:c r="Q168" s="8" t="n">
        <x:f>K168-L168</x:f>
        <x:v>3</x:v>
      </x:c>
      <x:c r="R168" s="9" t="n">
        <x:f>IF(AND(INDEX('Сводка'!$T$3:$T$397,U168)=0,INDEX('Сводка'!$T$3:$T$397,V168)=0),1,0)</x:f>
        <x:v>1</x:v>
      </x:c>
      <x:c r="S168" s="9" t="n">
        <x:f>IF(AND(R168=1,O168&lt;=$G$13),1,0)</x:f>
        <x:v>0</x:v>
      </x:c>
      <x:c r="T168" s="10" t="n">
        <x:f>EOMONTH(J168-'Сводка'!$B$11,-1)</x:f>
        <x:v>45991</x:v>
      </x:c>
      <x:c r="U168" s="4" t="n">
        <x:f>MATCH(J168,'Сводка'!$R$3:$R$397,0)</x:f>
        <x:v>179</x:v>
      </x:c>
      <x:c r="V168" s="4" t="n">
        <x:f>MATCH(J168-'Сводка'!$B$11,'Сводка'!$R$3:$R$397,0)</x:f>
        <x:v>178</x:v>
      </x:c>
      <x:c r="W168" s="4" t="n">
        <x:f>MATCH(T168,$J$388:$J$400,0)</x:f>
        <x:v>6</x:v>
      </x:c>
      <x:c r="X168" s="3"/>
      <x:c r="Y168" s="3"/>
      <x:c r="Z168" s="3"/>
    </x:row>
    <x:row r="169" ht="15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10" t="n">
        <x:v>46020</x:v>
      </x:c>
      <x:c r="K169" s="8" t="n">
        <x:f>INDEX('Сводка'!$S$3:$S$397,U169)</x:f>
        <x:v>-6</x:v>
      </x:c>
      <x:c r="L169" s="8" t="n">
        <x:f>INDEX('Сводка'!$S$3:$S$397,V169)</x:f>
        <x:v>-12</x:v>
      </x:c>
      <x:c r="M169" s="8" t="n">
        <x:f>INDEX($K$388:$N$400,W169,1)+INDEX($K$388:$N$400,W169,2)*LN(((J169-$T$405+1)/1000))</x:f>
        <x:v>128.44694180059352</x:v>
      </x:c>
      <x:c r="N169" s="8" t="n">
        <x:f>K169-M169</x:f>
        <x:v>-134.44694180059352</x:v>
      </x:c>
      <x:c r="O169" s="8" t="n">
        <x:f>ABS(N169)</x:f>
        <x:v>134.44694180059352</x:v>
      </x:c>
      <x:c r="P169" s="8" t="n">
        <x:f>N169^2</x:f>
        <x:v>18075.98015953218</x:v>
      </x:c>
      <x:c r="Q169" s="8" t="n">
        <x:f>K169-L169</x:f>
        <x:v>6</x:v>
      </x:c>
      <x:c r="R169" s="9" t="n">
        <x:f>IF(AND(INDEX('Сводка'!$T$3:$T$397,U169)=0,INDEX('Сводка'!$T$3:$T$397,V169)=0),1,0)</x:f>
        <x:v>1</x:v>
      </x:c>
      <x:c r="S169" s="9" t="n">
        <x:f>IF(AND(R169=1,O169&lt;=$G$13),1,0)</x:f>
        <x:v>0</x:v>
      </x:c>
      <x:c r="T169" s="10" t="n">
        <x:f>EOMONTH(J169-'Сводка'!$B$11,-1)</x:f>
        <x:v>45991</x:v>
      </x:c>
      <x:c r="U169" s="4" t="n">
        <x:f>MATCH(J169,'Сводка'!$R$3:$R$397,0)</x:f>
        <x:v>180</x:v>
      </x:c>
      <x:c r="V169" s="4" t="n">
        <x:f>MATCH(J169-'Сводка'!$B$11,'Сводка'!$R$3:$R$397,0)</x:f>
        <x:v>179</x:v>
      </x:c>
      <x:c r="W169" s="4" t="n">
        <x:f>MATCH(T169,$J$388:$J$400,0)</x:f>
        <x:v>6</x:v>
      </x:c>
      <x:c r="X169" s="3"/>
      <x:c r="Y169" s="3"/>
      <x:c r="Z169" s="3"/>
    </x:row>
    <x:row r="170" ht="15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10" t="n">
        <x:v>46021</x:v>
      </x:c>
      <x:c r="K170" s="8" t="n">
        <x:f>INDEX('Сводка'!$S$3:$S$397,U170)</x:f>
        <x:v>-3</x:v>
      </x:c>
      <x:c r="L170" s="8" t="n">
        <x:f>INDEX('Сводка'!$S$3:$S$397,V170)</x:f>
        <x:v>-6</x:v>
      </x:c>
      <x:c r="M170" s="8" t="n">
        <x:f>INDEX($K$388:$N$400,W170,1)+INDEX($K$388:$N$400,W170,2)*LN(((J170-$T$405+1)/1000))</x:f>
        <x:v>128.45367108574868</x:v>
      </x:c>
      <x:c r="N170" s="8" t="n">
        <x:f>K170-M170</x:f>
        <x:v>-131.45367108574868</x:v>
      </x:c>
      <x:c r="O170" s="8" t="n">
        <x:f>ABS(N170)</x:f>
        <x:v>131.45367108574868</x:v>
      </x:c>
      <x:c r="P170" s="8" t="n">
        <x:f>N170^2</x:f>
        <x:v>17280.0676419202</x:v>
      </x:c>
      <x:c r="Q170" s="8" t="n">
        <x:f>K170-L170</x:f>
        <x:v>3</x:v>
      </x:c>
      <x:c r="R170" s="9" t="n">
        <x:f>IF(AND(INDEX('Сводка'!$T$3:$T$397,U170)=0,INDEX('Сводка'!$T$3:$T$397,V170)=0),1,0)</x:f>
        <x:v>1</x:v>
      </x:c>
      <x:c r="S170" s="9" t="n">
        <x:f>IF(AND(R170=1,O170&lt;=$G$13),1,0)</x:f>
        <x:v>0</x:v>
      </x:c>
      <x:c r="T170" s="10" t="n">
        <x:f>EOMONTH(J170-'Сводка'!$B$11,-1)</x:f>
        <x:v>45991</x:v>
      </x:c>
      <x:c r="U170" s="4" t="n">
        <x:f>MATCH(J170,'Сводка'!$R$3:$R$397,0)</x:f>
        <x:v>181</x:v>
      </x:c>
      <x:c r="V170" s="4" t="n">
        <x:f>MATCH(J170-'Сводка'!$B$11,'Сводка'!$R$3:$R$397,0)</x:f>
        <x:v>180</x:v>
      </x:c>
      <x:c r="W170" s="4" t="n">
        <x:f>MATCH(T170,$J$388:$J$400,0)</x:f>
        <x:v>6</x:v>
      </x:c>
      <x:c r="X170" s="3"/>
      <x:c r="Y170" s="3"/>
      <x:c r="Z170" s="3"/>
    </x:row>
    <x:row r="171" ht="15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10" t="n">
        <x:v>46022</x:v>
      </x:c>
      <x:c r="K171" s="8" t="n">
        <x:f>INDEX('Сводка'!$S$3:$S$397,U171)</x:f>
        <x:v>0</x:v>
      </x:c>
      <x:c r="L171" s="8" t="n">
        <x:f>INDEX('Сводка'!$S$3:$S$397,V171)</x:f>
        <x:v>-3</x:v>
      </x:c>
      <x:c r="M171" s="8" t="n">
        <x:f>INDEX($K$388:$N$400,W171,1)+INDEX($K$388:$N$400,W171,2)*LN(((J171-$T$405+1)/1000))</x:f>
        <x:v>128.4603996032026</x:v>
      </x:c>
      <x:c r="N171" s="8" t="n">
        <x:f>K171-M171</x:f>
        <x:v>-128.4603996032026</x:v>
      </x:c>
      <x:c r="O171" s="8" t="n">
        <x:f>ABS(N171)</x:f>
        <x:v>128.4603996032026</x:v>
      </x:c>
      <x:c r="P171" s="8" t="n">
        <x:f>N171^2</x:f>
        <x:v>16502.074266214495</x:v>
      </x:c>
      <x:c r="Q171" s="8" t="n">
        <x:f>K171-L171</x:f>
        <x:v>3</x:v>
      </x:c>
      <x:c r="R171" s="9" t="n">
        <x:f>IF(AND(INDEX('Сводка'!$T$3:$T$397,U171)=0,INDEX('Сводка'!$T$3:$T$397,V171)=0),1,0)</x:f>
        <x:v>0</x:v>
      </x:c>
      <x:c r="S171" s="9" t="n">
        <x:f>IF(AND(R171=1,O171&lt;=$G$13),1,0)</x:f>
        <x:v>0</x:v>
      </x:c>
      <x:c r="T171" s="10" t="n">
        <x:f>EOMONTH(J171-'Сводка'!$B$11,-1)</x:f>
        <x:v>45991</x:v>
      </x:c>
      <x:c r="U171" s="4" t="n">
        <x:f>MATCH(J171,'Сводка'!$R$3:$R$397,0)</x:f>
        <x:v>182</x:v>
      </x:c>
      <x:c r="V171" s="4" t="n">
        <x:f>MATCH(J171-'Сводка'!$B$11,'Сводка'!$R$3:$R$397,0)</x:f>
        <x:v>181</x:v>
      </x:c>
      <x:c r="W171" s="4" t="n">
        <x:f>MATCH(T171,$J$388:$J$400,0)</x:f>
        <x:v>6</x:v>
      </x:c>
      <x:c r="X171" s="3"/>
      <x:c r="Y171" s="3"/>
      <x:c r="Z171" s="3"/>
    </x:row>
    <x:row r="172" ht="15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10" t="n">
        <x:v>46023</x:v>
      </x:c>
      <x:c r="K172" s="8" t="n">
        <x:f>INDEX('Сводка'!$S$3:$S$397,U172)</x:f>
        <x:v>3</x:v>
      </x:c>
      <x:c r="L172" s="8" t="n">
        <x:f>INDEX('Сводка'!$S$3:$S$397,V172)</x:f>
        <x:v>0</x:v>
      </x:c>
      <x:c r="M172" s="8" t="n">
        <x:f>INDEX($K$388:$N$400,W172,1)+INDEX($K$388:$N$400,W172,2)*LN(((J172-$T$405+1)/1000))</x:f>
        <x:v>128.46712735313042</x:v>
      </x:c>
      <x:c r="N172" s="8" t="n">
        <x:f>K172-M172</x:f>
        <x:v>-125.46712735313042</x:v>
      </x:c>
      <x:c r="O172" s="8" t="n">
        <x:f>ABS(N172)</x:f>
        <x:v>125.46712735313042</x:v>
      </x:c>
      <x:c r="P172" s="8" t="n">
        <x:f>N172^2</x:f>
        <x:v>15742.000046246649</x:v>
      </x:c>
      <x:c r="Q172" s="8" t="n">
        <x:f>K172-L172</x:f>
        <x:v>3</x:v>
      </x:c>
      <x:c r="R172" s="9" t="n">
        <x:f>IF(AND(INDEX('Сводка'!$T$3:$T$397,U172)=0,INDEX('Сводка'!$T$3:$T$397,V172)=0),1,0)</x:f>
        <x:v>0</x:v>
      </x:c>
      <x:c r="S172" s="9" t="n">
        <x:f>IF(AND(R172=1,O172&lt;=$G$13),1,0)</x:f>
        <x:v>0</x:v>
      </x:c>
      <x:c r="T172" s="10" t="n">
        <x:f>EOMONTH(J172-'Сводка'!$B$11,-1)</x:f>
        <x:v>45991</x:v>
      </x:c>
      <x:c r="U172" s="4" t="n">
        <x:f>MATCH(J172,'Сводка'!$R$3:$R$397,0)</x:f>
        <x:v>183</x:v>
      </x:c>
      <x:c r="V172" s="4" t="n">
        <x:f>MATCH(J172-'Сводка'!$B$11,'Сводка'!$R$3:$R$397,0)</x:f>
        <x:v>182</x:v>
      </x:c>
      <x:c r="W172" s="4" t="n">
        <x:f>MATCH(T172,$J$388:$J$400,0)</x:f>
        <x:v>6</x:v>
      </x:c>
      <x:c r="X172" s="3"/>
      <x:c r="Y172" s="3"/>
      <x:c r="Z172" s="3"/>
    </x:row>
    <x:row r="173" ht="15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10" t="n">
        <x:v>46024</x:v>
      </x:c>
      <x:c r="K173" s="8" t="n">
        <x:f>INDEX('Сводка'!$S$3:$S$397,U173)</x:f>
        <x:v>6</x:v>
      </x:c>
      <x:c r="L173" s="8" t="n">
        <x:f>INDEX('Сводка'!$S$3:$S$397,V173)</x:f>
        <x:v>3</x:v>
      </x:c>
      <x:c r="M173" s="8" t="n">
        <x:f>INDEX($K$388:$N$400,W173,1)+INDEX($K$388:$N$400,W173,2)*LN(((J173-$T$405+1)/1000))</x:f>
        <x:v>127.49515285183264</x:v>
      </x:c>
      <x:c r="N173" s="8" t="n">
        <x:f>K173-M173</x:f>
        <x:v>-121.49515285183264</x:v>
      </x:c>
      <x:c r="O173" s="8" t="n">
        <x:f>ABS(N173)</x:f>
        <x:v>121.49515285183264</x:v>
      </x:c>
      <x:c r="P173" s="8" t="n">
        <x:f>N173^2</x:f>
        <x:v>14761.072166490178</x:v>
      </x:c>
      <x:c r="Q173" s="8" t="n">
        <x:f>K173-L173</x:f>
        <x:v>3</x:v>
      </x:c>
      <x:c r="R173" s="9" t="n">
        <x:f>IF(AND(INDEX('Сводка'!$T$3:$T$397,U173)=0,INDEX('Сводка'!$T$3:$T$397,V173)=0),1,0)</x:f>
        <x:v>1</x:v>
      </x:c>
      <x:c r="S173" s="9" t="n">
        <x:f>IF(AND(R173=1,O173&lt;=$G$13),1,0)</x:f>
        <x:v>0</x:v>
      </x:c>
      <x:c r="T173" s="10" t="n">
        <x:f>EOMONTH(J173-'Сводка'!$B$11,-1)</x:f>
        <x:v>46022</x:v>
      </x:c>
      <x:c r="U173" s="4" t="n">
        <x:f>MATCH(J173,'Сводка'!$R$3:$R$397,0)</x:f>
        <x:v>184</x:v>
      </x:c>
      <x:c r="V173" s="4" t="n">
        <x:f>MATCH(J173-'Сводка'!$B$11,'Сводка'!$R$3:$R$397,0)</x:f>
        <x:v>183</x:v>
      </x:c>
      <x:c r="W173" s="4" t="n">
        <x:f>MATCH(T173,$J$388:$J$400,0)</x:f>
        <x:v>7</x:v>
      </x:c>
      <x:c r="X173" s="3"/>
      <x:c r="Y173" s="3"/>
      <x:c r="Z173" s="3"/>
    </x:row>
    <x:row r="174" ht="15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10" t="n">
        <x:v>46025</x:v>
      </x:c>
      <x:c r="K174" s="8" t="n">
        <x:f>INDEX('Сводка'!$S$3:$S$397,U174)</x:f>
        <x:v>6</x:v>
      </x:c>
      <x:c r="L174" s="8" t="n">
        <x:f>INDEX('Сводка'!$S$3:$S$397,V174)</x:f>
        <x:v>6</x:v>
      </x:c>
      <x:c r="M174" s="8" t="n">
        <x:f>INDEX($K$388:$N$400,W174,1)+INDEX($K$388:$N$400,W174,2)*LN(((J174-$T$405+1)/1000))</x:f>
        <x:v>127.50182309772362</x:v>
      </x:c>
      <x:c r="N174" s="8" t="n">
        <x:f>K174-M174</x:f>
        <x:v>-121.50182309772362</x:v>
      </x:c>
      <x:c r="O174" s="8" t="n">
        <x:f>ABS(N174)</x:f>
        <x:v>121.50182309772362</x:v>
      </x:c>
      <x:c r="P174" s="8" t="n">
        <x:f>N174^2</x:f>
        <x:v>14762.693016070523</x:v>
      </x:c>
      <x:c r="Q174" s="8" t="n">
        <x:f>K174-L174</x:f>
        <x:v>0</x:v>
      </x:c>
      <x:c r="R174" s="9" t="n">
        <x:f>IF(AND(INDEX('Сводка'!$T$3:$T$397,U174)=0,INDEX('Сводка'!$T$3:$T$397,V174)=0),1,0)</x:f>
        <x:v>1</x:v>
      </x:c>
      <x:c r="S174" s="9" t="n">
        <x:f>IF(AND(R174=1,O174&lt;=$G$13),1,0)</x:f>
        <x:v>0</x:v>
      </x:c>
      <x:c r="T174" s="10" t="n">
        <x:f>EOMONTH(J174-'Сводка'!$B$11,-1)</x:f>
        <x:v>46022</x:v>
      </x:c>
      <x:c r="U174" s="4" t="n">
        <x:f>MATCH(J174,'Сводка'!$R$3:$R$397,0)</x:f>
        <x:v>185</x:v>
      </x:c>
      <x:c r="V174" s="4" t="n">
        <x:f>MATCH(J174-'Сводка'!$B$11,'Сводка'!$R$3:$R$397,0)</x:f>
        <x:v>184</x:v>
      </x:c>
      <x:c r="W174" s="4" t="n">
        <x:f>MATCH(T174,$J$388:$J$400,0)</x:f>
        <x:v>7</x:v>
      </x:c>
      <x:c r="X174" s="3"/>
      <x:c r="Y174" s="3"/>
      <x:c r="Z174" s="3"/>
    </x:row>
    <x:row r="175" ht="15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10" t="n">
        <x:v>46026</x:v>
      </x:c>
      <x:c r="K175" s="8" t="n">
        <x:f>INDEX('Сводка'!$S$3:$S$397,U175)</x:f>
        <x:v>6</x:v>
      </x:c>
      <x:c r="L175" s="8" t="n">
        <x:f>INDEX('Сводка'!$S$3:$S$397,V175)</x:f>
        <x:v>6</x:v>
      </x:c>
      <x:c r="M175" s="8" t="n">
        <x:f>INDEX($K$388:$N$400,W175,1)+INDEX($K$388:$N$400,W175,2)*LN(((J175-$T$405+1)/1000))</x:f>
        <x:v>127.50849258299586</x:v>
      </x:c>
      <x:c r="N175" s="8" t="n">
        <x:f>K175-M175</x:f>
        <x:v>-121.50849258299586</x:v>
      </x:c>
      <x:c r="O175" s="8" t="n">
        <x:f>ABS(N175)</x:f>
        <x:v>121.50849258299586</x:v>
      </x:c>
      <x:c r="P175" s="8" t="n">
        <x:f>N175^2</x:f>
        <x:v>14764.31376979196</x:v>
      </x:c>
      <x:c r="Q175" s="8" t="n">
        <x:f>K175-L175</x:f>
        <x:v>0</x:v>
      </x:c>
      <x:c r="R175" s="9" t="n">
        <x:f>IF(AND(INDEX('Сводка'!$T$3:$T$397,U175)=0,INDEX('Сводка'!$T$3:$T$397,V175)=0),1,0)</x:f>
        <x:v>1</x:v>
      </x:c>
      <x:c r="S175" s="9" t="n">
        <x:f>IF(AND(R175=1,O175&lt;=$G$13),1,0)</x:f>
        <x:v>0</x:v>
      </x:c>
      <x:c r="T175" s="10" t="n">
        <x:f>EOMONTH(J175-'Сводка'!$B$11,-1)</x:f>
        <x:v>46022</x:v>
      </x:c>
      <x:c r="U175" s="4" t="n">
        <x:f>MATCH(J175,'Сводка'!$R$3:$R$397,0)</x:f>
        <x:v>186</x:v>
      </x:c>
      <x:c r="V175" s="4" t="n">
        <x:f>MATCH(J175-'Сводка'!$B$11,'Сводка'!$R$3:$R$397,0)</x:f>
        <x:v>185</x:v>
      </x:c>
      <x:c r="W175" s="4" t="n">
        <x:f>MATCH(T175,$J$388:$J$400,0)</x:f>
        <x:v>7</x:v>
      </x:c>
      <x:c r="X175" s="3"/>
      <x:c r="Y175" s="3"/>
      <x:c r="Z175" s="3"/>
    </x:row>
    <x:row r="176" ht="15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10" t="n">
        <x:v>46027</x:v>
      </x:c>
      <x:c r="K176" s="8" t="n">
        <x:f>INDEX('Сводка'!$S$3:$S$397,U176)</x:f>
        <x:v>6</x:v>
      </x:c>
      <x:c r="L176" s="8" t="n">
        <x:f>INDEX('Сводка'!$S$3:$S$397,V176)</x:f>
        <x:v>6</x:v>
      </x:c>
      <x:c r="M176" s="8" t="n">
        <x:f>INDEX($K$388:$N$400,W176,1)+INDEX($K$388:$N$400,W176,2)*LN(((J176-$T$405+1)/1000))</x:f>
        <x:v>127.51516130782282</x:v>
      </x:c>
      <x:c r="N176" s="8" t="n">
        <x:f>K176-M176</x:f>
        <x:v>-121.51516130782282</x:v>
      </x:c>
      <x:c r="O176" s="8" t="n">
        <x:f>ABS(N176)</x:f>
        <x:v>121.51516130782282</x:v>
      </x:c>
      <x:c r="P176" s="8" t="n">
        <x:f>N176^2</x:f>
        <x:v>14765.934427666201</x:v>
      </x:c>
      <x:c r="Q176" s="8" t="n">
        <x:f>K176-L176</x:f>
        <x:v>0</x:v>
      </x:c>
      <x:c r="R176" s="9" t="n">
        <x:f>IF(AND(INDEX('Сводка'!$T$3:$T$397,U176)=0,INDEX('Сводка'!$T$3:$T$397,V176)=0),1,0)</x:f>
        <x:v>1</x:v>
      </x:c>
      <x:c r="S176" s="9" t="n">
        <x:f>IF(AND(R176=1,O176&lt;=$G$13),1,0)</x:f>
        <x:v>0</x:v>
      </x:c>
      <x:c r="T176" s="10" t="n">
        <x:f>EOMONTH(J176-'Сводка'!$B$11,-1)</x:f>
        <x:v>46022</x:v>
      </x:c>
      <x:c r="U176" s="4" t="n">
        <x:f>MATCH(J176,'Сводка'!$R$3:$R$397,0)</x:f>
        <x:v>187</x:v>
      </x:c>
      <x:c r="V176" s="4" t="n">
        <x:f>MATCH(J176-'Сводка'!$B$11,'Сводка'!$R$3:$R$397,0)</x:f>
        <x:v>186</x:v>
      </x:c>
      <x:c r="W176" s="4" t="n">
        <x:f>MATCH(T176,$J$388:$J$400,0)</x:f>
        <x:v>7</x:v>
      </x:c>
      <x:c r="X176" s="3"/>
      <x:c r="Y176" s="3"/>
      <x:c r="Z176" s="3"/>
    </x:row>
    <x:row r="177" ht="15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10" t="n">
        <x:v>46028</x:v>
      </x:c>
      <x:c r="K177" s="8" t="n">
        <x:f>INDEX('Сводка'!$S$3:$S$397,U177)</x:f>
        <x:v>2</x:v>
      </x:c>
      <x:c r="L177" s="8" t="n">
        <x:f>INDEX('Сводка'!$S$3:$S$397,V177)</x:f>
        <x:v>6</x:v>
      </x:c>
      <x:c r="M177" s="8" t="n">
        <x:f>INDEX($K$388:$N$400,W177,1)+INDEX($K$388:$N$400,W177,2)*LN(((J177-$T$405+1)/1000))</x:f>
        <x:v>127.5218292723779</x:v>
      </x:c>
      <x:c r="N177" s="8" t="n">
        <x:f>K177-M177</x:f>
        <x:v>-125.5218292723779</x:v>
      </x:c>
      <x:c r="O177" s="8" t="n">
        <x:f>ABS(N177)</x:f>
        <x:v>125.5218292723779</x:v>
      </x:c>
      <x:c r="P177" s="8" t="n">
        <x:f>N177^2</x:f>
        <x:v>15755.729623883986</x:v>
      </x:c>
      <x:c r="Q177" s="8" t="n">
        <x:f>K177-L177</x:f>
        <x:v>-4</x:v>
      </x:c>
      <x:c r="R177" s="9" t="n">
        <x:f>IF(AND(INDEX('Сводка'!$T$3:$T$397,U177)=0,INDEX('Сводка'!$T$3:$T$397,V177)=0),1,0)</x:f>
        <x:v>1</x:v>
      </x:c>
      <x:c r="S177" s="9" t="n">
        <x:f>IF(AND(R177=1,O177&lt;=$G$13),1,0)</x:f>
        <x:v>0</x:v>
      </x:c>
      <x:c r="T177" s="10" t="n">
        <x:f>EOMONTH(J177-'Сводка'!$B$11,-1)</x:f>
        <x:v>46022</x:v>
      </x:c>
      <x:c r="U177" s="4" t="n">
        <x:f>MATCH(J177,'Сводка'!$R$3:$R$397,0)</x:f>
        <x:v>188</x:v>
      </x:c>
      <x:c r="V177" s="4" t="n">
        <x:f>MATCH(J177-'Сводка'!$B$11,'Сводка'!$R$3:$R$397,0)</x:f>
        <x:v>187</x:v>
      </x:c>
      <x:c r="W177" s="4" t="n">
        <x:f>MATCH(T177,$J$388:$J$400,0)</x:f>
        <x:v>7</x:v>
      </x:c>
      <x:c r="X177" s="3"/>
      <x:c r="Y177" s="3"/>
      <x:c r="Z177" s="3"/>
    </x:row>
    <x:row r="178" ht="15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10" t="n">
        <x:v>46029</x:v>
      </x:c>
      <x:c r="K178" s="8" t="n">
        <x:f>INDEX('Сводка'!$S$3:$S$397,U178)</x:f>
        <x:v>-2</x:v>
      </x:c>
      <x:c r="L178" s="8" t="n">
        <x:f>INDEX('Сводка'!$S$3:$S$397,V178)</x:f>
        <x:v>2</x:v>
      </x:c>
      <x:c r="M178" s="8" t="n">
        <x:f>INDEX($K$388:$N$400,W178,1)+INDEX($K$388:$N$400,W178,2)*LN(((J178-$T$405+1)/1000))</x:f>
        <x:v>127.52849647683443</x:v>
      </x:c>
      <x:c r="N178" s="8" t="n">
        <x:f>K178-M178</x:f>
        <x:v>-129.52849647683445</x:v>
      </x:c>
      <x:c r="O178" s="8" t="n">
        <x:f>ABS(N178)</x:f>
        <x:v>129.52849647683445</x:v>
      </x:c>
      <x:c r="P178" s="8" t="n">
        <x:f>N178^2</x:f>
        <x:v>16777.631399549315</x:v>
      </x:c>
      <x:c r="Q178" s="8" t="n">
        <x:f>K178-L178</x:f>
        <x:v>-4</x:v>
      </x:c>
      <x:c r="R178" s="9" t="n">
        <x:f>IF(AND(INDEX('Сводка'!$T$3:$T$397,U178)=0,INDEX('Сводка'!$T$3:$T$397,V178)=0),1,0)</x:f>
        <x:v>1</x:v>
      </x:c>
      <x:c r="S178" s="9" t="n">
        <x:f>IF(AND(R178=1,O178&lt;=$G$13),1,0)</x:f>
        <x:v>0</x:v>
      </x:c>
      <x:c r="T178" s="10" t="n">
        <x:f>EOMONTH(J178-'Сводка'!$B$11,-1)</x:f>
        <x:v>46022</x:v>
      </x:c>
      <x:c r="U178" s="4" t="n">
        <x:f>MATCH(J178,'Сводка'!$R$3:$R$397,0)</x:f>
        <x:v>189</x:v>
      </x:c>
      <x:c r="V178" s="4" t="n">
        <x:f>MATCH(J178-'Сводка'!$B$11,'Сводка'!$R$3:$R$397,0)</x:f>
        <x:v>188</x:v>
      </x:c>
      <x:c r="W178" s="4" t="n">
        <x:f>MATCH(T178,$J$388:$J$400,0)</x:f>
        <x:v>7</x:v>
      </x:c>
      <x:c r="X178" s="3"/>
      <x:c r="Y178" s="3"/>
      <x:c r="Z178" s="3"/>
    </x:row>
    <x:row r="179" ht="15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10" t="n">
        <x:v>46030</x:v>
      </x:c>
      <x:c r="K179" s="8" t="n">
        <x:f>INDEX('Сводка'!$S$3:$S$397,U179)</x:f>
        <x:v>-7</x:v>
      </x:c>
      <x:c r="L179" s="8" t="n">
        <x:f>INDEX('Сводка'!$S$3:$S$397,V179)</x:f>
        <x:v>-2</x:v>
      </x:c>
      <x:c r="M179" s="8" t="n">
        <x:f>INDEX($K$388:$N$400,W179,1)+INDEX($K$388:$N$400,W179,2)*LN(((J179-$T$405+1)/1000))</x:f>
        <x:v>127.53516292136568</x:v>
      </x:c>
      <x:c r="N179" s="8" t="n">
        <x:f>K179-M179</x:f>
        <x:v>-134.53516292136567</x:v>
      </x:c>
      <x:c r="O179" s="8" t="n">
        <x:f>ABS(N179)</x:f>
        <x:v>134.53516292136567</x:v>
      </x:c>
      <x:c r="P179" s="8" t="n">
        <x:f>N179^2</x:f>
        <x:v>18099.710062278402</x:v>
      </x:c>
      <x:c r="Q179" s="8" t="n">
        <x:f>K179-L179</x:f>
        <x:v>-5</x:v>
      </x:c>
      <x:c r="R179" s="9" t="n">
        <x:f>IF(AND(INDEX('Сводка'!$T$3:$T$397,U179)=0,INDEX('Сводка'!$T$3:$T$397,V179)=0),1,0)</x:f>
        <x:v>1</x:v>
      </x:c>
      <x:c r="S179" s="9" t="n">
        <x:f>IF(AND(R179=1,O179&lt;=$G$13),1,0)</x:f>
        <x:v>0</x:v>
      </x:c>
      <x:c r="T179" s="10" t="n">
        <x:f>EOMONTH(J179-'Сводка'!$B$11,-1)</x:f>
        <x:v>46022</x:v>
      </x:c>
      <x:c r="U179" s="4" t="n">
        <x:f>MATCH(J179,'Сводка'!$R$3:$R$397,0)</x:f>
        <x:v>190</x:v>
      </x:c>
      <x:c r="V179" s="4" t="n">
        <x:f>MATCH(J179-'Сводка'!$B$11,'Сводка'!$R$3:$R$397,0)</x:f>
        <x:v>189</x:v>
      </x:c>
      <x:c r="W179" s="4" t="n">
        <x:f>MATCH(T179,$J$388:$J$400,0)</x:f>
        <x:v>7</x:v>
      </x:c>
      <x:c r="X179" s="3"/>
      <x:c r="Y179" s="3"/>
      <x:c r="Z179" s="3"/>
    </x:row>
    <x:row r="180" ht="15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10" t="n">
        <x:v>46031</x:v>
      </x:c>
      <x:c r="K180" s="8" t="n">
        <x:f>INDEX('Сводка'!$S$3:$S$397,U180)</x:f>
        <x:v>-10</x:v>
      </x:c>
      <x:c r="L180" s="8" t="n">
        <x:f>INDEX('Сводка'!$S$3:$S$397,V180)</x:f>
        <x:v>-7</x:v>
      </x:c>
      <x:c r="M180" s="8" t="n">
        <x:f>INDEX($K$388:$N$400,W180,1)+INDEX($K$388:$N$400,W180,2)*LN(((J180-$T$405+1)/1000))</x:f>
        <x:v>127.54182860614486</x:v>
      </x:c>
      <x:c r="N180" s="8" t="n">
        <x:f>K180-M180</x:f>
        <x:v>-137.54182860614486</x:v>
      </x:c>
      <x:c r="O180" s="8" t="n">
        <x:f>ABS(N180)</x:f>
        <x:v>137.54182860614486</x:v>
      </x:c>
      <x:c r="P180" s="8" t="n">
        <x:f>N180^2</x:f>
        <x:v>18917.75461632213</x:v>
      </x:c>
      <x:c r="Q180" s="8" t="n">
        <x:f>K180-L180</x:f>
        <x:v>-3</x:v>
      </x:c>
      <x:c r="R180" s="9" t="n">
        <x:f>IF(AND(INDEX('Сводка'!$T$3:$T$397,U180)=0,INDEX('Сводка'!$T$3:$T$397,V180)=0),1,0)</x:f>
        <x:v>1</x:v>
      </x:c>
      <x:c r="S180" s="9" t="n">
        <x:f>IF(AND(R180=1,O180&lt;=$G$13),1,0)</x:f>
        <x:v>0</x:v>
      </x:c>
      <x:c r="T180" s="10" t="n">
        <x:f>EOMONTH(J180-'Сводка'!$B$11,-1)</x:f>
        <x:v>46022</x:v>
      </x:c>
      <x:c r="U180" s="4" t="n">
        <x:f>MATCH(J180,'Сводка'!$R$3:$R$397,0)</x:f>
        <x:v>191</x:v>
      </x:c>
      <x:c r="V180" s="4" t="n">
        <x:f>MATCH(J180-'Сводка'!$B$11,'Сводка'!$R$3:$R$397,0)</x:f>
        <x:v>190</x:v>
      </x:c>
      <x:c r="W180" s="4" t="n">
        <x:f>MATCH(T180,$J$388:$J$400,0)</x:f>
        <x:v>7</x:v>
      </x:c>
      <x:c r="X180" s="3"/>
      <x:c r="Y180" s="3"/>
      <x:c r="Z180" s="3"/>
    </x:row>
    <x:row r="181" ht="15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10" t="n">
        <x:v>46032</x:v>
      </x:c>
      <x:c r="K181" s="8" t="n">
        <x:f>INDEX('Сводка'!$S$3:$S$397,U181)</x:f>
        <x:v>-13</x:v>
      </x:c>
      <x:c r="L181" s="8" t="n">
        <x:f>INDEX('Сводка'!$S$3:$S$397,V181)</x:f>
        <x:v>-10</x:v>
      </x:c>
      <x:c r="M181" s="8" t="n">
        <x:f>INDEX($K$388:$N$400,W181,1)+INDEX($K$388:$N$400,W181,2)*LN(((J181-$T$405+1)/1000))</x:f>
        <x:v>127.5484935313451</x:v>
      </x:c>
      <x:c r="N181" s="8" t="n">
        <x:f>K181-M181</x:f>
        <x:v>-140.54849353134512</x:v>
      </x:c>
      <x:c r="O181" s="8" t="n">
        <x:f>ABS(N181)</x:f>
        <x:v>140.54849353134512</x:v>
      </x:c>
      <x:c r="P181" s="8" t="n">
        <x:f>N181^2</x:f>
        <x:v>19753.87903393056</x:v>
      </x:c>
      <x:c r="Q181" s="8" t="n">
        <x:f>K181-L181</x:f>
        <x:v>-3</x:v>
      </x:c>
      <x:c r="R181" s="9" t="n">
        <x:f>IF(AND(INDEX('Сводка'!$T$3:$T$397,U181)=0,INDEX('Сводка'!$T$3:$T$397,V181)=0),1,0)</x:f>
        <x:v>1</x:v>
      </x:c>
      <x:c r="S181" s="9" t="n">
        <x:f>IF(AND(R181=1,O181&lt;=$G$13),1,0)</x:f>
        <x:v>0</x:v>
      </x:c>
      <x:c r="T181" s="10" t="n">
        <x:f>EOMONTH(J181-'Сводка'!$B$11,-1)</x:f>
        <x:v>46022</x:v>
      </x:c>
      <x:c r="U181" s="4" t="n">
        <x:f>MATCH(J181,'Сводка'!$R$3:$R$397,0)</x:f>
        <x:v>192</x:v>
      </x:c>
      <x:c r="V181" s="4" t="n">
        <x:f>MATCH(J181-'Сводка'!$B$11,'Сводка'!$R$3:$R$397,0)</x:f>
        <x:v>191</x:v>
      </x:c>
      <x:c r="W181" s="4" t="n">
        <x:f>MATCH(T181,$J$388:$J$400,0)</x:f>
        <x:v>7</x:v>
      </x:c>
      <x:c r="X181" s="3"/>
      <x:c r="Y181" s="3"/>
      <x:c r="Z181" s="3"/>
    </x:row>
    <x:row r="182" ht="15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10" t="n">
        <x:v>46033</x:v>
      </x:c>
      <x:c r="K182" s="8" t="n">
        <x:f>INDEX('Сводка'!$S$3:$S$397,U182)</x:f>
        <x:v>-17</x:v>
      </x:c>
      <x:c r="L182" s="8" t="n">
        <x:f>INDEX('Сводка'!$S$3:$S$397,V182)</x:f>
        <x:v>-13</x:v>
      </x:c>
      <x:c r="M182" s="8" t="n">
        <x:f>INDEX($K$388:$N$400,W182,1)+INDEX($K$388:$N$400,W182,2)*LN(((J182-$T$405+1)/1000))</x:f>
        <x:v>127.55515769713955</x:v>
      </x:c>
      <x:c r="N182" s="8" t="n">
        <x:f>K182-M182</x:f>
        <x:v>-144.55515769713955</x:v>
      </x:c>
      <x:c r="O182" s="8" t="n">
        <x:f>ABS(N182)</x:f>
        <x:v>144.55515769713955</x:v>
      </x:c>
      <x:c r="P182" s="8" t="n">
        <x:f>N182^2</x:f>
        <x:v>20896.193616844885</x:v>
      </x:c>
      <x:c r="Q182" s="8" t="n">
        <x:f>K182-L182</x:f>
        <x:v>-4</x:v>
      </x:c>
      <x:c r="R182" s="9" t="n">
        <x:f>IF(AND(INDEX('Сводка'!$T$3:$T$397,U182)=0,INDEX('Сводка'!$T$3:$T$397,V182)=0),1,0)</x:f>
        <x:v>1</x:v>
      </x:c>
      <x:c r="S182" s="9" t="n">
        <x:f>IF(AND(R182=1,O182&lt;=$G$13),1,0)</x:f>
        <x:v>0</x:v>
      </x:c>
      <x:c r="T182" s="10" t="n">
        <x:f>EOMONTH(J182-'Сводка'!$B$11,-1)</x:f>
        <x:v>46022</x:v>
      </x:c>
      <x:c r="U182" s="4" t="n">
        <x:f>MATCH(J182,'Сводка'!$R$3:$R$397,0)</x:f>
        <x:v>193</x:v>
      </x:c>
      <x:c r="V182" s="4" t="n">
        <x:f>MATCH(J182-'Сводка'!$B$11,'Сводка'!$R$3:$R$397,0)</x:f>
        <x:v>192</x:v>
      </x:c>
      <x:c r="W182" s="4" t="n">
        <x:f>MATCH(T182,$J$388:$J$400,0)</x:f>
        <x:v>7</x:v>
      </x:c>
      <x:c r="X182" s="3"/>
      <x:c r="Y182" s="3"/>
      <x:c r="Z182" s="3"/>
    </x:row>
    <x:row r="183" ht="15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10" t="n">
        <x:v>46034</x:v>
      </x:c>
      <x:c r="K183" s="8" t="n">
        <x:f>INDEX('Сводка'!$S$3:$S$397,U183)</x:f>
        <x:v>-19</x:v>
      </x:c>
      <x:c r="L183" s="8" t="n">
        <x:f>INDEX('Сводка'!$S$3:$S$397,V183)</x:f>
        <x:v>-17</x:v>
      </x:c>
      <x:c r="M183" s="8" t="n">
        <x:f>INDEX($K$388:$N$400,W183,1)+INDEX($K$388:$N$400,W183,2)*LN(((J183-$T$405+1)/1000))</x:f>
        <x:v>127.56182110370118</x:v>
      </x:c>
      <x:c r="N183" s="8" t="n">
        <x:f>K183-M183</x:f>
        <x:v>-146.56182110370116</x:v>
      </x:c>
      <x:c r="O183" s="8" t="n">
        <x:f>ABS(N183)</x:f>
        <x:v>146.56182110370116</x:v>
      </x:c>
      <x:c r="P183" s="8" t="n">
        <x:f>N183^2</x:f>
        <x:v>21480.367405233304</x:v>
      </x:c>
      <x:c r="Q183" s="8" t="n">
        <x:f>K183-L183</x:f>
        <x:v>-2</x:v>
      </x:c>
      <x:c r="R183" s="9" t="n">
        <x:f>IF(AND(INDEX('Сводка'!$T$3:$T$397,U183)=0,INDEX('Сводка'!$T$3:$T$397,V183)=0),1,0)</x:f>
        <x:v>1</x:v>
      </x:c>
      <x:c r="S183" s="9" t="n">
        <x:f>IF(AND(R183=1,O183&lt;=$G$13),1,0)</x:f>
        <x:v>0</x:v>
      </x:c>
      <x:c r="T183" s="10" t="n">
        <x:f>EOMONTH(J183-'Сводка'!$B$11,-1)</x:f>
        <x:v>46022</x:v>
      </x:c>
      <x:c r="U183" s="4" t="n">
        <x:f>MATCH(J183,'Сводка'!$R$3:$R$397,0)</x:f>
        <x:v>194</x:v>
      </x:c>
      <x:c r="V183" s="4" t="n">
        <x:f>MATCH(J183-'Сводка'!$B$11,'Сводка'!$R$3:$R$397,0)</x:f>
        <x:v>193</x:v>
      </x:c>
      <x:c r="W183" s="4" t="n">
        <x:f>MATCH(T183,$J$388:$J$400,0)</x:f>
        <x:v>7</x:v>
      </x:c>
      <x:c r="X183" s="3"/>
      <x:c r="Y183" s="3"/>
      <x:c r="Z183" s="3"/>
    </x:row>
    <x:row r="184" ht="15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10" t="n">
        <x:v>46035</x:v>
      </x:c>
      <x:c r="K184" s="8" t="n">
        <x:f>INDEX('Сводка'!$S$3:$S$397,U184)</x:f>
        <x:v>-22</x:v>
      </x:c>
      <x:c r="L184" s="8" t="n">
        <x:f>INDEX('Сводка'!$S$3:$S$397,V184)</x:f>
        <x:v>-19</x:v>
      </x:c>
      <x:c r="M184" s="8" t="n">
        <x:f>INDEX($K$388:$N$400,W184,1)+INDEX($K$388:$N$400,W184,2)*LN(((J184-$T$405+1)/1000))</x:f>
        <x:v>127.56848375120302</x:v>
      </x:c>
      <x:c r="N184" s="8" t="n">
        <x:f>K184-M184</x:f>
        <x:v>-149.56848375120302</x:v>
      </x:c>
      <x:c r="O184" s="8" t="n">
        <x:f>ABS(N184)</x:f>
        <x:v>149.56848375120302</x:v>
      </x:c>
      <x:c r="P184" s="8" t="n">
        <x:f>N184^2</x:f>
        <x:v>22370.73133163388</x:v>
      </x:c>
      <x:c r="Q184" s="8" t="n">
        <x:f>K184-L184</x:f>
        <x:v>-3</x:v>
      </x:c>
      <x:c r="R184" s="9" t="n">
        <x:f>IF(AND(INDEX('Сводка'!$T$3:$T$397,U184)=0,INDEX('Сводка'!$T$3:$T$397,V184)=0),1,0)</x:f>
        <x:v>1</x:v>
      </x:c>
      <x:c r="S184" s="9" t="n">
        <x:f>IF(AND(R184=1,O184&lt;=$G$13),1,0)</x:f>
        <x:v>0</x:v>
      </x:c>
      <x:c r="T184" s="10" t="n">
        <x:f>EOMONTH(J184-'Сводка'!$B$11,-1)</x:f>
        <x:v>46022</x:v>
      </x:c>
      <x:c r="U184" s="4" t="n">
        <x:f>MATCH(J184,'Сводка'!$R$3:$R$397,0)</x:f>
        <x:v>195</x:v>
      </x:c>
      <x:c r="V184" s="4" t="n">
        <x:f>MATCH(J184-'Сводка'!$B$11,'Сводка'!$R$3:$R$397,0)</x:f>
        <x:v>194</x:v>
      </x:c>
      <x:c r="W184" s="4" t="n">
        <x:f>MATCH(T184,$J$388:$J$400,0)</x:f>
        <x:v>7</x:v>
      </x:c>
      <x:c r="X184" s="3"/>
      <x:c r="Y184" s="3"/>
      <x:c r="Z184" s="3"/>
    </x:row>
    <x:row r="185" ht="15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10" t="n">
        <x:v>46036</x:v>
      </x:c>
      <x:c r="K185" s="8" t="n">
        <x:f>INDEX('Сводка'!$S$3:$S$397,U185)</x:f>
        <x:v>-25</x:v>
      </x:c>
      <x:c r="L185" s="8" t="n">
        <x:f>INDEX('Сводка'!$S$3:$S$397,V185)</x:f>
        <x:v>-22</x:v>
      </x:c>
      <x:c r="M185" s="8" t="n">
        <x:f>INDEX($K$388:$N$400,W185,1)+INDEX($K$388:$N$400,W185,2)*LN(((J185-$T$405+1)/1000))</x:f>
        <x:v>127.57514563981795</x:v>
      </x:c>
      <x:c r="N185" s="8" t="n">
        <x:f>K185-M185</x:f>
        <x:v>-152.57514563981795</x:v>
      </x:c>
      <x:c r="O185" s="8" t="n">
        <x:f>ABS(N185)</x:f>
        <x:v>152.57514563981795</x:v>
      </x:c>
      <x:c r="P185" s="8" t="n">
        <x:f>N185^2</x:f>
        <x:v>23279.175067011656</x:v>
      </x:c>
      <x:c r="Q185" s="8" t="n">
        <x:f>K185-L185</x:f>
        <x:v>-3</x:v>
      </x:c>
      <x:c r="R185" s="9" t="n">
        <x:f>IF(AND(INDEX('Сводка'!$T$3:$T$397,U185)=0,INDEX('Сводка'!$T$3:$T$397,V185)=0),1,0)</x:f>
        <x:v>1</x:v>
      </x:c>
      <x:c r="S185" s="9" t="n">
        <x:f>IF(AND(R185=1,O185&lt;=$G$13),1,0)</x:f>
        <x:v>0</x:v>
      </x:c>
      <x:c r="T185" s="10" t="n">
        <x:f>EOMONTH(J185-'Сводка'!$B$11,-1)</x:f>
        <x:v>46022</x:v>
      </x:c>
      <x:c r="U185" s="4" t="n">
        <x:f>MATCH(J185,'Сводка'!$R$3:$R$397,0)</x:f>
        <x:v>196</x:v>
      </x:c>
      <x:c r="V185" s="4" t="n">
        <x:f>MATCH(J185-'Сводка'!$B$11,'Сводка'!$R$3:$R$397,0)</x:f>
        <x:v>195</x:v>
      </x:c>
      <x:c r="W185" s="4" t="n">
        <x:f>MATCH(T185,$J$388:$J$400,0)</x:f>
        <x:v>7</x:v>
      </x:c>
      <x:c r="X185" s="3"/>
      <x:c r="Y185" s="3"/>
      <x:c r="Z185" s="3"/>
    </x:row>
    <x:row r="186" ht="15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10" t="n">
        <x:v>46037</x:v>
      </x:c>
      <x:c r="K186" s="8" t="n">
        <x:f>INDEX('Сводка'!$S$3:$S$397,U186)</x:f>
        <x:v>-26</x:v>
      </x:c>
      <x:c r="L186" s="8" t="n">
        <x:f>INDEX('Сводка'!$S$3:$S$397,V186)</x:f>
        <x:v>-25</x:v>
      </x:c>
      <x:c r="M186" s="8" t="n">
        <x:f>INDEX($K$388:$N$400,W186,1)+INDEX($K$388:$N$400,W186,2)*LN(((J186-$T$405+1)/1000))</x:f>
        <x:v>127.58180676971887</x:v>
      </x:c>
      <x:c r="N186" s="8" t="n">
        <x:f>K186-M186</x:f>
        <x:v>-153.58180676971887</x:v>
      </x:c>
      <x:c r="O186" s="8" t="n">
        <x:f>ABS(N186)</x:f>
        <x:v>153.58180676971887</x:v>
      </x:c>
      <x:c r="P186" s="8" t="n">
        <x:f>N186^2</x:f>
        <x:v>23587.371370651264</x:v>
      </x:c>
      <x:c r="Q186" s="8" t="n">
        <x:f>K186-L186</x:f>
        <x:v>-1</x:v>
      </x:c>
      <x:c r="R186" s="9" t="n">
        <x:f>IF(AND(INDEX('Сводка'!$T$3:$T$397,U186)=0,INDEX('Сводка'!$T$3:$T$397,V186)=0),1,0)</x:f>
        <x:v>1</x:v>
      </x:c>
      <x:c r="S186" s="9" t="n">
        <x:f>IF(AND(R186=1,O186&lt;=$G$13),1,0)</x:f>
        <x:v>0</x:v>
      </x:c>
      <x:c r="T186" s="10" t="n">
        <x:f>EOMONTH(J186-'Сводка'!$B$11,-1)</x:f>
        <x:v>46022</x:v>
      </x:c>
      <x:c r="U186" s="4" t="n">
        <x:f>MATCH(J186,'Сводка'!$R$3:$R$397,0)</x:f>
        <x:v>197</x:v>
      </x:c>
      <x:c r="V186" s="4" t="n">
        <x:f>MATCH(J186-'Сводка'!$B$11,'Сводка'!$R$3:$R$397,0)</x:f>
        <x:v>196</x:v>
      </x:c>
      <x:c r="W186" s="4" t="n">
        <x:f>MATCH(T186,$J$388:$J$400,0)</x:f>
        <x:v>7</x:v>
      </x:c>
      <x:c r="X186" s="3"/>
      <x:c r="Y186" s="3"/>
      <x:c r="Z186" s="3"/>
    </x:row>
    <x:row r="187" ht="15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10" t="n">
        <x:v>46038</x:v>
      </x:c>
      <x:c r="K187" s="8" t="n">
        <x:f>INDEX('Сводка'!$S$3:$S$397,U187)</x:f>
        <x:v>-28</x:v>
      </x:c>
      <x:c r="L187" s="8" t="n">
        <x:f>INDEX('Сводка'!$S$3:$S$397,V187)</x:f>
        <x:v>-26</x:v>
      </x:c>
      <x:c r="M187" s="8" t="n">
        <x:f>INDEX($K$388:$N$400,W187,1)+INDEX($K$388:$N$400,W187,2)*LN(((J187-$T$405+1)/1000))</x:f>
        <x:v>127.5884671410785</x:v>
      </x:c>
      <x:c r="N187" s="8" t="n">
        <x:f>K187-M187</x:f>
        <x:v>-155.5884671410785</x:v>
      </x:c>
      <x:c r="O187" s="8" t="n">
        <x:f>ABS(N187)</x:f>
        <x:v>155.5884671410785</x:v>
      </x:c>
      <x:c r="P187" s="8" t="n">
        <x:f>N187^2</x:f>
        <x:v>24207.771107310462</x:v>
      </x:c>
      <x:c r="Q187" s="8" t="n">
        <x:f>K187-L187</x:f>
        <x:v>-2</x:v>
      </x:c>
      <x:c r="R187" s="9" t="n">
        <x:f>IF(AND(INDEX('Сводка'!$T$3:$T$397,U187)=0,INDEX('Сводка'!$T$3:$T$397,V187)=0),1,0)</x:f>
        <x:v>1</x:v>
      </x:c>
      <x:c r="S187" s="9" t="n">
        <x:f>IF(AND(R187=1,O187&lt;=$G$13),1,0)</x:f>
        <x:v>0</x:v>
      </x:c>
      <x:c r="T187" s="10" t="n">
        <x:f>EOMONTH(J187-'Сводка'!$B$11,-1)</x:f>
        <x:v>46022</x:v>
      </x:c>
      <x:c r="U187" s="4" t="n">
        <x:f>MATCH(J187,'Сводка'!$R$3:$R$397,0)</x:f>
        <x:v>198</x:v>
      </x:c>
      <x:c r="V187" s="4" t="n">
        <x:f>MATCH(J187-'Сводка'!$B$11,'Сводка'!$R$3:$R$397,0)</x:f>
        <x:v>197</x:v>
      </x:c>
      <x:c r="W187" s="4" t="n">
        <x:f>MATCH(T187,$J$388:$J$400,0)</x:f>
        <x:v>7</x:v>
      </x:c>
      <x:c r="X187" s="3"/>
      <x:c r="Y187" s="3"/>
      <x:c r="Z187" s="3"/>
    </x:row>
    <x:row r="188" ht="15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10" t="n">
        <x:v>46039</x:v>
      </x:c>
      <x:c r="K188" s="8" t="n">
        <x:f>INDEX('Сводка'!$S$3:$S$397,U188)</x:f>
        <x:v>-29</x:v>
      </x:c>
      <x:c r="L188" s="8" t="n">
        <x:f>INDEX('Сводка'!$S$3:$S$397,V188)</x:f>
        <x:v>-28</x:v>
      </x:c>
      <x:c r="M188" s="8" t="n">
        <x:f>INDEX($K$388:$N$400,W188,1)+INDEX($K$388:$N$400,W188,2)*LN(((J188-$T$405+1)/1000))</x:f>
        <x:v>127.59512675406964</x:v>
      </x:c>
      <x:c r="N188" s="8" t="n">
        <x:f>K188-M188</x:f>
        <x:v>-156.59512675406964</x:v>
      </x:c>
      <x:c r="O188" s="8" t="n">
        <x:f>ABS(N188)</x:f>
        <x:v>156.59512675406964</x:v>
      </x:c>
      <x:c r="P188" s="8" t="n">
        <x:f>N188^2</x:f>
        <x:v>24522.033723123135</x:v>
      </x:c>
      <x:c r="Q188" s="8" t="n">
        <x:f>K188-L188</x:f>
        <x:v>-1</x:v>
      </x:c>
      <x:c r="R188" s="9" t="n">
        <x:f>IF(AND(INDEX('Сводка'!$T$3:$T$397,U188)=0,INDEX('Сводка'!$T$3:$T$397,V188)=0),1,0)</x:f>
        <x:v>1</x:v>
      </x:c>
      <x:c r="S188" s="9" t="n">
        <x:f>IF(AND(R188=1,O188&lt;=$G$13),1,0)</x:f>
        <x:v>0</x:v>
      </x:c>
      <x:c r="T188" s="10" t="n">
        <x:f>EOMONTH(J188-'Сводка'!$B$11,-1)</x:f>
        <x:v>46022</x:v>
      </x:c>
      <x:c r="U188" s="4" t="n">
        <x:f>MATCH(J188,'Сводка'!$R$3:$R$397,0)</x:f>
        <x:v>199</x:v>
      </x:c>
      <x:c r="V188" s="4" t="n">
        <x:f>MATCH(J188-'Сводка'!$B$11,'Сводка'!$R$3:$R$397,0)</x:f>
        <x:v>198</x:v>
      </x:c>
      <x:c r="W188" s="4" t="n">
        <x:f>MATCH(T188,$J$388:$J$400,0)</x:f>
        <x:v>7</x:v>
      </x:c>
      <x:c r="X188" s="3"/>
      <x:c r="Y188" s="3"/>
      <x:c r="Z188" s="3"/>
    </x:row>
    <x:row r="189" ht="15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10" t="n">
        <x:v>46040</x:v>
      </x:c>
      <x:c r="K189" s="8" t="n">
        <x:f>INDEX('Сводка'!$S$3:$S$397,U189)</x:f>
        <x:v>-34</x:v>
      </x:c>
      <x:c r="L189" s="8" t="n">
        <x:f>INDEX('Сводка'!$S$3:$S$397,V189)</x:f>
        <x:v>-29</x:v>
      </x:c>
      <x:c r="M189" s="8" t="n">
        <x:f>INDEX($K$388:$N$400,W189,1)+INDEX($K$388:$N$400,W189,2)*LN(((J189-$T$405+1)/1000))</x:f>
        <x:v>127.60178560886497</x:v>
      </x:c>
      <x:c r="N189" s="8" t="n">
        <x:f>K189-M189</x:f>
        <x:v>-161.601785608865</x:v>
      </x:c>
      <x:c r="O189" s="8" t="n">
        <x:f>ABS(N189)</x:f>
        <x:v>161.601785608865</x:v>
      </x:c>
      <x:c r="P189" s="8" t="n">
        <x:f>N189^2</x:f>
        <x:v>26115.137111973563</x:v>
      </x:c>
      <x:c r="Q189" s="8" t="n">
        <x:f>K189-L189</x:f>
        <x:v>-5</x:v>
      </x:c>
      <x:c r="R189" s="9" t="n">
        <x:f>IF(AND(INDEX('Сводка'!$T$3:$T$397,U189)=0,INDEX('Сводка'!$T$3:$T$397,V189)=0),1,0)</x:f>
        <x:v>1</x:v>
      </x:c>
      <x:c r="S189" s="9" t="n">
        <x:f>IF(AND(R189=1,O189&lt;=$G$13),1,0)</x:f>
        <x:v>0</x:v>
      </x:c>
      <x:c r="T189" s="10" t="n">
        <x:f>EOMONTH(J189-'Сводка'!$B$11,-1)</x:f>
        <x:v>46022</x:v>
      </x:c>
      <x:c r="U189" s="4" t="n">
        <x:f>MATCH(J189,'Сводка'!$R$3:$R$397,0)</x:f>
        <x:v>200</x:v>
      </x:c>
      <x:c r="V189" s="4" t="n">
        <x:f>MATCH(J189-'Сводка'!$B$11,'Сводка'!$R$3:$R$397,0)</x:f>
        <x:v>199</x:v>
      </x:c>
      <x:c r="W189" s="4" t="n">
        <x:f>MATCH(T189,$J$388:$J$400,0)</x:f>
        <x:v>7</x:v>
      </x:c>
      <x:c r="X189" s="3"/>
      <x:c r="Y189" s="3"/>
      <x:c r="Z189" s="3"/>
    </x:row>
    <x:row r="190" ht="15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10" t="n">
        <x:v>46041</x:v>
      </x:c>
      <x:c r="K190" s="8" t="n">
        <x:f>INDEX('Сводка'!$S$3:$S$397,U190)</x:f>
        <x:v>-34</x:v>
      </x:c>
      <x:c r="L190" s="8" t="n">
        <x:f>INDEX('Сводка'!$S$3:$S$397,V190)</x:f>
        <x:v>-34</x:v>
      </x:c>
      <x:c r="M190" s="8" t="n">
        <x:f>INDEX($K$388:$N$400,W190,1)+INDEX($K$388:$N$400,W190,2)*LN(((J190-$T$405+1)/1000))</x:f>
        <x:v>127.6084437056371</x:v>
      </x:c>
      <x:c r="N190" s="8" t="n">
        <x:f>K190-M190</x:f>
        <x:v>-161.60844370563711</x:v>
      </x:c>
      <x:c r="O190" s="8" t="n">
        <x:f>ABS(N190)</x:f>
        <x:v>161.60844370563711</x:v>
      </x:c>
      <x:c r="P190" s="8" t="n">
        <x:f>N190^2</x:f>
        <x:v>26117.28907695808</x:v>
      </x:c>
      <x:c r="Q190" s="8" t="n">
        <x:f>K190-L190</x:f>
        <x:v>0</x:v>
      </x:c>
      <x:c r="R190" s="9" t="n">
        <x:f>IF(AND(INDEX('Сводка'!$T$3:$T$397,U190)=0,INDEX('Сводка'!$T$3:$T$397,V190)=0),1,0)</x:f>
        <x:v>1</x:v>
      </x:c>
      <x:c r="S190" s="9" t="n">
        <x:f>IF(AND(R190=1,O190&lt;=$G$13),1,0)</x:f>
        <x:v>0</x:v>
      </x:c>
      <x:c r="T190" s="10" t="n">
        <x:f>EOMONTH(J190-'Сводка'!$B$11,-1)</x:f>
        <x:v>46022</x:v>
      </x:c>
      <x:c r="U190" s="4" t="n">
        <x:f>MATCH(J190,'Сводка'!$R$3:$R$397,0)</x:f>
        <x:v>201</x:v>
      </x:c>
      <x:c r="V190" s="4" t="n">
        <x:f>MATCH(J190-'Сводка'!$B$11,'Сводка'!$R$3:$R$397,0)</x:f>
        <x:v>200</x:v>
      </x:c>
      <x:c r="W190" s="4" t="n">
        <x:f>MATCH(T190,$J$388:$J$400,0)</x:f>
        <x:v>7</x:v>
      </x:c>
      <x:c r="X190" s="3"/>
      <x:c r="Y190" s="3"/>
      <x:c r="Z190" s="3"/>
    </x:row>
    <x:row r="191" ht="15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10" t="n">
        <x:v>46042</x:v>
      </x:c>
      <x:c r="K191" s="8" t="n">
        <x:f>INDEX('Сводка'!$S$3:$S$397,U191)</x:f>
        <x:v>-39</x:v>
      </x:c>
      <x:c r="L191" s="8" t="n">
        <x:f>INDEX('Сводка'!$S$3:$S$397,V191)</x:f>
        <x:v>-34</x:v>
      </x:c>
      <x:c r="M191" s="8" t="n">
        <x:f>INDEX($K$388:$N$400,W191,1)+INDEX($K$388:$N$400,W191,2)*LN(((J191-$T$405+1)/1000))</x:f>
        <x:v>127.61510104455857</x:v>
      </x:c>
      <x:c r="N191" s="8" t="n">
        <x:f>K191-M191</x:f>
        <x:v>-166.61510104455857</x:v>
      </x:c>
      <x:c r="O191" s="8" t="n">
        <x:f>ABS(N191)</x:f>
        <x:v>166.61510104455857</x:v>
      </x:c>
      <x:c r="P191" s="8" t="n">
        <x:f>N191^2</x:f>
        <x:v>27760.591896088463</x:v>
      </x:c>
      <x:c r="Q191" s="8" t="n">
        <x:f>K191-L191</x:f>
        <x:v>-5</x:v>
      </x:c>
      <x:c r="R191" s="9" t="n">
        <x:f>IF(AND(INDEX('Сводка'!$T$3:$T$397,U191)=0,INDEX('Сводка'!$T$3:$T$397,V191)=0),1,0)</x:f>
        <x:v>1</x:v>
      </x:c>
      <x:c r="S191" s="9" t="n">
        <x:f>IF(AND(R191=1,O191&lt;=$G$13),1,0)</x:f>
        <x:v>0</x:v>
      </x:c>
      <x:c r="T191" s="10" t="n">
        <x:f>EOMONTH(J191-'Сводка'!$B$11,-1)</x:f>
        <x:v>46022</x:v>
      </x:c>
      <x:c r="U191" s="4" t="n">
        <x:f>MATCH(J191,'Сводка'!$R$3:$R$397,0)</x:f>
        <x:v>202</x:v>
      </x:c>
      <x:c r="V191" s="4" t="n">
        <x:f>MATCH(J191-'Сводка'!$B$11,'Сводка'!$R$3:$R$397,0)</x:f>
        <x:v>201</x:v>
      </x:c>
      <x:c r="W191" s="4" t="n">
        <x:f>MATCH(T191,$J$388:$J$400,0)</x:f>
        <x:v>7</x:v>
      </x:c>
      <x:c r="X191" s="3"/>
      <x:c r="Y191" s="3"/>
      <x:c r="Z191" s="3"/>
    </x:row>
    <x:row r="192" ht="15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10" t="n">
        <x:v>46043</x:v>
      </x:c>
      <x:c r="K192" s="8" t="n">
        <x:f>INDEX('Сводка'!$S$3:$S$397,U192)</x:f>
        <x:v>-41</x:v>
      </x:c>
      <x:c r="L192" s="8" t="n">
        <x:f>INDEX('Сводка'!$S$3:$S$397,V192)</x:f>
        <x:v>-39</x:v>
      </x:c>
      <x:c r="M192" s="8" t="n">
        <x:f>INDEX($K$388:$N$400,W192,1)+INDEX($K$388:$N$400,W192,2)*LN(((J192-$T$405+1)/1000))</x:f>
        <x:v>127.62175762580193</x:v>
      </x:c>
      <x:c r="N192" s="8" t="n">
        <x:f>K192-M192</x:f>
        <x:v>-168.62175762580193</x:v>
      </x:c>
      <x:c r="O192" s="8" t="n">
        <x:f>ABS(N192)</x:f>
        <x:v>168.62175762580193</x:v>
      </x:c>
      <x:c r="P192" s="8" t="n">
        <x:f>N192^2</x:f>
        <x:v>28433.297144814693</x:v>
      </x:c>
      <x:c r="Q192" s="8" t="n">
        <x:f>K192-L192</x:f>
        <x:v>-2</x:v>
      </x:c>
      <x:c r="R192" s="9" t="n">
        <x:f>IF(AND(INDEX('Сводка'!$T$3:$T$397,U192)=0,INDEX('Сводка'!$T$3:$T$397,V192)=0),1,0)</x:f>
        <x:v>1</x:v>
      </x:c>
      <x:c r="S192" s="9" t="n">
        <x:f>IF(AND(R192=1,O192&lt;=$G$13),1,0)</x:f>
        <x:v>0</x:v>
      </x:c>
      <x:c r="T192" s="10" t="n">
        <x:f>EOMONTH(J192-'Сводка'!$B$11,-1)</x:f>
        <x:v>46022</x:v>
      </x:c>
      <x:c r="U192" s="4" t="n">
        <x:f>MATCH(J192,'Сводка'!$R$3:$R$397,0)</x:f>
        <x:v>203</x:v>
      </x:c>
      <x:c r="V192" s="4" t="n">
        <x:f>MATCH(J192-'Сводка'!$B$11,'Сводка'!$R$3:$R$397,0)</x:f>
        <x:v>202</x:v>
      </x:c>
      <x:c r="W192" s="4" t="n">
        <x:f>MATCH(T192,$J$388:$J$400,0)</x:f>
        <x:v>7</x:v>
      </x:c>
      <x:c r="X192" s="3"/>
      <x:c r="Y192" s="3"/>
      <x:c r="Z192" s="3"/>
    </x:row>
    <x:row r="193" ht="15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10" t="n">
        <x:v>46044</x:v>
      </x:c>
      <x:c r="K193" s="8" t="n">
        <x:f>INDEX('Сводка'!$S$3:$S$397,U193)</x:f>
        <x:v>-41</x:v>
      </x:c>
      <x:c r="L193" s="8" t="n">
        <x:f>INDEX('Сводка'!$S$3:$S$397,V193)</x:f>
        <x:v>-41</x:v>
      </x:c>
      <x:c r="M193" s="8" t="n">
        <x:f>INDEX($K$388:$N$400,W193,1)+INDEX($K$388:$N$400,W193,2)*LN(((J193-$T$405+1)/1000))</x:f>
        <x:v>127.6284134495396</x:v>
      </x:c>
      <x:c r="N193" s="8" t="n">
        <x:f>K193-M193</x:f>
        <x:v>-168.6284134495396</x:v>
      </x:c>
      <x:c r="O193" s="8" t="n">
        <x:f>ABS(N193)</x:f>
        <x:v>168.6284134495396</x:v>
      </x:c>
      <x:c r="P193" s="8" t="n">
        <x:f>N193^2</x:f>
        <x:v>28435.54182250887</x:v>
      </x:c>
      <x:c r="Q193" s="8" t="n">
        <x:f>K193-L193</x:f>
        <x:v>0</x:v>
      </x:c>
      <x:c r="R193" s="9" t="n">
        <x:f>IF(AND(INDEX('Сводка'!$T$3:$T$397,U193)=0,INDEX('Сводка'!$T$3:$T$397,V193)=0),1,0)</x:f>
        <x:v>1</x:v>
      </x:c>
      <x:c r="S193" s="9" t="n">
        <x:f>IF(AND(R193=1,O193&lt;=$G$13),1,0)</x:f>
        <x:v>0</x:v>
      </x:c>
      <x:c r="T193" s="10" t="n">
        <x:f>EOMONTH(J193-'Сводка'!$B$11,-1)</x:f>
        <x:v>46022</x:v>
      </x:c>
      <x:c r="U193" s="4" t="n">
        <x:f>MATCH(J193,'Сводка'!$R$3:$R$397,0)</x:f>
        <x:v>204</x:v>
      </x:c>
      <x:c r="V193" s="4" t="n">
        <x:f>MATCH(J193-'Сводка'!$B$11,'Сводка'!$R$3:$R$397,0)</x:f>
        <x:v>203</x:v>
      </x:c>
      <x:c r="W193" s="4" t="n">
        <x:f>MATCH(T193,$J$388:$J$400,0)</x:f>
        <x:v>7</x:v>
      </x:c>
      <x:c r="X193" s="3"/>
      <x:c r="Y193" s="3"/>
      <x:c r="Z193" s="3"/>
    </x:row>
    <x:row r="194" ht="15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10" t="n">
        <x:v>46045</x:v>
      </x:c>
      <x:c r="K194" s="8" t="n">
        <x:f>INDEX('Сводка'!$S$3:$S$397,U194)</x:f>
        <x:v>-37</x:v>
      </x:c>
      <x:c r="L194" s="8" t="n">
        <x:f>INDEX('Сводка'!$S$3:$S$397,V194)</x:f>
        <x:v>-41</x:v>
      </x:c>
      <x:c r="M194" s="8" t="n">
        <x:f>INDEX($K$388:$N$400,W194,1)+INDEX($K$388:$N$400,W194,2)*LN(((J194-$T$405+1)/1000))</x:f>
        <x:v>127.63506851594394</x:v>
      </x:c>
      <x:c r="N194" s="8" t="n">
        <x:f>K194-M194</x:f>
        <x:v>-164.63506851594394</x:v>
      </x:c>
      <x:c r="O194" s="8" t="n">
        <x:f>ABS(N194)</x:f>
        <x:v>164.63506851594394</x:v>
      </x:c>
      <x:c r="P194" s="8" t="n">
        <x:f>N194^2</x:f>
        <x:v>27104.705785249556</x:v>
      </x:c>
      <x:c r="Q194" s="8" t="n">
        <x:f>K194-L194</x:f>
        <x:v>4</x:v>
      </x:c>
      <x:c r="R194" s="9" t="n">
        <x:f>IF(AND(INDEX('Сводка'!$T$3:$T$397,U194)=0,INDEX('Сводка'!$T$3:$T$397,V194)=0),1,0)</x:f>
        <x:v>1</x:v>
      </x:c>
      <x:c r="S194" s="9" t="n">
        <x:f>IF(AND(R194=1,O194&lt;=$G$13),1,0)</x:f>
        <x:v>0</x:v>
      </x:c>
      <x:c r="T194" s="10" t="n">
        <x:f>EOMONTH(J194-'Сводка'!$B$11,-1)</x:f>
        <x:v>46022</x:v>
      </x:c>
      <x:c r="U194" s="4" t="n">
        <x:f>MATCH(J194,'Сводка'!$R$3:$R$397,0)</x:f>
        <x:v>205</x:v>
      </x:c>
      <x:c r="V194" s="4" t="n">
        <x:f>MATCH(J194-'Сводка'!$B$11,'Сводка'!$R$3:$R$397,0)</x:f>
        <x:v>204</x:v>
      </x:c>
      <x:c r="W194" s="4" t="n">
        <x:f>MATCH(T194,$J$388:$J$400,0)</x:f>
        <x:v>7</x:v>
      </x:c>
      <x:c r="X194" s="3"/>
      <x:c r="Y194" s="3"/>
      <x:c r="Z194" s="3"/>
    </x:row>
    <x:row r="195" ht="15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10" t="n">
        <x:v>46046</x:v>
      </x:c>
      <x:c r="K195" s="8" t="n">
        <x:f>INDEX('Сводка'!$S$3:$S$397,U195)</x:f>
        <x:v>-39</x:v>
      </x:c>
      <x:c r="L195" s="8" t="n">
        <x:f>INDEX('Сводка'!$S$3:$S$397,V195)</x:f>
        <x:v>-37</x:v>
      </x:c>
      <x:c r="M195" s="8" t="n">
        <x:f>INDEX($K$388:$N$400,W195,1)+INDEX($K$388:$N$400,W195,2)*LN(((J195-$T$405+1)/1000))</x:f>
        <x:v>127.64172282518732</x:v>
      </x:c>
      <x:c r="N195" s="8" t="n">
        <x:f>K195-M195</x:f>
        <x:v>-166.64172282518732</x:v>
      </x:c>
      <x:c r="O195" s="8" t="n">
        <x:f>ABS(N195)</x:f>
        <x:v>166.64172282518732</x:v>
      </x:c>
      <x:c r="P195" s="8" t="n">
        <x:f>N195^2</x:f>
        <x:v>27769.463786146556</x:v>
      </x:c>
      <x:c r="Q195" s="8" t="n">
        <x:f>K195-L195</x:f>
        <x:v>-2</x:v>
      </x:c>
      <x:c r="R195" s="9" t="n">
        <x:f>IF(AND(INDEX('Сводка'!$T$3:$T$397,U195)=0,INDEX('Сводка'!$T$3:$T$397,V195)=0),1,0)</x:f>
        <x:v>1</x:v>
      </x:c>
      <x:c r="S195" s="9" t="n">
        <x:f>IF(AND(R195=1,O195&lt;=$G$13),1,0)</x:f>
        <x:v>0</x:v>
      </x:c>
      <x:c r="T195" s="10" t="n">
        <x:f>EOMONTH(J195-'Сводка'!$B$11,-1)</x:f>
        <x:v>46022</x:v>
      </x:c>
      <x:c r="U195" s="4" t="n">
        <x:f>MATCH(J195,'Сводка'!$R$3:$R$397,0)</x:f>
        <x:v>206</x:v>
      </x:c>
      <x:c r="V195" s="4" t="n">
        <x:f>MATCH(J195-'Сводка'!$B$11,'Сводка'!$R$3:$R$397,0)</x:f>
        <x:v>205</x:v>
      </x:c>
      <x:c r="W195" s="4" t="n">
        <x:f>MATCH(T195,$J$388:$J$400,0)</x:f>
        <x:v>7</x:v>
      </x:c>
      <x:c r="X195" s="3"/>
      <x:c r="Y195" s="3"/>
      <x:c r="Z195" s="3"/>
    </x:row>
    <x:row r="196" ht="15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10" t="n">
        <x:v>46047</x:v>
      </x:c>
      <x:c r="K196" s="8" t="n">
        <x:f>INDEX('Сводка'!$S$3:$S$397,U196)</x:f>
        <x:v>-36</x:v>
      </x:c>
      <x:c r="L196" s="8" t="n">
        <x:f>INDEX('Сводка'!$S$3:$S$397,V196)</x:f>
        <x:v>-39</x:v>
      </x:c>
      <x:c r="M196" s="8" t="n">
        <x:f>INDEX($K$388:$N$400,W196,1)+INDEX($K$388:$N$400,W196,2)*LN(((J196-$T$405+1)/1000))</x:f>
        <x:v>127.64837637744199</x:v>
      </x:c>
      <x:c r="N196" s="8" t="n">
        <x:f>K196-M196</x:f>
        <x:v>-163.648376377442</x:v>
      </x:c>
      <x:c r="O196" s="8" t="n">
        <x:f>ABS(N196)</x:f>
        <x:v>163.648376377442</x:v>
      </x:c>
      <x:c r="P196" s="8" t="n">
        <x:f>N196^2</x:f>
        <x:v>26780.791090972914</x:v>
      </x:c>
      <x:c r="Q196" s="8" t="n">
        <x:f>K196-L196</x:f>
        <x:v>3</x:v>
      </x:c>
      <x:c r="R196" s="9" t="n">
        <x:f>IF(AND(INDEX('Сводка'!$T$3:$T$397,U196)=0,INDEX('Сводка'!$T$3:$T$397,V196)=0),1,0)</x:f>
        <x:v>1</x:v>
      </x:c>
      <x:c r="S196" s="9" t="n">
        <x:f>IF(AND(R196=1,O196&lt;=$G$13),1,0)</x:f>
        <x:v>0</x:v>
      </x:c>
      <x:c r="T196" s="10" t="n">
        <x:f>EOMONTH(J196-'Сводка'!$B$11,-1)</x:f>
        <x:v>46022</x:v>
      </x:c>
      <x:c r="U196" s="4" t="n">
        <x:f>MATCH(J196,'Сводка'!$R$3:$R$397,0)</x:f>
        <x:v>207</x:v>
      </x:c>
      <x:c r="V196" s="4" t="n">
        <x:f>MATCH(J196-'Сводка'!$B$11,'Сводка'!$R$3:$R$397,0)</x:f>
        <x:v>206</x:v>
      </x:c>
      <x:c r="W196" s="4" t="n">
        <x:f>MATCH(T196,$J$388:$J$400,0)</x:f>
        <x:v>7</x:v>
      </x:c>
      <x:c r="X196" s="3"/>
      <x:c r="Y196" s="3"/>
      <x:c r="Z196" s="3"/>
    </x:row>
    <x:row r="197" ht="15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10" t="n">
        <x:v>46048</x:v>
      </x:c>
      <x:c r="K197" s="8" t="n">
        <x:f>INDEX('Сводка'!$S$3:$S$397,U197)</x:f>
        <x:v>-36</x:v>
      </x:c>
      <x:c r="L197" s="8" t="n">
        <x:f>INDEX('Сводка'!$S$3:$S$397,V197)</x:f>
        <x:v>-36</x:v>
      </x:c>
      <x:c r="M197" s="8" t="n">
        <x:f>INDEX($K$388:$N$400,W197,1)+INDEX($K$388:$N$400,W197,2)*LN(((J197-$T$405+1)/1000))</x:f>
        <x:v>127.65502917288015</x:v>
      </x:c>
      <x:c r="N197" s="8" t="n">
        <x:f>K197-M197</x:f>
        <x:v>-163.65502917288015</x:v>
      </x:c>
      <x:c r="O197" s="8" t="n">
        <x:f>ABS(N197)</x:f>
        <x:v>163.65502917288015</x:v>
      </x:c>
      <x:c r="P197" s="8" t="n">
        <x:f>N197^2</x:f>
        <x:v>26782.968573576254</x:v>
      </x:c>
      <x:c r="Q197" s="8" t="n">
        <x:f>K197-L197</x:f>
        <x:v>0</x:v>
      </x:c>
      <x:c r="R197" s="9" t="n">
        <x:f>IF(AND(INDEX('Сводка'!$T$3:$T$397,U197)=0,INDEX('Сводка'!$T$3:$T$397,V197)=0),1,0)</x:f>
        <x:v>1</x:v>
      </x:c>
      <x:c r="S197" s="9" t="n">
        <x:f>IF(AND(R197=1,O197&lt;=$G$13),1,0)</x:f>
        <x:v>0</x:v>
      </x:c>
      <x:c r="T197" s="10" t="n">
        <x:f>EOMONTH(J197-'Сводка'!$B$11,-1)</x:f>
        <x:v>46022</x:v>
      </x:c>
      <x:c r="U197" s="4" t="n">
        <x:f>MATCH(J197,'Сводка'!$R$3:$R$397,0)</x:f>
        <x:v>208</x:v>
      </x:c>
      <x:c r="V197" s="4" t="n">
        <x:f>MATCH(J197-'Сводка'!$B$11,'Сводка'!$R$3:$R$397,0)</x:f>
        <x:v>207</x:v>
      </x:c>
      <x:c r="W197" s="4" t="n">
        <x:f>MATCH(T197,$J$388:$J$400,0)</x:f>
        <x:v>7</x:v>
      </x:c>
      <x:c r="X197" s="3"/>
      <x:c r="Y197" s="3"/>
      <x:c r="Z197" s="3"/>
    </x:row>
    <x:row r="198" ht="15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10" t="n">
        <x:v>46049</x:v>
      </x:c>
      <x:c r="K198" s="8" t="n">
        <x:f>INDEX('Сводка'!$S$3:$S$397,U198)</x:f>
        <x:v>-38</x:v>
      </x:c>
      <x:c r="L198" s="8" t="n">
        <x:f>INDEX('Сводка'!$S$3:$S$397,V198)</x:f>
        <x:v>-36</x:v>
      </x:c>
      <x:c r="M198" s="8" t="n">
        <x:f>INDEX($K$388:$N$400,W198,1)+INDEX($K$388:$N$400,W198,2)*LN(((J198-$T$405+1)/1000))</x:f>
        <x:v>127.66168121167397</x:v>
      </x:c>
      <x:c r="N198" s="8" t="n">
        <x:f>K198-M198</x:f>
        <x:v>-165.66168121167397</x:v>
      </x:c>
      <x:c r="O198" s="8" t="n">
        <x:f>ABS(N198)</x:f>
        <x:v>165.66168121167397</x:v>
      </x:c>
      <x:c r="P198" s="8" t="n">
        <x:f>N198^2</x:f>
        <x:v>27443.792621878292</x:v>
      </x:c>
      <x:c r="Q198" s="8" t="n">
        <x:f>K198-L198</x:f>
        <x:v>-2</x:v>
      </x:c>
      <x:c r="R198" s="9" t="n">
        <x:f>IF(AND(INDEX('Сводка'!$T$3:$T$397,U198)=0,INDEX('Сводка'!$T$3:$T$397,V198)=0),1,0)</x:f>
        <x:v>1</x:v>
      </x:c>
      <x:c r="S198" s="9" t="n">
        <x:f>IF(AND(R198=1,O198&lt;=$G$13),1,0)</x:f>
        <x:v>0</x:v>
      </x:c>
      <x:c r="T198" s="10" t="n">
        <x:f>EOMONTH(J198-'Сводка'!$B$11,-1)</x:f>
        <x:v>46022</x:v>
      </x:c>
      <x:c r="U198" s="4" t="n">
        <x:f>MATCH(J198,'Сводка'!$R$3:$R$397,0)</x:f>
        <x:v>209</x:v>
      </x:c>
      <x:c r="V198" s="4" t="n">
        <x:f>MATCH(J198-'Сводка'!$B$11,'Сводка'!$R$3:$R$397,0)</x:f>
        <x:v>208</x:v>
      </x:c>
      <x:c r="W198" s="4" t="n">
        <x:f>MATCH(T198,$J$388:$J$400,0)</x:f>
        <x:v>7</x:v>
      </x:c>
      <x:c r="X198" s="3"/>
      <x:c r="Y198" s="3"/>
      <x:c r="Z198" s="3"/>
    </x:row>
    <x:row r="199" ht="15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10" t="n">
        <x:v>46050</x:v>
      </x:c>
      <x:c r="K199" s="8" t="n">
        <x:f>INDEX('Сводка'!$S$3:$S$397,U199)</x:f>
        <x:v>-33</x:v>
      </x:c>
      <x:c r="L199" s="8" t="n">
        <x:f>INDEX('Сводка'!$S$3:$S$397,V199)</x:f>
        <x:v>-38</x:v>
      </x:c>
      <x:c r="M199" s="8" t="n">
        <x:f>INDEX($K$388:$N$400,W199,1)+INDEX($K$388:$N$400,W199,2)*LN(((J199-$T$405+1)/1000))</x:f>
        <x:v>127.66833249399552</x:v>
      </x:c>
      <x:c r="N199" s="8" t="n">
        <x:f>K199-M199</x:f>
        <x:v>-160.66833249399554</x:v>
      </x:c>
      <x:c r="O199" s="8" t="n">
        <x:f>ABS(N199)</x:f>
        <x:v>160.66833249399554</x:v>
      </x:c>
      <x:c r="P199" s="8" t="n">
        <x:f>N199^2</x:f>
        <x:v>25814.3130664011</x:v>
      </x:c>
      <x:c r="Q199" s="8" t="n">
        <x:f>K199-L199</x:f>
        <x:v>5</x:v>
      </x:c>
      <x:c r="R199" s="9" t="n">
        <x:f>IF(AND(INDEX('Сводка'!$T$3:$T$397,U199)=0,INDEX('Сводка'!$T$3:$T$397,V199)=0),1,0)</x:f>
        <x:v>1</x:v>
      </x:c>
      <x:c r="S199" s="9" t="n">
        <x:f>IF(AND(R199=1,O199&lt;=$G$13),1,0)</x:f>
        <x:v>0</x:v>
      </x:c>
      <x:c r="T199" s="10" t="n">
        <x:f>EOMONTH(J199-'Сводка'!$B$11,-1)</x:f>
        <x:v>46022</x:v>
      </x:c>
      <x:c r="U199" s="4" t="n">
        <x:f>MATCH(J199,'Сводка'!$R$3:$R$397,0)</x:f>
        <x:v>210</x:v>
      </x:c>
      <x:c r="V199" s="4" t="n">
        <x:f>MATCH(J199-'Сводка'!$B$11,'Сводка'!$R$3:$R$397,0)</x:f>
        <x:v>209</x:v>
      </x:c>
      <x:c r="W199" s="4" t="n">
        <x:f>MATCH(T199,$J$388:$J$400,0)</x:f>
        <x:v>7</x:v>
      </x:c>
      <x:c r="X199" s="3"/>
      <x:c r="Y199" s="3"/>
      <x:c r="Z199" s="3"/>
    </x:row>
    <x:row r="200" ht="15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10" t="n">
        <x:v>46051</x:v>
      </x:c>
      <x:c r="K200" s="8" t="n">
        <x:f>INDEX('Сводка'!$S$3:$S$397,U200)</x:f>
        <x:v>-33</x:v>
      </x:c>
      <x:c r="L200" s="8" t="n">
        <x:f>INDEX('Сводка'!$S$3:$S$397,V200)</x:f>
        <x:v>-33</x:v>
      </x:c>
      <x:c r="M200" s="8" t="n">
        <x:f>INDEX($K$388:$N$400,W200,1)+INDEX($K$388:$N$400,W200,2)*LN(((J200-$T$405+1)/1000))</x:f>
        <x:v>127.67498302001687</x:v>
      </x:c>
      <x:c r="N200" s="8" t="n">
        <x:f>K200-M200</x:f>
        <x:v>-160.67498302001687</x:v>
      </x:c>
      <x:c r="O200" s="8" t="n">
        <x:f>ABS(N200)</x:f>
        <x:v>160.67498302001687</x:v>
      </x:c>
      <x:c r="P200" s="8" t="n">
        <x:f>N200^2</x:f>
        <x:v>25816.45016848271</x:v>
      </x:c>
      <x:c r="Q200" s="8" t="n">
        <x:f>K200-L200</x:f>
        <x:v>0</x:v>
      </x:c>
      <x:c r="R200" s="9" t="n">
        <x:f>IF(AND(INDEX('Сводка'!$T$3:$T$397,U200)=0,INDEX('Сводка'!$T$3:$T$397,V200)=0),1,0)</x:f>
        <x:v>1</x:v>
      </x:c>
      <x:c r="S200" s="9" t="n">
        <x:f>IF(AND(R200=1,O200&lt;=$G$13),1,0)</x:f>
        <x:v>0</x:v>
      </x:c>
      <x:c r="T200" s="10" t="n">
        <x:f>EOMONTH(J200-'Сводка'!$B$11,-1)</x:f>
        <x:v>46022</x:v>
      </x:c>
      <x:c r="U200" s="4" t="n">
        <x:f>MATCH(J200,'Сводка'!$R$3:$R$397,0)</x:f>
        <x:v>211</x:v>
      </x:c>
      <x:c r="V200" s="4" t="n">
        <x:f>MATCH(J200-'Сводка'!$B$11,'Сводка'!$R$3:$R$397,0)</x:f>
        <x:v>210</x:v>
      </x:c>
      <x:c r="W200" s="4" t="n">
        <x:f>MATCH(T200,$J$388:$J$400,0)</x:f>
        <x:v>7</x:v>
      </x:c>
      <x:c r="X200" s="3"/>
      <x:c r="Y200" s="3"/>
      <x:c r="Z200" s="3"/>
    </x:row>
    <x:row r="201" ht="15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10" t="n">
        <x:v>46052</x:v>
      </x:c>
      <x:c r="K201" s="8" t="n">
        <x:f>INDEX('Сводка'!$S$3:$S$397,U201)</x:f>
        <x:v>-36</x:v>
      </x:c>
      <x:c r="L201" s="8" t="n">
        <x:f>INDEX('Сводка'!$S$3:$S$397,V201)</x:f>
        <x:v>-33</x:v>
      </x:c>
      <x:c r="M201" s="8" t="n">
        <x:f>INDEX($K$388:$N$400,W201,1)+INDEX($K$388:$N$400,W201,2)*LN(((J201-$T$405+1)/1000))</x:f>
        <x:v>127.68163278990994</x:v>
      </x:c>
      <x:c r="N201" s="8" t="n">
        <x:f>K201-M201</x:f>
        <x:v>-163.68163278990994</x:v>
      </x:c>
      <x:c r="O201" s="8" t="n">
        <x:f>ABS(N201)</x:f>
        <x:v>163.68163278990994</x:v>
      </x:c>
      <x:c r="P201" s="8" t="n">
        <x:f>N201^2</x:f>
        <x:v>26791.67691277092</x:v>
      </x:c>
      <x:c r="Q201" s="8" t="n">
        <x:f>K201-L201</x:f>
        <x:v>-3</x:v>
      </x:c>
      <x:c r="R201" s="9" t="n">
        <x:f>IF(AND(INDEX('Сводка'!$T$3:$T$397,U201)=0,INDEX('Сводка'!$T$3:$T$397,V201)=0),1,0)</x:f>
        <x:v>1</x:v>
      </x:c>
      <x:c r="S201" s="9" t="n">
        <x:f>IF(AND(R201=1,O201&lt;=$G$13),1,0)</x:f>
        <x:v>0</x:v>
      </x:c>
      <x:c r="T201" s="10" t="n">
        <x:f>EOMONTH(J201-'Сводка'!$B$11,-1)</x:f>
        <x:v>46022</x:v>
      </x:c>
      <x:c r="U201" s="4" t="n">
        <x:f>MATCH(J201,'Сводка'!$R$3:$R$397,0)</x:f>
        <x:v>212</x:v>
      </x:c>
      <x:c r="V201" s="4" t="n">
        <x:f>MATCH(J201-'Сводка'!$B$11,'Сводка'!$R$3:$R$397,0)</x:f>
        <x:v>211</x:v>
      </x:c>
      <x:c r="W201" s="4" t="n">
        <x:f>MATCH(T201,$J$388:$J$400,0)</x:f>
        <x:v>7</x:v>
      </x:c>
      <x:c r="X201" s="3"/>
      <x:c r="Y201" s="3"/>
      <x:c r="Z201" s="3"/>
    </x:row>
    <x:row r="202" ht="15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10" t="n">
        <x:v>46053</x:v>
      </x:c>
      <x:c r="K202" s="8" t="n">
        <x:f>INDEX('Сводка'!$S$3:$S$397,U202)</x:f>
        <x:v>-32</x:v>
      </x:c>
      <x:c r="L202" s="8" t="n">
        <x:f>INDEX('Сводка'!$S$3:$S$397,V202)</x:f>
        <x:v>-36</x:v>
      </x:c>
      <x:c r="M202" s="8" t="n">
        <x:f>INDEX($K$388:$N$400,W202,1)+INDEX($K$388:$N$400,W202,2)*LN(((J202-$T$405+1)/1000))</x:f>
        <x:v>127.68828180384668</x:v>
      </x:c>
      <x:c r="N202" s="8" t="n">
        <x:f>K202-M202</x:f>
        <x:v>-159.68828180384668</x:v>
      </x:c>
      <x:c r="O202" s="8" t="n">
        <x:f>ABS(N202)</x:f>
        <x:v>159.68828180384668</x:v>
      </x:c>
      <x:c r="P202" s="8" t="n">
        <x:f>N202^2</x:f>
        <x:v>25500.34734546475</x:v>
      </x:c>
      <x:c r="Q202" s="8" t="n">
        <x:f>K202-L202</x:f>
        <x:v>4</x:v>
      </x:c>
      <x:c r="R202" s="9" t="n">
        <x:f>IF(AND(INDEX('Сводка'!$T$3:$T$397,U202)=0,INDEX('Сводка'!$T$3:$T$397,V202)=0),1,0)</x:f>
        <x:v>1</x:v>
      </x:c>
      <x:c r="S202" s="9" t="n">
        <x:f>IF(AND(R202=1,O202&lt;=$G$13),1,0)</x:f>
        <x:v>0</x:v>
      </x:c>
      <x:c r="T202" s="10" t="n">
        <x:f>EOMONTH(J202-'Сводка'!$B$11,-1)</x:f>
        <x:v>46022</x:v>
      </x:c>
      <x:c r="U202" s="4" t="n">
        <x:f>MATCH(J202,'Сводка'!$R$3:$R$397,0)</x:f>
        <x:v>213</x:v>
      </x:c>
      <x:c r="V202" s="4" t="n">
        <x:f>MATCH(J202-'Сводка'!$B$11,'Сводка'!$R$3:$R$397,0)</x:f>
        <x:v>212</x:v>
      </x:c>
      <x:c r="W202" s="4" t="n">
        <x:f>MATCH(T202,$J$388:$J$400,0)</x:f>
        <x:v>7</x:v>
      </x:c>
      <x:c r="X202" s="3"/>
      <x:c r="Y202" s="3"/>
      <x:c r="Z202" s="3"/>
    </x:row>
    <x:row r="203" ht="15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10" t="n">
        <x:v>46054</x:v>
      </x:c>
      <x:c r="K203" s="8" t="n">
        <x:f>INDEX('Сводка'!$S$3:$S$397,U203)</x:f>
        <x:v>-34</x:v>
      </x:c>
      <x:c r="L203" s="8" t="n">
        <x:f>INDEX('Сводка'!$S$3:$S$397,V203)</x:f>
        <x:v>-32</x:v>
      </x:c>
      <x:c r="M203" s="8" t="n">
        <x:f>INDEX($K$388:$N$400,W203,1)+INDEX($K$388:$N$400,W203,2)*LN(((J203-$T$405+1)/1000))</x:f>
        <x:v>127.69493006199893</x:v>
      </x:c>
      <x:c r="N203" s="8" t="n">
        <x:f>K203-M203</x:f>
        <x:v>-161.69493006199895</x:v>
      </x:c>
      <x:c r="O203" s="8" t="n">
        <x:f>ABS(N203)</x:f>
        <x:v>161.69493006199895</x:v>
      </x:c>
      <x:c r="P203" s="8" t="n">
        <x:f>N203^2</x:f>
        <x:v>26145.25040775473</x:v>
      </x:c>
      <x:c r="Q203" s="8" t="n">
        <x:f>K203-L203</x:f>
        <x:v>-2</x:v>
      </x:c>
      <x:c r="R203" s="9" t="n">
        <x:f>IF(AND(INDEX('Сводка'!$T$3:$T$397,U203)=0,INDEX('Сводка'!$T$3:$T$397,V203)=0),1,0)</x:f>
        <x:v>1</x:v>
      </x:c>
      <x:c r="S203" s="9" t="n">
        <x:f>IF(AND(R203=1,O203&lt;=$G$13),1,0)</x:f>
        <x:v>0</x:v>
      </x:c>
      <x:c r="T203" s="10" t="n">
        <x:f>EOMONTH(J203-'Сводка'!$B$11,-1)</x:f>
        <x:v>46022</x:v>
      </x:c>
      <x:c r="U203" s="4" t="n">
        <x:f>MATCH(J203,'Сводка'!$R$3:$R$397,0)</x:f>
        <x:v>214</x:v>
      </x:c>
      <x:c r="V203" s="4" t="n">
        <x:f>MATCH(J203-'Сводка'!$B$11,'Сводка'!$R$3:$R$397,0)</x:f>
        <x:v>213</x:v>
      </x:c>
      <x:c r="W203" s="4" t="n">
        <x:f>MATCH(T203,$J$388:$J$400,0)</x:f>
        <x:v>7</x:v>
      </x:c>
      <x:c r="X203" s="3"/>
      <x:c r="Y203" s="3"/>
      <x:c r="Z203" s="3"/>
    </x:row>
    <x:row r="204" ht="15" customHeight="1">
      <x:c r="A204" s="3"/>
      <x:c r="B204" s="3"/>
      <x:c r="C204" s="3"/>
      <x:c r="D204" s="3"/>
      <x:c r="E204" s="3"/>
      <x:c r="F204" s="3"/>
      <x:c r="G204" s="3"/>
      <x:c r="H204" s="3"/>
      <x:c r="I204" s="3"/>
      <x:c r="J204" s="10" t="n">
        <x:v>46055</x:v>
      </x:c>
      <x:c r="K204" s="8" t="n">
        <x:f>INDEX('Сводка'!$S$3:$S$397,U204)</x:f>
        <x:v>-33</x:v>
      </x:c>
      <x:c r="L204" s="8" t="n">
        <x:f>INDEX('Сводка'!$S$3:$S$397,V204)</x:f>
        <x:v>-34</x:v>
      </x:c>
      <x:c r="M204" s="8" t="n">
        <x:f>INDEX($K$388:$N$400,W204,1)+INDEX($K$388:$N$400,W204,2)*LN(((J204-$T$405+1)/1000))</x:f>
        <x:v>126.57647517900718</x:v>
      </x:c>
      <x:c r="N204" s="8" t="n">
        <x:f>K204-M204</x:f>
        <x:v>-159.57647517900716</x:v>
      </x:c>
      <x:c r="O204" s="8" t="n">
        <x:f>ABS(N204)</x:f>
        <x:v>159.57647517900716</x:v>
      </x:c>
      <x:c r="P204" s="8" t="n">
        <x:f>N204^2</x:f>
        <x:v>25464.65143055629</x:v>
      </x:c>
      <x:c r="Q204" s="8" t="n">
        <x:f>K204-L204</x:f>
        <x:v>1</x:v>
      </x:c>
      <x:c r="R204" s="9" t="n">
        <x:f>IF(AND(INDEX('Сводка'!$T$3:$T$397,U204)=0,INDEX('Сводка'!$T$3:$T$397,V204)=0),1,0)</x:f>
        <x:v>1</x:v>
      </x:c>
      <x:c r="S204" s="9" t="n">
        <x:f>IF(AND(R204=1,O204&lt;=$G$13),1,0)</x:f>
        <x:v>0</x:v>
      </x:c>
      <x:c r="T204" s="10" t="n">
        <x:f>EOMONTH(J204-'Сводка'!$B$11,-1)</x:f>
        <x:v>46053</x:v>
      </x:c>
      <x:c r="U204" s="4" t="n">
        <x:f>MATCH(J204,'Сводка'!$R$3:$R$397,0)</x:f>
        <x:v>215</x:v>
      </x:c>
      <x:c r="V204" s="4" t="n">
        <x:f>MATCH(J204-'Сводка'!$B$11,'Сводка'!$R$3:$R$397,0)</x:f>
        <x:v>214</x:v>
      </x:c>
      <x:c r="W204" s="4" t="n">
        <x:f>MATCH(T204,$J$388:$J$400,0)</x:f>
        <x:v>8</x:v>
      </x:c>
      <x:c r="X204" s="3"/>
      <x:c r="Y204" s="3"/>
      <x:c r="Z204" s="3"/>
    </x:row>
    <x:row r="205" ht="15" customHeight="1">
      <x:c r="A205" s="3"/>
      <x:c r="B205" s="3"/>
      <x:c r="C205" s="3"/>
      <x:c r="D205" s="3"/>
      <x:c r="E205" s="3"/>
      <x:c r="F205" s="3"/>
      <x:c r="G205" s="3"/>
      <x:c r="H205" s="3"/>
      <x:c r="I205" s="3"/>
      <x:c r="J205" s="10" t="n">
        <x:v>46056</x:v>
      </x:c>
      <x:c r="K205" s="8" t="n">
        <x:f>INDEX('Сводка'!$S$3:$S$397,U205)</x:f>
        <x:v>-36</x:v>
      </x:c>
      <x:c r="L205" s="8" t="n">
        <x:f>INDEX('Сводка'!$S$3:$S$397,V205)</x:f>
        <x:v>-33</x:v>
      </x:c>
      <x:c r="M205" s="8" t="n">
        <x:f>INDEX($K$388:$N$400,W205,1)+INDEX($K$388:$N$400,W205,2)*LN(((J205-$T$405+1)/1000))</x:f>
        <x:v>126.58305781295526</x:v>
      </x:c>
      <x:c r="N205" s="8" t="n">
        <x:f>K205-M205</x:f>
        <x:v>-162.58305781295525</x:v>
      </x:c>
      <x:c r="O205" s="8" t="n">
        <x:f>ABS(N205)</x:f>
        <x:v>162.58305781295525</x:v>
      </x:c>
      <x:c r="P205" s="8" t="n">
        <x:f>N205^2</x:f>
        <x:v>26433.25068781075</x:v>
      </x:c>
      <x:c r="Q205" s="8" t="n">
        <x:f>K205-L205</x:f>
        <x:v>-3</x:v>
      </x:c>
      <x:c r="R205" s="9" t="n">
        <x:f>IF(AND(INDEX('Сводка'!$T$3:$T$397,U205)=0,INDEX('Сводка'!$T$3:$T$397,V205)=0),1,0)</x:f>
        <x:v>1</x:v>
      </x:c>
      <x:c r="S205" s="9" t="n">
        <x:f>IF(AND(R205=1,O205&lt;=$G$13),1,0)</x:f>
        <x:v>0</x:v>
      </x:c>
      <x:c r="T205" s="10" t="n">
        <x:f>EOMONTH(J205-'Сводка'!$B$11,-1)</x:f>
        <x:v>46053</x:v>
      </x:c>
      <x:c r="U205" s="4" t="n">
        <x:f>MATCH(J205,'Сводка'!$R$3:$R$397,0)</x:f>
        <x:v>216</x:v>
      </x:c>
      <x:c r="V205" s="4" t="n">
        <x:f>MATCH(J205-'Сводка'!$B$11,'Сводка'!$R$3:$R$397,0)</x:f>
        <x:v>215</x:v>
      </x:c>
      <x:c r="W205" s="4" t="n">
        <x:f>MATCH(T205,$J$388:$J$400,0)</x:f>
        <x:v>8</x:v>
      </x:c>
      <x:c r="X205" s="3"/>
      <x:c r="Y205" s="3"/>
      <x:c r="Z205" s="3"/>
    </x:row>
    <x:row r="206" ht="15" customHeight="1">
      <x:c r="A206" s="3"/>
      <x:c r="B206" s="3"/>
      <x:c r="C206" s="3"/>
      <x:c r="D206" s="3"/>
      <x:c r="E206" s="3"/>
      <x:c r="F206" s="3"/>
      <x:c r="G206" s="3"/>
      <x:c r="H206" s="3"/>
      <x:c r="I206" s="3"/>
      <x:c r="J206" s="10" t="n">
        <x:v>46057</x:v>
      </x:c>
      <x:c r="K206" s="8" t="n">
        <x:f>INDEX('Сводка'!$S$3:$S$397,U206)</x:f>
        <x:v>-34</x:v>
      </x:c>
      <x:c r="L206" s="8" t="n">
        <x:f>INDEX('Сводка'!$S$3:$S$397,V206)</x:f>
        <x:v>-36</x:v>
      </x:c>
      <x:c r="M206" s="8" t="n">
        <x:f>INDEX($K$388:$N$400,W206,1)+INDEX($K$388:$N$400,W206,2)*LN(((J206-$T$405+1)/1000))</x:f>
        <x:v>126.58963969891923</x:v>
      </x:c>
      <x:c r="N206" s="8" t="n">
        <x:f>K206-M206</x:f>
        <x:v>-160.58963969891923</x:v>
      </x:c>
      <x:c r="O206" s="8" t="n">
        <x:f>ABS(N206)</x:f>
        <x:v>160.58963969891923</x:v>
      </x:c>
      <x:c r="P206" s="8" t="n">
        <x:f>N206^2</x:f>
        <x:v>25789.032378628694</x:v>
      </x:c>
      <x:c r="Q206" s="8" t="n">
        <x:f>K206-L206</x:f>
        <x:v>2</x:v>
      </x:c>
      <x:c r="R206" s="9" t="n">
        <x:f>IF(AND(INDEX('Сводка'!$T$3:$T$397,U206)=0,INDEX('Сводка'!$T$3:$T$397,V206)=0),1,0)</x:f>
        <x:v>1</x:v>
      </x:c>
      <x:c r="S206" s="9" t="n">
        <x:f>IF(AND(R206=1,O206&lt;=$G$13),1,0)</x:f>
        <x:v>0</x:v>
      </x:c>
      <x:c r="T206" s="10" t="n">
        <x:f>EOMONTH(J206-'Сводка'!$B$11,-1)</x:f>
        <x:v>46053</x:v>
      </x:c>
      <x:c r="U206" s="4" t="n">
        <x:f>MATCH(J206,'Сводка'!$R$3:$R$397,0)</x:f>
        <x:v>217</x:v>
      </x:c>
      <x:c r="V206" s="4" t="n">
        <x:f>MATCH(J206-'Сводка'!$B$11,'Сводка'!$R$3:$R$397,0)</x:f>
        <x:v>216</x:v>
      </x:c>
      <x:c r="W206" s="4" t="n">
        <x:f>MATCH(T206,$J$388:$J$400,0)</x:f>
        <x:v>8</x:v>
      </x:c>
      <x:c r="X206" s="3"/>
      <x:c r="Y206" s="3"/>
      <x:c r="Z206" s="3"/>
    </x:row>
    <x:row r="207" ht="15" customHeight="1">
      <x:c r="A207" s="3"/>
      <x:c r="B207" s="3"/>
      <x:c r="C207" s="3"/>
      <x:c r="D207" s="3"/>
      <x:c r="E207" s="3"/>
      <x:c r="F207" s="3"/>
      <x:c r="G207" s="3"/>
      <x:c r="H207" s="3"/>
      <x:c r="I207" s="3"/>
      <x:c r="J207" s="10" t="n">
        <x:v>46058</x:v>
      </x:c>
      <x:c r="K207" s="8" t="n">
        <x:f>INDEX('Сводка'!$S$3:$S$397,U207)</x:f>
        <x:v>-35</x:v>
      </x:c>
      <x:c r="L207" s="8" t="n">
        <x:f>INDEX('Сводка'!$S$3:$S$397,V207)</x:f>
        <x:v>-34</x:v>
      </x:c>
      <x:c r="M207" s="8" t="n">
        <x:f>INDEX($K$388:$N$400,W207,1)+INDEX($K$388:$N$400,W207,2)*LN(((J207-$T$405+1)/1000))</x:f>
        <x:v>126.59622083706911</x:v>
      </x:c>
      <x:c r="N207" s="8" t="n">
        <x:f>K207-M207</x:f>
        <x:v>-161.5962208370691</x:v>
      </x:c>
      <x:c r="O207" s="8" t="n">
        <x:f>ABS(N207)</x:f>
        <x:v>161.5962208370691</x:v>
      </x:c>
      <x:c r="P207" s="8" t="n">
        <x:f>N207^2</x:f>
        <x:v>26113.338588822804</x:v>
      </x:c>
      <x:c r="Q207" s="8" t="n">
        <x:f>K207-L207</x:f>
        <x:v>-1</x:v>
      </x:c>
      <x:c r="R207" s="9" t="n">
        <x:f>IF(AND(INDEX('Сводка'!$T$3:$T$397,U207)=0,INDEX('Сводка'!$T$3:$T$397,V207)=0),1,0)</x:f>
        <x:v>1</x:v>
      </x:c>
      <x:c r="S207" s="9" t="n">
        <x:f>IF(AND(R207=1,O207&lt;=$G$13),1,0)</x:f>
        <x:v>0</x:v>
      </x:c>
      <x:c r="T207" s="10" t="n">
        <x:f>EOMONTH(J207-'Сводка'!$B$11,-1)</x:f>
        <x:v>46053</x:v>
      </x:c>
      <x:c r="U207" s="4" t="n">
        <x:f>MATCH(J207,'Сводка'!$R$3:$R$397,0)</x:f>
        <x:v>218</x:v>
      </x:c>
      <x:c r="V207" s="4" t="n">
        <x:f>MATCH(J207-'Сводка'!$B$11,'Сводка'!$R$3:$R$397,0)</x:f>
        <x:v>217</x:v>
      </x:c>
      <x:c r="W207" s="4" t="n">
        <x:f>MATCH(T207,$J$388:$J$400,0)</x:f>
        <x:v>8</x:v>
      </x:c>
      <x:c r="X207" s="3"/>
      <x:c r="Y207" s="3"/>
      <x:c r="Z207" s="3"/>
    </x:row>
    <x:row r="208" ht="15" customHeight="1">
      <x:c r="A208" s="3"/>
      <x:c r="B208" s="3"/>
      <x:c r="C208" s="3"/>
      <x:c r="D208" s="3"/>
      <x:c r="E208" s="3"/>
      <x:c r="F208" s="3"/>
      <x:c r="G208" s="3"/>
      <x:c r="H208" s="3"/>
      <x:c r="I208" s="3"/>
      <x:c r="J208" s="10" t="n">
        <x:v>46059</x:v>
      </x:c>
      <x:c r="K208" s="8" t="n">
        <x:f>INDEX('Сводка'!$S$3:$S$397,U208)</x:f>
        <x:v>-38</x:v>
      </x:c>
      <x:c r="L208" s="8" t="n">
        <x:f>INDEX('Сводка'!$S$3:$S$397,V208)</x:f>
        <x:v>-35</x:v>
      </x:c>
      <x:c r="M208" s="8" t="n">
        <x:f>INDEX($K$388:$N$400,W208,1)+INDEX($K$388:$N$400,W208,2)*LN(((J208-$T$405+1)/1000))</x:f>
        <x:v>126.60280122757477</x:v>
      </x:c>
      <x:c r="N208" s="8" t="n">
        <x:f>K208-M208</x:f>
        <x:v>-164.6028012275748</x:v>
      </x:c>
      <x:c r="O208" s="8" t="n">
        <x:f>ABS(N208)</x:f>
        <x:v>164.6028012275748</x:v>
      </x:c>
      <x:c r="P208" s="8" t="n">
        <x:f>N208^2</x:f>
        <x:v>27094.082171964496</x:v>
      </x:c>
      <x:c r="Q208" s="8" t="n">
        <x:f>K208-L208</x:f>
        <x:v>-3</x:v>
      </x:c>
      <x:c r="R208" s="9" t="n">
        <x:f>IF(AND(INDEX('Сводка'!$T$3:$T$397,U208)=0,INDEX('Сводка'!$T$3:$T$397,V208)=0),1,0)</x:f>
        <x:v>1</x:v>
      </x:c>
      <x:c r="S208" s="9" t="n">
        <x:f>IF(AND(R208=1,O208&lt;=$G$13),1,0)</x:f>
        <x:v>0</x:v>
      </x:c>
      <x:c r="T208" s="10" t="n">
        <x:f>EOMONTH(J208-'Сводка'!$B$11,-1)</x:f>
        <x:v>46053</x:v>
      </x:c>
      <x:c r="U208" s="4" t="n">
        <x:f>MATCH(J208,'Сводка'!$R$3:$R$397,0)</x:f>
        <x:v>219</x:v>
      </x:c>
      <x:c r="V208" s="4" t="n">
        <x:f>MATCH(J208-'Сводка'!$B$11,'Сводка'!$R$3:$R$397,0)</x:f>
        <x:v>218</x:v>
      </x:c>
      <x:c r="W208" s="4" t="n">
        <x:f>MATCH(T208,$J$388:$J$400,0)</x:f>
        <x:v>8</x:v>
      </x:c>
      <x:c r="X208" s="3"/>
      <x:c r="Y208" s="3"/>
      <x:c r="Z208" s="3"/>
    </x:row>
    <x:row r="209" ht="15" customHeight="1">
      <x:c r="A209" s="3"/>
      <x:c r="B209" s="3"/>
      <x:c r="C209" s="3"/>
      <x:c r="D209" s="3"/>
      <x:c r="E209" s="3"/>
      <x:c r="F209" s="3"/>
      <x:c r="G209" s="3"/>
      <x:c r="H209" s="3"/>
      <x:c r="I209" s="3"/>
      <x:c r="J209" s="10" t="n">
        <x:v>46060</x:v>
      </x:c>
      <x:c r="K209" s="8" t="n">
        <x:f>INDEX('Сводка'!$S$3:$S$397,U209)</x:f>
        <x:v>-41</x:v>
      </x:c>
      <x:c r="L209" s="8" t="n">
        <x:f>INDEX('Сводка'!$S$3:$S$397,V209)</x:f>
        <x:v>-38</x:v>
      </x:c>
      <x:c r="M209" s="8" t="n">
        <x:f>INDEX($K$388:$N$400,W209,1)+INDEX($K$388:$N$400,W209,2)*LN(((J209-$T$405+1)/1000))</x:f>
        <x:v>126.60938087060607</x:v>
      </x:c>
      <x:c r="N209" s="8" t="n">
        <x:f>K209-M209</x:f>
        <x:v>-167.60938087060606</x:v>
      </x:c>
      <x:c r="O209" s="8" t="n">
        <x:f>ABS(N209)</x:f>
        <x:v>167.60938087060606</x:v>
      </x:c>
      <x:c r="P209" s="8" t="n">
        <x:f>N209^2</x:f>
        <x:v>28092.904555827885</x:v>
      </x:c>
      <x:c r="Q209" s="8" t="n">
        <x:f>K209-L209</x:f>
        <x:v>-3</x:v>
      </x:c>
      <x:c r="R209" s="9" t="n">
        <x:f>IF(AND(INDEX('Сводка'!$T$3:$T$397,U209)=0,INDEX('Сводка'!$T$3:$T$397,V209)=0),1,0)</x:f>
        <x:v>1</x:v>
      </x:c>
      <x:c r="S209" s="9" t="n">
        <x:f>IF(AND(R209=1,O209&lt;=$G$13),1,0)</x:f>
        <x:v>0</x:v>
      </x:c>
      <x:c r="T209" s="10" t="n">
        <x:f>EOMONTH(J209-'Сводка'!$B$11,-1)</x:f>
        <x:v>46053</x:v>
      </x:c>
      <x:c r="U209" s="4" t="n">
        <x:f>MATCH(J209,'Сводка'!$R$3:$R$397,0)</x:f>
        <x:v>220</x:v>
      </x:c>
      <x:c r="V209" s="4" t="n">
        <x:f>MATCH(J209-'Сводка'!$B$11,'Сводка'!$R$3:$R$397,0)</x:f>
        <x:v>219</x:v>
      </x:c>
      <x:c r="W209" s="4" t="n">
        <x:f>MATCH(T209,$J$388:$J$400,0)</x:f>
        <x:v>8</x:v>
      </x:c>
      <x:c r="X209" s="3"/>
      <x:c r="Y209" s="3"/>
      <x:c r="Z209" s="3"/>
    </x:row>
    <x:row r="210" ht="15" customHeight="1">
      <x:c r="A210" s="3"/>
      <x:c r="B210" s="3"/>
      <x:c r="C210" s="3"/>
      <x:c r="D210" s="3"/>
      <x:c r="E210" s="3"/>
      <x:c r="F210" s="3"/>
      <x:c r="G210" s="3"/>
      <x:c r="H210" s="3"/>
      <x:c r="I210" s="3"/>
      <x:c r="J210" s="10" t="n">
        <x:v>46061</x:v>
      </x:c>
      <x:c r="K210" s="8" t="n">
        <x:f>INDEX('Сводка'!$S$3:$S$397,U210)</x:f>
        <x:v>-43</x:v>
      </x:c>
      <x:c r="L210" s="8" t="n">
        <x:f>INDEX('Сводка'!$S$3:$S$397,V210)</x:f>
        <x:v>-41</x:v>
      </x:c>
      <x:c r="M210" s="8" t="n">
        <x:f>INDEX($K$388:$N$400,W210,1)+INDEX($K$388:$N$400,W210,2)*LN(((J210-$T$405+1)/1000))</x:f>
        <x:v>126.61595976633281</x:v>
      </x:c>
      <x:c r="N210" s="8" t="n">
        <x:f>K210-M210</x:f>
        <x:v>-169.61595976633282</x:v>
      </x:c>
      <x:c r="O210" s="8" t="n">
        <x:f>ABS(N210)</x:f>
        <x:v>169.61595976633282</x:v>
      </x:c>
      <x:c r="P210" s="8" t="n">
        <x:f>N210^2</x:f>
        <x:v>28769.573807454235</x:v>
      </x:c>
      <x:c r="Q210" s="8" t="n">
        <x:f>K210-L210</x:f>
        <x:v>-2</x:v>
      </x:c>
      <x:c r="R210" s="9" t="n">
        <x:f>IF(AND(INDEX('Сводка'!$T$3:$T$397,U210)=0,INDEX('Сводка'!$T$3:$T$397,V210)=0),1,0)</x:f>
        <x:v>1</x:v>
      </x:c>
      <x:c r="S210" s="9" t="n">
        <x:f>IF(AND(R210=1,O210&lt;=$G$13),1,0)</x:f>
        <x:v>0</x:v>
      </x:c>
      <x:c r="T210" s="10" t="n">
        <x:f>EOMONTH(J210-'Сводка'!$B$11,-1)</x:f>
        <x:v>46053</x:v>
      </x:c>
      <x:c r="U210" s="4" t="n">
        <x:f>MATCH(J210,'Сводка'!$R$3:$R$397,0)</x:f>
        <x:v>221</x:v>
      </x:c>
      <x:c r="V210" s="4" t="n">
        <x:f>MATCH(J210-'Сводка'!$B$11,'Сводка'!$R$3:$R$397,0)</x:f>
        <x:v>220</x:v>
      </x:c>
      <x:c r="W210" s="4" t="n">
        <x:f>MATCH(T210,$J$388:$J$400,0)</x:f>
        <x:v>8</x:v>
      </x:c>
      <x:c r="X210" s="3"/>
      <x:c r="Y210" s="3"/>
      <x:c r="Z210" s="3"/>
    </x:row>
    <x:row r="211" ht="15" customHeight="1">
      <x:c r="A211" s="3"/>
      <x:c r="B211" s="3"/>
      <x:c r="C211" s="3"/>
      <x:c r="D211" s="3"/>
      <x:c r="E211" s="3"/>
      <x:c r="F211" s="3"/>
      <x:c r="G211" s="3"/>
      <x:c r="H211" s="3"/>
      <x:c r="I211" s="3"/>
      <x:c r="J211" s="10" t="n">
        <x:v>46062</x:v>
      </x:c>
      <x:c r="K211" s="8" t="n">
        <x:f>INDEX('Сводка'!$S$3:$S$397,U211)</x:f>
        <x:v>-43</x:v>
      </x:c>
      <x:c r="L211" s="8" t="n">
        <x:f>INDEX('Сводка'!$S$3:$S$397,V211)</x:f>
        <x:v>-43</x:v>
      </x:c>
      <x:c r="M211" s="8" t="n">
        <x:f>INDEX($K$388:$N$400,W211,1)+INDEX($K$388:$N$400,W211,2)*LN(((J211-$T$405+1)/1000))</x:f>
        <x:v>126.6225379149247</x:v>
      </x:c>
      <x:c r="N211" s="8" t="n">
        <x:f>K211-M211</x:f>
        <x:v>-169.6225379149247</x:v>
      </x:c>
      <x:c r="O211" s="8" t="n">
        <x:f>ABS(N211)</x:f>
        <x:v>169.6225379149247</x:v>
      </x:c>
      <x:c r="P211" s="8" t="n">
        <x:f>N211^2</x:f>
        <x:v>28771.805368700065</x:v>
      </x:c>
      <x:c r="Q211" s="8" t="n">
        <x:f>K211-L211</x:f>
        <x:v>0</x:v>
      </x:c>
      <x:c r="R211" s="9" t="n">
        <x:f>IF(AND(INDEX('Сводка'!$T$3:$T$397,U211)=0,INDEX('Сводка'!$T$3:$T$397,V211)=0),1,0)</x:f>
        <x:v>1</x:v>
      </x:c>
      <x:c r="S211" s="9" t="n">
        <x:f>IF(AND(R211=1,O211&lt;=$G$13),1,0)</x:f>
        <x:v>0</x:v>
      </x:c>
      <x:c r="T211" s="10" t="n">
        <x:f>EOMONTH(J211-'Сводка'!$B$11,-1)</x:f>
        <x:v>46053</x:v>
      </x:c>
      <x:c r="U211" s="4" t="n">
        <x:f>MATCH(J211,'Сводка'!$R$3:$R$397,0)</x:f>
        <x:v>222</x:v>
      </x:c>
      <x:c r="V211" s="4" t="n">
        <x:f>MATCH(J211-'Сводка'!$B$11,'Сводка'!$R$3:$R$397,0)</x:f>
        <x:v>221</x:v>
      </x:c>
      <x:c r="W211" s="4" t="n">
        <x:f>MATCH(T211,$J$388:$J$400,0)</x:f>
        <x:v>8</x:v>
      </x:c>
      <x:c r="X211" s="3"/>
      <x:c r="Y211" s="3"/>
      <x:c r="Z211" s="3"/>
    </x:row>
    <x:row r="212" ht="15" customHeight="1">
      <x:c r="A212" s="3"/>
      <x:c r="B212" s="3"/>
      <x:c r="C212" s="3"/>
      <x:c r="D212" s="3"/>
      <x:c r="E212" s="3"/>
      <x:c r="F212" s="3"/>
      <x:c r="G212" s="3"/>
      <x:c r="H212" s="3"/>
      <x:c r="I212" s="3"/>
      <x:c r="J212" s="10" t="n">
        <x:v>46063</x:v>
      </x:c>
      <x:c r="K212" s="8" t="n">
        <x:f>INDEX('Сводка'!$S$3:$S$397,U212)</x:f>
        <x:v>-44</x:v>
      </x:c>
      <x:c r="L212" s="8" t="n">
        <x:f>INDEX('Сводка'!$S$3:$S$397,V212)</x:f>
        <x:v>-43</x:v>
      </x:c>
      <x:c r="M212" s="8" t="n">
        <x:f>INDEX($K$388:$N$400,W212,1)+INDEX($K$388:$N$400,W212,2)*LN(((J212-$T$405+1)/1000))</x:f>
        <x:v>126.62911531655146</x:v>
      </x:c>
      <x:c r="N212" s="8" t="n">
        <x:f>K212-M212</x:f>
        <x:v>-170.62911531655146</x:v>
      </x:c>
      <x:c r="O212" s="8" t="n">
        <x:f>ABS(N212)</x:f>
        <x:v>170.62911531655146</x:v>
      </x:c>
      <x:c r="P212" s="8" t="n">
        <x:f>N212^2</x:f>
        <x:v>29114.294993709016</x:v>
      </x:c>
      <x:c r="Q212" s="8" t="n">
        <x:f>K212-L212</x:f>
        <x:v>-1</x:v>
      </x:c>
      <x:c r="R212" s="9" t="n">
        <x:f>IF(AND(INDEX('Сводка'!$T$3:$T$397,U212)=0,INDEX('Сводка'!$T$3:$T$397,V212)=0),1,0)</x:f>
        <x:v>1</x:v>
      </x:c>
      <x:c r="S212" s="9" t="n">
        <x:f>IF(AND(R212=1,O212&lt;=$G$13),1,0)</x:f>
        <x:v>0</x:v>
      </x:c>
      <x:c r="T212" s="10" t="n">
        <x:f>EOMONTH(J212-'Сводка'!$B$11,-1)</x:f>
        <x:v>46053</x:v>
      </x:c>
      <x:c r="U212" s="4" t="n">
        <x:f>MATCH(J212,'Сводка'!$R$3:$R$397,0)</x:f>
        <x:v>223</x:v>
      </x:c>
      <x:c r="V212" s="4" t="n">
        <x:f>MATCH(J212-'Сводка'!$B$11,'Сводка'!$R$3:$R$397,0)</x:f>
        <x:v>222</x:v>
      </x:c>
      <x:c r="W212" s="4" t="n">
        <x:f>MATCH(T212,$J$388:$J$400,0)</x:f>
        <x:v>8</x:v>
      </x:c>
      <x:c r="X212" s="3"/>
      <x:c r="Y212" s="3"/>
      <x:c r="Z212" s="3"/>
    </x:row>
    <x:row r="213" ht="15" customHeight="1">
      <x:c r="A213" s="3"/>
      <x:c r="B213" s="3"/>
      <x:c r="C213" s="3"/>
      <x:c r="D213" s="3"/>
      <x:c r="E213" s="3"/>
      <x:c r="F213" s="3"/>
      <x:c r="G213" s="3"/>
      <x:c r="H213" s="3"/>
      <x:c r="I213" s="3"/>
      <x:c r="J213" s="10" t="n">
        <x:v>46064</x:v>
      </x:c>
      <x:c r="K213" s="8" t="n">
        <x:f>INDEX('Сводка'!$S$3:$S$397,U213)</x:f>
        <x:v>-44</x:v>
      </x:c>
      <x:c r="L213" s="8" t="n">
        <x:f>INDEX('Сводка'!$S$3:$S$397,V213)</x:f>
        <x:v>-44</x:v>
      </x:c>
      <x:c r="M213" s="8" t="n">
        <x:f>INDEX($K$388:$N$400,W213,1)+INDEX($K$388:$N$400,W213,2)*LN(((J213-$T$405+1)/1000))</x:f>
        <x:v>126.63569197138267</x:v>
      </x:c>
      <x:c r="N213" s="8" t="n">
        <x:f>K213-M213</x:f>
        <x:v>-170.63569197138267</x:v>
      </x:c>
      <x:c r="O213" s="8" t="n">
        <x:f>ABS(N213)</x:f>
        <x:v>170.63569197138267</x:v>
      </x:c>
      <x:c r="P213" s="8" t="n">
        <x:f>N213^2</x:f>
        <x:v>29116.539374552587</x:v>
      </x:c>
      <x:c r="Q213" s="8" t="n">
        <x:f>K213-L213</x:f>
        <x:v>0</x:v>
      </x:c>
      <x:c r="R213" s="9" t="n">
        <x:f>IF(AND(INDEX('Сводка'!$T$3:$T$397,U213)=0,INDEX('Сводка'!$T$3:$T$397,V213)=0),1,0)</x:f>
        <x:v>1</x:v>
      </x:c>
      <x:c r="S213" s="9" t="n">
        <x:f>IF(AND(R213=1,O213&lt;=$G$13),1,0)</x:f>
        <x:v>0</x:v>
      </x:c>
      <x:c r="T213" s="10" t="n">
        <x:f>EOMONTH(J213-'Сводка'!$B$11,-1)</x:f>
        <x:v>46053</x:v>
      </x:c>
      <x:c r="U213" s="4" t="n">
        <x:f>MATCH(J213,'Сводка'!$R$3:$R$397,0)</x:f>
        <x:v>224</x:v>
      </x:c>
      <x:c r="V213" s="4" t="n">
        <x:f>MATCH(J213-'Сводка'!$B$11,'Сводка'!$R$3:$R$397,0)</x:f>
        <x:v>223</x:v>
      </x:c>
      <x:c r="W213" s="4" t="n">
        <x:f>MATCH(T213,$J$388:$J$400,0)</x:f>
        <x:v>8</x:v>
      </x:c>
      <x:c r="X213" s="3"/>
      <x:c r="Y213" s="3"/>
      <x:c r="Z213" s="3"/>
    </x:row>
    <x:row r="214" ht="15" customHeight="1">
      <x:c r="A214" s="3"/>
      <x:c r="B214" s="3"/>
      <x:c r="C214" s="3"/>
      <x:c r="D214" s="3"/>
      <x:c r="E214" s="3"/>
      <x:c r="F214" s="3"/>
      <x:c r="G214" s="3"/>
      <x:c r="H214" s="3"/>
      <x:c r="I214" s="3"/>
      <x:c r="J214" s="10" t="n">
        <x:v>46065</x:v>
      </x:c>
      <x:c r="K214" s="8" t="n">
        <x:f>INDEX('Сводка'!$S$3:$S$397,U214)</x:f>
        <x:v>-44</x:v>
      </x:c>
      <x:c r="L214" s="8" t="n">
        <x:f>INDEX('Сводка'!$S$3:$S$397,V214)</x:f>
        <x:v>-44</x:v>
      </x:c>
      <x:c r="M214" s="8" t="n">
        <x:f>INDEX($K$388:$N$400,W214,1)+INDEX($K$388:$N$400,W214,2)*LN(((J214-$T$405+1)/1000))</x:f>
        <x:v>126.64226787958793</x:v>
      </x:c>
      <x:c r="N214" s="8" t="n">
        <x:f>K214-M214</x:f>
        <x:v>-170.64226787958793</x:v>
      </x:c>
      <x:c r="O214" s="8" t="n">
        <x:f>ABS(N214)</x:f>
        <x:v>170.64226787958793</x:v>
      </x:c>
      <x:c r="P214" s="8" t="n">
        <x:f>N214^2</x:f>
        <x:v>29118.78358708905</x:v>
      </x:c>
      <x:c r="Q214" s="8" t="n">
        <x:f>K214-L214</x:f>
        <x:v>0</x:v>
      </x:c>
      <x:c r="R214" s="9" t="n">
        <x:f>IF(AND(INDEX('Сводка'!$T$3:$T$397,U214)=0,INDEX('Сводка'!$T$3:$T$397,V214)=0),1,0)</x:f>
        <x:v>1</x:v>
      </x:c>
      <x:c r="S214" s="9" t="n">
        <x:f>IF(AND(R214=1,O214&lt;=$G$13),1,0)</x:f>
        <x:v>0</x:v>
      </x:c>
      <x:c r="T214" s="10" t="n">
        <x:f>EOMONTH(J214-'Сводка'!$B$11,-1)</x:f>
        <x:v>46053</x:v>
      </x:c>
      <x:c r="U214" s="4" t="n">
        <x:f>MATCH(J214,'Сводка'!$R$3:$R$397,0)</x:f>
        <x:v>225</x:v>
      </x:c>
      <x:c r="V214" s="4" t="n">
        <x:f>MATCH(J214-'Сводка'!$B$11,'Сводка'!$R$3:$R$397,0)</x:f>
        <x:v>224</x:v>
      </x:c>
      <x:c r="W214" s="4" t="n">
        <x:f>MATCH(T214,$J$388:$J$400,0)</x:f>
        <x:v>8</x:v>
      </x:c>
      <x:c r="X214" s="3"/>
      <x:c r="Y214" s="3"/>
      <x:c r="Z214" s="3"/>
    </x:row>
    <x:row r="215" ht="15" customHeight="1">
      <x:c r="A215" s="3"/>
      <x:c r="B215" s="3"/>
      <x:c r="C215" s="3"/>
      <x:c r="D215" s="3"/>
      <x:c r="E215" s="3"/>
      <x:c r="F215" s="3"/>
      <x:c r="G215" s="3"/>
      <x:c r="H215" s="3"/>
      <x:c r="I215" s="3"/>
      <x:c r="J215" s="10" t="n">
        <x:v>46066</x:v>
      </x:c>
      <x:c r="K215" s="8" t="n">
        <x:f>INDEX('Сводка'!$S$3:$S$397,U215)</x:f>
        <x:v>-41</x:v>
      </x:c>
      <x:c r="L215" s="8" t="n">
        <x:f>INDEX('Сводка'!$S$3:$S$397,V215)</x:f>
        <x:v>-44</x:v>
      </x:c>
      <x:c r="M215" s="8" t="n">
        <x:f>INDEX($K$388:$N$400,W215,1)+INDEX($K$388:$N$400,W215,2)*LN(((J215-$T$405+1)/1000))</x:f>
        <x:v>126.64884304133672</x:v>
      </x:c>
      <x:c r="N215" s="8" t="n">
        <x:f>K215-M215</x:f>
        <x:v>-167.6488430413367</x:v>
      </x:c>
      <x:c r="O215" s="8" t="n">
        <x:f>ABS(N215)</x:f>
        <x:v>167.6488430413367</x:v>
      </x:c>
      <x:c r="P215" s="8" t="n">
        <x:f>N215^2</x:f>
        <x:v>28106.13457309875</x:v>
      </x:c>
      <x:c r="Q215" s="8" t="n">
        <x:f>K215-L215</x:f>
        <x:v>3</x:v>
      </x:c>
      <x:c r="R215" s="9" t="n">
        <x:f>IF(AND(INDEX('Сводка'!$T$3:$T$397,U215)=0,INDEX('Сводка'!$T$3:$T$397,V215)=0),1,0)</x:f>
        <x:v>1</x:v>
      </x:c>
      <x:c r="S215" s="9" t="n">
        <x:f>IF(AND(R215=1,O215&lt;=$G$13),1,0)</x:f>
        <x:v>0</x:v>
      </x:c>
      <x:c r="T215" s="10" t="n">
        <x:f>EOMONTH(J215-'Сводка'!$B$11,-1)</x:f>
        <x:v>46053</x:v>
      </x:c>
      <x:c r="U215" s="4" t="n">
        <x:f>MATCH(J215,'Сводка'!$R$3:$R$397,0)</x:f>
        <x:v>226</x:v>
      </x:c>
      <x:c r="V215" s="4" t="n">
        <x:f>MATCH(J215-'Сводка'!$B$11,'Сводка'!$R$3:$R$397,0)</x:f>
        <x:v>225</x:v>
      </x:c>
      <x:c r="W215" s="4" t="n">
        <x:f>MATCH(T215,$J$388:$J$400,0)</x:f>
        <x:v>8</x:v>
      </x:c>
      <x:c r="X215" s="3"/>
      <x:c r="Y215" s="3"/>
      <x:c r="Z215" s="3"/>
    </x:row>
    <x:row r="216" ht="15" customHeight="1">
      <x:c r="A216" s="3"/>
      <x:c r="B216" s="3"/>
      <x:c r="C216" s="3"/>
      <x:c r="D216" s="3"/>
      <x:c r="E216" s="3"/>
      <x:c r="F216" s="3"/>
      <x:c r="G216" s="3"/>
      <x:c r="H216" s="3"/>
      <x:c r="I216" s="3"/>
      <x:c r="J216" s="10" t="n">
        <x:v>46067</x:v>
      </x:c>
      <x:c r="K216" s="8" t="n">
        <x:f>INDEX('Сводка'!$S$3:$S$397,U216)</x:f>
        <x:v>-39</x:v>
      </x:c>
      <x:c r="L216" s="8" t="n">
        <x:f>INDEX('Сводка'!$S$3:$S$397,V216)</x:f>
        <x:v>-41</x:v>
      </x:c>
      <x:c r="M216" s="8" t="n">
        <x:f>INDEX($K$388:$N$400,W216,1)+INDEX($K$388:$N$400,W216,2)*LN(((J216-$T$405+1)/1000))</x:f>
        <x:v>126.65541745679849</x:v>
      </x:c>
      <x:c r="N216" s="8" t="n">
        <x:f>K216-M216</x:f>
        <x:v>-165.6554174567985</x:v>
      </x:c>
      <x:c r="O216" s="8" t="n">
        <x:f>ABS(N216)</x:f>
        <x:v>165.6554174567985</x:v>
      </x:c>
      <x:c r="P216" s="8" t="n">
        <x:f>N216^2</x:f>
        <x:v>27441.71733278618</x:v>
      </x:c>
      <x:c r="Q216" s="8" t="n">
        <x:f>K216-L216</x:f>
        <x:v>2</x:v>
      </x:c>
      <x:c r="R216" s="9" t="n">
        <x:f>IF(AND(INDEX('Сводка'!$T$3:$T$397,U216)=0,INDEX('Сводка'!$T$3:$T$397,V216)=0),1,0)</x:f>
        <x:v>1</x:v>
      </x:c>
      <x:c r="S216" s="9" t="n">
        <x:f>IF(AND(R216=1,O216&lt;=$G$13),1,0)</x:f>
        <x:v>0</x:v>
      </x:c>
      <x:c r="T216" s="10" t="n">
        <x:f>EOMONTH(J216-'Сводка'!$B$11,-1)</x:f>
        <x:v>46053</x:v>
      </x:c>
      <x:c r="U216" s="4" t="n">
        <x:f>MATCH(J216,'Сводка'!$R$3:$R$397,0)</x:f>
        <x:v>227</x:v>
      </x:c>
      <x:c r="V216" s="4" t="n">
        <x:f>MATCH(J216-'Сводка'!$B$11,'Сводка'!$R$3:$R$397,0)</x:f>
        <x:v>226</x:v>
      </x:c>
      <x:c r="W216" s="4" t="n">
        <x:f>MATCH(T216,$J$388:$J$400,0)</x:f>
        <x:v>8</x:v>
      </x:c>
      <x:c r="X216" s="3"/>
      <x:c r="Y216" s="3"/>
      <x:c r="Z216" s="3"/>
    </x:row>
    <x:row r="217" ht="15" customHeight="1">
      <x:c r="A217" s="3"/>
      <x:c r="B217" s="3"/>
      <x:c r="C217" s="3"/>
      <x:c r="D217" s="3"/>
      <x:c r="E217" s="3"/>
      <x:c r="F217" s="3"/>
      <x:c r="G217" s="3"/>
      <x:c r="H217" s="3"/>
      <x:c r="I217" s="3"/>
      <x:c r="J217" s="10" t="n">
        <x:v>46068</x:v>
      </x:c>
      <x:c r="K217" s="8" t="n">
        <x:f>INDEX('Сводка'!$S$3:$S$397,U217)</x:f>
        <x:v>-38</x:v>
      </x:c>
      <x:c r="L217" s="8" t="n">
        <x:f>INDEX('Сводка'!$S$3:$S$397,V217)</x:f>
        <x:v>-39</x:v>
      </x:c>
      <x:c r="M217" s="8" t="n">
        <x:f>INDEX($K$388:$N$400,W217,1)+INDEX($K$388:$N$400,W217,2)*LN(((J217-$T$405+1)/1000))</x:f>
        <x:v>126.66199112614262</x:v>
      </x:c>
      <x:c r="N217" s="8" t="n">
        <x:f>K217-M217</x:f>
        <x:v>-164.66199112614262</x:v>
      </x:c>
      <x:c r="O217" s="8" t="n">
        <x:f>ABS(N217)</x:f>
        <x:v>164.66199112614262</x:v>
      </x:c>
      <x:c r="P217" s="8" t="n">
        <x:f>N217^2</x:f>
        <x:v>27113.571321625874</x:v>
      </x:c>
      <x:c r="Q217" s="8" t="n">
        <x:f>K217-L217</x:f>
        <x:v>1</x:v>
      </x:c>
      <x:c r="R217" s="9" t="n">
        <x:f>IF(AND(INDEX('Сводка'!$T$3:$T$397,U217)=0,INDEX('Сводка'!$T$3:$T$397,V217)=0),1,0)</x:f>
        <x:v>1</x:v>
      </x:c>
      <x:c r="S217" s="9" t="n">
        <x:f>IF(AND(R217=1,O217&lt;=$G$13),1,0)</x:f>
        <x:v>0</x:v>
      </x:c>
      <x:c r="T217" s="10" t="n">
        <x:f>EOMONTH(J217-'Сводка'!$B$11,-1)</x:f>
        <x:v>46053</x:v>
      </x:c>
      <x:c r="U217" s="4" t="n">
        <x:f>MATCH(J217,'Сводка'!$R$3:$R$397,0)</x:f>
        <x:v>228</x:v>
      </x:c>
      <x:c r="V217" s="4" t="n">
        <x:f>MATCH(J217-'Сводка'!$B$11,'Сводка'!$R$3:$R$397,0)</x:f>
        <x:v>227</x:v>
      </x:c>
      <x:c r="W217" s="4" t="n">
        <x:f>MATCH(T217,$J$388:$J$400,0)</x:f>
        <x:v>8</x:v>
      </x:c>
      <x:c r="X217" s="3"/>
      <x:c r="Y217" s="3"/>
      <x:c r="Z217" s="3"/>
    </x:row>
    <x:row r="218" ht="15" customHeight="1">
      <x:c r="A218" s="3"/>
      <x:c r="B218" s="3"/>
      <x:c r="C218" s="3"/>
      <x:c r="D218" s="3"/>
      <x:c r="E218" s="3"/>
      <x:c r="F218" s="3"/>
      <x:c r="G218" s="3"/>
      <x:c r="H218" s="3"/>
      <x:c r="I218" s="3"/>
      <x:c r="J218" s="10" t="n">
        <x:v>46069</x:v>
      </x:c>
      <x:c r="K218" s="8" t="n">
        <x:f>INDEX('Сводка'!$S$3:$S$397,U218)</x:f>
        <x:v>-38</x:v>
      </x:c>
      <x:c r="L218" s="8" t="n">
        <x:f>INDEX('Сводка'!$S$3:$S$397,V218)</x:f>
        <x:v>-38</x:v>
      </x:c>
      <x:c r="M218" s="8" t="n">
        <x:f>INDEX($K$388:$N$400,W218,1)+INDEX($K$388:$N$400,W218,2)*LN(((J218-$T$405+1)/1000))</x:f>
        <x:v>126.66856404953849</x:v>
      </x:c>
      <x:c r="N218" s="8" t="n">
        <x:f>K218-M218</x:f>
        <x:v>-164.66856404953847</x:v>
      </x:c>
      <x:c r="O218" s="8" t="n">
        <x:f>ABS(N218)</x:f>
        <x:v>164.66856404953847</x:v>
      </x:c>
      <x:c r="P218" s="8" t="n">
        <x:f>N218^2</x:f>
        <x:v>27115.735986136955</x:v>
      </x:c>
      <x:c r="Q218" s="8" t="n">
        <x:f>K218-L218</x:f>
        <x:v>0</x:v>
      </x:c>
      <x:c r="R218" s="9" t="n">
        <x:f>IF(AND(INDEX('Сводка'!$T$3:$T$397,U218)=0,INDEX('Сводка'!$T$3:$T$397,V218)=0),1,0)</x:f>
        <x:v>1</x:v>
      </x:c>
      <x:c r="S218" s="9" t="n">
        <x:f>IF(AND(R218=1,O218&lt;=$G$13),1,0)</x:f>
        <x:v>0</x:v>
      </x:c>
      <x:c r="T218" s="10" t="n">
        <x:f>EOMONTH(J218-'Сводка'!$B$11,-1)</x:f>
        <x:v>46053</x:v>
      </x:c>
      <x:c r="U218" s="4" t="n">
        <x:f>MATCH(J218,'Сводка'!$R$3:$R$397,0)</x:f>
        <x:v>229</x:v>
      </x:c>
      <x:c r="V218" s="4" t="n">
        <x:f>MATCH(J218-'Сводка'!$B$11,'Сводка'!$R$3:$R$397,0)</x:f>
        <x:v>228</x:v>
      </x:c>
      <x:c r="W218" s="4" t="n">
        <x:f>MATCH(T218,$J$388:$J$400,0)</x:f>
        <x:v>8</x:v>
      </x:c>
      <x:c r="X218" s="3"/>
      <x:c r="Y218" s="3"/>
      <x:c r="Z218" s="3"/>
    </x:row>
    <x:row r="219" ht="15" customHeight="1">
      <x:c r="A219" s="3"/>
      <x:c r="B219" s="3"/>
      <x:c r="C219" s="3"/>
      <x:c r="D219" s="3"/>
      <x:c r="E219" s="3"/>
      <x:c r="F219" s="3"/>
      <x:c r="G219" s="3"/>
      <x:c r="H219" s="3"/>
      <x:c r="I219" s="3"/>
      <x:c r="J219" s="10" t="n">
        <x:v>46070</x:v>
      </x:c>
      <x:c r="K219" s="8" t="n">
        <x:f>INDEX('Сводка'!$S$3:$S$397,U219)</x:f>
        <x:v>-40</x:v>
      </x:c>
      <x:c r="L219" s="8" t="n">
        <x:f>INDEX('Сводка'!$S$3:$S$397,V219)</x:f>
        <x:v>-38</x:v>
      </x:c>
      <x:c r="M219" s="8" t="n">
        <x:f>INDEX($K$388:$N$400,W219,1)+INDEX($K$388:$N$400,W219,2)*LN(((J219-$T$405+1)/1000))</x:f>
        <x:v>126.67513622715532</x:v>
      </x:c>
      <x:c r="N219" s="8" t="n">
        <x:f>K219-M219</x:f>
        <x:v>-166.67513622715532</x:v>
      </x:c>
      <x:c r="O219" s="8" t="n">
        <x:f>ABS(N219)</x:f>
        <x:v>166.67513622715532</x:v>
      </x:c>
      <x:c r="P219" s="8" t="n">
        <x:f>N219^2</x:f>
        <x:v>27780.601036340784</x:v>
      </x:c>
      <x:c r="Q219" s="8" t="n">
        <x:f>K219-L219</x:f>
        <x:v>-2</x:v>
      </x:c>
      <x:c r="R219" s="9" t="n">
        <x:f>IF(AND(INDEX('Сводка'!$T$3:$T$397,U219)=0,INDEX('Сводка'!$T$3:$T$397,V219)=0),1,0)</x:f>
        <x:v>1</x:v>
      </x:c>
      <x:c r="S219" s="9" t="n">
        <x:f>IF(AND(R219=1,O219&lt;=$G$13),1,0)</x:f>
        <x:v>0</x:v>
      </x:c>
      <x:c r="T219" s="10" t="n">
        <x:f>EOMONTH(J219-'Сводка'!$B$11,-1)</x:f>
        <x:v>46053</x:v>
      </x:c>
      <x:c r="U219" s="4" t="n">
        <x:f>MATCH(J219,'Сводка'!$R$3:$R$397,0)</x:f>
        <x:v>230</x:v>
      </x:c>
      <x:c r="V219" s="4" t="n">
        <x:f>MATCH(J219-'Сводка'!$B$11,'Сводка'!$R$3:$R$397,0)</x:f>
        <x:v>229</x:v>
      </x:c>
      <x:c r="W219" s="4" t="n">
        <x:f>MATCH(T219,$J$388:$J$400,0)</x:f>
        <x:v>8</x:v>
      </x:c>
      <x:c r="X219" s="3"/>
      <x:c r="Y219" s="3"/>
      <x:c r="Z219" s="3"/>
    </x:row>
    <x:row r="220" ht="15" customHeight="1">
      <x:c r="A220" s="3"/>
      <x:c r="B220" s="3"/>
      <x:c r="C220" s="3"/>
      <x:c r="D220" s="3"/>
      <x:c r="E220" s="3"/>
      <x:c r="F220" s="3"/>
      <x:c r="G220" s="3"/>
      <x:c r="H220" s="3"/>
      <x:c r="I220" s="3"/>
      <x:c r="J220" s="10" t="n">
        <x:v>46071</x:v>
      </x:c>
      <x:c r="K220" s="8" t="n">
        <x:f>INDEX('Сводка'!$S$3:$S$397,U220)</x:f>
        <x:v>-40</x:v>
      </x:c>
      <x:c r="L220" s="8" t="n">
        <x:f>INDEX('Сводка'!$S$3:$S$397,V220)</x:f>
        <x:v>-40</x:v>
      </x:c>
      <x:c r="M220" s="8" t="n">
        <x:f>INDEX($K$388:$N$400,W220,1)+INDEX($K$388:$N$400,W220,2)*LN(((J220-$T$405+1)/1000))</x:f>
        <x:v>126.68170765916234</x:v>
      </x:c>
      <x:c r="N220" s="8" t="n">
        <x:f>K220-M220</x:f>
        <x:v>-166.68170765916233</x:v>
      </x:c>
      <x:c r="O220" s="8" t="n">
        <x:f>ABS(N220)</x:f>
        <x:v>166.68170765916233</x:v>
      </x:c>
      <x:c r="P220" s="8" t="n">
        <x:f>N220^2</x:f>
        <x:v>27782.791668174454</x:v>
      </x:c>
      <x:c r="Q220" s="8" t="n">
        <x:f>K220-L220</x:f>
        <x:v>0</x:v>
      </x:c>
      <x:c r="R220" s="9" t="n">
        <x:f>IF(AND(INDEX('Сводка'!$T$3:$T$397,U220)=0,INDEX('Сводка'!$T$3:$T$397,V220)=0),1,0)</x:f>
        <x:v>1</x:v>
      </x:c>
      <x:c r="S220" s="9" t="n">
        <x:f>IF(AND(R220=1,O220&lt;=$G$13),1,0)</x:f>
        <x:v>0</x:v>
      </x:c>
      <x:c r="T220" s="10" t="n">
        <x:f>EOMONTH(J220-'Сводка'!$B$11,-1)</x:f>
        <x:v>46053</x:v>
      </x:c>
      <x:c r="U220" s="4" t="n">
        <x:f>MATCH(J220,'Сводка'!$R$3:$R$397,0)</x:f>
        <x:v>231</x:v>
      </x:c>
      <x:c r="V220" s="4" t="n">
        <x:f>MATCH(J220-'Сводка'!$B$11,'Сводка'!$R$3:$R$397,0)</x:f>
        <x:v>230</x:v>
      </x:c>
      <x:c r="W220" s="4" t="n">
        <x:f>MATCH(T220,$J$388:$J$400,0)</x:f>
        <x:v>8</x:v>
      </x:c>
      <x:c r="X220" s="3"/>
      <x:c r="Y220" s="3"/>
      <x:c r="Z220" s="3"/>
    </x:row>
    <x:row r="221" ht="15" customHeight="1">
      <x:c r="A221" s="3"/>
      <x:c r="B221" s="3"/>
      <x:c r="C221" s="3"/>
      <x:c r="D221" s="3"/>
      <x:c r="E221" s="3"/>
      <x:c r="F221" s="3"/>
      <x:c r="G221" s="3"/>
      <x:c r="H221" s="3"/>
      <x:c r="I221" s="3"/>
      <x:c r="J221" s="10" t="n">
        <x:v>46072</x:v>
      </x:c>
      <x:c r="K221" s="8" t="n">
        <x:f>INDEX('Сводка'!$S$3:$S$397,U221)</x:f>
        <x:v>-42</x:v>
      </x:c>
      <x:c r="L221" s="8" t="n">
        <x:f>INDEX('Сводка'!$S$3:$S$397,V221)</x:f>
        <x:v>-40</x:v>
      </x:c>
      <x:c r="M221" s="8" t="n">
        <x:f>INDEX($K$388:$N$400,W221,1)+INDEX($K$388:$N$400,W221,2)*LN(((J221-$T$405+1)/1000))</x:f>
        <x:v>126.68827834572872</x:v>
      </x:c>
      <x:c r="N221" s="8" t="n">
        <x:f>K221-M221</x:f>
        <x:v>-168.68827834572872</x:v>
      </x:c>
      <x:c r="O221" s="8" t="n">
        <x:f>ABS(N221)</x:f>
        <x:v>168.68827834572872</x:v>
      </x:c>
      <x:c r="P221" s="8" t="n">
        <x:f>N221^2</x:f>
        <x:v>28455.73525124605</x:v>
      </x:c>
      <x:c r="Q221" s="8" t="n">
        <x:f>K221-L221</x:f>
        <x:v>-2</x:v>
      </x:c>
      <x:c r="R221" s="9" t="n">
        <x:f>IF(AND(INDEX('Сводка'!$T$3:$T$397,U221)=0,INDEX('Сводка'!$T$3:$T$397,V221)=0),1,0)</x:f>
        <x:v>1</x:v>
      </x:c>
      <x:c r="S221" s="9" t="n">
        <x:f>IF(AND(R221=1,O221&lt;=$G$13),1,0)</x:f>
        <x:v>0</x:v>
      </x:c>
      <x:c r="T221" s="10" t="n">
        <x:f>EOMONTH(J221-'Сводка'!$B$11,-1)</x:f>
        <x:v>46053</x:v>
      </x:c>
      <x:c r="U221" s="4" t="n">
        <x:f>MATCH(J221,'Сводка'!$R$3:$R$397,0)</x:f>
        <x:v>232</x:v>
      </x:c>
      <x:c r="V221" s="4" t="n">
        <x:f>MATCH(J221-'Сводка'!$B$11,'Сводка'!$R$3:$R$397,0)</x:f>
        <x:v>231</x:v>
      </x:c>
      <x:c r="W221" s="4" t="n">
        <x:f>MATCH(T221,$J$388:$J$400,0)</x:f>
        <x:v>8</x:v>
      </x:c>
      <x:c r="X221" s="3"/>
      <x:c r="Y221" s="3"/>
      <x:c r="Z221" s="3"/>
    </x:row>
    <x:row r="222" ht="15" customHeight="1">
      <x:c r="A222" s="3"/>
      <x:c r="B222" s="3"/>
      <x:c r="C222" s="3"/>
      <x:c r="D222" s="3"/>
      <x:c r="E222" s="3"/>
      <x:c r="F222" s="3"/>
      <x:c r="G222" s="3"/>
      <x:c r="H222" s="3"/>
      <x:c r="I222" s="3"/>
      <x:c r="J222" s="10" t="n">
        <x:v>46073</x:v>
      </x:c>
      <x:c r="K222" s="8" t="n">
        <x:f>INDEX('Сводка'!$S$3:$S$397,U222)</x:f>
        <x:v>-43</x:v>
      </x:c>
      <x:c r="L222" s="8" t="n">
        <x:f>INDEX('Сводка'!$S$3:$S$397,V222)</x:f>
        <x:v>-42</x:v>
      </x:c>
      <x:c r="M222" s="8" t="n">
        <x:f>INDEX($K$388:$N$400,W222,1)+INDEX($K$388:$N$400,W222,2)*LN(((J222-$T$405+1)/1000))</x:f>
        <x:v>126.69484828702356</x:v>
      </x:c>
      <x:c r="N222" s="8" t="n">
        <x:f>K222-M222</x:f>
        <x:v>-169.69484828702355</x:v>
      </x:c>
      <x:c r="O222" s="8" t="n">
        <x:f>ABS(N222)</x:f>
        <x:v>169.69484828702355</x:v>
      </x:c>
      <x:c r="P222" s="8" t="n">
        <x:f>N222^2</x:f>
        <x:v>28796.341535155938</x:v>
      </x:c>
      <x:c r="Q222" s="8" t="n">
        <x:f>K222-L222</x:f>
        <x:v>-1</x:v>
      </x:c>
      <x:c r="R222" s="9" t="n">
        <x:f>IF(AND(INDEX('Сводка'!$T$3:$T$397,U222)=0,INDEX('Сводка'!$T$3:$T$397,V222)=0),1,0)</x:f>
        <x:v>1</x:v>
      </x:c>
      <x:c r="S222" s="9" t="n">
        <x:f>IF(AND(R222=1,O222&lt;=$G$13),1,0)</x:f>
        <x:v>0</x:v>
      </x:c>
      <x:c r="T222" s="10" t="n">
        <x:f>EOMONTH(J222-'Сводка'!$B$11,-1)</x:f>
        <x:v>46053</x:v>
      </x:c>
      <x:c r="U222" s="4" t="n">
        <x:f>MATCH(J222,'Сводка'!$R$3:$R$397,0)</x:f>
        <x:v>233</x:v>
      </x:c>
      <x:c r="V222" s="4" t="n">
        <x:f>MATCH(J222-'Сводка'!$B$11,'Сводка'!$R$3:$R$397,0)</x:f>
        <x:v>232</x:v>
      </x:c>
      <x:c r="W222" s="4" t="n">
        <x:f>MATCH(T222,$J$388:$J$400,0)</x:f>
        <x:v>8</x:v>
      </x:c>
      <x:c r="X222" s="3"/>
      <x:c r="Y222" s="3"/>
      <x:c r="Z222" s="3"/>
    </x:row>
    <x:row r="223" ht="15" customHeight="1">
      <x:c r="A223" s="3"/>
      <x:c r="B223" s="3"/>
      <x:c r="C223" s="3"/>
      <x:c r="D223" s="3"/>
      <x:c r="E223" s="3"/>
      <x:c r="F223" s="3"/>
      <x:c r="G223" s="3"/>
      <x:c r="H223" s="3"/>
      <x:c r="I223" s="3"/>
      <x:c r="J223" s="10" t="n">
        <x:v>46074</x:v>
      </x:c>
      <x:c r="K223" s="8" t="n">
        <x:f>INDEX('Сводка'!$S$3:$S$397,U223)</x:f>
        <x:v>-43</x:v>
      </x:c>
      <x:c r="L223" s="8" t="n">
        <x:f>INDEX('Сводка'!$S$3:$S$397,V223)</x:f>
        <x:v>-43</x:v>
      </x:c>
      <x:c r="M223" s="8" t="n">
        <x:f>INDEX($K$388:$N$400,W223,1)+INDEX($K$388:$N$400,W223,2)*LN(((J223-$T$405+1)/1000))</x:f>
        <x:v>126.70141748321588</x:v>
      </x:c>
      <x:c r="N223" s="8" t="n">
        <x:f>K223-M223</x:f>
        <x:v>-169.7014174832159</x:v>
      </x:c>
      <x:c r="O223" s="8" t="n">
        <x:f>ABS(N223)</x:f>
        <x:v>169.7014174832159</x:v>
      </x:c>
      <x:c r="P223" s="8" t="n">
        <x:f>N223^2</x:f>
        <x:v>28798.57109581273</x:v>
      </x:c>
      <x:c r="Q223" s="8" t="n">
        <x:f>K223-L223</x:f>
        <x:v>0</x:v>
      </x:c>
      <x:c r="R223" s="9" t="n">
        <x:f>IF(AND(INDEX('Сводка'!$T$3:$T$397,U223)=0,INDEX('Сводка'!$T$3:$T$397,V223)=0),1,0)</x:f>
        <x:v>1</x:v>
      </x:c>
      <x:c r="S223" s="9" t="n">
        <x:f>IF(AND(R223=1,O223&lt;=$G$13),1,0)</x:f>
        <x:v>0</x:v>
      </x:c>
      <x:c r="T223" s="10" t="n">
        <x:f>EOMONTH(J223-'Сводка'!$B$11,-1)</x:f>
        <x:v>46053</x:v>
      </x:c>
      <x:c r="U223" s="4" t="n">
        <x:f>MATCH(J223,'Сводка'!$R$3:$R$397,0)</x:f>
        <x:v>234</x:v>
      </x:c>
      <x:c r="V223" s="4" t="n">
        <x:f>MATCH(J223-'Сводка'!$B$11,'Сводка'!$R$3:$R$397,0)</x:f>
        <x:v>233</x:v>
      </x:c>
      <x:c r="W223" s="4" t="n">
        <x:f>MATCH(T223,$J$388:$J$400,0)</x:f>
        <x:v>8</x:v>
      </x:c>
      <x:c r="X223" s="3"/>
      <x:c r="Y223" s="3"/>
      <x:c r="Z223" s="3"/>
    </x:row>
    <x:row r="224" ht="15" customHeight="1">
      <x:c r="A224" s="3"/>
      <x:c r="B224" s="3"/>
      <x:c r="C224" s="3"/>
      <x:c r="D224" s="3"/>
      <x:c r="E224" s="3"/>
      <x:c r="F224" s="3"/>
      <x:c r="G224" s="3"/>
      <x:c r="H224" s="3"/>
      <x:c r="I224" s="3"/>
      <x:c r="J224" s="10" t="n">
        <x:v>46075</x:v>
      </x:c>
      <x:c r="K224" s="8" t="n">
        <x:f>INDEX('Сводка'!$S$3:$S$397,U224)</x:f>
        <x:v>-43</x:v>
      </x:c>
      <x:c r="L224" s="8" t="n">
        <x:f>INDEX('Сводка'!$S$3:$S$397,V224)</x:f>
        <x:v>-43</x:v>
      </x:c>
      <x:c r="M224" s="8" t="n">
        <x:f>INDEX($K$388:$N$400,W224,1)+INDEX($K$388:$N$400,W224,2)*LN(((J224-$T$405+1)/1000))</x:f>
        <x:v>126.70798593447469</x:v>
      </x:c>
      <x:c r="N224" s="8" t="n">
        <x:f>K224-M224</x:f>
        <x:v>-169.7079859344747</x:v>
      </x:c>
      <x:c r="O224" s="8" t="n">
        <x:f>ABS(N224)</x:f>
        <x:v>169.7079859344747</x:v>
      </x:c>
      <x:c r="P224" s="8" t="n">
        <x:f>N224^2</x:f>
        <x:v>28800.80048993586</x:v>
      </x:c>
      <x:c r="Q224" s="8" t="n">
        <x:f>K224-L224</x:f>
        <x:v>0</x:v>
      </x:c>
      <x:c r="R224" s="9" t="n">
        <x:f>IF(AND(INDEX('Сводка'!$T$3:$T$397,U224)=0,INDEX('Сводка'!$T$3:$T$397,V224)=0),1,0)</x:f>
        <x:v>1</x:v>
      </x:c>
      <x:c r="S224" s="9" t="n">
        <x:f>IF(AND(R224=1,O224&lt;=$G$13),1,0)</x:f>
        <x:v>0</x:v>
      </x:c>
      <x:c r="T224" s="10" t="n">
        <x:f>EOMONTH(J224-'Сводка'!$B$11,-1)</x:f>
        <x:v>46053</x:v>
      </x:c>
      <x:c r="U224" s="4" t="n">
        <x:f>MATCH(J224,'Сводка'!$R$3:$R$397,0)</x:f>
        <x:v>235</x:v>
      </x:c>
      <x:c r="V224" s="4" t="n">
        <x:f>MATCH(J224-'Сводка'!$B$11,'Сводка'!$R$3:$R$397,0)</x:f>
        <x:v>234</x:v>
      </x:c>
      <x:c r="W224" s="4" t="n">
        <x:f>MATCH(T224,$J$388:$J$400,0)</x:f>
        <x:v>8</x:v>
      </x:c>
      <x:c r="X224" s="3"/>
      <x:c r="Y224" s="3"/>
      <x:c r="Z224" s="3"/>
    </x:row>
    <x:row r="225" ht="15" customHeight="1">
      <x:c r="A225" s="3"/>
      <x:c r="B225" s="3"/>
      <x:c r="C225" s="3"/>
      <x:c r="D225" s="3"/>
      <x:c r="E225" s="3"/>
      <x:c r="F225" s="3"/>
      <x:c r="G225" s="3"/>
      <x:c r="H225" s="3"/>
      <x:c r="I225" s="3"/>
      <x:c r="J225" s="10" t="n">
        <x:v>46076</x:v>
      </x:c>
      <x:c r="K225" s="8" t="n">
        <x:f>INDEX('Сводка'!$S$3:$S$397,U225)</x:f>
        <x:v>-44</x:v>
      </x:c>
      <x:c r="L225" s="8" t="n">
        <x:f>INDEX('Сводка'!$S$3:$S$397,V225)</x:f>
        <x:v>-43</x:v>
      </x:c>
      <x:c r="M225" s="8" t="n">
        <x:f>INDEX($K$388:$N$400,W225,1)+INDEX($K$388:$N$400,W225,2)*LN(((J225-$T$405+1)/1000))</x:f>
        <x:v>126.71455364096892</x:v>
      </x:c>
      <x:c r="N225" s="8" t="n">
        <x:f>K225-M225</x:f>
        <x:v>-170.71455364096892</x:v>
      </x:c>
      <x:c r="O225" s="8" t="n">
        <x:f>ABS(N225)</x:f>
        <x:v>170.71455364096892</x:v>
      </x:c>
      <x:c r="P225" s="8" t="n">
        <x:f>N225^2</x:f>
        <x:v>29143.458824835252</x:v>
      </x:c>
      <x:c r="Q225" s="8" t="n">
        <x:f>K225-L225</x:f>
        <x:v>-1</x:v>
      </x:c>
      <x:c r="R225" s="9" t="n">
        <x:f>IF(AND(INDEX('Сводка'!$T$3:$T$397,U225)=0,INDEX('Сводка'!$T$3:$T$397,V225)=0),1,0)</x:f>
        <x:v>1</x:v>
      </x:c>
      <x:c r="S225" s="9" t="n">
        <x:f>IF(AND(R225=1,O225&lt;=$G$13),1,0)</x:f>
        <x:v>0</x:v>
      </x:c>
      <x:c r="T225" s="10" t="n">
        <x:f>EOMONTH(J225-'Сводка'!$B$11,-1)</x:f>
        <x:v>46053</x:v>
      </x:c>
      <x:c r="U225" s="4" t="n">
        <x:f>MATCH(J225,'Сводка'!$R$3:$R$397,0)</x:f>
        <x:v>236</x:v>
      </x:c>
      <x:c r="V225" s="4" t="n">
        <x:f>MATCH(J225-'Сводка'!$B$11,'Сводка'!$R$3:$R$397,0)</x:f>
        <x:v>235</x:v>
      </x:c>
      <x:c r="W225" s="4" t="n">
        <x:f>MATCH(T225,$J$388:$J$400,0)</x:f>
        <x:v>8</x:v>
      </x:c>
      <x:c r="X225" s="3"/>
      <x:c r="Y225" s="3"/>
      <x:c r="Z225" s="3"/>
    </x:row>
    <x:row r="226" ht="15" customHeight="1">
      <x:c r="A226" s="3"/>
      <x:c r="B226" s="3"/>
      <x:c r="C226" s="3"/>
      <x:c r="D226" s="3"/>
      <x:c r="E226" s="3"/>
      <x:c r="F226" s="3"/>
      <x:c r="G226" s="3"/>
      <x:c r="H226" s="3"/>
      <x:c r="I226" s="3"/>
      <x:c r="J226" s="10" t="n">
        <x:v>46077</x:v>
      </x:c>
      <x:c r="K226" s="8" t="n">
        <x:f>INDEX('Сводка'!$S$3:$S$397,U226)</x:f>
        <x:v>-46</x:v>
      </x:c>
      <x:c r="L226" s="8" t="n">
        <x:f>INDEX('Сводка'!$S$3:$S$397,V226)</x:f>
        <x:v>-44</x:v>
      </x:c>
      <x:c r="M226" s="8" t="n">
        <x:f>INDEX($K$388:$N$400,W226,1)+INDEX($K$388:$N$400,W226,2)*LN(((J226-$T$405+1)/1000))</x:f>
        <x:v>126.72112060286742</x:v>
      </x:c>
      <x:c r="N226" s="8" t="n">
        <x:f>K226-M226</x:f>
        <x:v>-172.72112060286742</x:v>
      </x:c>
      <x:c r="O226" s="8" t="n">
        <x:f>ABS(N226)</x:f>
        <x:v>172.72112060286742</x:v>
      </x:c>
      <x:c r="P226" s="8" t="n">
        <x:f>N226^2</x:f>
        <x:v>29832.58550231027</x:v>
      </x:c>
      <x:c r="Q226" s="8" t="n">
        <x:f>K226-L226</x:f>
        <x:v>-2</x:v>
      </x:c>
      <x:c r="R226" s="9" t="n">
        <x:f>IF(AND(INDEX('Сводка'!$T$3:$T$397,U226)=0,INDEX('Сводка'!$T$3:$T$397,V226)=0),1,0)</x:f>
        <x:v>1</x:v>
      </x:c>
      <x:c r="S226" s="9" t="n">
        <x:f>IF(AND(R226=1,O226&lt;=$G$13),1,0)</x:f>
        <x:v>0</x:v>
      </x:c>
      <x:c r="T226" s="10" t="n">
        <x:f>EOMONTH(J226-'Сводка'!$B$11,-1)</x:f>
        <x:v>46053</x:v>
      </x:c>
      <x:c r="U226" s="4" t="n">
        <x:f>MATCH(J226,'Сводка'!$R$3:$R$397,0)</x:f>
        <x:v>237</x:v>
      </x:c>
      <x:c r="V226" s="4" t="n">
        <x:f>MATCH(J226-'Сводка'!$B$11,'Сводка'!$R$3:$R$397,0)</x:f>
        <x:v>236</x:v>
      </x:c>
      <x:c r="W226" s="4" t="n">
        <x:f>MATCH(T226,$J$388:$J$400,0)</x:f>
        <x:v>8</x:v>
      </x:c>
      <x:c r="X226" s="3"/>
      <x:c r="Y226" s="3"/>
      <x:c r="Z226" s="3"/>
    </x:row>
    <x:row r="227" ht="15" customHeight="1">
      <x:c r="A227" s="3"/>
      <x:c r="B227" s="3"/>
      <x:c r="C227" s="3"/>
      <x:c r="D227" s="3"/>
      <x:c r="E227" s="3"/>
      <x:c r="F227" s="3"/>
      <x:c r="G227" s="3"/>
      <x:c r="H227" s="3"/>
      <x:c r="I227" s="3"/>
      <x:c r="J227" s="10" t="n">
        <x:v>46078</x:v>
      </x:c>
      <x:c r="K227" s="8" t="n">
        <x:f>INDEX('Сводка'!$S$3:$S$397,U227)</x:f>
        <x:v>-46</x:v>
      </x:c>
      <x:c r="L227" s="8" t="n">
        <x:f>INDEX('Сводка'!$S$3:$S$397,V227)</x:f>
        <x:v>-46</x:v>
      </x:c>
      <x:c r="M227" s="8" t="n">
        <x:f>INDEX($K$388:$N$400,W227,1)+INDEX($K$388:$N$400,W227,2)*LN(((J227-$T$405+1)/1000))</x:f>
        <x:v>126.72768682033902</x:v>
      </x:c>
      <x:c r="N227" s="8" t="n">
        <x:f>K227-M227</x:f>
        <x:v>-172.72768682033902</x:v>
      </x:c>
      <x:c r="O227" s="8" t="n">
        <x:f>ABS(N227)</x:f>
        <x:v>172.72768682033902</x:v>
      </x:c>
      <x:c r="P227" s="8" t="n">
        <x:f>N227^2</x:f>
        <x:v>29834.853794305116</x:v>
      </x:c>
      <x:c r="Q227" s="8" t="n">
        <x:f>K227-L227</x:f>
        <x:v>0</x:v>
      </x:c>
      <x:c r="R227" s="9" t="n">
        <x:f>IF(AND(INDEX('Сводка'!$T$3:$T$397,U227)=0,INDEX('Сводка'!$T$3:$T$397,V227)=0),1,0)</x:f>
        <x:v>1</x:v>
      </x:c>
      <x:c r="S227" s="9" t="n">
        <x:f>IF(AND(R227=1,O227&lt;=$G$13),1,0)</x:f>
        <x:v>0</x:v>
      </x:c>
      <x:c r="T227" s="10" t="n">
        <x:f>EOMONTH(J227-'Сводка'!$B$11,-1)</x:f>
        <x:v>46053</x:v>
      </x:c>
      <x:c r="U227" s="4" t="n">
        <x:f>MATCH(J227,'Сводка'!$R$3:$R$397,0)</x:f>
        <x:v>238</x:v>
      </x:c>
      <x:c r="V227" s="4" t="n">
        <x:f>MATCH(J227-'Сводка'!$B$11,'Сводка'!$R$3:$R$397,0)</x:f>
        <x:v>237</x:v>
      </x:c>
      <x:c r="W227" s="4" t="n">
        <x:f>MATCH(T227,$J$388:$J$400,0)</x:f>
        <x:v>8</x:v>
      </x:c>
      <x:c r="X227" s="3"/>
      <x:c r="Y227" s="3"/>
      <x:c r="Z227" s="3"/>
    </x:row>
    <x:row r="228" ht="15" customHeight="1">
      <x:c r="A228" s="3"/>
      <x:c r="B228" s="3"/>
      <x:c r="C228" s="3"/>
      <x:c r="D228" s="3"/>
      <x:c r="E228" s="3"/>
      <x:c r="F228" s="3"/>
      <x:c r="G228" s="3"/>
      <x:c r="H228" s="3"/>
      <x:c r="I228" s="3"/>
      <x:c r="J228" s="10" t="n">
        <x:v>46079</x:v>
      </x:c>
      <x:c r="K228" s="8" t="n">
        <x:f>INDEX('Сводка'!$S$3:$S$397,U228)</x:f>
        <x:v>-48</x:v>
      </x:c>
      <x:c r="L228" s="8" t="n">
        <x:f>INDEX('Сводка'!$S$3:$S$397,V228)</x:f>
        <x:v>-46</x:v>
      </x:c>
      <x:c r="M228" s="8" t="n">
        <x:f>INDEX($K$388:$N$400,W228,1)+INDEX($K$388:$N$400,W228,2)*LN(((J228-$T$405+1)/1000))</x:f>
        <x:v>126.7342522935525</x:v>
      </x:c>
      <x:c r="N228" s="8" t="n">
        <x:f>K228-M228</x:f>
        <x:v>-174.73425229355252</x:v>
      </x:c>
      <x:c r="O228" s="8" t="n">
        <x:f>ABS(N228)</x:f>
        <x:v>174.73425229355252</x:v>
      </x:c>
      <x:c r="P228" s="8" t="n">
        <x:f>N228^2</x:f>
        <x:v>30532.05892458686</x:v>
      </x:c>
      <x:c r="Q228" s="8" t="n">
        <x:f>K228-L228</x:f>
        <x:v>-2</x:v>
      </x:c>
      <x:c r="R228" s="9" t="n">
        <x:f>IF(AND(INDEX('Сводка'!$T$3:$T$397,U228)=0,INDEX('Сводка'!$T$3:$T$397,V228)=0),1,0)</x:f>
        <x:v>1</x:v>
      </x:c>
      <x:c r="S228" s="9" t="n">
        <x:f>IF(AND(R228=1,O228&lt;=$G$13),1,0)</x:f>
        <x:v>0</x:v>
      </x:c>
      <x:c r="T228" s="10" t="n">
        <x:f>EOMONTH(J228-'Сводка'!$B$11,-1)</x:f>
        <x:v>46053</x:v>
      </x:c>
      <x:c r="U228" s="4" t="n">
        <x:f>MATCH(J228,'Сводка'!$R$3:$R$397,0)</x:f>
        <x:v>239</x:v>
      </x:c>
      <x:c r="V228" s="4" t="n">
        <x:f>MATCH(J228-'Сводка'!$B$11,'Сводка'!$R$3:$R$397,0)</x:f>
        <x:v>238</x:v>
      </x:c>
      <x:c r="W228" s="4" t="n">
        <x:f>MATCH(T228,$J$388:$J$400,0)</x:f>
        <x:v>8</x:v>
      </x:c>
      <x:c r="X228" s="3"/>
      <x:c r="Y228" s="3"/>
      <x:c r="Z228" s="3"/>
    </x:row>
    <x:row r="229" ht="15" customHeight="1">
      <x:c r="A229" s="3"/>
      <x:c r="B229" s="3"/>
      <x:c r="C229" s="3"/>
      <x:c r="D229" s="3"/>
      <x:c r="E229" s="3"/>
      <x:c r="F229" s="3"/>
      <x:c r="G229" s="3"/>
      <x:c r="H229" s="3"/>
      <x:c r="I229" s="3"/>
      <x:c r="J229" s="10" t="n">
        <x:v>46080</x:v>
      </x:c>
      <x:c r="K229" s="8" t="n">
        <x:f>INDEX('Сводка'!$S$3:$S$397,U229)</x:f>
        <x:v>-51</x:v>
      </x:c>
      <x:c r="L229" s="8" t="n">
        <x:f>INDEX('Сводка'!$S$3:$S$397,V229)</x:f>
        <x:v>-48</x:v>
      </x:c>
      <x:c r="M229" s="8" t="n">
        <x:f>INDEX($K$388:$N$400,W229,1)+INDEX($K$388:$N$400,W229,2)*LN(((J229-$T$405+1)/1000))</x:f>
        <x:v>126.74081702267651</x:v>
      </x:c>
      <x:c r="N229" s="8" t="n">
        <x:f>K229-M229</x:f>
        <x:v>-177.7408170226765</x:v>
      </x:c>
      <x:c r="O229" s="8" t="n">
        <x:f>ABS(N229)</x:f>
        <x:v>177.7408170226765</x:v>
      </x:c>
      <x:c r="P229" s="8" t="n">
        <x:f>N229^2</x:f>
        <x:v>31591.798035888572</x:v>
      </x:c>
      <x:c r="Q229" s="8" t="n">
        <x:f>K229-L229</x:f>
        <x:v>-3</x:v>
      </x:c>
      <x:c r="R229" s="9" t="n">
        <x:f>IF(AND(INDEX('Сводка'!$T$3:$T$397,U229)=0,INDEX('Сводка'!$T$3:$T$397,V229)=0),1,0)</x:f>
        <x:v>1</x:v>
      </x:c>
      <x:c r="S229" s="9" t="n">
        <x:f>IF(AND(R229=1,O229&lt;=$G$13),1,0)</x:f>
        <x:v>0</x:v>
      </x:c>
      <x:c r="T229" s="10" t="n">
        <x:f>EOMONTH(J229-'Сводка'!$B$11,-1)</x:f>
        <x:v>46053</x:v>
      </x:c>
      <x:c r="U229" s="4" t="n">
        <x:f>MATCH(J229,'Сводка'!$R$3:$R$397,0)</x:f>
        <x:v>240</x:v>
      </x:c>
      <x:c r="V229" s="4" t="n">
        <x:f>MATCH(J229-'Сводка'!$B$11,'Сводка'!$R$3:$R$397,0)</x:f>
        <x:v>239</x:v>
      </x:c>
      <x:c r="W229" s="4" t="n">
        <x:f>MATCH(T229,$J$388:$J$400,0)</x:f>
        <x:v>8</x:v>
      </x:c>
      <x:c r="X229" s="3"/>
      <x:c r="Y229" s="3"/>
      <x:c r="Z229" s="3"/>
    </x:row>
    <x:row r="230" ht="15" customHeight="1">
      <x:c r="A230" s="3"/>
      <x:c r="B230" s="3"/>
      <x:c r="C230" s="3"/>
      <x:c r="D230" s="3"/>
      <x:c r="E230" s="3"/>
      <x:c r="F230" s="3"/>
      <x:c r="G230" s="3"/>
      <x:c r="H230" s="3"/>
      <x:c r="I230" s="3"/>
      <x:c r="J230" s="10" t="n">
        <x:v>46081</x:v>
      </x:c>
      <x:c r="K230" s="8" t="n">
        <x:f>INDEX('Сводка'!$S$3:$S$397,U230)</x:f>
        <x:v>-54</x:v>
      </x:c>
      <x:c r="L230" s="8" t="n">
        <x:f>INDEX('Сводка'!$S$3:$S$397,V230)</x:f>
        <x:v>-51</x:v>
      </x:c>
      <x:c r="M230" s="8" t="n">
        <x:f>INDEX($K$388:$N$400,W230,1)+INDEX($K$388:$N$400,W230,2)*LN(((J230-$T$405+1)/1000))</x:f>
        <x:v>126.74738100787971</x:v>
      </x:c>
      <x:c r="N230" s="8" t="n">
        <x:f>K230-M230</x:f>
        <x:v>-180.7473810078797</x:v>
      </x:c>
      <x:c r="O230" s="8" t="n">
        <x:f>ABS(N230)</x:f>
        <x:v>180.7473810078797</x:v>
      </x:c>
      <x:c r="P230" s="8" t="n">
        <x:f>N230^2</x:f>
        <x:v>32669.615741207635</x:v>
      </x:c>
      <x:c r="Q230" s="8" t="n">
        <x:f>K230-L230</x:f>
        <x:v>-3</x:v>
      </x:c>
      <x:c r="R230" s="9" t="n">
        <x:f>IF(AND(INDEX('Сводка'!$T$3:$T$397,U230)=0,INDEX('Сводка'!$T$3:$T$397,V230)=0),1,0)</x:f>
        <x:v>1</x:v>
      </x:c>
      <x:c r="S230" s="9" t="n">
        <x:f>IF(AND(R230=1,O230&lt;=$G$13),1,0)</x:f>
        <x:v>0</x:v>
      </x:c>
      <x:c r="T230" s="10" t="n">
        <x:f>EOMONTH(J230-'Сводка'!$B$11,-1)</x:f>
        <x:v>46053</x:v>
      </x:c>
      <x:c r="U230" s="4" t="n">
        <x:f>MATCH(J230,'Сводка'!$R$3:$R$397,0)</x:f>
        <x:v>241</x:v>
      </x:c>
      <x:c r="V230" s="4" t="n">
        <x:f>MATCH(J230-'Сводка'!$B$11,'Сводка'!$R$3:$R$397,0)</x:f>
        <x:v>240</x:v>
      </x:c>
      <x:c r="W230" s="4" t="n">
        <x:f>MATCH(T230,$J$388:$J$400,0)</x:f>
        <x:v>8</x:v>
      </x:c>
      <x:c r="X230" s="3"/>
      <x:c r="Y230" s="3"/>
      <x:c r="Z230" s="3"/>
    </x:row>
    <x:row r="231" ht="15" customHeight="1">
      <x:c r="A231" s="3"/>
      <x:c r="B231" s="3"/>
      <x:c r="C231" s="3"/>
      <x:c r="D231" s="3"/>
      <x:c r="E231" s="3"/>
      <x:c r="F231" s="3"/>
      <x:c r="G231" s="3"/>
      <x:c r="H231" s="3"/>
      <x:c r="I231" s="3"/>
      <x:c r="J231" s="10" t="n">
        <x:v>46082</x:v>
      </x:c>
      <x:c r="K231" s="8" t="n">
        <x:f>INDEX('Сводка'!$S$3:$S$397,U231)</x:f>
        <x:v>-55</x:v>
      </x:c>
      <x:c r="L231" s="8" t="n">
        <x:f>INDEX('Сводка'!$S$3:$S$397,V231)</x:f>
        <x:v>-54</x:v>
      </x:c>
      <x:c r="M231" s="8" t="n">
        <x:f>INDEX($K$388:$N$400,W231,1)+INDEX($K$388:$N$400,W231,2)*LN(((J231-$T$405+1)/1000))</x:f>
        <x:v>126.75394424933073</x:v>
      </x:c>
      <x:c r="N231" s="8" t="n">
        <x:f>K231-M231</x:f>
        <x:v>-181.75394424933074</x:v>
      </x:c>
      <x:c r="O231" s="8" t="n">
        <x:f>ABS(N231)</x:f>
        <x:v>181.75394424933074</x:v>
      </x:c>
      <x:c r="P231" s="8" t="n">
        <x:f>N231^2</x:f>
        <x:v>33034.49625018883</x:v>
      </x:c>
      <x:c r="Q231" s="8" t="n">
        <x:f>K231-L231</x:f>
        <x:v>-1</x:v>
      </x:c>
      <x:c r="R231" s="9" t="n">
        <x:f>IF(AND(INDEX('Сводка'!$T$3:$T$397,U231)=0,INDEX('Сводка'!$T$3:$T$397,V231)=0),1,0)</x:f>
        <x:v>1</x:v>
      </x:c>
      <x:c r="S231" s="9" t="n">
        <x:f>IF(AND(R231=1,O231&lt;=$G$13),1,0)</x:f>
        <x:v>0</x:v>
      </x:c>
      <x:c r="T231" s="10" t="n">
        <x:f>EOMONTH(J231-'Сводка'!$B$11,-1)</x:f>
        <x:v>46053</x:v>
      </x:c>
      <x:c r="U231" s="4" t="n">
        <x:f>MATCH(J231,'Сводка'!$R$3:$R$397,0)</x:f>
        <x:v>242</x:v>
      </x:c>
      <x:c r="V231" s="4" t="n">
        <x:f>MATCH(J231-'Сводка'!$B$11,'Сводка'!$R$3:$R$397,0)</x:f>
        <x:v>241</x:v>
      </x:c>
      <x:c r="W231" s="4" t="n">
        <x:f>MATCH(T231,$J$388:$J$400,0)</x:f>
        <x:v>8</x:v>
      </x:c>
      <x:c r="X231" s="3"/>
      <x:c r="Y231" s="3"/>
      <x:c r="Z231" s="3"/>
    </x:row>
    <x:row r="232" ht="15" customHeight="1">
      <x:c r="A232" s="3"/>
      <x:c r="B232" s="3"/>
      <x:c r="C232" s="3"/>
      <x:c r="D232" s="3"/>
      <x:c r="E232" s="3"/>
      <x:c r="F232" s="3"/>
      <x:c r="G232" s="3"/>
      <x:c r="H232" s="3"/>
      <x:c r="I232" s="3"/>
      <x:c r="J232" s="10" t="n">
        <x:v>46083</x:v>
      </x:c>
      <x:c r="K232" s="8" t="n">
        <x:f>INDEX('Сводка'!$S$3:$S$397,U232)</x:f>
        <x:v>-57</x:v>
      </x:c>
      <x:c r="L232" s="8" t="n">
        <x:f>INDEX('Сводка'!$S$3:$S$397,V232)</x:f>
        <x:v>-55</x:v>
      </x:c>
      <x:c r="M232" s="8" t="n">
        <x:f>INDEX($K$388:$N$400,W232,1)+INDEX($K$388:$N$400,W232,2)*LN(((J232-$T$405+1)/1000))</x:f>
        <x:v>125.62047422938016</x:v>
      </x:c>
      <x:c r="N232" s="8" t="n">
        <x:f>K232-M232</x:f>
        <x:v>-182.62047422938016</x:v>
      </x:c>
      <x:c r="O232" s="8" t="n">
        <x:f>ABS(N232)</x:f>
        <x:v>182.62047422938016</x:v>
      </x:c>
      <x:c r="P232" s="8" t="n">
        <x:f>N232^2</x:f>
        <x:v>33350.2376077637</x:v>
      </x:c>
      <x:c r="Q232" s="8" t="n">
        <x:f>K232-L232</x:f>
        <x:v>-2</x:v>
      </x:c>
      <x:c r="R232" s="9" t="n">
        <x:f>IF(AND(INDEX('Сводка'!$T$3:$T$397,U232)=0,INDEX('Сводка'!$T$3:$T$397,V232)=0),1,0)</x:f>
        <x:v>1</x:v>
      </x:c>
      <x:c r="S232" s="9" t="n">
        <x:f>IF(AND(R232=1,O232&lt;=$G$13),1,0)</x:f>
        <x:v>0</x:v>
      </x:c>
      <x:c r="T232" s="10" t="n">
        <x:f>EOMONTH(J232-'Сводка'!$B$11,-1)</x:f>
        <x:v>46081</x:v>
      </x:c>
      <x:c r="U232" s="4" t="n">
        <x:f>MATCH(J232,'Сводка'!$R$3:$R$397,0)</x:f>
        <x:v>243</x:v>
      </x:c>
      <x:c r="V232" s="4" t="n">
        <x:f>MATCH(J232-'Сводка'!$B$11,'Сводка'!$R$3:$R$397,0)</x:f>
        <x:v>242</x:v>
      </x:c>
      <x:c r="W232" s="4" t="n">
        <x:f>MATCH(T232,$J$388:$J$400,0)</x:f>
        <x:v>9</x:v>
      </x:c>
      <x:c r="X232" s="3"/>
      <x:c r="Y232" s="3"/>
      <x:c r="Z232" s="3"/>
    </x:row>
    <x:row r="233" ht="15" customHeight="1">
      <x:c r="A233" s="3"/>
      <x:c r="B233" s="3"/>
      <x:c r="C233" s="3"/>
      <x:c r="D233" s="3"/>
      <x:c r="E233" s="3"/>
      <x:c r="F233" s="3"/>
      <x:c r="G233" s="3"/>
      <x:c r="H233" s="3"/>
      <x:c r="I233" s="3"/>
      <x:c r="J233" s="10" t="n">
        <x:v>46084</x:v>
      </x:c>
      <x:c r="K233" s="8" t="n">
        <x:f>INDEX('Сводка'!$S$3:$S$397,U233)</x:f>
        <x:v>-58</x:v>
      </x:c>
      <x:c r="L233" s="8" t="n">
        <x:f>INDEX('Сводка'!$S$3:$S$397,V233)</x:f>
        <x:v>-57</x:v>
      </x:c>
      <x:c r="M233" s="8" t="n">
        <x:f>INDEX($K$388:$N$400,W233,1)+INDEX($K$388:$N$400,W233,2)*LN(((J233-$T$405+1)/1000))</x:f>
        <x:v>125.62697122734598</x:v>
      </x:c>
      <x:c r="N233" s="8" t="n">
        <x:f>K233-M233</x:f>
        <x:v>-183.62697122734596</x:v>
      </x:c>
      <x:c r="O233" s="8" t="n">
        <x:f>ABS(N233)</x:f>
        <x:v>183.62697122734596</x:v>
      </x:c>
      <x:c r="P233" s="8" t="n">
        <x:f>N233^2</x:f>
        <x:v>33718.86456212854</x:v>
      </x:c>
      <x:c r="Q233" s="8" t="n">
        <x:f>K233-L233</x:f>
        <x:v>-1</x:v>
      </x:c>
      <x:c r="R233" s="9" t="n">
        <x:f>IF(AND(INDEX('Сводка'!$T$3:$T$397,U233)=0,INDEX('Сводка'!$T$3:$T$397,V233)=0),1,0)</x:f>
        <x:v>1</x:v>
      </x:c>
      <x:c r="S233" s="9" t="n">
        <x:f>IF(AND(R233=1,O233&lt;=$G$13),1,0)</x:f>
        <x:v>0</x:v>
      </x:c>
      <x:c r="T233" s="10" t="n">
        <x:f>EOMONTH(J233-'Сводка'!$B$11,-1)</x:f>
        <x:v>46081</x:v>
      </x:c>
      <x:c r="U233" s="4" t="n">
        <x:f>MATCH(J233,'Сводка'!$R$3:$R$397,0)</x:f>
        <x:v>244</x:v>
      </x:c>
      <x:c r="V233" s="4" t="n">
        <x:f>MATCH(J233-'Сводка'!$B$11,'Сводка'!$R$3:$R$397,0)</x:f>
        <x:v>243</x:v>
      </x:c>
      <x:c r="W233" s="4" t="n">
        <x:f>MATCH(T233,$J$388:$J$400,0)</x:f>
        <x:v>9</x:v>
      </x:c>
      <x:c r="X233" s="3"/>
      <x:c r="Y233" s="3"/>
      <x:c r="Z233" s="3"/>
    </x:row>
    <x:row r="234" ht="15" customHeight="1">
      <x:c r="A234" s="3"/>
      <x:c r="B234" s="3"/>
      <x:c r="C234" s="3"/>
      <x:c r="D234" s="3"/>
      <x:c r="E234" s="3"/>
      <x:c r="F234" s="3"/>
      <x:c r="G234" s="3"/>
      <x:c r="H234" s="3"/>
      <x:c r="I234" s="3"/>
      <x:c r="J234" s="10" t="n">
        <x:v>46085</x:v>
      </x:c>
      <x:c r="K234" s="8" t="n">
        <x:f>INDEX('Сводка'!$S$3:$S$397,U234)</x:f>
        <x:v>-58</x:v>
      </x:c>
      <x:c r="L234" s="8" t="n">
        <x:f>INDEX('Сводка'!$S$3:$S$397,V234)</x:f>
        <x:v>-58</x:v>
      </x:c>
      <x:c r="M234" s="8" t="n">
        <x:f>INDEX($K$388:$N$400,W234,1)+INDEX($K$388:$N$400,W234,2)*LN(((J234-$T$405+1)/1000))</x:f>
        <x:v>125.63346748939992</x:v>
      </x:c>
      <x:c r="N234" s="8" t="n">
        <x:f>K234-M234</x:f>
        <x:v>-183.63346748939992</x:v>
      </x:c>
      <x:c r="O234" s="8" t="n">
        <x:f>ABS(N234)</x:f>
        <x:v>183.63346748939992</x:v>
      </x:c>
      <x:c r="P234" s="8" t="n">
        <x:f>N234^2</x:f>
        <x:v>33721.2503821805</x:v>
      </x:c>
      <x:c r="Q234" s="8" t="n">
        <x:f>K234-L234</x:f>
        <x:v>0</x:v>
      </x:c>
      <x:c r="R234" s="9" t="n">
        <x:f>IF(AND(INDEX('Сводка'!$T$3:$T$397,U234)=0,INDEX('Сводка'!$T$3:$T$397,V234)=0),1,0)</x:f>
        <x:v>1</x:v>
      </x:c>
      <x:c r="S234" s="9" t="n">
        <x:f>IF(AND(R234=1,O234&lt;=$G$13),1,0)</x:f>
        <x:v>0</x:v>
      </x:c>
      <x:c r="T234" s="10" t="n">
        <x:f>EOMONTH(J234-'Сводка'!$B$11,-1)</x:f>
        <x:v>46081</x:v>
      </x:c>
      <x:c r="U234" s="4" t="n">
        <x:f>MATCH(J234,'Сводка'!$R$3:$R$397,0)</x:f>
        <x:v>245</x:v>
      </x:c>
      <x:c r="V234" s="4" t="n">
        <x:f>MATCH(J234-'Сводка'!$B$11,'Сводка'!$R$3:$R$397,0)</x:f>
        <x:v>244</x:v>
      </x:c>
      <x:c r="W234" s="4" t="n">
        <x:f>MATCH(T234,$J$388:$J$400,0)</x:f>
        <x:v>9</x:v>
      </x:c>
      <x:c r="X234" s="3"/>
      <x:c r="Y234" s="3"/>
      <x:c r="Z234" s="3"/>
    </x:row>
    <x:row r="235" ht="15" customHeight="1">
      <x:c r="A235" s="3"/>
      <x:c r="B235" s="3"/>
      <x:c r="C235" s="3"/>
      <x:c r="D235" s="3"/>
      <x:c r="E235" s="3"/>
      <x:c r="F235" s="3"/>
      <x:c r="G235" s="3"/>
      <x:c r="H235" s="3"/>
      <x:c r="I235" s="3"/>
      <x:c r="J235" s="10" t="n">
        <x:v>46086</x:v>
      </x:c>
      <x:c r="K235" s="8" t="n">
        <x:f>INDEX('Сводка'!$S$3:$S$397,U235)</x:f>
        <x:v>-58</x:v>
      </x:c>
      <x:c r="L235" s="8" t="n">
        <x:f>INDEX('Сводка'!$S$3:$S$397,V235)</x:f>
        <x:v>-58</x:v>
      </x:c>
      <x:c r="M235" s="8" t="n">
        <x:f>INDEX($K$388:$N$400,W235,1)+INDEX($K$388:$N$400,W235,2)*LN(((J235-$T$405+1)/1000))</x:f>
        <x:v>125.63996301570869</x:v>
      </x:c>
      <x:c r="N235" s="8" t="n">
        <x:f>K235-M235</x:f>
        <x:v>-183.6399630157087</x:v>
      </x:c>
      <x:c r="O235" s="8" t="n">
        <x:f>ABS(N235)</x:f>
        <x:v>183.6399630157087</x:v>
      </x:c>
      <x:c r="P235" s="8" t="n">
        <x:f>N235^2</x:f>
        <x:v>33723.63601641086</x:v>
      </x:c>
      <x:c r="Q235" s="8" t="n">
        <x:f>K235-L235</x:f>
        <x:v>0</x:v>
      </x:c>
      <x:c r="R235" s="9" t="n">
        <x:f>IF(AND(INDEX('Сводка'!$T$3:$T$397,U235)=0,INDEX('Сводка'!$T$3:$T$397,V235)=0),1,0)</x:f>
        <x:v>1</x:v>
      </x:c>
      <x:c r="S235" s="9" t="n">
        <x:f>IF(AND(R235=1,O235&lt;=$G$13),1,0)</x:f>
        <x:v>0</x:v>
      </x:c>
      <x:c r="T235" s="10" t="n">
        <x:f>EOMONTH(J235-'Сводка'!$B$11,-1)</x:f>
        <x:v>46081</x:v>
      </x:c>
      <x:c r="U235" s="4" t="n">
        <x:f>MATCH(J235,'Сводка'!$R$3:$R$397,0)</x:f>
        <x:v>246</x:v>
      </x:c>
      <x:c r="V235" s="4" t="n">
        <x:f>MATCH(J235-'Сводка'!$B$11,'Сводка'!$R$3:$R$397,0)</x:f>
        <x:v>245</x:v>
      </x:c>
      <x:c r="W235" s="4" t="n">
        <x:f>MATCH(T235,$J$388:$J$400,0)</x:f>
        <x:v>9</x:v>
      </x:c>
      <x:c r="X235" s="3"/>
      <x:c r="Y235" s="3"/>
      <x:c r="Z235" s="3"/>
    </x:row>
    <x:row r="236" ht="15" customHeight="1">
      <x:c r="A236" s="3"/>
      <x:c r="B236" s="3"/>
      <x:c r="C236" s="3"/>
      <x:c r="D236" s="3"/>
      <x:c r="E236" s="3"/>
      <x:c r="F236" s="3"/>
      <x:c r="G236" s="3"/>
      <x:c r="H236" s="3"/>
      <x:c r="I236" s="3"/>
      <x:c r="J236" s="10" t="n">
        <x:v>46087</x:v>
      </x:c>
      <x:c r="K236" s="8" t="n">
        <x:f>INDEX('Сводка'!$S$3:$S$397,U236)</x:f>
        <x:v>-57</x:v>
      </x:c>
      <x:c r="L236" s="8" t="n">
        <x:f>INDEX('Сводка'!$S$3:$S$397,V236)</x:f>
        <x:v>-58</x:v>
      </x:c>
      <x:c r="M236" s="8" t="n">
        <x:f>INDEX($K$388:$N$400,W236,1)+INDEX($K$388:$N$400,W236,2)*LN(((J236-$T$405+1)/1000))</x:f>
        <x:v>125.64645780643889</x:v>
      </x:c>
      <x:c r="N236" s="8" t="n">
        <x:f>K236-M236</x:f>
        <x:v>-182.6464578064389</x:v>
      </x:c>
      <x:c r="O236" s="8" t="n">
        <x:f>ABS(N236)</x:f>
        <x:v>182.6464578064389</x:v>
      </x:c>
      <x:c r="P236" s="8" t="n">
        <x:f>N236^2</x:f>
        <x:v>33359.72854923926</x:v>
      </x:c>
      <x:c r="Q236" s="8" t="n">
        <x:f>K236-L236</x:f>
        <x:v>1</x:v>
      </x:c>
      <x:c r="R236" s="9" t="n">
        <x:f>IF(AND(INDEX('Сводка'!$T$3:$T$397,U236)=0,INDEX('Сводка'!$T$3:$T$397,V236)=0),1,0)</x:f>
        <x:v>1</x:v>
      </x:c>
      <x:c r="S236" s="9" t="n">
        <x:f>IF(AND(R236=1,O236&lt;=$G$13),1,0)</x:f>
        <x:v>0</x:v>
      </x:c>
      <x:c r="T236" s="10" t="n">
        <x:f>EOMONTH(J236-'Сводка'!$B$11,-1)</x:f>
        <x:v>46081</x:v>
      </x:c>
      <x:c r="U236" s="4" t="n">
        <x:f>MATCH(J236,'Сводка'!$R$3:$R$397,0)</x:f>
        <x:v>247</x:v>
      </x:c>
      <x:c r="V236" s="4" t="n">
        <x:f>MATCH(J236-'Сводка'!$B$11,'Сводка'!$R$3:$R$397,0)</x:f>
        <x:v>246</x:v>
      </x:c>
      <x:c r="W236" s="4" t="n">
        <x:f>MATCH(T236,$J$388:$J$400,0)</x:f>
        <x:v>9</x:v>
      </x:c>
      <x:c r="X236" s="3"/>
      <x:c r="Y236" s="3"/>
      <x:c r="Z236" s="3"/>
    </x:row>
    <x:row r="237" ht="15" customHeight="1">
      <x:c r="A237" s="3"/>
      <x:c r="B237" s="3"/>
      <x:c r="C237" s="3"/>
      <x:c r="D237" s="3"/>
      <x:c r="E237" s="3"/>
      <x:c r="F237" s="3"/>
      <x:c r="G237" s="3"/>
      <x:c r="H237" s="3"/>
      <x:c r="I237" s="3"/>
      <x:c r="J237" s="10" t="n">
        <x:v>46088</x:v>
      </x:c>
      <x:c r="K237" s="8" t="n">
        <x:f>INDEX('Сводка'!$S$3:$S$397,U237)</x:f>
        <x:v>-57</x:v>
      </x:c>
      <x:c r="L237" s="8" t="n">
        <x:f>INDEX('Сводка'!$S$3:$S$397,V237)</x:f>
        <x:v>-57</x:v>
      </x:c>
      <x:c r="M237" s="8" t="n">
        <x:f>INDEX($K$388:$N$400,W237,1)+INDEX($K$388:$N$400,W237,2)*LN(((J237-$T$405+1)/1000))</x:f>
        <x:v>125.65295186175717</x:v>
      </x:c>
      <x:c r="N237" s="8" t="n">
        <x:f>K237-M237</x:f>
        <x:v>-182.65295186175717</x:v>
      </x:c>
      <x:c r="O237" s="8" t="n">
        <x:f>ABS(N237)</x:f>
        <x:v>182.65295186175717</x:v>
      </x:c>
      <x:c r="P237" s="8" t="n">
        <x:f>N237^2</x:f>
        <x:v>33362.10082381338</x:v>
      </x:c>
      <x:c r="Q237" s="8" t="n">
        <x:f>K237-L237</x:f>
        <x:v>0</x:v>
      </x:c>
      <x:c r="R237" s="9" t="n">
        <x:f>IF(AND(INDEX('Сводка'!$T$3:$T$397,U237)=0,INDEX('Сводка'!$T$3:$T$397,V237)=0),1,0)</x:f>
        <x:v>1</x:v>
      </x:c>
      <x:c r="S237" s="9" t="n">
        <x:f>IF(AND(R237=1,O237&lt;=$G$13),1,0)</x:f>
        <x:v>0</x:v>
      </x:c>
      <x:c r="T237" s="10" t="n">
        <x:f>EOMONTH(J237-'Сводка'!$B$11,-1)</x:f>
        <x:v>46081</x:v>
      </x:c>
      <x:c r="U237" s="4" t="n">
        <x:f>MATCH(J237,'Сводка'!$R$3:$R$397,0)</x:f>
        <x:v>248</x:v>
      </x:c>
      <x:c r="V237" s="4" t="n">
        <x:f>MATCH(J237-'Сводка'!$B$11,'Сводка'!$R$3:$R$397,0)</x:f>
        <x:v>247</x:v>
      </x:c>
      <x:c r="W237" s="4" t="n">
        <x:f>MATCH(T237,$J$388:$J$400,0)</x:f>
        <x:v>9</x:v>
      </x:c>
      <x:c r="X237" s="3"/>
      <x:c r="Y237" s="3"/>
      <x:c r="Z237" s="3"/>
    </x:row>
    <x:row r="238" ht="15" customHeight="1">
      <x:c r="A238" s="3"/>
      <x:c r="B238" s="3"/>
      <x:c r="C238" s="3"/>
      <x:c r="D238" s="3"/>
      <x:c r="E238" s="3"/>
      <x:c r="F238" s="3"/>
      <x:c r="G238" s="3"/>
      <x:c r="H238" s="3"/>
      <x:c r="I238" s="3"/>
      <x:c r="J238" s="10" t="n">
        <x:v>46089</x:v>
      </x:c>
      <x:c r="K238" s="8" t="n">
        <x:f>INDEX('Сводка'!$S$3:$S$397,U238)</x:f>
        <x:v>-59</x:v>
      </x:c>
      <x:c r="L238" s="8" t="n">
        <x:f>INDEX('Сводка'!$S$3:$S$397,V238)</x:f>
        <x:v>-57</x:v>
      </x:c>
      <x:c r="M238" s="8" t="n">
        <x:f>INDEX($K$388:$N$400,W238,1)+INDEX($K$388:$N$400,W238,2)*LN(((J238-$T$405+1)/1000))</x:f>
        <x:v>125.65944518182997</x:v>
      </x:c>
      <x:c r="N238" s="8" t="n">
        <x:f>K238-M238</x:f>
        <x:v>-184.65944518182997</x:v>
      </x:c>
      <x:c r="O238" s="8" t="n">
        <x:f>ABS(N238)</x:f>
        <x:v>184.65944518182997</x:v>
      </x:c>
      <x:c r="P238" s="8" t="n">
        <x:f>N238^2</x:f>
        <x:v>34099.110694861265</x:v>
      </x:c>
      <x:c r="Q238" s="8" t="n">
        <x:f>K238-L238</x:f>
        <x:v>-2</x:v>
      </x:c>
      <x:c r="R238" s="9" t="n">
        <x:f>IF(AND(INDEX('Сводка'!$T$3:$T$397,U238)=0,INDEX('Сводка'!$T$3:$T$397,V238)=0),1,0)</x:f>
        <x:v>1</x:v>
      </x:c>
      <x:c r="S238" s="9" t="n">
        <x:f>IF(AND(R238=1,O238&lt;=$G$13),1,0)</x:f>
        <x:v>0</x:v>
      </x:c>
      <x:c r="T238" s="10" t="n">
        <x:f>EOMONTH(J238-'Сводка'!$B$11,-1)</x:f>
        <x:v>46081</x:v>
      </x:c>
      <x:c r="U238" s="4" t="n">
        <x:f>MATCH(J238,'Сводка'!$R$3:$R$397,0)</x:f>
        <x:v>249</x:v>
      </x:c>
      <x:c r="V238" s="4" t="n">
        <x:f>MATCH(J238-'Сводка'!$B$11,'Сводка'!$R$3:$R$397,0)</x:f>
        <x:v>248</x:v>
      </x:c>
      <x:c r="W238" s="4" t="n">
        <x:f>MATCH(T238,$J$388:$J$400,0)</x:f>
        <x:v>9</x:v>
      </x:c>
      <x:c r="X238" s="3"/>
      <x:c r="Y238" s="3"/>
      <x:c r="Z238" s="3"/>
    </x:row>
    <x:row r="239" ht="15" customHeight="1">
      <x:c r="A239" s="3"/>
      <x:c r="B239" s="3"/>
      <x:c r="C239" s="3"/>
      <x:c r="D239" s="3"/>
      <x:c r="E239" s="3"/>
      <x:c r="F239" s="3"/>
      <x:c r="G239" s="3"/>
      <x:c r="H239" s="3"/>
      <x:c r="I239" s="3"/>
      <x:c r="J239" s="10" t="n">
        <x:v>46090</x:v>
      </x:c>
      <x:c r="K239" s="8" t="n">
        <x:f>INDEX('Сводка'!$S$3:$S$397,U239)</x:f>
        <x:v>-61</x:v>
      </x:c>
      <x:c r="L239" s="8" t="n">
        <x:f>INDEX('Сводка'!$S$3:$S$397,V239)</x:f>
        <x:v>-59</x:v>
      </x:c>
      <x:c r="M239" s="8" t="n">
        <x:f>INDEX($K$388:$N$400,W239,1)+INDEX($K$388:$N$400,W239,2)*LN(((J239-$T$405+1)/1000))</x:f>
        <x:v>125.66593776682382</x:v>
      </x:c>
      <x:c r="N239" s="8" t="n">
        <x:f>K239-M239</x:f>
        <x:v>-186.66593776682382</x:v>
      </x:c>
      <x:c r="O239" s="8" t="n">
        <x:f>ABS(N239)</x:f>
        <x:v>186.66593776682382</x:v>
      </x:c>
      <x:c r="P239" s="8" t="n">
        <x:f>N239^2</x:f>
        <x:v>34844.17232236774</x:v>
      </x:c>
      <x:c r="Q239" s="8" t="n">
        <x:f>K239-L239</x:f>
        <x:v>-2</x:v>
      </x:c>
      <x:c r="R239" s="9" t="n">
        <x:f>IF(AND(INDEX('Сводка'!$T$3:$T$397,U239)=0,INDEX('Сводка'!$T$3:$T$397,V239)=0),1,0)</x:f>
        <x:v>1</x:v>
      </x:c>
      <x:c r="S239" s="9" t="n">
        <x:f>IF(AND(R239=1,O239&lt;=$G$13),1,0)</x:f>
        <x:v>0</x:v>
      </x:c>
      <x:c r="T239" s="10" t="n">
        <x:f>EOMONTH(J239-'Сводка'!$B$11,-1)</x:f>
        <x:v>46081</x:v>
      </x:c>
      <x:c r="U239" s="4" t="n">
        <x:f>MATCH(J239,'Сводка'!$R$3:$R$397,0)</x:f>
        <x:v>250</x:v>
      </x:c>
      <x:c r="V239" s="4" t="n">
        <x:f>MATCH(J239-'Сводка'!$B$11,'Сводка'!$R$3:$R$397,0)</x:f>
        <x:v>249</x:v>
      </x:c>
      <x:c r="W239" s="4" t="n">
        <x:f>MATCH(T239,$J$388:$J$400,0)</x:f>
        <x:v>9</x:v>
      </x:c>
      <x:c r="X239" s="3"/>
      <x:c r="Y239" s="3"/>
      <x:c r="Z239" s="3"/>
    </x:row>
    <x:row r="240" ht="15" customHeight="1">
      <x:c r="A240" s="3"/>
      <x:c r="B240" s="3"/>
      <x:c r="C240" s="3"/>
      <x:c r="D240" s="3"/>
      <x:c r="E240" s="3"/>
      <x:c r="F240" s="3"/>
      <x:c r="G240" s="3"/>
      <x:c r="H240" s="3"/>
      <x:c r="I240" s="3"/>
      <x:c r="J240" s="10" t="n">
        <x:v>46091</x:v>
      </x:c>
      <x:c r="K240" s="8" t="n">
        <x:f>INDEX('Сводка'!$S$3:$S$397,U240)</x:f>
        <x:v>-64</x:v>
      </x:c>
      <x:c r="L240" s="8" t="n">
        <x:f>INDEX('Сводка'!$S$3:$S$397,V240)</x:f>
        <x:v>-61</x:v>
      </x:c>
      <x:c r="M240" s="8" t="n">
        <x:f>INDEX($K$388:$N$400,W240,1)+INDEX($K$388:$N$400,W240,2)*LN(((J240-$T$405+1)/1000))</x:f>
        <x:v>125.6724296169051</x:v>
      </x:c>
      <x:c r="N240" s="8" t="n">
        <x:f>K240-M240</x:f>
        <x:v>-189.6724296169051</x:v>
      </x:c>
      <x:c r="O240" s="8" t="n">
        <x:f>ABS(N240)</x:f>
        <x:v>189.6724296169051</x:v>
      </x:c>
      <x:c r="P240" s="8" t="n">
        <x:f>N240^2</x:f>
        <x:v>35975.63055677982</x:v>
      </x:c>
      <x:c r="Q240" s="8" t="n">
        <x:f>K240-L240</x:f>
        <x:v>-3</x:v>
      </x:c>
      <x:c r="R240" s="9" t="n">
        <x:f>IF(AND(INDEX('Сводка'!$T$3:$T$397,U240)=0,INDEX('Сводка'!$T$3:$T$397,V240)=0),1,0)</x:f>
        <x:v>1</x:v>
      </x:c>
      <x:c r="S240" s="9" t="n">
        <x:f>IF(AND(R240=1,O240&lt;=$G$13),1,0)</x:f>
        <x:v>0</x:v>
      </x:c>
      <x:c r="T240" s="10" t="n">
        <x:f>EOMONTH(J240-'Сводка'!$B$11,-1)</x:f>
        <x:v>46081</x:v>
      </x:c>
      <x:c r="U240" s="4" t="n">
        <x:f>MATCH(J240,'Сводка'!$R$3:$R$397,0)</x:f>
        <x:v>251</x:v>
      </x:c>
      <x:c r="V240" s="4" t="n">
        <x:f>MATCH(J240-'Сводка'!$B$11,'Сводка'!$R$3:$R$397,0)</x:f>
        <x:v>250</x:v>
      </x:c>
      <x:c r="W240" s="4" t="n">
        <x:f>MATCH(T240,$J$388:$J$400,0)</x:f>
        <x:v>9</x:v>
      </x:c>
      <x:c r="X240" s="3"/>
      <x:c r="Y240" s="3"/>
      <x:c r="Z240" s="3"/>
    </x:row>
    <x:row r="241" ht="15" customHeight="1">
      <x:c r="A241" s="3"/>
      <x:c r="B241" s="3"/>
      <x:c r="C241" s="3"/>
      <x:c r="D241" s="3"/>
      <x:c r="E241" s="3"/>
      <x:c r="F241" s="3"/>
      <x:c r="G241" s="3"/>
      <x:c r="H241" s="3"/>
      <x:c r="I241" s="3"/>
      <x:c r="J241" s="10" t="n">
        <x:v>46092</x:v>
      </x:c>
      <x:c r="K241" s="8" t="n">
        <x:f>INDEX('Сводка'!$S$3:$S$397,U241)</x:f>
        <x:v>-69</x:v>
      </x:c>
      <x:c r="L241" s="8" t="n">
        <x:f>INDEX('Сводка'!$S$3:$S$397,V241)</x:f>
        <x:v>-64</x:v>
      </x:c>
      <x:c r="M241" s="8" t="n">
        <x:f>INDEX($K$388:$N$400,W241,1)+INDEX($K$388:$N$400,W241,2)*LN(((J241-$T$405+1)/1000))</x:f>
        <x:v>125.67892073224019</x:v>
      </x:c>
      <x:c r="N241" s="8" t="n">
        <x:f>K241-M241</x:f>
        <x:v>-194.6789207322402</x:v>
      </x:c>
      <x:c r="O241" s="8" t="n">
        <x:f>ABS(N241)</x:f>
        <x:v>194.6789207322402</x:v>
      </x:c>
      <x:c r="P241" s="8" t="n">
        <x:f>N241^2</x:f>
        <x:v>37899.88217746986</x:v>
      </x:c>
      <x:c r="Q241" s="8" t="n">
        <x:f>K241-L241</x:f>
        <x:v>-5</x:v>
      </x:c>
      <x:c r="R241" s="9" t="n">
        <x:f>IF(AND(INDEX('Сводка'!$T$3:$T$397,U241)=0,INDEX('Сводка'!$T$3:$T$397,V241)=0),1,0)</x:f>
        <x:v>1</x:v>
      </x:c>
      <x:c r="S241" s="9" t="n">
        <x:f>IF(AND(R241=1,O241&lt;=$G$13),1,0)</x:f>
        <x:v>0</x:v>
      </x:c>
      <x:c r="T241" s="10" t="n">
        <x:f>EOMONTH(J241-'Сводка'!$B$11,-1)</x:f>
        <x:v>46081</x:v>
      </x:c>
      <x:c r="U241" s="4" t="n">
        <x:f>MATCH(J241,'Сводка'!$R$3:$R$397,0)</x:f>
        <x:v>252</x:v>
      </x:c>
      <x:c r="V241" s="4" t="n">
        <x:f>MATCH(J241-'Сводка'!$B$11,'Сводка'!$R$3:$R$397,0)</x:f>
        <x:v>251</x:v>
      </x:c>
      <x:c r="W241" s="4" t="n">
        <x:f>MATCH(T241,$J$388:$J$400,0)</x:f>
        <x:v>9</x:v>
      </x:c>
      <x:c r="X241" s="3"/>
      <x:c r="Y241" s="3"/>
      <x:c r="Z241" s="3"/>
    </x:row>
    <x:row r="242" ht="15" customHeight="1">
      <x:c r="A242" s="3"/>
      <x:c r="B242" s="3"/>
      <x:c r="C242" s="3"/>
      <x:c r="D242" s="3"/>
      <x:c r="E242" s="3"/>
      <x:c r="F242" s="3"/>
      <x:c r="G242" s="3"/>
      <x:c r="H242" s="3"/>
      <x:c r="I242" s="3"/>
      <x:c r="J242" s="10" t="n">
        <x:v>46093</x:v>
      </x:c>
      <x:c r="K242" s="8" t="n">
        <x:f>INDEX('Сводка'!$S$3:$S$397,U242)</x:f>
        <x:v>-73</x:v>
      </x:c>
      <x:c r="L242" s="8" t="n">
        <x:f>INDEX('Сводка'!$S$3:$S$397,V242)</x:f>
        <x:v>-69</x:v>
      </x:c>
      <x:c r="M242" s="8" t="n">
        <x:f>INDEX($K$388:$N$400,W242,1)+INDEX($K$388:$N$400,W242,2)*LN(((J242-$T$405+1)/1000))</x:f>
        <x:v>125.68541111299535</x:v>
      </x:c>
      <x:c r="N242" s="8" t="n">
        <x:f>K242-M242</x:f>
        <x:v>-198.68541111299535</x:v>
      </x:c>
      <x:c r="O242" s="8" t="n">
        <x:f>ABS(N242)</x:f>
        <x:v>198.68541111299535</x:v>
      </x:c>
      <x:c r="P242" s="8" t="n">
        <x:f>N242^2</x:f>
        <x:v>39475.89258913998</x:v>
      </x:c>
      <x:c r="Q242" s="8" t="n">
        <x:f>K242-L242</x:f>
        <x:v>-4</x:v>
      </x:c>
      <x:c r="R242" s="9" t="n">
        <x:f>IF(AND(INDEX('Сводка'!$T$3:$T$397,U242)=0,INDEX('Сводка'!$T$3:$T$397,V242)=0),1,0)</x:f>
        <x:v>1</x:v>
      </x:c>
      <x:c r="S242" s="9" t="n">
        <x:f>IF(AND(R242=1,O242&lt;=$G$13),1,0)</x:f>
        <x:v>0</x:v>
      </x:c>
      <x:c r="T242" s="10" t="n">
        <x:f>EOMONTH(J242-'Сводка'!$B$11,-1)</x:f>
        <x:v>46081</x:v>
      </x:c>
      <x:c r="U242" s="4" t="n">
        <x:f>MATCH(J242,'Сводка'!$R$3:$R$397,0)</x:f>
        <x:v>253</x:v>
      </x:c>
      <x:c r="V242" s="4" t="n">
        <x:f>MATCH(J242-'Сводка'!$B$11,'Сводка'!$R$3:$R$397,0)</x:f>
        <x:v>252</x:v>
      </x:c>
      <x:c r="W242" s="4" t="n">
        <x:f>MATCH(T242,$J$388:$J$400,0)</x:f>
        <x:v>9</x:v>
      </x:c>
      <x:c r="X242" s="3"/>
      <x:c r="Y242" s="3"/>
      <x:c r="Z242" s="3"/>
    </x:row>
    <x:row r="243" ht="15" customHeight="1">
      <x:c r="A243" s="3"/>
      <x:c r="B243" s="3"/>
      <x:c r="C243" s="3"/>
      <x:c r="D243" s="3"/>
      <x:c r="E243" s="3"/>
      <x:c r="F243" s="3"/>
      <x:c r="G243" s="3"/>
      <x:c r="H243" s="3"/>
      <x:c r="I243" s="3"/>
      <x:c r="J243" s="10" t="n">
        <x:v>46094</x:v>
      </x:c>
      <x:c r="K243" s="8" t="n">
        <x:f>INDEX('Сводка'!$S$3:$S$397,U243)</x:f>
        <x:v>-73</x:v>
      </x:c>
      <x:c r="L243" s="8" t="n">
        <x:f>INDEX('Сводка'!$S$3:$S$397,V243)</x:f>
        <x:v>-73</x:v>
      </x:c>
      <x:c r="M243" s="8" t="n">
        <x:f>INDEX($K$388:$N$400,W243,1)+INDEX($K$388:$N$400,W243,2)*LN(((J243-$T$405+1)/1000))</x:f>
        <x:v>125.69190075933686</x:v>
      </x:c>
      <x:c r="N243" s="8" t="n">
        <x:f>K243-M243</x:f>
        <x:v>-198.69190075933687</x:v>
      </x:c>
      <x:c r="O243" s="8" t="n">
        <x:f>ABS(N243)</x:f>
        <x:v>198.69190075933687</x:v>
      </x:c>
      <x:c r="P243" s="8" t="n">
        <x:f>N243^2</x:f>
        <x:v>39478.47142735817</x:v>
      </x:c>
      <x:c r="Q243" s="8" t="n">
        <x:f>K243-L243</x:f>
        <x:v>0</x:v>
      </x:c>
      <x:c r="R243" s="9" t="n">
        <x:f>IF(AND(INDEX('Сводка'!$T$3:$T$397,U243)=0,INDEX('Сводка'!$T$3:$T$397,V243)=0),1,0)</x:f>
        <x:v>1</x:v>
      </x:c>
      <x:c r="S243" s="9" t="n">
        <x:f>IF(AND(R243=1,O243&lt;=$G$13),1,0)</x:f>
        <x:v>0</x:v>
      </x:c>
      <x:c r="T243" s="10" t="n">
        <x:f>EOMONTH(J243-'Сводка'!$B$11,-1)</x:f>
        <x:v>46081</x:v>
      </x:c>
      <x:c r="U243" s="4" t="n">
        <x:f>MATCH(J243,'Сводка'!$R$3:$R$397,0)</x:f>
        <x:v>254</x:v>
      </x:c>
      <x:c r="V243" s="4" t="n">
        <x:f>MATCH(J243-'Сводка'!$B$11,'Сводка'!$R$3:$R$397,0)</x:f>
        <x:v>253</x:v>
      </x:c>
      <x:c r="W243" s="4" t="n">
        <x:f>MATCH(T243,$J$388:$J$400,0)</x:f>
        <x:v>9</x:v>
      </x:c>
      <x:c r="X243" s="3"/>
      <x:c r="Y243" s="3"/>
      <x:c r="Z243" s="3"/>
    </x:row>
    <x:row r="244" ht="15" customHeight="1">
      <x:c r="A244" s="3"/>
      <x:c r="B244" s="3"/>
      <x:c r="C244" s="3"/>
      <x:c r="D244" s="3"/>
      <x:c r="E244" s="3"/>
      <x:c r="F244" s="3"/>
      <x:c r="G244" s="3"/>
      <x:c r="H244" s="3"/>
      <x:c r="I244" s="3"/>
      <x:c r="J244" s="10" t="n">
        <x:v>46095</x:v>
      </x:c>
      <x:c r="K244" s="8" t="n">
        <x:f>INDEX('Сводка'!$S$3:$S$397,U244)</x:f>
        <x:v>-75</x:v>
      </x:c>
      <x:c r="L244" s="8" t="n">
        <x:f>INDEX('Сводка'!$S$3:$S$397,V244)</x:f>
        <x:v>-73</x:v>
      </x:c>
      <x:c r="M244" s="8" t="n">
        <x:f>INDEX($K$388:$N$400,W244,1)+INDEX($K$388:$N$400,W244,2)*LN(((J244-$T$405+1)/1000))</x:f>
        <x:v>125.69838967143089</x:v>
      </x:c>
      <x:c r="N244" s="8" t="n">
        <x:f>K244-M244</x:f>
        <x:v>-200.6983896714309</x:v>
      </x:c>
      <x:c r="O244" s="8" t="n">
        <x:f>ABS(N244)</x:f>
        <x:v>200.6983896714309</x:v>
      </x:c>
      <x:c r="P244" s="8" t="n">
        <x:f>N244^2</x:f>
        <x:v>40279.84361670552</x:v>
      </x:c>
      <x:c r="Q244" s="8" t="n">
        <x:f>K244-L244</x:f>
        <x:v>-2</x:v>
      </x:c>
      <x:c r="R244" s="9" t="n">
        <x:f>IF(AND(INDEX('Сводка'!$T$3:$T$397,U244)=0,INDEX('Сводка'!$T$3:$T$397,V244)=0),1,0)</x:f>
        <x:v>1</x:v>
      </x:c>
      <x:c r="S244" s="9" t="n">
        <x:f>IF(AND(R244=1,O244&lt;=$G$13),1,0)</x:f>
        <x:v>0</x:v>
      </x:c>
      <x:c r="T244" s="10" t="n">
        <x:f>EOMONTH(J244-'Сводка'!$B$11,-1)</x:f>
        <x:v>46081</x:v>
      </x:c>
      <x:c r="U244" s="4" t="n">
        <x:f>MATCH(J244,'Сводка'!$R$3:$R$397,0)</x:f>
        <x:v>255</x:v>
      </x:c>
      <x:c r="V244" s="4" t="n">
        <x:f>MATCH(J244-'Сводка'!$B$11,'Сводка'!$R$3:$R$397,0)</x:f>
        <x:v>254</x:v>
      </x:c>
      <x:c r="W244" s="4" t="n">
        <x:f>MATCH(T244,$J$388:$J$400,0)</x:f>
        <x:v>9</x:v>
      </x:c>
      <x:c r="X244" s="3"/>
      <x:c r="Y244" s="3"/>
      <x:c r="Z244" s="3"/>
    </x:row>
    <x:row r="245" ht="15" customHeight="1">
      <x:c r="A245" s="3"/>
      <x:c r="B245" s="3"/>
      <x:c r="C245" s="3"/>
      <x:c r="D245" s="3"/>
      <x:c r="E245" s="3"/>
      <x:c r="F245" s="3"/>
      <x:c r="G245" s="3"/>
      <x:c r="H245" s="3"/>
      <x:c r="I245" s="3"/>
      <x:c r="J245" s="10" t="n">
        <x:v>46096</x:v>
      </x:c>
      <x:c r="K245" s="8" t="n">
        <x:f>INDEX('Сводка'!$S$3:$S$397,U245)</x:f>
        <x:v>-76</x:v>
      </x:c>
      <x:c r="L245" s="8" t="n">
        <x:f>INDEX('Сводка'!$S$3:$S$397,V245)</x:f>
        <x:v>-75</x:v>
      </x:c>
      <x:c r="M245" s="8" t="n">
        <x:f>INDEX($K$388:$N$400,W245,1)+INDEX($K$388:$N$400,W245,2)*LN(((J245-$T$405+1)/1000))</x:f>
        <x:v>125.70487784944356</x:v>
      </x:c>
      <x:c r="N245" s="8" t="n">
        <x:f>K245-M245</x:f>
        <x:v>-201.70487784944356</x:v>
      </x:c>
      <x:c r="O245" s="8" t="n">
        <x:f>ABS(N245)</x:f>
        <x:v>201.70487784944356</x:v>
      </x:c>
      <x:c r="P245" s="8" t="n">
        <x:f>N245^2</x:f>
        <x:v>40684.857748258946</x:v>
      </x:c>
      <x:c r="Q245" s="8" t="n">
        <x:f>K245-L245</x:f>
        <x:v>-1</x:v>
      </x:c>
      <x:c r="R245" s="9" t="n">
        <x:f>IF(AND(INDEX('Сводка'!$T$3:$T$397,U245)=0,INDEX('Сводка'!$T$3:$T$397,V245)=0),1,0)</x:f>
        <x:v>1</x:v>
      </x:c>
      <x:c r="S245" s="9" t="n">
        <x:f>IF(AND(R245=1,O245&lt;=$G$13),1,0)</x:f>
        <x:v>0</x:v>
      </x:c>
      <x:c r="T245" s="10" t="n">
        <x:f>EOMONTH(J245-'Сводка'!$B$11,-1)</x:f>
        <x:v>46081</x:v>
      </x:c>
      <x:c r="U245" s="4" t="n">
        <x:f>MATCH(J245,'Сводка'!$R$3:$R$397,0)</x:f>
        <x:v>256</x:v>
      </x:c>
      <x:c r="V245" s="4" t="n">
        <x:f>MATCH(J245-'Сводка'!$B$11,'Сводка'!$R$3:$R$397,0)</x:f>
        <x:v>255</x:v>
      </x:c>
      <x:c r="W245" s="4" t="n">
        <x:f>MATCH(T245,$J$388:$J$400,0)</x:f>
        <x:v>9</x:v>
      </x:c>
      <x:c r="X245" s="3"/>
      <x:c r="Y245" s="3"/>
      <x:c r="Z245" s="3"/>
    </x:row>
    <x:row r="246" ht="15" customHeight="1">
      <x:c r="A246" s="3"/>
      <x:c r="B246" s="3"/>
      <x:c r="C246" s="3"/>
      <x:c r="D246" s="3"/>
      <x:c r="E246" s="3"/>
      <x:c r="F246" s="3"/>
      <x:c r="G246" s="3"/>
      <x:c r="H246" s="3"/>
      <x:c r="I246" s="3"/>
      <x:c r="J246" s="10" t="n">
        <x:v>46097</x:v>
      </x:c>
      <x:c r="K246" s="8" t="n">
        <x:f>INDEX('Сводка'!$S$3:$S$397,U246)</x:f>
        <x:v>-76</x:v>
      </x:c>
      <x:c r="L246" s="8" t="n">
        <x:f>INDEX('Сводка'!$S$3:$S$397,V246)</x:f>
        <x:v>-76</x:v>
      </x:c>
      <x:c r="M246" s="8" t="n">
        <x:f>INDEX($K$388:$N$400,W246,1)+INDEX($K$388:$N$400,W246,2)*LN(((J246-$T$405+1)/1000))</x:f>
        <x:v>125.71136529354096</x:v>
      </x:c>
      <x:c r="N246" s="8" t="n">
        <x:f>K246-M246</x:f>
        <x:v>-201.71136529354095</x:v>
      </x:c>
      <x:c r="O246" s="8" t="n">
        <x:f>ABS(N246)</x:f>
        <x:v>201.71136529354095</x:v>
      </x:c>
      <x:c r="P246" s="8" t="n">
        <x:f>N246^2</x:f>
        <x:v>40687.474888584315</x:v>
      </x:c>
      <x:c r="Q246" s="8" t="n">
        <x:f>K246-L246</x:f>
        <x:v>0</x:v>
      </x:c>
      <x:c r="R246" s="9" t="n">
        <x:f>IF(AND(INDEX('Сводка'!$T$3:$T$397,U246)=0,INDEX('Сводка'!$T$3:$T$397,V246)=0),1,0)</x:f>
        <x:v>1</x:v>
      </x:c>
      <x:c r="S246" s="9" t="n">
        <x:f>IF(AND(R246=1,O246&lt;=$G$13),1,0)</x:f>
        <x:v>0</x:v>
      </x:c>
      <x:c r="T246" s="10" t="n">
        <x:f>EOMONTH(J246-'Сводка'!$B$11,-1)</x:f>
        <x:v>46081</x:v>
      </x:c>
      <x:c r="U246" s="4" t="n">
        <x:f>MATCH(J246,'Сводка'!$R$3:$R$397,0)</x:f>
        <x:v>257</x:v>
      </x:c>
      <x:c r="V246" s="4" t="n">
        <x:f>MATCH(J246-'Сводка'!$B$11,'Сводка'!$R$3:$R$397,0)</x:f>
        <x:v>256</x:v>
      </x:c>
      <x:c r="W246" s="4" t="n">
        <x:f>MATCH(T246,$J$388:$J$400,0)</x:f>
        <x:v>9</x:v>
      </x:c>
      <x:c r="X246" s="3"/>
      <x:c r="Y246" s="3"/>
      <x:c r="Z246" s="3"/>
    </x:row>
    <x:row r="247" ht="15" customHeight="1">
      <x:c r="A247" s="3"/>
      <x:c r="B247" s="3"/>
      <x:c r="C247" s="3"/>
      <x:c r="D247" s="3"/>
      <x:c r="E247" s="3"/>
      <x:c r="F247" s="3"/>
      <x:c r="G247" s="3"/>
      <x:c r="H247" s="3"/>
      <x:c r="I247" s="3"/>
      <x:c r="J247" s="10" t="n">
        <x:v>46098</x:v>
      </x:c>
      <x:c r="K247" s="8" t="n">
        <x:f>INDEX('Сводка'!$S$3:$S$397,U247)</x:f>
        <x:v>-76</x:v>
      </x:c>
      <x:c r="L247" s="8" t="n">
        <x:f>INDEX('Сводка'!$S$3:$S$397,V247)</x:f>
        <x:v>-76</x:v>
      </x:c>
      <x:c r="M247" s="8" t="n">
        <x:f>INDEX($K$388:$N$400,W247,1)+INDEX($K$388:$N$400,W247,2)*LN(((J247-$T$405+1)/1000))</x:f>
        <x:v>125.71785200388909</x:v>
      </x:c>
      <x:c r="N247" s="8" t="n">
        <x:f>K247-M247</x:f>
        <x:v>-201.7178520038891</x:v>
      </x:c>
      <x:c r="O247" s="8" t="n">
        <x:f>ABS(N247)</x:f>
        <x:v>201.7178520038891</x:v>
      </x:c>
      <x:c r="P247" s="8" t="n">
        <x:f>N247^2</x:f>
        <x:v>40690.09181706291</x:v>
      </x:c>
      <x:c r="Q247" s="8" t="n">
        <x:f>K247-L247</x:f>
        <x:v>0</x:v>
      </x:c>
      <x:c r="R247" s="9" t="n">
        <x:f>IF(AND(INDEX('Сводка'!$T$3:$T$397,U247)=0,INDEX('Сводка'!$T$3:$T$397,V247)=0),1,0)</x:f>
        <x:v>1</x:v>
      </x:c>
      <x:c r="S247" s="9" t="n">
        <x:f>IF(AND(R247=1,O247&lt;=$G$13),1,0)</x:f>
        <x:v>0</x:v>
      </x:c>
      <x:c r="T247" s="10" t="n">
        <x:f>EOMONTH(J247-'Сводка'!$B$11,-1)</x:f>
        <x:v>46081</x:v>
      </x:c>
      <x:c r="U247" s="4" t="n">
        <x:f>MATCH(J247,'Сводка'!$R$3:$R$397,0)</x:f>
        <x:v>258</x:v>
      </x:c>
      <x:c r="V247" s="4" t="n">
        <x:f>MATCH(J247-'Сводка'!$B$11,'Сводка'!$R$3:$R$397,0)</x:f>
        <x:v>257</x:v>
      </x:c>
      <x:c r="W247" s="4" t="n">
        <x:f>MATCH(T247,$J$388:$J$400,0)</x:f>
        <x:v>9</x:v>
      </x:c>
      <x:c r="X247" s="3"/>
      <x:c r="Y247" s="3"/>
      <x:c r="Z247" s="3"/>
    </x:row>
    <x:row r="248" ht="15" customHeight="1">
      <x:c r="A248" s="3"/>
      <x:c r="B248" s="3"/>
      <x:c r="C248" s="3"/>
      <x:c r="D248" s="3"/>
      <x:c r="E248" s="3"/>
      <x:c r="F248" s="3"/>
      <x:c r="G248" s="3"/>
      <x:c r="H248" s="3"/>
      <x:c r="I248" s="3"/>
      <x:c r="J248" s="10" t="n">
        <x:v>46099</x:v>
      </x:c>
      <x:c r="K248" s="8" t="n">
        <x:f>INDEX('Сводка'!$S$3:$S$397,U248)</x:f>
        <x:v>-74</x:v>
      </x:c>
      <x:c r="L248" s="8" t="n">
        <x:f>INDEX('Сводка'!$S$3:$S$397,V248)</x:f>
        <x:v>-76</x:v>
      </x:c>
      <x:c r="M248" s="8" t="n">
        <x:f>INDEX($K$388:$N$400,W248,1)+INDEX($K$388:$N$400,W248,2)*LN(((J248-$T$405+1)/1000))</x:f>
        <x:v>125.72433798065393</x:v>
      </x:c>
      <x:c r="N248" s="8" t="n">
        <x:f>K248-M248</x:f>
        <x:v>-199.72433798065393</x:v>
      </x:c>
      <x:c r="O248" s="8" t="n">
        <x:f>ABS(N248)</x:f>
        <x:v>199.72433798065393</x:v>
      </x:c>
      <x:c r="P248" s="8" t="n">
        <x:f>N248^2</x:f>
        <x:v>39889.81118181048</x:v>
      </x:c>
      <x:c r="Q248" s="8" t="n">
        <x:f>K248-L248</x:f>
        <x:v>2</x:v>
      </x:c>
      <x:c r="R248" s="9" t="n">
        <x:f>IF(AND(INDEX('Сводка'!$T$3:$T$397,U248)=0,INDEX('Сводка'!$T$3:$T$397,V248)=0),1,0)</x:f>
        <x:v>1</x:v>
      </x:c>
      <x:c r="S248" s="9" t="n">
        <x:f>IF(AND(R248=1,O248&lt;=$G$13),1,0)</x:f>
        <x:v>0</x:v>
      </x:c>
      <x:c r="T248" s="10" t="n">
        <x:f>EOMONTH(J248-'Сводка'!$B$11,-1)</x:f>
        <x:v>46081</x:v>
      </x:c>
      <x:c r="U248" s="4" t="n">
        <x:f>MATCH(J248,'Сводка'!$R$3:$R$397,0)</x:f>
        <x:v>259</x:v>
      </x:c>
      <x:c r="V248" s="4" t="n">
        <x:f>MATCH(J248-'Сводка'!$B$11,'Сводка'!$R$3:$R$397,0)</x:f>
        <x:v>258</x:v>
      </x:c>
      <x:c r="W248" s="4" t="n">
        <x:f>MATCH(T248,$J$388:$J$400,0)</x:f>
        <x:v>9</x:v>
      </x:c>
      <x:c r="X248" s="3"/>
      <x:c r="Y248" s="3"/>
      <x:c r="Z248" s="3"/>
    </x:row>
    <x:row r="249" ht="15" customHeight="1">
      <x:c r="A249" s="3"/>
      <x:c r="B249" s="3"/>
      <x:c r="C249" s="3"/>
      <x:c r="D249" s="3"/>
      <x:c r="E249" s="3"/>
      <x:c r="F249" s="3"/>
      <x:c r="G249" s="3"/>
      <x:c r="H249" s="3"/>
      <x:c r="I249" s="3"/>
      <x:c r="J249" s="10" t="n">
        <x:v>46100</x:v>
      </x:c>
      <x:c r="K249" s="8" t="n">
        <x:f>INDEX('Сводка'!$S$3:$S$397,U249)</x:f>
        <x:v>-73</x:v>
      </x:c>
      <x:c r="L249" s="8" t="n">
        <x:f>INDEX('Сводка'!$S$3:$S$397,V249)</x:f>
        <x:v>-74</x:v>
      </x:c>
      <x:c r="M249" s="8" t="n">
        <x:f>INDEX($K$388:$N$400,W249,1)+INDEX($K$388:$N$400,W249,2)*LN(((J249-$T$405+1)/1000))</x:f>
        <x:v>125.73082322400136</x:v>
      </x:c>
      <x:c r="N249" s="8" t="n">
        <x:f>K249-M249</x:f>
        <x:v>-198.73082322400137</x:v>
      </x:c>
      <x:c r="O249" s="8" t="n">
        <x:f>ABS(N249)</x:f>
        <x:v>198.73082322400137</x:v>
      </x:c>
      <x:c r="P249" s="8" t="n">
        <x:f>N249^2</x:f>
        <x:v>39493.940099289284</x:v>
      </x:c>
      <x:c r="Q249" s="8" t="n">
        <x:f>K249-L249</x:f>
        <x:v>1</x:v>
      </x:c>
      <x:c r="R249" s="9" t="n">
        <x:f>IF(AND(INDEX('Сводка'!$T$3:$T$397,U249)=0,INDEX('Сводка'!$T$3:$T$397,V249)=0),1,0)</x:f>
        <x:v>1</x:v>
      </x:c>
      <x:c r="S249" s="9" t="n">
        <x:f>IF(AND(R249=1,O249&lt;=$G$13),1,0)</x:f>
        <x:v>0</x:v>
      </x:c>
      <x:c r="T249" s="10" t="n">
        <x:f>EOMONTH(J249-'Сводка'!$B$11,-1)</x:f>
        <x:v>46081</x:v>
      </x:c>
      <x:c r="U249" s="4" t="n">
        <x:f>MATCH(J249,'Сводка'!$R$3:$R$397,0)</x:f>
        <x:v>260</x:v>
      </x:c>
      <x:c r="V249" s="4" t="n">
        <x:f>MATCH(J249-'Сводка'!$B$11,'Сводка'!$R$3:$R$397,0)</x:f>
        <x:v>259</x:v>
      </x:c>
      <x:c r="W249" s="4" t="n">
        <x:f>MATCH(T249,$J$388:$J$400,0)</x:f>
        <x:v>9</x:v>
      </x:c>
      <x:c r="X249" s="3"/>
      <x:c r="Y249" s="3"/>
      <x:c r="Z249" s="3"/>
    </x:row>
    <x:row r="250" ht="15" customHeight="1">
      <x:c r="A250" s="3"/>
      <x:c r="B250" s="3"/>
      <x:c r="C250" s="3"/>
      <x:c r="D250" s="3"/>
      <x:c r="E250" s="3"/>
      <x:c r="F250" s="3"/>
      <x:c r="G250" s="3"/>
      <x:c r="H250" s="3"/>
      <x:c r="I250" s="3"/>
      <x:c r="J250" s="10" t="n">
        <x:v>46101</x:v>
      </x:c>
      <x:c r="K250" s="8" t="n">
        <x:f>INDEX('Сводка'!$S$3:$S$397,U250)</x:f>
        <x:v>-73</x:v>
      </x:c>
      <x:c r="L250" s="8" t="n">
        <x:f>INDEX('Сводка'!$S$3:$S$397,V250)</x:f>
        <x:v>-73</x:v>
      </x:c>
      <x:c r="M250" s="8" t="n">
        <x:f>INDEX($K$388:$N$400,W250,1)+INDEX($K$388:$N$400,W250,2)*LN(((J250-$T$405+1)/1000))</x:f>
        <x:v>125.73730773409724</x:v>
      </x:c>
      <x:c r="N250" s="8" t="n">
        <x:f>K250-M250</x:f>
        <x:v>-198.73730773409724</x:v>
      </x:c>
      <x:c r="O250" s="8" t="n">
        <x:f>ABS(N250)</x:f>
        <x:v>198.73730773409724</x:v>
      </x:c>
      <x:c r="P250" s="8" t="n">
        <x:f>N250^2</x:f>
        <x:v>39496.51748539727</x:v>
      </x:c>
      <x:c r="Q250" s="8" t="n">
        <x:f>K250-L250</x:f>
        <x:v>0</x:v>
      </x:c>
      <x:c r="R250" s="9" t="n">
        <x:f>IF(AND(INDEX('Сводка'!$T$3:$T$397,U250)=0,INDEX('Сводка'!$T$3:$T$397,V250)=0),1,0)</x:f>
        <x:v>1</x:v>
      </x:c>
      <x:c r="S250" s="9" t="n">
        <x:f>IF(AND(R250=1,O250&lt;=$G$13),1,0)</x:f>
        <x:v>0</x:v>
      </x:c>
      <x:c r="T250" s="10" t="n">
        <x:f>EOMONTH(J250-'Сводка'!$B$11,-1)</x:f>
        <x:v>46081</x:v>
      </x:c>
      <x:c r="U250" s="4" t="n">
        <x:f>MATCH(J250,'Сводка'!$R$3:$R$397,0)</x:f>
        <x:v>261</x:v>
      </x:c>
      <x:c r="V250" s="4" t="n">
        <x:f>MATCH(J250-'Сводка'!$B$11,'Сводка'!$R$3:$R$397,0)</x:f>
        <x:v>260</x:v>
      </x:c>
      <x:c r="W250" s="4" t="n">
        <x:f>MATCH(T250,$J$388:$J$400,0)</x:f>
        <x:v>9</x:v>
      </x:c>
      <x:c r="X250" s="3"/>
      <x:c r="Y250" s="3"/>
      <x:c r="Z250" s="3"/>
    </x:row>
    <x:row r="251" ht="15" customHeight="1">
      <x:c r="A251" s="3"/>
      <x:c r="B251" s="3"/>
      <x:c r="C251" s="3"/>
      <x:c r="D251" s="3"/>
      <x:c r="E251" s="3"/>
      <x:c r="F251" s="3"/>
      <x:c r="G251" s="3"/>
      <x:c r="H251" s="3"/>
      <x:c r="I251" s="3"/>
      <x:c r="J251" s="10" t="n">
        <x:v>46102</x:v>
      </x:c>
      <x:c r="K251" s="8" t="n">
        <x:f>INDEX('Сводка'!$S$3:$S$397,U251)</x:f>
        <x:v>-71</x:v>
      </x:c>
      <x:c r="L251" s="8" t="n">
        <x:f>INDEX('Сводка'!$S$3:$S$397,V251)</x:f>
        <x:v>-73</x:v>
      </x:c>
      <x:c r="M251" s="8" t="n">
        <x:f>INDEX($K$388:$N$400,W251,1)+INDEX($K$388:$N$400,W251,2)*LN(((J251-$T$405+1)/1000))</x:f>
        <x:v>125.74379151110735</x:v>
      </x:c>
      <x:c r="N251" s="8" t="n">
        <x:f>K251-M251</x:f>
        <x:v>-196.74379151110736</x:v>
      </x:c>
      <x:c r="O251" s="8" t="n">
        <x:f>ABS(N251)</x:f>
        <x:v>196.74379151110736</x:v>
      </x:c>
      <x:c r="P251" s="8" t="n">
        <x:f>N251^2</x:f>
        <x:v>38708.11949816608</x:v>
      </x:c>
      <x:c r="Q251" s="8" t="n">
        <x:f>K251-L251</x:f>
        <x:v>2</x:v>
      </x:c>
      <x:c r="R251" s="9" t="n">
        <x:f>IF(AND(INDEX('Сводка'!$T$3:$T$397,U251)=0,INDEX('Сводка'!$T$3:$T$397,V251)=0),1,0)</x:f>
        <x:v>1</x:v>
      </x:c>
      <x:c r="S251" s="9" t="n">
        <x:f>IF(AND(R251=1,O251&lt;=$G$13),1,0)</x:f>
        <x:v>0</x:v>
      </x:c>
      <x:c r="T251" s="10" t="n">
        <x:f>EOMONTH(J251-'Сводка'!$B$11,-1)</x:f>
        <x:v>46081</x:v>
      </x:c>
      <x:c r="U251" s="4" t="n">
        <x:f>MATCH(J251,'Сводка'!$R$3:$R$397,0)</x:f>
        <x:v>262</x:v>
      </x:c>
      <x:c r="V251" s="4" t="n">
        <x:f>MATCH(J251-'Сводка'!$B$11,'Сводка'!$R$3:$R$397,0)</x:f>
        <x:v>261</x:v>
      </x:c>
      <x:c r="W251" s="4" t="n">
        <x:f>MATCH(T251,$J$388:$J$400,0)</x:f>
        <x:v>9</x:v>
      </x:c>
      <x:c r="X251" s="3"/>
      <x:c r="Y251" s="3"/>
      <x:c r="Z251" s="3"/>
    </x:row>
    <x:row r="252" ht="15" customHeight="1">
      <x:c r="A252" s="3"/>
      <x:c r="B252" s="3"/>
      <x:c r="C252" s="3"/>
      <x:c r="D252" s="3"/>
      <x:c r="E252" s="3"/>
      <x:c r="F252" s="3"/>
      <x:c r="G252" s="3"/>
      <x:c r="H252" s="3"/>
      <x:c r="I252" s="3"/>
      <x:c r="J252" s="10" t="n">
        <x:v>46103</x:v>
      </x:c>
      <x:c r="K252" s="8" t="n">
        <x:f>INDEX('Сводка'!$S$3:$S$397,U252)</x:f>
        <x:v>-71</x:v>
      </x:c>
      <x:c r="L252" s="8" t="n">
        <x:f>INDEX('Сводка'!$S$3:$S$397,V252)</x:f>
        <x:v>-71</x:v>
      </x:c>
      <x:c r="M252" s="8" t="n">
        <x:f>INDEX($K$388:$N$400,W252,1)+INDEX($K$388:$N$400,W252,2)*LN(((J252-$T$405+1)/1000))</x:f>
        <x:v>125.75027455519742</x:v>
      </x:c>
      <x:c r="N252" s="8" t="n">
        <x:f>K252-M252</x:f>
        <x:v>-196.75027455519742</x:v>
      </x:c>
      <x:c r="O252" s="8" t="n">
        <x:f>ABS(N252)</x:f>
        <x:v>196.75027455519742</x:v>
      </x:c>
      <x:c r="P252" s="8" t="n">
        <x:f>N252^2</x:f>
        <x:v>38710.670537545564</x:v>
      </x:c>
      <x:c r="Q252" s="8" t="n">
        <x:f>K252-L252</x:f>
        <x:v>0</x:v>
      </x:c>
      <x:c r="R252" s="9" t="n">
        <x:f>IF(AND(INDEX('Сводка'!$T$3:$T$397,U252)=0,INDEX('Сводка'!$T$3:$T$397,V252)=0),1,0)</x:f>
        <x:v>1</x:v>
      </x:c>
      <x:c r="S252" s="9" t="n">
        <x:f>IF(AND(R252=1,O252&lt;=$G$13),1,0)</x:f>
        <x:v>0</x:v>
      </x:c>
      <x:c r="T252" s="10" t="n">
        <x:f>EOMONTH(J252-'Сводка'!$B$11,-1)</x:f>
        <x:v>46081</x:v>
      </x:c>
      <x:c r="U252" s="4" t="n">
        <x:f>MATCH(J252,'Сводка'!$R$3:$R$397,0)</x:f>
        <x:v>263</x:v>
      </x:c>
      <x:c r="V252" s="4" t="n">
        <x:f>MATCH(J252-'Сводка'!$B$11,'Сводка'!$R$3:$R$397,0)</x:f>
        <x:v>262</x:v>
      </x:c>
      <x:c r="W252" s="4" t="n">
        <x:f>MATCH(T252,$J$388:$J$400,0)</x:f>
        <x:v>9</x:v>
      </x:c>
      <x:c r="X252" s="3"/>
      <x:c r="Y252" s="3"/>
      <x:c r="Z252" s="3"/>
    </x:row>
    <x:row r="253" ht="15" customHeight="1">
      <x:c r="A253" s="3"/>
      <x:c r="B253" s="3"/>
      <x:c r="C253" s="3"/>
      <x:c r="D253" s="3"/>
      <x:c r="E253" s="3"/>
      <x:c r="F253" s="3"/>
      <x:c r="G253" s="3"/>
      <x:c r="H253" s="3"/>
      <x:c r="I253" s="3"/>
      <x:c r="J253" s="10" t="n">
        <x:v>46104</x:v>
      </x:c>
      <x:c r="K253" s="8" t="n">
        <x:f>INDEX('Сводка'!$S$3:$S$397,U253)</x:f>
        <x:v>-71</x:v>
      </x:c>
      <x:c r="L253" s="8" t="n">
        <x:f>INDEX('Сводка'!$S$3:$S$397,V253)</x:f>
        <x:v>-71</x:v>
      </x:c>
      <x:c r="M253" s="8" t="n">
        <x:f>INDEX($K$388:$N$400,W253,1)+INDEX($K$388:$N$400,W253,2)*LN(((J253-$T$405+1)/1000))</x:f>
        <x:v>125.75675686653318</x:v>
      </x:c>
      <x:c r="N253" s="8" t="n">
        <x:f>K253-M253</x:f>
        <x:v>-196.75675686653318</x:v>
      </x:c>
      <x:c r="O253" s="8" t="n">
        <x:f>ABS(N253)</x:f>
        <x:v>196.75675686653318</x:v>
      </x:c>
      <x:c r="P253" s="8" t="n">
        <x:f>N253^2</x:f>
        <x:v>38713.22137263605</x:v>
      </x:c>
      <x:c r="Q253" s="8" t="n">
        <x:f>K253-L253</x:f>
        <x:v>0</x:v>
      </x:c>
      <x:c r="R253" s="9" t="n">
        <x:f>IF(AND(INDEX('Сводка'!$T$3:$T$397,U253)=0,INDEX('Сводка'!$T$3:$T$397,V253)=0),1,0)</x:f>
        <x:v>1</x:v>
      </x:c>
      <x:c r="S253" s="9" t="n">
        <x:f>IF(AND(R253=1,O253&lt;=$G$13),1,0)</x:f>
        <x:v>0</x:v>
      </x:c>
      <x:c r="T253" s="10" t="n">
        <x:f>EOMONTH(J253-'Сводка'!$B$11,-1)</x:f>
        <x:v>46081</x:v>
      </x:c>
      <x:c r="U253" s="4" t="n">
        <x:f>MATCH(J253,'Сводка'!$R$3:$R$397,0)</x:f>
        <x:v>264</x:v>
      </x:c>
      <x:c r="V253" s="4" t="n">
        <x:f>MATCH(J253-'Сводка'!$B$11,'Сводка'!$R$3:$R$397,0)</x:f>
        <x:v>263</x:v>
      </x:c>
      <x:c r="W253" s="4" t="n">
        <x:f>MATCH(T253,$J$388:$J$400,0)</x:f>
        <x:v>9</x:v>
      </x:c>
      <x:c r="X253" s="3"/>
      <x:c r="Y253" s="3"/>
      <x:c r="Z253" s="3"/>
    </x:row>
    <x:row r="254" ht="15" customHeight="1">
      <x:c r="A254" s="3"/>
      <x:c r="B254" s="3"/>
      <x:c r="C254" s="3"/>
      <x:c r="D254" s="3"/>
      <x:c r="E254" s="3"/>
      <x:c r="F254" s="3"/>
      <x:c r="G254" s="3"/>
      <x:c r="H254" s="3"/>
      <x:c r="I254" s="3"/>
      <x:c r="J254" s="10" t="n">
        <x:v>46105</x:v>
      </x:c>
      <x:c r="K254" s="8" t="n">
        <x:f>INDEX('Сводка'!$S$3:$S$397,U254)</x:f>
        <x:v>-71</x:v>
      </x:c>
      <x:c r="L254" s="8" t="n">
        <x:f>INDEX('Сводка'!$S$3:$S$397,V254)</x:f>
        <x:v>-71</x:v>
      </x:c>
      <x:c r="M254" s="8" t="n">
        <x:f>INDEX($K$388:$N$400,W254,1)+INDEX($K$388:$N$400,W254,2)*LN(((J254-$T$405+1)/1000))</x:f>
        <x:v>125.7632384452802</x:v>
      </x:c>
      <x:c r="N254" s="8" t="n">
        <x:f>K254-M254</x:f>
        <x:v>-196.7632384452802</x:v>
      </x:c>
      <x:c r="O254" s="8" t="n">
        <x:f>ABS(N254)</x:f>
        <x:v>196.7632384452802</x:v>
      </x:c>
      <x:c r="P254" s="8" t="n">
        <x:f>N254^2</x:f>
        <x:v>38715.77200347419</x:v>
      </x:c>
      <x:c r="Q254" s="8" t="n">
        <x:f>K254-L254</x:f>
        <x:v>0</x:v>
      </x:c>
      <x:c r="R254" s="9" t="n">
        <x:f>IF(AND(INDEX('Сводка'!$T$3:$T$397,U254)=0,INDEX('Сводка'!$T$3:$T$397,V254)=0),1,0)</x:f>
        <x:v>1</x:v>
      </x:c>
      <x:c r="S254" s="9" t="n">
        <x:f>IF(AND(R254=1,O254&lt;=$G$13),1,0)</x:f>
        <x:v>0</x:v>
      </x:c>
      <x:c r="T254" s="10" t="n">
        <x:f>EOMONTH(J254-'Сводка'!$B$11,-1)</x:f>
        <x:v>46081</x:v>
      </x:c>
      <x:c r="U254" s="4" t="n">
        <x:f>MATCH(J254,'Сводка'!$R$3:$R$397,0)</x:f>
        <x:v>265</x:v>
      </x:c>
      <x:c r="V254" s="4" t="n">
        <x:f>MATCH(J254-'Сводка'!$B$11,'Сводка'!$R$3:$R$397,0)</x:f>
        <x:v>264</x:v>
      </x:c>
      <x:c r="W254" s="4" t="n">
        <x:f>MATCH(T254,$J$388:$J$400,0)</x:f>
        <x:v>9</x:v>
      </x:c>
      <x:c r="X254" s="3"/>
      <x:c r="Y254" s="3"/>
      <x:c r="Z254" s="3"/>
    </x:row>
    <x:row r="255" ht="15" customHeight="1">
      <x:c r="A255" s="3"/>
      <x:c r="B255" s="3"/>
      <x:c r="C255" s="3"/>
      <x:c r="D255" s="3"/>
      <x:c r="E255" s="3"/>
      <x:c r="F255" s="3"/>
      <x:c r="G255" s="3"/>
      <x:c r="H255" s="3"/>
      <x:c r="I255" s="3"/>
      <x:c r="J255" s="10" t="n">
        <x:v>46106</x:v>
      </x:c>
      <x:c r="K255" s="8" t="n">
        <x:f>INDEX('Сводка'!$S$3:$S$397,U255)</x:f>
        <x:v>-72</x:v>
      </x:c>
      <x:c r="L255" s="8" t="n">
        <x:f>INDEX('Сводка'!$S$3:$S$397,V255)</x:f>
        <x:v>-71</x:v>
      </x:c>
      <x:c r="M255" s="8" t="n">
        <x:f>INDEX($K$388:$N$400,W255,1)+INDEX($K$388:$N$400,W255,2)*LN(((J255-$T$405+1)/1000))</x:f>
        <x:v>125.76971929160402</x:v>
      </x:c>
      <x:c r="N255" s="8" t="n">
        <x:f>K255-M255</x:f>
        <x:v>-197.76971929160402</x:v>
      </x:c>
      <x:c r="O255" s="8" t="n">
        <x:f>ABS(N255)</x:f>
        <x:v>197.76971929160402</x:v>
      </x:c>
      <x:c r="P255" s="8" t="n">
        <x:f>N255^2</x:f>
        <x:v>39112.86186867985</x:v>
      </x:c>
      <x:c r="Q255" s="8" t="n">
        <x:f>K255-L255</x:f>
        <x:v>-1</x:v>
      </x:c>
      <x:c r="R255" s="9" t="n">
        <x:f>IF(AND(INDEX('Сводка'!$T$3:$T$397,U255)=0,INDEX('Сводка'!$T$3:$T$397,V255)=0),1,0)</x:f>
        <x:v>1</x:v>
      </x:c>
      <x:c r="S255" s="9" t="n">
        <x:f>IF(AND(R255=1,O255&lt;=$G$13),1,0)</x:f>
        <x:v>0</x:v>
      </x:c>
      <x:c r="T255" s="10" t="n">
        <x:f>EOMONTH(J255-'Сводка'!$B$11,-1)</x:f>
        <x:v>46081</x:v>
      </x:c>
      <x:c r="U255" s="4" t="n">
        <x:f>MATCH(J255,'Сводка'!$R$3:$R$397,0)</x:f>
        <x:v>266</x:v>
      </x:c>
      <x:c r="V255" s="4" t="n">
        <x:f>MATCH(J255-'Сводка'!$B$11,'Сводка'!$R$3:$R$397,0)</x:f>
        <x:v>265</x:v>
      </x:c>
      <x:c r="W255" s="4" t="n">
        <x:f>MATCH(T255,$J$388:$J$400,0)</x:f>
        <x:v>9</x:v>
      </x:c>
      <x:c r="X255" s="3"/>
      <x:c r="Y255" s="3"/>
      <x:c r="Z255" s="3"/>
    </x:row>
    <x:row r="256" ht="15" customHeight="1">
      <x:c r="A256" s="3"/>
      <x:c r="B256" s="3"/>
      <x:c r="C256" s="3"/>
      <x:c r="D256" s="3"/>
      <x:c r="E256" s="3"/>
      <x:c r="F256" s="3"/>
      <x:c r="G256" s="3"/>
      <x:c r="H256" s="3"/>
      <x:c r="I256" s="3"/>
      <x:c r="J256" s="10" t="n">
        <x:v>46107</x:v>
      </x:c>
      <x:c r="K256" s="8" t="n">
        <x:f>INDEX('Сводка'!$S$3:$S$397,U256)</x:f>
        <x:v>-72</x:v>
      </x:c>
      <x:c r="L256" s="8" t="n">
        <x:f>INDEX('Сводка'!$S$3:$S$397,V256)</x:f>
        <x:v>-72</x:v>
      </x:c>
      <x:c r="M256" s="8" t="n">
        <x:f>INDEX($K$388:$N$400,W256,1)+INDEX($K$388:$N$400,W256,2)*LN(((J256-$T$405+1)/1000))</x:f>
        <x:v>125.77619940567024</x:v>
      </x:c>
      <x:c r="N256" s="8" t="n">
        <x:f>K256-M256</x:f>
        <x:v>-197.77619940567024</x:v>
      </x:c>
      <x:c r="O256" s="8" t="n">
        <x:f>ABS(N256)</x:f>
        <x:v>197.77619940567024</x:v>
      </x:c>
      <x:c r="P256" s="8" t="n">
        <x:f>N256^2</x:f>
        <x:v>39115.425051351434</x:v>
      </x:c>
      <x:c r="Q256" s="8" t="n">
        <x:f>K256-L256</x:f>
        <x:v>0</x:v>
      </x:c>
      <x:c r="R256" s="9" t="n">
        <x:f>IF(AND(INDEX('Сводка'!$T$3:$T$397,U256)=0,INDEX('Сводка'!$T$3:$T$397,V256)=0),1,0)</x:f>
        <x:v>1</x:v>
      </x:c>
      <x:c r="S256" s="9" t="n">
        <x:f>IF(AND(R256=1,O256&lt;=$G$13),1,0)</x:f>
        <x:v>0</x:v>
      </x:c>
      <x:c r="T256" s="10" t="n">
        <x:f>EOMONTH(J256-'Сводка'!$B$11,-1)</x:f>
        <x:v>46081</x:v>
      </x:c>
      <x:c r="U256" s="4" t="n">
        <x:f>MATCH(J256,'Сводка'!$R$3:$R$397,0)</x:f>
        <x:v>267</x:v>
      </x:c>
      <x:c r="V256" s="4" t="n">
        <x:f>MATCH(J256-'Сводка'!$B$11,'Сводка'!$R$3:$R$397,0)</x:f>
        <x:v>266</x:v>
      </x:c>
      <x:c r="W256" s="4" t="n">
        <x:f>MATCH(T256,$J$388:$J$400,0)</x:f>
        <x:v>9</x:v>
      </x:c>
      <x:c r="X256" s="3"/>
      <x:c r="Y256" s="3"/>
      <x:c r="Z256" s="3"/>
    </x:row>
    <x:row r="257" ht="15" customHeight="1">
      <x:c r="A257" s="3"/>
      <x:c r="B257" s="3"/>
      <x:c r="C257" s="3"/>
      <x:c r="D257" s="3"/>
      <x:c r="E257" s="3"/>
      <x:c r="F257" s="3"/>
      <x:c r="G257" s="3"/>
      <x:c r="H257" s="3"/>
      <x:c r="I257" s="3"/>
      <x:c r="J257" s="10" t="n">
        <x:v>46108</x:v>
      </x:c>
      <x:c r="K257" s="8" t="n">
        <x:f>INDEX('Сводка'!$S$3:$S$397,U257)</x:f>
        <x:v>-71</x:v>
      </x:c>
      <x:c r="L257" s="8" t="n">
        <x:f>INDEX('Сводка'!$S$3:$S$397,V257)</x:f>
        <x:v>-72</x:v>
      </x:c>
      <x:c r="M257" s="8" t="n">
        <x:f>INDEX($K$388:$N$400,W257,1)+INDEX($K$388:$N$400,W257,2)*LN(((J257-$T$405+1)/1000))</x:f>
        <x:v>125.78267878764424</x:v>
      </x:c>
      <x:c r="N257" s="8" t="n">
        <x:f>K257-M257</x:f>
        <x:v>-196.78267878764424</x:v>
      </x:c>
      <x:c r="O257" s="8" t="n">
        <x:f>ABS(N257)</x:f>
        <x:v>196.78267878764424</x:v>
      </x:c>
      <x:c r="P257" s="8" t="n">
        <x:f>N257^2</x:f>
        <x:v>38723.42267084117</x:v>
      </x:c>
      <x:c r="Q257" s="8" t="n">
        <x:f>K257-L257</x:f>
        <x:v>1</x:v>
      </x:c>
      <x:c r="R257" s="9" t="n">
        <x:f>IF(AND(INDEX('Сводка'!$T$3:$T$397,U257)=0,INDEX('Сводка'!$T$3:$T$397,V257)=0),1,0)</x:f>
        <x:v>1</x:v>
      </x:c>
      <x:c r="S257" s="9" t="n">
        <x:f>IF(AND(R257=1,O257&lt;=$G$13),1,0)</x:f>
        <x:v>0</x:v>
      </x:c>
      <x:c r="T257" s="10" t="n">
        <x:f>EOMONTH(J257-'Сводка'!$B$11,-1)</x:f>
        <x:v>46081</x:v>
      </x:c>
      <x:c r="U257" s="4" t="n">
        <x:f>MATCH(J257,'Сводка'!$R$3:$R$397,0)</x:f>
        <x:v>268</x:v>
      </x:c>
      <x:c r="V257" s="4" t="n">
        <x:f>MATCH(J257-'Сводка'!$B$11,'Сводка'!$R$3:$R$397,0)</x:f>
        <x:v>267</x:v>
      </x:c>
      <x:c r="W257" s="4" t="n">
        <x:f>MATCH(T257,$J$388:$J$400,0)</x:f>
        <x:v>9</x:v>
      </x:c>
      <x:c r="X257" s="3"/>
      <x:c r="Y257" s="3"/>
      <x:c r="Z257" s="3"/>
    </x:row>
    <x:row r="258" ht="15" customHeight="1">
      <x:c r="A258" s="3"/>
      <x:c r="B258" s="3"/>
      <x:c r="C258" s="3"/>
      <x:c r="D258" s="3"/>
      <x:c r="E258" s="3"/>
      <x:c r="F258" s="3"/>
      <x:c r="G258" s="3"/>
      <x:c r="H258" s="3"/>
      <x:c r="I258" s="3"/>
      <x:c r="J258" s="10" t="n">
        <x:v>46109</x:v>
      </x:c>
      <x:c r="K258" s="8" t="n">
        <x:f>INDEX('Сводка'!$S$3:$S$397,U258)</x:f>
        <x:v>-71</x:v>
      </x:c>
      <x:c r="L258" s="8" t="n">
        <x:f>INDEX('Сводка'!$S$3:$S$397,V258)</x:f>
        <x:v>-71</x:v>
      </x:c>
      <x:c r="M258" s="8" t="n">
        <x:f>INDEX($K$388:$N$400,W258,1)+INDEX($K$388:$N$400,W258,2)*LN(((J258-$T$405+1)/1000))</x:f>
        <x:v>125.78915743769143</x:v>
      </x:c>
      <x:c r="N258" s="8" t="n">
        <x:f>K258-M258</x:f>
        <x:v>-196.78915743769141</x:v>
      </x:c>
      <x:c r="O258" s="8" t="n">
        <x:f>ABS(N258)</x:f>
        <x:v>196.78915743769141</x:v>
      </x:c>
      <x:c r="P258" s="8" t="n">
        <x:f>N258^2</x:f>
        <x:v>38725.9724850365</x:v>
      </x:c>
      <x:c r="Q258" s="8" t="n">
        <x:f>K258-L258</x:f>
        <x:v>0</x:v>
      </x:c>
      <x:c r="R258" s="9" t="n">
        <x:f>IF(AND(INDEX('Сводка'!$T$3:$T$397,U258)=0,INDEX('Сводка'!$T$3:$T$397,V258)=0),1,0)</x:f>
        <x:v>1</x:v>
      </x:c>
      <x:c r="S258" s="9" t="n">
        <x:f>IF(AND(R258=1,O258&lt;=$G$13),1,0)</x:f>
        <x:v>0</x:v>
      </x:c>
      <x:c r="T258" s="10" t="n">
        <x:f>EOMONTH(J258-'Сводка'!$B$11,-1)</x:f>
        <x:v>46081</x:v>
      </x:c>
      <x:c r="U258" s="4" t="n">
        <x:f>MATCH(J258,'Сводка'!$R$3:$R$397,0)</x:f>
        <x:v>269</x:v>
      </x:c>
      <x:c r="V258" s="4" t="n">
        <x:f>MATCH(J258-'Сводка'!$B$11,'Сводка'!$R$3:$R$397,0)</x:f>
        <x:v>268</x:v>
      </x:c>
      <x:c r="W258" s="4" t="n">
        <x:f>MATCH(T258,$J$388:$J$400,0)</x:f>
        <x:v>9</x:v>
      </x:c>
      <x:c r="X258" s="3"/>
      <x:c r="Y258" s="3"/>
      <x:c r="Z258" s="3"/>
    </x:row>
    <x:row r="259" ht="15" customHeight="1">
      <x:c r="A259" s="3"/>
      <x:c r="B259" s="3"/>
      <x:c r="C259" s="3"/>
      <x:c r="D259" s="3"/>
      <x:c r="E259" s="3"/>
      <x:c r="F259" s="3"/>
      <x:c r="G259" s="3"/>
      <x:c r="H259" s="3"/>
      <x:c r="I259" s="3"/>
      <x:c r="J259" s="10" t="n">
        <x:v>46110</x:v>
      </x:c>
      <x:c r="K259" s="8" t="n">
        <x:f>INDEX('Сводка'!$S$3:$S$397,U259)</x:f>
        <x:v>-71</x:v>
      </x:c>
      <x:c r="L259" s="8" t="n">
        <x:f>INDEX('Сводка'!$S$3:$S$397,V259)</x:f>
        <x:v>-71</x:v>
      </x:c>
      <x:c r="M259" s="8" t="n">
        <x:f>INDEX($K$388:$N$400,W259,1)+INDEX($K$388:$N$400,W259,2)*LN(((J259-$T$405+1)/1000))</x:f>
        <x:v>125.79563535597717</x:v>
      </x:c>
      <x:c r="N259" s="8" t="n">
        <x:f>K259-M259</x:f>
        <x:v>-196.79563535597717</x:v>
      </x:c>
      <x:c r="O259" s="8" t="n">
        <x:f>ABS(N259)</x:f>
        <x:v>196.79563535597717</x:v>
      </x:c>
      <x:c r="P259" s="8" t="n">
        <x:f>N259^2</x:f>
        <x:v>38728.522095162734</x:v>
      </x:c>
      <x:c r="Q259" s="8" t="n">
        <x:f>K259-L259</x:f>
        <x:v>0</x:v>
      </x:c>
      <x:c r="R259" s="9" t="n">
        <x:f>IF(AND(INDEX('Сводка'!$T$3:$T$397,U259)=0,INDEX('Сводка'!$T$3:$T$397,V259)=0),1,0)</x:f>
        <x:v>1</x:v>
      </x:c>
      <x:c r="S259" s="9" t="n">
        <x:f>IF(AND(R259=1,O259&lt;=$G$13),1,0)</x:f>
        <x:v>0</x:v>
      </x:c>
      <x:c r="T259" s="10" t="n">
        <x:f>EOMONTH(J259-'Сводка'!$B$11,-1)</x:f>
        <x:v>46081</x:v>
      </x:c>
      <x:c r="U259" s="4" t="n">
        <x:f>MATCH(J259,'Сводка'!$R$3:$R$397,0)</x:f>
        <x:v>270</x:v>
      </x:c>
      <x:c r="V259" s="4" t="n">
        <x:f>MATCH(J259-'Сводка'!$B$11,'Сводка'!$R$3:$R$397,0)</x:f>
        <x:v>269</x:v>
      </x:c>
      <x:c r="W259" s="4" t="n">
        <x:f>MATCH(T259,$J$388:$J$400,0)</x:f>
        <x:v>9</x:v>
      </x:c>
      <x:c r="X259" s="3"/>
      <x:c r="Y259" s="3"/>
      <x:c r="Z259" s="3"/>
    </x:row>
    <x:row r="260" ht="15" customHeight="1">
      <x:c r="A260" s="3"/>
      <x:c r="B260" s="3"/>
      <x:c r="C260" s="3"/>
      <x:c r="D260" s="3"/>
      <x:c r="E260" s="3"/>
      <x:c r="F260" s="3"/>
      <x:c r="G260" s="3"/>
      <x:c r="H260" s="3"/>
      <x:c r="I260" s="3"/>
      <x:c r="J260" s="10" t="n">
        <x:v>46111</x:v>
      </x:c>
      <x:c r="K260" s="8" t="n">
        <x:f>INDEX('Сводка'!$S$3:$S$397,U260)</x:f>
        <x:v>-69</x:v>
      </x:c>
      <x:c r="L260" s="8" t="n">
        <x:f>INDEX('Сводка'!$S$3:$S$397,V260)</x:f>
        <x:v>-71</x:v>
      </x:c>
      <x:c r="M260" s="8" t="n">
        <x:f>INDEX($K$388:$N$400,W260,1)+INDEX($K$388:$N$400,W260,2)*LN(((J260-$T$405+1)/1000))</x:f>
        <x:v>125.80211254266676</x:v>
      </x:c>
      <x:c r="N260" s="8" t="n">
        <x:f>K260-M260</x:f>
        <x:v>-194.80211254266675</x:v>
      </x:c>
      <x:c r="O260" s="8" t="n">
        <x:f>ABS(N260)</x:f>
        <x:v>194.80211254266675</x:v>
      </x:c>
      <x:c r="P260" s="8" t="n">
        <x:f>N260^2</x:f>
        <x:v>37947.8630510858</x:v>
      </x:c>
      <x:c r="Q260" s="8" t="n">
        <x:f>K260-L260</x:f>
        <x:v>2</x:v>
      </x:c>
      <x:c r="R260" s="9" t="n">
        <x:f>IF(AND(INDEX('Сводка'!$T$3:$T$397,U260)=0,INDEX('Сводка'!$T$3:$T$397,V260)=0),1,0)</x:f>
        <x:v>1</x:v>
      </x:c>
      <x:c r="S260" s="9" t="n">
        <x:f>IF(AND(R260=1,O260&lt;=$G$13),1,0)</x:f>
        <x:v>0</x:v>
      </x:c>
      <x:c r="T260" s="10" t="n">
        <x:f>EOMONTH(J260-'Сводка'!$B$11,-1)</x:f>
        <x:v>46081</x:v>
      </x:c>
      <x:c r="U260" s="4" t="n">
        <x:f>MATCH(J260,'Сводка'!$R$3:$R$397,0)</x:f>
        <x:v>271</x:v>
      </x:c>
      <x:c r="V260" s="4" t="n">
        <x:f>MATCH(J260-'Сводка'!$B$11,'Сводка'!$R$3:$R$397,0)</x:f>
        <x:v>270</x:v>
      </x:c>
      <x:c r="W260" s="4" t="n">
        <x:f>MATCH(T260,$J$388:$J$400,0)</x:f>
        <x:v>9</x:v>
      </x:c>
      <x:c r="X260" s="3"/>
      <x:c r="Y260" s="3"/>
      <x:c r="Z260" s="3"/>
    </x:row>
    <x:row r="261" ht="15" customHeight="1">
      <x:c r="A261" s="3"/>
      <x:c r="B261" s="3"/>
      <x:c r="C261" s="3"/>
      <x:c r="D261" s="3"/>
      <x:c r="E261" s="3"/>
      <x:c r="F261" s="3"/>
      <x:c r="G261" s="3"/>
      <x:c r="H261" s="3"/>
      <x:c r="I261" s="3"/>
      <x:c r="J261" s="10" t="n">
        <x:v>46112</x:v>
      </x:c>
      <x:c r="K261" s="8" t="n">
        <x:f>INDEX('Сводка'!$S$3:$S$397,U261)</x:f>
        <x:v>-67</x:v>
      </x:c>
      <x:c r="L261" s="8" t="n">
        <x:f>INDEX('Сводка'!$S$3:$S$397,V261)</x:f>
        <x:v>-69</x:v>
      </x:c>
      <x:c r="M261" s="8" t="n">
        <x:f>INDEX($K$388:$N$400,W261,1)+INDEX($K$388:$N$400,W261,2)*LN(((J261-$T$405+1)/1000))</x:f>
        <x:v>125.80858899792538</x:v>
      </x:c>
      <x:c r="N261" s="8" t="n">
        <x:f>K261-M261</x:f>
        <x:v>-192.80858899792537</x:v>
      </x:c>
      <x:c r="O261" s="8" t="n">
        <x:f>ABS(N261)</x:f>
        <x:v>192.80858899792537</x:v>
      </x:c>
      <x:c r="P261" s="8" t="n">
        <x:f>N261^2</x:f>
        <x:v>37175.151991370905</x:v>
      </x:c>
      <x:c r="Q261" s="8" t="n">
        <x:f>K261-L261</x:f>
        <x:v>2</x:v>
      </x:c>
      <x:c r="R261" s="9" t="n">
        <x:f>IF(AND(INDEX('Сводка'!$T$3:$T$397,U261)=0,INDEX('Сводка'!$T$3:$T$397,V261)=0),1,0)</x:f>
        <x:v>1</x:v>
      </x:c>
      <x:c r="S261" s="9" t="n">
        <x:f>IF(AND(R261=1,O261&lt;=$G$13),1,0)</x:f>
        <x:v>0</x:v>
      </x:c>
      <x:c r="T261" s="10" t="n">
        <x:f>EOMONTH(J261-'Сводка'!$B$11,-1)</x:f>
        <x:v>46081</x:v>
      </x:c>
      <x:c r="U261" s="4" t="n">
        <x:f>MATCH(J261,'Сводка'!$R$3:$R$397,0)</x:f>
        <x:v>272</x:v>
      </x:c>
      <x:c r="V261" s="4" t="n">
        <x:f>MATCH(J261-'Сводка'!$B$11,'Сводка'!$R$3:$R$397,0)</x:f>
        <x:v>271</x:v>
      </x:c>
      <x:c r="W261" s="4" t="n">
        <x:f>MATCH(T261,$J$388:$J$400,0)</x:f>
        <x:v>9</x:v>
      </x:c>
      <x:c r="X261" s="3"/>
      <x:c r="Y261" s="3"/>
      <x:c r="Z261" s="3"/>
    </x:row>
    <x:row r="262" ht="15" customHeight="1">
      <x:c r="A262" s="3"/>
      <x:c r="B262" s="3"/>
      <x:c r="C262" s="3"/>
      <x:c r="D262" s="3"/>
      <x:c r="E262" s="3"/>
      <x:c r="F262" s="3"/>
      <x:c r="G262" s="3"/>
      <x:c r="H262" s="3"/>
      <x:c r="I262" s="3"/>
      <x:c r="J262" s="10" t="n">
        <x:v>46113</x:v>
      </x:c>
      <x:c r="K262" s="8" t="n">
        <x:f>INDEX('Сводка'!$S$3:$S$397,U262)</x:f>
        <x:v>-65</x:v>
      </x:c>
      <x:c r="L262" s="8" t="n">
        <x:f>INDEX('Сводка'!$S$3:$S$397,V262)</x:f>
        <x:v>-67</x:v>
      </x:c>
      <x:c r="M262" s="8" t="n">
        <x:f>INDEX($K$388:$N$400,W262,1)+INDEX($K$388:$N$400,W262,2)*LN(((J262-$T$405+1)/1000))</x:f>
        <x:v>125.81506472191825</x:v>
      </x:c>
      <x:c r="N262" s="8" t="n">
        <x:f>K262-M262</x:f>
        <x:v>-190.81506472191825</x:v>
      </x:c>
      <x:c r="O262" s="8" t="n">
        <x:f>ABS(N262)</x:f>
        <x:v>190.81506472191825</x:v>
      </x:c>
      <x:c r="P262" s="8" t="n">
        <x:f>N262^2</x:f>
        <x:v>36410.38892482985</x:v>
      </x:c>
      <x:c r="Q262" s="8" t="n">
        <x:f>K262-L262</x:f>
        <x:v>2</x:v>
      </x:c>
      <x:c r="R262" s="9" t="n">
        <x:f>IF(AND(INDEX('Сводка'!$T$3:$T$397,U262)=0,INDEX('Сводка'!$T$3:$T$397,V262)=0),1,0)</x:f>
        <x:v>1</x:v>
      </x:c>
      <x:c r="S262" s="9" t="n">
        <x:f>IF(AND(R262=1,O262&lt;=$G$13),1,0)</x:f>
        <x:v>0</x:v>
      </x:c>
      <x:c r="T262" s="10" t="n">
        <x:f>EOMONTH(J262-'Сводка'!$B$11,-1)</x:f>
        <x:v>46081</x:v>
      </x:c>
      <x:c r="U262" s="4" t="n">
        <x:f>MATCH(J262,'Сводка'!$R$3:$R$397,0)</x:f>
        <x:v>273</x:v>
      </x:c>
      <x:c r="V262" s="4" t="n">
        <x:f>MATCH(J262-'Сводка'!$B$11,'Сводка'!$R$3:$R$397,0)</x:f>
        <x:v>272</x:v>
      </x:c>
      <x:c r="W262" s="4" t="n">
        <x:f>MATCH(T262,$J$388:$J$400,0)</x:f>
        <x:v>9</x:v>
      </x:c>
      <x:c r="X262" s="3"/>
      <x:c r="Y262" s="3"/>
      <x:c r="Z262" s="3"/>
    </x:row>
    <x:row r="263" ht="15" customHeight="1">
      <x:c r="A263" s="3"/>
      <x:c r="B263" s="3"/>
      <x:c r="C263" s="3"/>
      <x:c r="D263" s="3"/>
      <x:c r="E263" s="3"/>
      <x:c r="F263" s="3"/>
      <x:c r="G263" s="3"/>
      <x:c r="H263" s="3"/>
      <x:c r="I263" s="3"/>
      <x:c r="J263" s="10" t="n">
        <x:v>46114</x:v>
      </x:c>
      <x:c r="K263" s="8" t="n">
        <x:f>INDEX('Сводка'!$S$3:$S$397,U263)</x:f>
        <x:v>-59</x:v>
      </x:c>
      <x:c r="L263" s="8" t="n">
        <x:f>INDEX('Сводка'!$S$3:$S$397,V263)</x:f>
        <x:v>-65</x:v>
      </x:c>
      <x:c r="M263" s="8" t="n">
        <x:f>INDEX($K$388:$N$400,W263,1)+INDEX($K$388:$N$400,W263,2)*LN(((J263-$T$405+1)/1000))</x:f>
        <x:v>124.37653811519934</x:v>
      </x:c>
      <x:c r="N263" s="8" t="n">
        <x:f>K263-M263</x:f>
        <x:v>-183.37653811519934</x:v>
      </x:c>
      <x:c r="O263" s="8" t="n">
        <x:f>ABS(N263)</x:f>
        <x:v>183.37653811519934</x:v>
      </x:c>
      <x:c r="P263" s="8" t="n">
        <x:f>N263^2</x:f>
        <x:v>33626.954731115155</x:v>
      </x:c>
      <x:c r="Q263" s="8" t="n">
        <x:f>K263-L263</x:f>
        <x:v>6</x:v>
      </x:c>
      <x:c r="R263" s="9" t="n">
        <x:f>IF(AND(INDEX('Сводка'!$T$3:$T$397,U263)=0,INDEX('Сводка'!$T$3:$T$397,V263)=0),1,0)</x:f>
        <x:v>1</x:v>
      </x:c>
      <x:c r="S263" s="9" t="n">
        <x:f>IF(AND(R263=1,O263&lt;=$G$13),1,0)</x:f>
        <x:v>0</x:v>
      </x:c>
      <x:c r="T263" s="10" t="n">
        <x:f>EOMONTH(J263-'Сводка'!$B$11,-1)</x:f>
        <x:v>46112</x:v>
      </x:c>
      <x:c r="U263" s="4" t="n">
        <x:f>MATCH(J263,'Сводка'!$R$3:$R$397,0)</x:f>
        <x:v>274</x:v>
      </x:c>
      <x:c r="V263" s="4" t="n">
        <x:f>MATCH(J263-'Сводка'!$B$11,'Сводка'!$R$3:$R$397,0)</x:f>
        <x:v>273</x:v>
      </x:c>
      <x:c r="W263" s="4" t="n">
        <x:f>MATCH(T263,$J$388:$J$400,0)</x:f>
        <x:v>10</x:v>
      </x:c>
      <x:c r="X263" s="3"/>
      <x:c r="Y263" s="3"/>
      <x:c r="Z263" s="3"/>
    </x:row>
    <x:row r="264" ht="15" customHeight="1">
      <x:c r="A264" s="3"/>
      <x:c r="B264" s="3"/>
      <x:c r="C264" s="3"/>
      <x:c r="D264" s="3"/>
      <x:c r="E264" s="3"/>
      <x:c r="F264" s="3"/>
      <x:c r="G264" s="3"/>
      <x:c r="H264" s="3"/>
      <x:c r="I264" s="3"/>
      <x:c r="J264" s="10" t="n">
        <x:v>46115</x:v>
      </x:c>
      <x:c r="K264" s="8" t="n">
        <x:f>INDEX('Сводка'!$S$3:$S$397,U264)</x:f>
        <x:v>-52</x:v>
      </x:c>
      <x:c r="L264" s="8" t="n">
        <x:f>INDEX('Сводка'!$S$3:$S$397,V264)</x:f>
        <x:v>-59</x:v>
      </x:c>
      <x:c r="M264" s="8" t="n">
        <x:f>INDEX($K$388:$N$400,W264,1)+INDEX($K$388:$N$400,W264,2)*LN(((J264-$T$405+1)/1000))</x:f>
        <x:v>124.38293059731319</x:v>
      </x:c>
      <x:c r="N264" s="8" t="n">
        <x:f>K264-M264</x:f>
        <x:v>-176.3829305973132</x:v>
      </x:c>
      <x:c r="O264" s="8" t="n">
        <x:f>ABS(N264)</x:f>
        <x:v>176.3829305973132</x:v>
      </x:c>
      <x:c r="P264" s="8" t="n">
        <x:f>N264^2</x:f>
        <x:v>31110.9382060966</x:v>
      </x:c>
      <x:c r="Q264" s="8" t="n">
        <x:f>K264-L264</x:f>
        <x:v>7</x:v>
      </x:c>
      <x:c r="R264" s="9" t="n">
        <x:f>IF(AND(INDEX('Сводка'!$T$3:$T$397,U264)=0,INDEX('Сводка'!$T$3:$T$397,V264)=0),1,0)</x:f>
        <x:v>1</x:v>
      </x:c>
      <x:c r="S264" s="9" t="n">
        <x:f>IF(AND(R264=1,O264&lt;=$G$13),1,0)</x:f>
        <x:v>0</x:v>
      </x:c>
      <x:c r="T264" s="10" t="n">
        <x:f>EOMONTH(J264-'Сводка'!$B$11,-1)</x:f>
        <x:v>46112</x:v>
      </x:c>
      <x:c r="U264" s="4" t="n">
        <x:f>MATCH(J264,'Сводка'!$R$3:$R$397,0)</x:f>
        <x:v>275</x:v>
      </x:c>
      <x:c r="V264" s="4" t="n">
        <x:f>MATCH(J264-'Сводка'!$B$11,'Сводка'!$R$3:$R$397,0)</x:f>
        <x:v>274</x:v>
      </x:c>
      <x:c r="W264" s="4" t="n">
        <x:f>MATCH(T264,$J$388:$J$400,0)</x:f>
        <x:v>10</x:v>
      </x:c>
      <x:c r="X264" s="3"/>
      <x:c r="Y264" s="3"/>
      <x:c r="Z264" s="3"/>
    </x:row>
    <x:row r="265" ht="15" customHeight="1">
      <x:c r="A265" s="3"/>
      <x:c r="B265" s="3"/>
      <x:c r="C265" s="3"/>
      <x:c r="D265" s="3"/>
      <x:c r="E265" s="3"/>
      <x:c r="F265" s="3"/>
      <x:c r="G265" s="3"/>
      <x:c r="H265" s="3"/>
      <x:c r="I265" s="3"/>
      <x:c r="J265" s="10" t="n">
        <x:v>46116</x:v>
      </x:c>
      <x:c r="K265" s="8" t="n">
        <x:f>INDEX('Сводка'!$S$3:$S$397,U265)</x:f>
        <x:v>-42</x:v>
      </x:c>
      <x:c r="L265" s="8" t="n">
        <x:f>INDEX('Сводка'!$S$3:$S$397,V265)</x:f>
        <x:v>-52</x:v>
      </x:c>
      <x:c r="M265" s="8" t="n">
        <x:f>INDEX($K$388:$N$400,W265,1)+INDEX($K$388:$N$400,W265,2)*LN(((J265-$T$405+1)/1000))</x:f>
        <x:v>124.38932235788721</x:v>
      </x:c>
      <x:c r="N265" s="8" t="n">
        <x:f>K265-M265</x:f>
        <x:v>-166.3893223578872</x:v>
      </x:c>
      <x:c r="O265" s="8" t="n">
        <x:f>ABS(N265)</x:f>
        <x:v>166.3893223578872</x:v>
      </x:c>
      <x:c r="P265" s="8" t="n">
        <x:f>N265^2</x:f>
        <x:v>27685.406594716904</x:v>
      </x:c>
      <x:c r="Q265" s="8" t="n">
        <x:f>K265-L265</x:f>
        <x:v>10</x:v>
      </x:c>
      <x:c r="R265" s="9" t="n">
        <x:f>IF(AND(INDEX('Сводка'!$T$3:$T$397,U265)=0,INDEX('Сводка'!$T$3:$T$397,V265)=0),1,0)</x:f>
        <x:v>1</x:v>
      </x:c>
      <x:c r="S265" s="9" t="n">
        <x:f>IF(AND(R265=1,O265&lt;=$G$13),1,0)</x:f>
        <x:v>0</x:v>
      </x:c>
      <x:c r="T265" s="10" t="n">
        <x:f>EOMONTH(J265-'Сводка'!$B$11,-1)</x:f>
        <x:v>46112</x:v>
      </x:c>
      <x:c r="U265" s="4" t="n">
        <x:f>MATCH(J265,'Сводка'!$R$3:$R$397,0)</x:f>
        <x:v>276</x:v>
      </x:c>
      <x:c r="V265" s="4" t="n">
        <x:f>MATCH(J265-'Сводка'!$B$11,'Сводка'!$R$3:$R$397,0)</x:f>
        <x:v>275</x:v>
      </x:c>
      <x:c r="W265" s="4" t="n">
        <x:f>MATCH(T265,$J$388:$J$400,0)</x:f>
        <x:v>10</x:v>
      </x:c>
      <x:c r="X265" s="3"/>
      <x:c r="Y265" s="3"/>
      <x:c r="Z265" s="3"/>
    </x:row>
    <x:row r="266" ht="15" customHeight="1">
      <x:c r="A266" s="3"/>
      <x:c r="B266" s="3"/>
      <x:c r="C266" s="3"/>
      <x:c r="D266" s="3"/>
      <x:c r="E266" s="3"/>
      <x:c r="F266" s="3"/>
      <x:c r="G266" s="3"/>
      <x:c r="H266" s="3"/>
      <x:c r="I266" s="3"/>
      <x:c r="J266" s="10" t="n">
        <x:v>46117</x:v>
      </x:c>
      <x:c r="K266" s="8" t="n">
        <x:f>INDEX('Сводка'!$S$3:$S$397,U266)</x:f>
        <x:v>-35</x:v>
      </x:c>
      <x:c r="L266" s="8" t="n">
        <x:f>INDEX('Сводка'!$S$3:$S$397,V266)</x:f>
        <x:v>-42</x:v>
      </x:c>
      <x:c r="M266" s="8" t="n">
        <x:f>INDEX($K$388:$N$400,W266,1)+INDEX($K$388:$N$400,W266,2)*LN(((J266-$T$405+1)/1000))</x:f>
        <x:v>124.39571339708428</x:v>
      </x:c>
      <x:c r="N266" s="8" t="n">
        <x:f>K266-M266</x:f>
        <x:v>-159.39571339708428</x:v>
      </x:c>
      <x:c r="O266" s="8" t="n">
        <x:f>ABS(N266)</x:f>
        <x:v>159.39571339708428</x:v>
      </x:c>
      <x:c r="P266" s="8" t="n">
        <x:f>N266^2</x:f>
        <x:v>25406.993449365433</x:v>
      </x:c>
      <x:c r="Q266" s="8" t="n">
        <x:f>K266-L266</x:f>
        <x:v>7</x:v>
      </x:c>
      <x:c r="R266" s="9" t="n">
        <x:f>IF(AND(INDEX('Сводка'!$T$3:$T$397,U266)=0,INDEX('Сводка'!$T$3:$T$397,V266)=0),1,0)</x:f>
        <x:v>1</x:v>
      </x:c>
      <x:c r="S266" s="9" t="n">
        <x:f>IF(AND(R266=1,O266&lt;=$G$13),1,0)</x:f>
        <x:v>0</x:v>
      </x:c>
      <x:c r="T266" s="10" t="n">
        <x:f>EOMONTH(J266-'Сводка'!$B$11,-1)</x:f>
        <x:v>46112</x:v>
      </x:c>
      <x:c r="U266" s="4" t="n">
        <x:f>MATCH(J266,'Сводка'!$R$3:$R$397,0)</x:f>
        <x:v>277</x:v>
      </x:c>
      <x:c r="V266" s="4" t="n">
        <x:f>MATCH(J266-'Сводка'!$B$11,'Сводка'!$R$3:$R$397,0)</x:f>
        <x:v>276</x:v>
      </x:c>
      <x:c r="W266" s="4" t="n">
        <x:f>MATCH(T266,$J$388:$J$400,0)</x:f>
        <x:v>10</x:v>
      </x:c>
      <x:c r="X266" s="3"/>
      <x:c r="Y266" s="3"/>
      <x:c r="Z266" s="3"/>
    </x:row>
    <x:row r="267" ht="15" customHeight="1">
      <x:c r="A267" s="3"/>
      <x:c r="B267" s="3"/>
      <x:c r="C267" s="3"/>
      <x:c r="D267" s="3"/>
      <x:c r="E267" s="3"/>
      <x:c r="F267" s="3"/>
      <x:c r="G267" s="3"/>
      <x:c r="H267" s="3"/>
      <x:c r="I267" s="3"/>
      <x:c r="J267" s="10" t="n">
        <x:v>46118</x:v>
      </x:c>
      <x:c r="K267" s="8" t="n">
        <x:f>INDEX('Сводка'!$S$3:$S$397,U267)</x:f>
        <x:v>-17</x:v>
      </x:c>
      <x:c r="L267" s="8" t="n">
        <x:f>INDEX('Сводка'!$S$3:$S$397,V267)</x:f>
        <x:v>-35</x:v>
      </x:c>
      <x:c r="M267" s="8" t="n">
        <x:f>INDEX($K$388:$N$400,W267,1)+INDEX($K$388:$N$400,W267,2)*LN(((J267-$T$405+1)/1000))</x:f>
        <x:v>124.40210371506716</x:v>
      </x:c>
      <x:c r="N267" s="8" t="n">
        <x:f>K267-M267</x:f>
        <x:v>-141.40210371506714</x:v>
      </x:c>
      <x:c r="O267" s="8" t="n">
        <x:f>ABS(N267)</x:f>
        <x:v>141.40210371506714</x:v>
      </x:c>
      <x:c r="P267" s="8" t="n">
        <x:f>N267^2</x:f>
        <x:v>19994.554935046606</x:v>
      </x:c>
      <x:c r="Q267" s="8" t="n">
        <x:f>K267-L267</x:f>
        <x:v>18</x:v>
      </x:c>
      <x:c r="R267" s="9" t="n">
        <x:f>IF(AND(INDEX('Сводка'!$T$3:$T$397,U267)=0,INDEX('Сводка'!$T$3:$T$397,V267)=0),1,0)</x:f>
        <x:v>1</x:v>
      </x:c>
      <x:c r="S267" s="9" t="n">
        <x:f>IF(AND(R267=1,O267&lt;=$G$13),1,0)</x:f>
        <x:v>0</x:v>
      </x:c>
      <x:c r="T267" s="10" t="n">
        <x:f>EOMONTH(J267-'Сводка'!$B$11,-1)</x:f>
        <x:v>46112</x:v>
      </x:c>
      <x:c r="U267" s="4" t="n">
        <x:f>MATCH(J267,'Сводка'!$R$3:$R$397,0)</x:f>
        <x:v>278</x:v>
      </x:c>
      <x:c r="V267" s="4" t="n">
        <x:f>MATCH(J267-'Сводка'!$B$11,'Сводка'!$R$3:$R$397,0)</x:f>
        <x:v>277</x:v>
      </x:c>
      <x:c r="W267" s="4" t="n">
        <x:f>MATCH(T267,$J$388:$J$400,0)</x:f>
        <x:v>10</x:v>
      </x:c>
      <x:c r="X267" s="3"/>
      <x:c r="Y267" s="3"/>
      <x:c r="Z267" s="3"/>
    </x:row>
    <x:row r="268" ht="15" customHeight="1">
      <x:c r="A268" s="3"/>
      <x:c r="B268" s="3"/>
      <x:c r="C268" s="3"/>
      <x:c r="D268" s="3"/>
      <x:c r="E268" s="3"/>
      <x:c r="F268" s="3"/>
      <x:c r="G268" s="3"/>
      <x:c r="H268" s="3"/>
      <x:c r="I268" s="3"/>
      <x:c r="J268" s="10" t="n">
        <x:v>46119</x:v>
      </x:c>
      <x:c r="K268" s="8" t="n">
        <x:f>INDEX('Сводка'!$S$3:$S$397,U268)</x:f>
        <x:v>-3</x:v>
      </x:c>
      <x:c r="L268" s="8" t="n">
        <x:f>INDEX('Сводка'!$S$3:$S$397,V268)</x:f>
        <x:v>-17</x:v>
      </x:c>
      <x:c r="M268" s="8" t="n">
        <x:f>INDEX($K$388:$N$400,W268,1)+INDEX($K$388:$N$400,W268,2)*LN(((J268-$T$405+1)/1000))</x:f>
        <x:v>124.40849331199865</x:v>
      </x:c>
      <x:c r="N268" s="8" t="n">
        <x:f>K268-M268</x:f>
        <x:v>-127.40849331199865</x:v>
      </x:c>
      <x:c r="O268" s="8" t="n">
        <x:f>ABS(N268)</x:f>
        <x:v>127.40849331199865</x:v>
      </x:c>
      <x:c r="P268" s="8" t="n">
        <x:f>N268^2</x:f>
        <x:v>16232.924168033605</x:v>
      </x:c>
      <x:c r="Q268" s="8" t="n">
        <x:f>K268-L268</x:f>
        <x:v>14</x:v>
      </x:c>
      <x:c r="R268" s="9" t="n">
        <x:f>IF(AND(INDEX('Сводка'!$T$3:$T$397,U268)=0,INDEX('Сводка'!$T$3:$T$397,V268)=0),1,0)</x:f>
        <x:v>1</x:v>
      </x:c>
      <x:c r="S268" s="9" t="n">
        <x:f>IF(AND(R268=1,O268&lt;=$G$13),1,0)</x:f>
        <x:v>0</x:v>
      </x:c>
      <x:c r="T268" s="10" t="n">
        <x:f>EOMONTH(J268-'Сводка'!$B$11,-1)</x:f>
        <x:v>46112</x:v>
      </x:c>
      <x:c r="U268" s="4" t="n">
        <x:f>MATCH(J268,'Сводка'!$R$3:$R$397,0)</x:f>
        <x:v>279</x:v>
      </x:c>
      <x:c r="V268" s="4" t="n">
        <x:f>MATCH(J268-'Сводка'!$B$11,'Сводка'!$R$3:$R$397,0)</x:f>
        <x:v>278</x:v>
      </x:c>
      <x:c r="W268" s="4" t="n">
        <x:f>MATCH(T268,$J$388:$J$400,0)</x:f>
        <x:v>10</x:v>
      </x:c>
      <x:c r="X268" s="3"/>
      <x:c r="Y268" s="3"/>
      <x:c r="Z268" s="3"/>
    </x:row>
    <x:row r="269" ht="15" customHeight="1">
      <x:c r="A269" s="3"/>
      <x:c r="B269" s="3"/>
      <x:c r="C269" s="3"/>
      <x:c r="D269" s="3"/>
      <x:c r="E269" s="3"/>
      <x:c r="F269" s="3"/>
      <x:c r="G269" s="3"/>
      <x:c r="H269" s="3"/>
      <x:c r="I269" s="3"/>
      <x:c r="J269" s="10" t="n">
        <x:v>46120</x:v>
      </x:c>
      <x:c r="K269" s="8" t="n">
        <x:f>INDEX('Сводка'!$S$3:$S$397,U269)</x:f>
        <x:v>17</x:v>
      </x:c>
      <x:c r="L269" s="8" t="n">
        <x:f>INDEX('Сводка'!$S$3:$S$397,V269)</x:f>
        <x:v>-3</x:v>
      </x:c>
      <x:c r="M269" s="8" t="n">
        <x:f>INDEX($K$388:$N$400,W269,1)+INDEX($K$388:$N$400,W269,2)*LN(((J269-$T$405+1)/1000))</x:f>
        <x:v>124.41488218804149</x:v>
      </x:c>
      <x:c r="N269" s="8" t="n">
        <x:f>K269-M269</x:f>
        <x:v>-107.41488218804149</x:v>
      </x:c>
      <x:c r="O269" s="8" t="n">
        <x:f>ABS(N269)</x:f>
        <x:v>107.41488218804149</x:v>
      </x:c>
      <x:c r="P269" s="8" t="n">
        <x:f>N269^2</x:f>
        <x:v>11537.956915470833</x:v>
      </x:c>
      <x:c r="Q269" s="8" t="n">
        <x:f>K269-L269</x:f>
        <x:v>20</x:v>
      </x:c>
      <x:c r="R269" s="9" t="n">
        <x:f>IF(AND(INDEX('Сводка'!$T$3:$T$397,U269)=0,INDEX('Сводка'!$T$3:$T$397,V269)=0),1,0)</x:f>
        <x:v>1</x:v>
      </x:c>
      <x:c r="S269" s="9" t="n">
        <x:f>IF(AND(R269=1,O269&lt;=$G$13),1,0)</x:f>
        <x:v>0</x:v>
      </x:c>
      <x:c r="T269" s="10" t="n">
        <x:f>EOMONTH(J269-'Сводка'!$B$11,-1)</x:f>
        <x:v>46112</x:v>
      </x:c>
      <x:c r="U269" s="4" t="n">
        <x:f>MATCH(J269,'Сводка'!$R$3:$R$397,0)</x:f>
        <x:v>280</x:v>
      </x:c>
      <x:c r="V269" s="4" t="n">
        <x:f>MATCH(J269-'Сводка'!$B$11,'Сводка'!$R$3:$R$397,0)</x:f>
        <x:v>279</x:v>
      </x:c>
      <x:c r="W269" s="4" t="n">
        <x:f>MATCH(T269,$J$388:$J$400,0)</x:f>
        <x:v>10</x:v>
      </x:c>
      <x:c r="X269" s="3"/>
      <x:c r="Y269" s="3"/>
      <x:c r="Z269" s="3"/>
    </x:row>
    <x:row r="270" ht="15" customHeight="1">
      <x:c r="A270" s="3"/>
      <x:c r="B270" s="3"/>
      <x:c r="C270" s="3"/>
      <x:c r="D270" s="3"/>
      <x:c r="E270" s="3"/>
      <x:c r="F270" s="3"/>
      <x:c r="G270" s="3"/>
      <x:c r="H270" s="3"/>
      <x:c r="I270" s="3"/>
      <x:c r="J270" s="10" t="n">
        <x:v>46121</x:v>
      </x:c>
      <x:c r="K270" s="8" t="n">
        <x:f>INDEX('Сводка'!$S$3:$S$397,U270)</x:f>
        <x:v>44</x:v>
      </x:c>
      <x:c r="L270" s="8" t="n">
        <x:f>INDEX('Сводка'!$S$3:$S$397,V270)</x:f>
        <x:v>17</x:v>
      </x:c>
      <x:c r="M270" s="8" t="n">
        <x:f>INDEX($K$388:$N$400,W270,1)+INDEX($K$388:$N$400,W270,2)*LN(((J270-$T$405+1)/1000))</x:f>
        <x:v>124.42127034335824</x:v>
      </x:c>
      <x:c r="N270" s="8" t="n">
        <x:f>K270-M270</x:f>
        <x:v>-80.42127034335824</x:v>
      </x:c>
      <x:c r="O270" s="8" t="n">
        <x:f>ABS(N270)</x:f>
        <x:v>80.42127034335824</x:v>
      </x:c>
      <x:c r="P270" s="8" t="n">
        <x:f>N270^2</x:f>
        <x:v>6467.580723639512</x:v>
      </x:c>
      <x:c r="Q270" s="8" t="n">
        <x:f>K270-L270</x:f>
        <x:v>27</x:v>
      </x:c>
      <x:c r="R270" s="9" t="n">
        <x:f>IF(AND(INDEX('Сводка'!$T$3:$T$397,U270)=0,INDEX('Сводка'!$T$3:$T$397,V270)=0),1,0)</x:f>
        <x:v>1</x:v>
      </x:c>
      <x:c r="S270" s="9" t="n">
        <x:f>IF(AND(R270=1,O270&lt;=$G$13),1,0)</x:f>
        <x:v>0</x:v>
      </x:c>
      <x:c r="T270" s="10" t="n">
        <x:f>EOMONTH(J270-'Сводка'!$B$11,-1)</x:f>
        <x:v>46112</x:v>
      </x:c>
      <x:c r="U270" s="4" t="n">
        <x:f>MATCH(J270,'Сводка'!$R$3:$R$397,0)</x:f>
        <x:v>281</x:v>
      </x:c>
      <x:c r="V270" s="4" t="n">
        <x:f>MATCH(J270-'Сводка'!$B$11,'Сводка'!$R$3:$R$397,0)</x:f>
        <x:v>280</x:v>
      </x:c>
      <x:c r="W270" s="4" t="n">
        <x:f>MATCH(T270,$J$388:$J$400,0)</x:f>
        <x:v>10</x:v>
      </x:c>
      <x:c r="X270" s="3"/>
      <x:c r="Y270" s="3"/>
      <x:c r="Z270" s="3"/>
    </x:row>
    <x:row r="271" ht="15" customHeight="1">
      <x:c r="A271" s="3"/>
      <x:c r="B271" s="3"/>
      <x:c r="C271" s="3"/>
      <x:c r="D271" s="3"/>
      <x:c r="E271" s="3"/>
      <x:c r="F271" s="3"/>
      <x:c r="G271" s="3"/>
      <x:c r="H271" s="3"/>
      <x:c r="I271" s="3"/>
      <x:c r="J271" s="10" t="n">
        <x:v>46122</x:v>
      </x:c>
      <x:c r="K271" s="8" t="n">
        <x:f>INDEX('Сводка'!$S$3:$S$397,U271)</x:f>
        <x:v>82</x:v>
      </x:c>
      <x:c r="L271" s="8" t="n">
        <x:f>INDEX('Сводка'!$S$3:$S$397,V271)</x:f>
        <x:v>44</x:v>
      </x:c>
      <x:c r="M271" s="8" t="n">
        <x:f>INDEX($K$388:$N$400,W271,1)+INDEX($K$388:$N$400,W271,2)*LN(((J271-$T$405+1)/1000))</x:f>
        <x:v>124.42765777811155</x:v>
      </x:c>
      <x:c r="N271" s="8" t="n">
        <x:f>K271-M271</x:f>
        <x:v>-42.42765777811155</x:v>
      </x:c>
      <x:c r="O271" s="8" t="n">
        <x:f>ABS(N271)</x:f>
        <x:v>42.42765777811155</x:v>
      </x:c>
      <x:c r="P271" s="8" t="n">
        <x:f>N271^2</x:f>
        <x:v>1800.1061445365497</x:v>
      </x:c>
      <x:c r="Q271" s="8" t="n">
        <x:f>K271-L271</x:f>
        <x:v>38</x:v>
      </x:c>
      <x:c r="R271" s="9" t="n">
        <x:f>IF(AND(INDEX('Сводка'!$T$3:$T$397,U271)=0,INDEX('Сводка'!$T$3:$T$397,V271)=0),1,0)</x:f>
        <x:v>1</x:v>
      </x:c>
      <x:c r="S271" s="9" t="n">
        <x:f>IF(AND(R271=1,O271&lt;=$G$13),1,0)</x:f>
        <x:v>0</x:v>
      </x:c>
      <x:c r="T271" s="10" t="n">
        <x:f>EOMONTH(J271-'Сводка'!$B$11,-1)</x:f>
        <x:v>46112</x:v>
      </x:c>
      <x:c r="U271" s="4" t="n">
        <x:f>MATCH(J271,'Сводка'!$R$3:$R$397,0)</x:f>
        <x:v>282</x:v>
      </x:c>
      <x:c r="V271" s="4" t="n">
        <x:f>MATCH(J271-'Сводка'!$B$11,'Сводка'!$R$3:$R$397,0)</x:f>
        <x:v>281</x:v>
      </x:c>
      <x:c r="W271" s="4" t="n">
        <x:f>MATCH(T271,$J$388:$J$400,0)</x:f>
        <x:v>10</x:v>
      </x:c>
      <x:c r="X271" s="3"/>
      <x:c r="Y271" s="3"/>
      <x:c r="Z271" s="3"/>
    </x:row>
    <x:row r="272" ht="15" customHeight="1">
      <x:c r="A272" s="3"/>
      <x:c r="B272" s="3"/>
      <x:c r="C272" s="3"/>
      <x:c r="D272" s="3"/>
      <x:c r="E272" s="3"/>
      <x:c r="F272" s="3"/>
      <x:c r="G272" s="3"/>
      <x:c r="H272" s="3"/>
      <x:c r="I272" s="3"/>
      <x:c r="J272" s="10" t="n">
        <x:v>46123</x:v>
      </x:c>
      <x:c r="K272" s="8" t="n">
        <x:f>INDEX('Сводка'!$S$3:$S$397,U272)</x:f>
        <x:v>96</x:v>
      </x:c>
      <x:c r="L272" s="8" t="n">
        <x:f>INDEX('Сводка'!$S$3:$S$397,V272)</x:f>
        <x:v>82</x:v>
      </x:c>
      <x:c r="M272" s="8" t="n">
        <x:f>INDEX($K$388:$N$400,W272,1)+INDEX($K$388:$N$400,W272,2)*LN(((J272-$T$405+1)/1000))</x:f>
        <x:v>124.43404449246393</x:v>
      </x:c>
      <x:c r="N272" s="8" t="n">
        <x:f>K272-M272</x:f>
        <x:v>-28.434044492463926</x:v>
      </x:c>
      <x:c r="O272" s="8" t="n">
        <x:f>ABS(N272)</x:f>
        <x:v>28.434044492463926</x:v>
      </x:c>
      <x:c r="P272" s="8" t="n">
        <x:f>N272^2</x:f>
        <x:v>808.4948861994181</x:v>
      </x:c>
      <x:c r="Q272" s="8" t="n">
        <x:f>K272-L272</x:f>
        <x:v>14</x:v>
      </x:c>
      <x:c r="R272" s="9" t="n">
        <x:f>IF(AND(INDEX('Сводка'!$T$3:$T$397,U272)=0,INDEX('Сводка'!$T$3:$T$397,V272)=0),1,0)</x:f>
        <x:v>1</x:v>
      </x:c>
      <x:c r="S272" s="9" t="n">
        <x:f>IF(AND(R272=1,O272&lt;=$G$13),1,0)</x:f>
        <x:v>0</x:v>
      </x:c>
      <x:c r="T272" s="10" t="n">
        <x:f>EOMONTH(J272-'Сводка'!$B$11,-1)</x:f>
        <x:v>46112</x:v>
      </x:c>
      <x:c r="U272" s="4" t="n">
        <x:f>MATCH(J272,'Сводка'!$R$3:$R$397,0)</x:f>
        <x:v>283</x:v>
      </x:c>
      <x:c r="V272" s="4" t="n">
        <x:f>MATCH(J272-'Сводка'!$B$11,'Сводка'!$R$3:$R$397,0)</x:f>
        <x:v>282</x:v>
      </x:c>
      <x:c r="W272" s="4" t="n">
        <x:f>MATCH(T272,$J$388:$J$400,0)</x:f>
        <x:v>10</x:v>
      </x:c>
      <x:c r="X272" s="3"/>
      <x:c r="Y272" s="3"/>
      <x:c r="Z272" s="3"/>
    </x:row>
    <x:row r="273" ht="15" customHeight="1">
      <x:c r="A273" s="3"/>
      <x:c r="B273" s="3"/>
      <x:c r="C273" s="3"/>
      <x:c r="D273" s="3"/>
      <x:c r="E273" s="3"/>
      <x:c r="F273" s="3"/>
      <x:c r="G273" s="3"/>
      <x:c r="H273" s="3"/>
      <x:c r="I273" s="3"/>
      <x:c r="J273" s="10" t="n">
        <x:v>46124</x:v>
      </x:c>
      <x:c r="K273" s="8" t="n">
        <x:f>INDEX('Сводка'!$S$3:$S$397,U273)</x:f>
        <x:v>163</x:v>
      </x:c>
      <x:c r="L273" s="8" t="n">
        <x:f>INDEX('Сводка'!$S$3:$S$397,V273)</x:f>
        <x:v>96</x:v>
      </x:c>
      <x:c r="M273" s="8" t="n">
        <x:f>INDEX($K$388:$N$400,W273,1)+INDEX($K$388:$N$400,W273,2)*LN(((J273-$T$405+1)/1000))</x:f>
        <x:v>124.44043048657787</x:v>
      </x:c>
      <x:c r="N273" s="8" t="n">
        <x:f>K273-M273</x:f>
        <x:v>38.55956951342213</x:v>
      </x:c>
      <x:c r="O273" s="8" t="n">
        <x:f>ABS(N273)</x:f>
        <x:v>38.55956951342213</x:v>
      </x:c>
      <x:c r="P273" s="8" t="n">
        <x:f>N273^2</x:f>
        <x:v>1486.8404010604336</x:v>
      </x:c>
      <x:c r="Q273" s="8" t="n">
        <x:f>K273-L273</x:f>
        <x:v>67</x:v>
      </x:c>
      <x:c r="R273" s="9" t="n">
        <x:f>IF(AND(INDEX('Сводка'!$T$3:$T$397,U273)=0,INDEX('Сводка'!$T$3:$T$397,V273)=0),1,0)</x:f>
        <x:v>1</x:v>
      </x:c>
      <x:c r="S273" s="9" t="n">
        <x:f>IF(AND(R273=1,O273&lt;=$G$13),1,0)</x:f>
        <x:v>0</x:v>
      </x:c>
      <x:c r="T273" s="10" t="n">
        <x:f>EOMONTH(J273-'Сводка'!$B$11,-1)</x:f>
        <x:v>46112</x:v>
      </x:c>
      <x:c r="U273" s="4" t="n">
        <x:f>MATCH(J273,'Сводка'!$R$3:$R$397,0)</x:f>
        <x:v>284</x:v>
      </x:c>
      <x:c r="V273" s="4" t="n">
        <x:f>MATCH(J273-'Сводка'!$B$11,'Сводка'!$R$3:$R$397,0)</x:f>
        <x:v>283</x:v>
      </x:c>
      <x:c r="W273" s="4" t="n">
        <x:f>MATCH(T273,$J$388:$J$400,0)</x:f>
        <x:v>10</x:v>
      </x:c>
      <x:c r="X273" s="3"/>
      <x:c r="Y273" s="3"/>
      <x:c r="Z273" s="3"/>
    </x:row>
    <x:row r="274" ht="15" customHeight="1">
      <x:c r="A274" s="3"/>
      <x:c r="B274" s="3"/>
      <x:c r="C274" s="3"/>
      <x:c r="D274" s="3"/>
      <x:c r="E274" s="3"/>
      <x:c r="F274" s="3"/>
      <x:c r="G274" s="3"/>
      <x:c r="H274" s="3"/>
      <x:c r="I274" s="3"/>
      <x:c r="J274" s="10" t="n">
        <x:v>46125</x:v>
      </x:c>
      <x:c r="K274" s="8" t="n">
        <x:f>INDEX('Сводка'!$S$3:$S$397,U274)</x:f>
        <x:v>100</x:v>
      </x:c>
      <x:c r="L274" s="8" t="n">
        <x:f>INDEX('Сводка'!$S$3:$S$397,V274)</x:f>
        <x:v>163</x:v>
      </x:c>
      <x:c r="M274" s="8" t="n">
        <x:f>INDEX($K$388:$N$400,W274,1)+INDEX($K$388:$N$400,W274,2)*LN(((J274-$T$405+1)/1000))</x:f>
        <x:v>124.4468157606158</x:v>
      </x:c>
      <x:c r="N274" s="8" t="n">
        <x:f>K274-M274</x:f>
        <x:v>-24.446815760615806</x:v>
      </x:c>
      <x:c r="O274" s="8" t="n">
        <x:f>ABS(N274)</x:f>
        <x:v>24.446815760615806</x:v>
      </x:c>
      <x:c r="P274" s="8" t="n">
        <x:f>N274^2</x:f>
        <x:v>597.6468008334933</x:v>
      </x:c>
      <x:c r="Q274" s="8" t="n">
        <x:f>K274-L274</x:f>
        <x:v>-63</x:v>
      </x:c>
      <x:c r="R274" s="9" t="n">
        <x:f>IF(AND(INDEX('Сводка'!$T$3:$T$397,U274)=0,INDEX('Сводка'!$T$3:$T$397,V274)=0),1,0)</x:f>
        <x:v>1</x:v>
      </x:c>
      <x:c r="S274" s="9" t="n">
        <x:f>IF(AND(R274=1,O274&lt;=$G$13),1,0)</x:f>
        <x:v>0</x:v>
      </x:c>
      <x:c r="T274" s="10" t="n">
        <x:f>EOMONTH(J274-'Сводка'!$B$11,-1)</x:f>
        <x:v>46112</x:v>
      </x:c>
      <x:c r="U274" s="4" t="n">
        <x:f>MATCH(J274,'Сводка'!$R$3:$R$397,0)</x:f>
        <x:v>285</x:v>
      </x:c>
      <x:c r="V274" s="4" t="n">
        <x:f>MATCH(J274-'Сводка'!$B$11,'Сводка'!$R$3:$R$397,0)</x:f>
        <x:v>284</x:v>
      </x:c>
      <x:c r="W274" s="4" t="n">
        <x:f>MATCH(T274,$J$388:$J$400,0)</x:f>
        <x:v>10</x:v>
      </x:c>
      <x:c r="X274" s="3"/>
      <x:c r="Y274" s="3"/>
      <x:c r="Z274" s="3"/>
    </x:row>
    <x:row r="275" ht="15" customHeight="1">
      <x:c r="A275" s="3"/>
      <x:c r="B275" s="3"/>
      <x:c r="C275" s="3"/>
      <x:c r="D275" s="3"/>
      <x:c r="E275" s="3"/>
      <x:c r="F275" s="3"/>
      <x:c r="G275" s="3"/>
      <x:c r="H275" s="3"/>
      <x:c r="I275" s="3"/>
      <x:c r="J275" s="10" t="n">
        <x:v>46126</x:v>
      </x:c>
      <x:c r="K275" s="8" t="n">
        <x:f>INDEX('Сводка'!$S$3:$S$397,U275)</x:f>
        <x:v>36</x:v>
      </x:c>
      <x:c r="L275" s="8" t="n">
        <x:f>INDEX('Сводка'!$S$3:$S$397,V275)</x:f>
        <x:v>100</x:v>
      </x:c>
      <x:c r="M275" s="8" t="n">
        <x:f>INDEX($K$388:$N$400,W275,1)+INDEX($K$388:$N$400,W275,2)*LN(((J275-$T$405+1)/1000))</x:f>
        <x:v>124.45320031474007</x:v>
      </x:c>
      <x:c r="N275" s="8" t="n">
        <x:f>K275-M275</x:f>
        <x:v>-88.45320031474007</x:v>
      </x:c>
      <x:c r="O275" s="8" t="n">
        <x:f>ABS(N275)</x:f>
        <x:v>88.45320031474007</x:v>
      </x:c>
      <x:c r="P275" s="8" t="n">
        <x:f>N275^2</x:f>
        <x:v>7823.968645919534</x:v>
      </x:c>
      <x:c r="Q275" s="8" t="n">
        <x:f>K275-L275</x:f>
        <x:v>-64</x:v>
      </x:c>
      <x:c r="R275" s="9" t="n">
        <x:f>IF(AND(INDEX('Сводка'!$T$3:$T$397,U275)=0,INDEX('Сводка'!$T$3:$T$397,V275)=0),1,0)</x:f>
        <x:v>1</x:v>
      </x:c>
      <x:c r="S275" s="9" t="n">
        <x:f>IF(AND(R275=1,O275&lt;=$G$13),1,0)</x:f>
        <x:v>0</x:v>
      </x:c>
      <x:c r="T275" s="10" t="n">
        <x:f>EOMONTH(J275-'Сводка'!$B$11,-1)</x:f>
        <x:v>46112</x:v>
      </x:c>
      <x:c r="U275" s="4" t="n">
        <x:f>MATCH(J275,'Сводка'!$R$3:$R$397,0)</x:f>
        <x:v>286</x:v>
      </x:c>
      <x:c r="V275" s="4" t="n">
        <x:f>MATCH(J275-'Сводка'!$B$11,'Сводка'!$R$3:$R$397,0)</x:f>
        <x:v>285</x:v>
      </x:c>
      <x:c r="W275" s="4" t="n">
        <x:f>MATCH(T275,$J$388:$J$400,0)</x:f>
        <x:v>10</x:v>
      </x:c>
      <x:c r="X275" s="3"/>
      <x:c r="Y275" s="3"/>
      <x:c r="Z275" s="3"/>
    </x:row>
    <x:row r="276" ht="15" customHeight="1">
      <x:c r="A276" s="3"/>
      <x:c r="B276" s="3"/>
      <x:c r="C276" s="3"/>
      <x:c r="D276" s="3"/>
      <x:c r="E276" s="3"/>
      <x:c r="F276" s="3"/>
      <x:c r="G276" s="3"/>
      <x:c r="H276" s="3"/>
      <x:c r="I276" s="3"/>
      <x:c r="J276" s="10" t="n">
        <x:v>46127</x:v>
      </x:c>
      <x:c r="K276" s="8" t="n">
        <x:f>INDEX('Сводка'!$S$3:$S$397,U276)</x:f>
        <x:v>-4</x:v>
      </x:c>
      <x:c r="L276" s="8" t="n">
        <x:f>INDEX('Сводка'!$S$3:$S$397,V276)</x:f>
        <x:v>36</x:v>
      </x:c>
      <x:c r="M276" s="8" t="n">
        <x:f>INDEX($K$388:$N$400,W276,1)+INDEX($K$388:$N$400,W276,2)*LN(((J276-$T$405+1)/1000))</x:f>
        <x:v>124.45958414911306</x:v>
      </x:c>
      <x:c r="N276" s="8" t="n">
        <x:f>K276-M276</x:f>
        <x:v>-128.45958414911306</x:v>
      </x:c>
      <x:c r="O276" s="8" t="n">
        <x:f>ABS(N276)</x:f>
        <x:v>128.45958414911306</x:v>
      </x:c>
      <x:c r="P276" s="8" t="n">
        <x:f>N276^2</x:f>
        <x:v>16501.86475976306</x:v>
      </x:c>
      <x:c r="Q276" s="8" t="n">
        <x:f>K276-L276</x:f>
        <x:v>-40</x:v>
      </x:c>
      <x:c r="R276" s="9" t="n">
        <x:f>IF(AND(INDEX('Сводка'!$T$3:$T$397,U276)=0,INDEX('Сводка'!$T$3:$T$397,V276)=0),1,0)</x:f>
        <x:v>1</x:v>
      </x:c>
      <x:c r="S276" s="9" t="n">
        <x:f>IF(AND(R276=1,O276&lt;=$G$13),1,0)</x:f>
        <x:v>0</x:v>
      </x:c>
      <x:c r="T276" s="10" t="n">
        <x:f>EOMONTH(J276-'Сводка'!$B$11,-1)</x:f>
        <x:v>46112</x:v>
      </x:c>
      <x:c r="U276" s="4" t="n">
        <x:f>MATCH(J276,'Сводка'!$R$3:$R$397,0)</x:f>
        <x:v>287</x:v>
      </x:c>
      <x:c r="V276" s="4" t="n">
        <x:f>MATCH(J276-'Сводка'!$B$11,'Сводка'!$R$3:$R$397,0)</x:f>
        <x:v>286</x:v>
      </x:c>
      <x:c r="W276" s="4" t="n">
        <x:f>MATCH(T276,$J$388:$J$400,0)</x:f>
        <x:v>10</x:v>
      </x:c>
      <x:c r="X276" s="3"/>
      <x:c r="Y276" s="3"/>
      <x:c r="Z276" s="3"/>
    </x:row>
    <x:row r="277" ht="15" customHeight="1">
      <x:c r="A277" s="3"/>
      <x:c r="B277" s="3"/>
      <x:c r="C277" s="3"/>
      <x:c r="D277" s="3"/>
      <x:c r="E277" s="3"/>
      <x:c r="F277" s="3"/>
      <x:c r="G277" s="3"/>
      <x:c r="H277" s="3"/>
      <x:c r="I277" s="3"/>
      <x:c r="J277" s="10" t="n">
        <x:v>46128</x:v>
      </x:c>
      <x:c r="K277" s="8" t="n">
        <x:f>INDEX('Сводка'!$S$3:$S$397,U277)</x:f>
        <x:v>-14</x:v>
      </x:c>
      <x:c r="L277" s="8" t="n">
        <x:f>INDEX('Сводка'!$S$3:$S$397,V277)</x:f>
        <x:v>-4</x:v>
      </x:c>
      <x:c r="M277" s="8" t="n">
        <x:f>INDEX($K$388:$N$400,W277,1)+INDEX($K$388:$N$400,W277,2)*LN(((J277-$T$405+1)/1000))</x:f>
        <x:v>124.46596726389694</x:v>
      </x:c>
      <x:c r="N277" s="8" t="n">
        <x:f>K277-M277</x:f>
        <x:v>-138.46596726389694</x:v>
      </x:c>
      <x:c r="O277" s="8" t="n">
        <x:f>ABS(N277)</x:f>
        <x:v>138.46596726389694</x:v>
      </x:c>
      <x:c r="P277" s="8" t="n">
        <x:f>N277^2</x:f>
        <x:v>19172.82409032658</x:v>
      </x:c>
      <x:c r="Q277" s="8" t="n">
        <x:f>K277-L277</x:f>
        <x:v>-10</x:v>
      </x:c>
      <x:c r="R277" s="9" t="n">
        <x:f>IF(AND(INDEX('Сводка'!$T$3:$T$397,U277)=0,INDEX('Сводка'!$T$3:$T$397,V277)=0),1,0)</x:f>
        <x:v>1</x:v>
      </x:c>
      <x:c r="S277" s="9" t="n">
        <x:f>IF(AND(R277=1,O277&lt;=$G$13),1,0)</x:f>
        <x:v>0</x:v>
      </x:c>
      <x:c r="T277" s="10" t="n">
        <x:f>EOMONTH(J277-'Сводка'!$B$11,-1)</x:f>
        <x:v>46112</x:v>
      </x:c>
      <x:c r="U277" s="4" t="n">
        <x:f>MATCH(J277,'Сводка'!$R$3:$R$397,0)</x:f>
        <x:v>288</x:v>
      </x:c>
      <x:c r="V277" s="4" t="n">
        <x:f>MATCH(J277-'Сводка'!$B$11,'Сводка'!$R$3:$R$397,0)</x:f>
        <x:v>287</x:v>
      </x:c>
      <x:c r="W277" s="4" t="n">
        <x:f>MATCH(T277,$J$388:$J$400,0)</x:f>
        <x:v>10</x:v>
      </x:c>
      <x:c r="X277" s="3"/>
      <x:c r="Y277" s="3"/>
      <x:c r="Z277" s="3"/>
    </x:row>
    <x:row r="278" ht="15" customHeight="1">
      <x:c r="A278" s="3"/>
      <x:c r="B278" s="3"/>
      <x:c r="C278" s="3"/>
      <x:c r="D278" s="3"/>
      <x:c r="E278" s="3"/>
      <x:c r="F278" s="3"/>
      <x:c r="G278" s="3"/>
      <x:c r="H278" s="3"/>
      <x:c r="I278" s="3"/>
      <x:c r="J278" s="10" t="n">
        <x:v>46129</x:v>
      </x:c>
      <x:c r="K278" s="8" t="n">
        <x:f>INDEX('Сводка'!$S$3:$S$397,U278)</x:f>
        <x:v>-6</x:v>
      </x:c>
      <x:c r="L278" s="8" t="n">
        <x:f>INDEX('Сводка'!$S$3:$S$397,V278)</x:f>
        <x:v>-14</x:v>
      </x:c>
      <x:c r="M278" s="8" t="n">
        <x:f>INDEX($K$388:$N$400,W278,1)+INDEX($K$388:$N$400,W278,2)*LN(((J278-$T$405+1)/1000))</x:f>
        <x:v>124.47234965925398</x:v>
      </x:c>
      <x:c r="N278" s="8" t="n">
        <x:f>K278-M278</x:f>
        <x:v>-130.47234965925398</x:v>
      </x:c>
      <x:c r="O278" s="8" t="n">
        <x:f>ABS(N278)</x:f>
        <x:v>130.47234965925398</x:v>
      </x:c>
      <x:c r="P278" s="8" t="n">
        <x:f>N278^2</x:f>
        <x:v>17023.03402560663</x:v>
      </x:c>
      <x:c r="Q278" s="8" t="n">
        <x:f>K278-L278</x:f>
        <x:v>8</x:v>
      </x:c>
      <x:c r="R278" s="9" t="n">
        <x:f>IF(AND(INDEX('Сводка'!$T$3:$T$397,U278)=0,INDEX('Сводка'!$T$3:$T$397,V278)=0),1,0)</x:f>
        <x:v>1</x:v>
      </x:c>
      <x:c r="S278" s="9" t="n">
        <x:f>IF(AND(R278=1,O278&lt;=$G$13),1,0)</x:f>
        <x:v>0</x:v>
      </x:c>
      <x:c r="T278" s="10" t="n">
        <x:f>EOMONTH(J278-'Сводка'!$B$11,-1)</x:f>
        <x:v>46112</x:v>
      </x:c>
      <x:c r="U278" s="4" t="n">
        <x:f>MATCH(J278,'Сводка'!$R$3:$R$397,0)</x:f>
        <x:v>289</x:v>
      </x:c>
      <x:c r="V278" s="4" t="n">
        <x:f>MATCH(J278-'Сводка'!$B$11,'Сводка'!$R$3:$R$397,0)</x:f>
        <x:v>288</x:v>
      </x:c>
      <x:c r="W278" s="4" t="n">
        <x:f>MATCH(T278,$J$388:$J$400,0)</x:f>
        <x:v>10</x:v>
      </x:c>
      <x:c r="X278" s="3"/>
      <x:c r="Y278" s="3"/>
      <x:c r="Z278" s="3"/>
    </x:row>
    <x:row r="279" ht="15" customHeight="1">
      <x:c r="A279" s="3"/>
      <x:c r="B279" s="3"/>
      <x:c r="C279" s="3"/>
      <x:c r="D279" s="3"/>
      <x:c r="E279" s="3"/>
      <x:c r="F279" s="3"/>
      <x:c r="G279" s="3"/>
      <x:c r="H279" s="3"/>
      <x:c r="I279" s="3"/>
      <x:c r="J279" s="10" t="n">
        <x:v>46130</x:v>
      </x:c>
      <x:c r="K279" s="8" t="n">
        <x:f>INDEX('Сводка'!$S$3:$S$397,U279)</x:f>
        <x:v>-4</x:v>
      </x:c>
      <x:c r="L279" s="8" t="n">
        <x:f>INDEX('Сводка'!$S$3:$S$397,V279)</x:f>
        <x:v>-6</x:v>
      </x:c>
      <x:c r="M279" s="8" t="n">
        <x:f>INDEX($K$388:$N$400,W279,1)+INDEX($K$388:$N$400,W279,2)*LN(((J279-$T$405+1)/1000))</x:f>
        <x:v>124.47873133534634</x:v>
      </x:c>
      <x:c r="N279" s="8" t="n">
        <x:f>K279-M279</x:f>
        <x:v>-128.47873133534634</x:v>
      </x:c>
      <x:c r="O279" s="8" t="n">
        <x:f>ABS(N279)</x:f>
        <x:v>128.47873133534634</x:v>
      </x:c>
      <x:c r="P279" s="8" t="n">
        <x:f>N279^2</x:f>
        <x:v>16506.784405540104</x:v>
      </x:c>
      <x:c r="Q279" s="8" t="n">
        <x:f>K279-L279</x:f>
        <x:v>2</x:v>
      </x:c>
      <x:c r="R279" s="9" t="n">
        <x:f>IF(AND(INDEX('Сводка'!$T$3:$T$397,U279)=0,INDEX('Сводка'!$T$3:$T$397,V279)=0),1,0)</x:f>
        <x:v>1</x:v>
      </x:c>
      <x:c r="S279" s="9" t="n">
        <x:f>IF(AND(R279=1,O279&lt;=$G$13),1,0)</x:f>
        <x:v>0</x:v>
      </x:c>
      <x:c r="T279" s="10" t="n">
        <x:f>EOMONTH(J279-'Сводка'!$B$11,-1)</x:f>
        <x:v>46112</x:v>
      </x:c>
      <x:c r="U279" s="4" t="n">
        <x:f>MATCH(J279,'Сводка'!$R$3:$R$397,0)</x:f>
        <x:v>290</x:v>
      </x:c>
      <x:c r="V279" s="4" t="n">
        <x:f>MATCH(J279-'Сводка'!$B$11,'Сводка'!$R$3:$R$397,0)</x:f>
        <x:v>289</x:v>
      </x:c>
      <x:c r="W279" s="4" t="n">
        <x:f>MATCH(T279,$J$388:$J$400,0)</x:f>
        <x:v>10</x:v>
      </x:c>
      <x:c r="X279" s="3"/>
      <x:c r="Y279" s="3"/>
      <x:c r="Z279" s="3"/>
    </x:row>
    <x:row r="280" ht="15" customHeight="1">
      <x:c r="A280" s="3"/>
      <x:c r="B280" s="3"/>
      <x:c r="C280" s="3"/>
      <x:c r="D280" s="3"/>
      <x:c r="E280" s="3"/>
      <x:c r="F280" s="3"/>
      <x:c r="G280" s="3"/>
      <x:c r="H280" s="3"/>
      <x:c r="I280" s="3"/>
      <x:c r="J280" s="10" t="n">
        <x:v>46131</x:v>
      </x:c>
      <x:c r="K280" s="8" t="n">
        <x:f>INDEX('Сводка'!$S$3:$S$397,U280)</x:f>
        <x:v>64</x:v>
      </x:c>
      <x:c r="L280" s="8" t="n">
        <x:f>INDEX('Сводка'!$S$3:$S$397,V280)</x:f>
        <x:v>-4</x:v>
      </x:c>
      <x:c r="M280" s="8" t="n">
        <x:f>INDEX($K$388:$N$400,W280,1)+INDEX($K$388:$N$400,W280,2)*LN(((J280-$T$405+1)/1000))</x:f>
        <x:v>124.48511229233604</x:v>
      </x:c>
      <x:c r="N280" s="8" t="n">
        <x:f>K280-M280</x:f>
        <x:v>-60.48511229233604</x:v>
      </x:c>
      <x:c r="O280" s="8" t="n">
        <x:f>ABS(N280)</x:f>
        <x:v>60.48511229233604</x:v>
      </x:c>
      <x:c r="P280" s="8" t="n">
        <x:f>N280^2</x:f>
        <x:v>3658.4488090165005</x:v>
      </x:c>
      <x:c r="Q280" s="8" t="n">
        <x:f>K280-L280</x:f>
        <x:v>68</x:v>
      </x:c>
      <x:c r="R280" s="9" t="n">
        <x:f>IF(AND(INDEX('Сводка'!$T$3:$T$397,U280)=0,INDEX('Сводка'!$T$3:$T$397,V280)=0),1,0)</x:f>
        <x:v>1</x:v>
      </x:c>
      <x:c r="S280" s="9" t="n">
        <x:f>IF(AND(R280=1,O280&lt;=$G$13),1,0)</x:f>
        <x:v>0</x:v>
      </x:c>
      <x:c r="T280" s="10" t="n">
        <x:f>EOMONTH(J280-'Сводка'!$B$11,-1)</x:f>
        <x:v>46112</x:v>
      </x:c>
      <x:c r="U280" s="4" t="n">
        <x:f>MATCH(J280,'Сводка'!$R$3:$R$397,0)</x:f>
        <x:v>291</x:v>
      </x:c>
      <x:c r="V280" s="4" t="n">
        <x:f>MATCH(J280-'Сводка'!$B$11,'Сводка'!$R$3:$R$397,0)</x:f>
        <x:v>290</x:v>
      </x:c>
      <x:c r="W280" s="4" t="n">
        <x:f>MATCH(T280,$J$388:$J$400,0)</x:f>
        <x:v>10</x:v>
      </x:c>
      <x:c r="X280" s="3"/>
      <x:c r="Y280" s="3"/>
      <x:c r="Z280" s="3"/>
    </x:row>
    <x:row r="281" ht="15" customHeight="1">
      <x:c r="A281" s="3"/>
      <x:c r="B281" s="3"/>
      <x:c r="C281" s="3"/>
      <x:c r="D281" s="3"/>
      <x:c r="E281" s="3"/>
      <x:c r="F281" s="3"/>
      <x:c r="G281" s="3"/>
      <x:c r="H281" s="3"/>
      <x:c r="I281" s="3"/>
      <x:c r="J281" s="10" t="n">
        <x:v>46132</x:v>
      </x:c>
      <x:c r="K281" s="8" t="n">
        <x:f>INDEX('Сводка'!$S$3:$S$397,U281)</x:f>
        <x:v>82</x:v>
      </x:c>
      <x:c r="L281" s="8" t="n">
        <x:f>INDEX('Сводка'!$S$3:$S$397,V281)</x:f>
        <x:v>64</x:v>
      </x:c>
      <x:c r="M281" s="8" t="n">
        <x:f>INDEX($K$388:$N$400,W281,1)+INDEX($K$388:$N$400,W281,2)*LN(((J281-$T$405+1)/1000))</x:f>
        <x:v>124.4914925303852</x:v>
      </x:c>
      <x:c r="N281" s="8" t="n">
        <x:f>K281-M281</x:f>
        <x:v>-42.4914925303852</x:v>
      </x:c>
      <x:c r="O281" s="8" t="n">
        <x:f>ABS(N281)</x:f>
        <x:v>42.4914925303852</x:v>
      </x:c>
      <x:c r="P281" s="8" t="n">
        <x:f>N281^2</x:f>
        <x:v>1805.5269374597815</x:v>
      </x:c>
      <x:c r="Q281" s="8" t="n">
        <x:f>K281-L281</x:f>
        <x:v>18</x:v>
      </x:c>
      <x:c r="R281" s="9" t="n">
        <x:f>IF(AND(INDEX('Сводка'!$T$3:$T$397,U281)=0,INDEX('Сводка'!$T$3:$T$397,V281)=0),1,0)</x:f>
        <x:v>1</x:v>
      </x:c>
      <x:c r="S281" s="9" t="n">
        <x:f>IF(AND(R281=1,O281&lt;=$G$13),1,0)</x:f>
        <x:v>0</x:v>
      </x:c>
      <x:c r="T281" s="10" t="n">
        <x:f>EOMONTH(J281-'Сводка'!$B$11,-1)</x:f>
        <x:v>46112</x:v>
      </x:c>
      <x:c r="U281" s="4" t="n">
        <x:f>MATCH(J281,'Сводка'!$R$3:$R$397,0)</x:f>
        <x:v>292</x:v>
      </x:c>
      <x:c r="V281" s="4" t="n">
        <x:f>MATCH(J281-'Сводка'!$B$11,'Сводка'!$R$3:$R$397,0)</x:f>
        <x:v>291</x:v>
      </x:c>
      <x:c r="W281" s="4" t="n">
        <x:f>MATCH(T281,$J$388:$J$400,0)</x:f>
        <x:v>10</x:v>
      </x:c>
      <x:c r="X281" s="3"/>
      <x:c r="Y281" s="3"/>
      <x:c r="Z281" s="3"/>
    </x:row>
    <x:row r="282" ht="15" customHeight="1">
      <x:c r="A282" s="3"/>
      <x:c r="B282" s="3"/>
      <x:c r="C282" s="3"/>
      <x:c r="D282" s="3"/>
      <x:c r="E282" s="3"/>
      <x:c r="F282" s="3"/>
      <x:c r="G282" s="3"/>
      <x:c r="H282" s="3"/>
      <x:c r="I282" s="3"/>
      <x:c r="J282" s="10" t="n">
        <x:v>46133</x:v>
      </x:c>
      <x:c r="K282" s="8" t="n">
        <x:f>INDEX('Сводка'!$S$3:$S$397,U282)</x:f>
        <x:v>64</x:v>
      </x:c>
      <x:c r="L282" s="8" t="n">
        <x:f>INDEX('Сводка'!$S$3:$S$397,V282)</x:f>
        <x:v>82</x:v>
      </x:c>
      <x:c r="M282" s="8" t="n">
        <x:f>INDEX($K$388:$N$400,W282,1)+INDEX($K$388:$N$400,W282,2)*LN(((J282-$T$405+1)/1000))</x:f>
        <x:v>124.4978720496558</x:v>
      </x:c>
      <x:c r="N282" s="8" t="n">
        <x:f>K282-M282</x:f>
        <x:v>-60.4978720496558</x:v>
      </x:c>
      <x:c r="O282" s="8" t="n">
        <x:f>ABS(N282)</x:f>
        <x:v>60.4978720496558</x:v>
      </x:c>
      <x:c r="P282" s="8" t="n">
        <x:f>N282^2</x:f>
        <x:v>3659.992522536524</x:v>
      </x:c>
      <x:c r="Q282" s="8" t="n">
        <x:f>K282-L282</x:f>
        <x:v>-18</x:v>
      </x:c>
      <x:c r="R282" s="9" t="n">
        <x:f>IF(AND(INDEX('Сводка'!$T$3:$T$397,U282)=0,INDEX('Сводка'!$T$3:$T$397,V282)=0),1,0)</x:f>
        <x:v>1</x:v>
      </x:c>
      <x:c r="S282" s="9" t="n">
        <x:f>IF(AND(R282=1,O282&lt;=$G$13),1,0)</x:f>
        <x:v>0</x:v>
      </x:c>
      <x:c r="T282" s="10" t="n">
        <x:f>EOMONTH(J282-'Сводка'!$B$11,-1)</x:f>
        <x:v>46112</x:v>
      </x:c>
      <x:c r="U282" s="4" t="n">
        <x:f>MATCH(J282,'Сводка'!$R$3:$R$397,0)</x:f>
        <x:v>293</x:v>
      </x:c>
      <x:c r="V282" s="4" t="n">
        <x:f>MATCH(J282-'Сводка'!$B$11,'Сводка'!$R$3:$R$397,0)</x:f>
        <x:v>292</x:v>
      </x:c>
      <x:c r="W282" s="4" t="n">
        <x:f>MATCH(T282,$J$388:$J$400,0)</x:f>
        <x:v>10</x:v>
      </x:c>
      <x:c r="X282" s="3"/>
      <x:c r="Y282" s="3"/>
      <x:c r="Z282" s="3"/>
    </x:row>
    <x:row r="283" ht="15" customHeight="1">
      <x:c r="A283" s="3"/>
      <x:c r="B283" s="3"/>
      <x:c r="C283" s="3"/>
      <x:c r="D283" s="3"/>
      <x:c r="E283" s="3"/>
      <x:c r="F283" s="3"/>
      <x:c r="G283" s="3"/>
      <x:c r="H283" s="3"/>
      <x:c r="I283" s="3"/>
      <x:c r="J283" s="10" t="n">
        <x:v>46134</x:v>
      </x:c>
      <x:c r="K283" s="8" t="n">
        <x:f>INDEX('Сводка'!$S$3:$S$397,U283)</x:f>
        <x:v>63</x:v>
      </x:c>
      <x:c r="L283" s="8" t="n">
        <x:f>INDEX('Сводка'!$S$3:$S$397,V283)</x:f>
        <x:v>64</x:v>
      </x:c>
      <x:c r="M283" s="8" t="n">
        <x:f>INDEX($K$388:$N$400,W283,1)+INDEX($K$388:$N$400,W283,2)*LN(((J283-$T$405+1)/1000))</x:f>
        <x:v>124.5042508503097</x:v>
      </x:c>
      <x:c r="N283" s="8" t="n">
        <x:f>K283-M283</x:f>
        <x:v>-61.5042508503097</x:v>
      </x:c>
      <x:c r="O283" s="8" t="n">
        <x:f>ABS(N283)</x:f>
        <x:v>61.5042508503097</x:v>
      </x:c>
      <x:c r="P283" s="8" t="n">
        <x:f>N283^2</x:f>
        <x:v>3782.7728726578216</x:v>
      </x:c>
      <x:c r="Q283" s="8" t="n">
        <x:f>K283-L283</x:f>
        <x:v>-1</x:v>
      </x:c>
      <x:c r="R283" s="9" t="n">
        <x:f>IF(AND(INDEX('Сводка'!$T$3:$T$397,U283)=0,INDEX('Сводка'!$T$3:$T$397,V283)=0),1,0)</x:f>
        <x:v>1</x:v>
      </x:c>
      <x:c r="S283" s="9" t="n">
        <x:f>IF(AND(R283=1,O283&lt;=$G$13),1,0)</x:f>
        <x:v>0</x:v>
      </x:c>
      <x:c r="T283" s="10" t="n">
        <x:f>EOMONTH(J283-'Сводка'!$B$11,-1)</x:f>
        <x:v>46112</x:v>
      </x:c>
      <x:c r="U283" s="4" t="n">
        <x:f>MATCH(J283,'Сводка'!$R$3:$R$397,0)</x:f>
        <x:v>294</x:v>
      </x:c>
      <x:c r="V283" s="4" t="n">
        <x:f>MATCH(J283-'Сводка'!$B$11,'Сводка'!$R$3:$R$397,0)</x:f>
        <x:v>293</x:v>
      </x:c>
      <x:c r="W283" s="4" t="n">
        <x:f>MATCH(T283,$J$388:$J$400,0)</x:f>
        <x:v>10</x:v>
      </x:c>
      <x:c r="X283" s="3"/>
      <x:c r="Y283" s="3"/>
      <x:c r="Z283" s="3"/>
    </x:row>
    <x:row r="284" ht="15" customHeight="1">
      <x:c r="A284" s="3"/>
      <x:c r="B284" s="3"/>
      <x:c r="C284" s="3"/>
      <x:c r="D284" s="3"/>
      <x:c r="E284" s="3"/>
      <x:c r="F284" s="3"/>
      <x:c r="G284" s="3"/>
      <x:c r="H284" s="3"/>
      <x:c r="I284" s="3"/>
      <x:c r="J284" s="10" t="n">
        <x:v>46135</x:v>
      </x:c>
      <x:c r="K284" s="8" t="n">
        <x:f>INDEX('Сводка'!$S$3:$S$397,U284)</x:f>
        <x:v>55</x:v>
      </x:c>
      <x:c r="L284" s="8" t="n">
        <x:f>INDEX('Сводка'!$S$3:$S$397,V284)</x:f>
        <x:v>63</x:v>
      </x:c>
      <x:c r="M284" s="8" t="n">
        <x:f>INDEX($K$388:$N$400,W284,1)+INDEX($K$388:$N$400,W284,2)*LN(((J284-$T$405+1)/1000))</x:f>
        <x:v>124.51062893250887</x:v>
      </x:c>
      <x:c r="N284" s="8" t="n">
        <x:f>K284-M284</x:f>
        <x:v>-69.51062893250887</x:v>
      </x:c>
      <x:c r="O284" s="8" t="n">
        <x:f>ABS(N284)</x:f>
        <x:v>69.51062893250887</x:v>
      </x:c>
      <x:c r="P284" s="8" t="n">
        <x:f>N284^2</x:f>
        <x:v>4831.727534592938</x:v>
      </x:c>
      <x:c r="Q284" s="8" t="n">
        <x:f>K284-L284</x:f>
        <x:v>-8</x:v>
      </x:c>
      <x:c r="R284" s="9" t="n">
        <x:f>IF(AND(INDEX('Сводка'!$T$3:$T$397,U284)=0,INDEX('Сводка'!$T$3:$T$397,V284)=0),1,0)</x:f>
        <x:v>1</x:v>
      </x:c>
      <x:c r="S284" s="9" t="n">
        <x:f>IF(AND(R284=1,O284&lt;=$G$13),1,0)</x:f>
        <x:v>0</x:v>
      </x:c>
      <x:c r="T284" s="10" t="n">
        <x:f>EOMONTH(J284-'Сводка'!$B$11,-1)</x:f>
        <x:v>46112</x:v>
      </x:c>
      <x:c r="U284" s="4" t="n">
        <x:f>MATCH(J284,'Сводка'!$R$3:$R$397,0)</x:f>
        <x:v>295</x:v>
      </x:c>
      <x:c r="V284" s="4" t="n">
        <x:f>MATCH(J284-'Сводка'!$B$11,'Сводка'!$R$3:$R$397,0)</x:f>
        <x:v>294</x:v>
      </x:c>
      <x:c r="W284" s="4" t="n">
        <x:f>MATCH(T284,$J$388:$J$400,0)</x:f>
        <x:v>10</x:v>
      </x:c>
      <x:c r="X284" s="3"/>
      <x:c r="Y284" s="3"/>
      <x:c r="Z284" s="3"/>
    </x:row>
    <x:row r="285" ht="15" customHeight="1">
      <x:c r="A285" s="3"/>
      <x:c r="B285" s="3"/>
      <x:c r="C285" s="3"/>
      <x:c r="D285" s="3"/>
      <x:c r="E285" s="3"/>
      <x:c r="F285" s="3"/>
      <x:c r="G285" s="3"/>
      <x:c r="H285" s="3"/>
      <x:c r="I285" s="3"/>
      <x:c r="J285" s="10" t="n">
        <x:v>46136</x:v>
      </x:c>
      <x:c r="K285" s="8" t="n">
        <x:f>INDEX('Сводка'!$S$3:$S$397,U285)</x:f>
        <x:v>53</x:v>
      </x:c>
      <x:c r="L285" s="8" t="n">
        <x:f>INDEX('Сводка'!$S$3:$S$397,V285)</x:f>
        <x:v>55</x:v>
      </x:c>
      <x:c r="M285" s="8" t="n">
        <x:f>INDEX($K$388:$N$400,W285,1)+INDEX($K$388:$N$400,W285,2)*LN(((J285-$T$405+1)/1000))</x:f>
        <x:v>124.51700629641509</x:v>
      </x:c>
      <x:c r="N285" s="8" t="n">
        <x:f>K285-M285</x:f>
        <x:v>-71.51700629641509</x:v>
      </x:c>
      <x:c r="O285" s="8" t="n">
        <x:f>ABS(N285)</x:f>
        <x:v>71.51700629641509</x:v>
      </x:c>
      <x:c r="P285" s="8" t="n">
        <x:f>N285^2</x:f>
        <x:v>5114.682189601475</x:v>
      </x:c>
      <x:c r="Q285" s="8" t="n">
        <x:f>K285-L285</x:f>
        <x:v>-2</x:v>
      </x:c>
      <x:c r="R285" s="9" t="n">
        <x:f>IF(AND(INDEX('Сводка'!$T$3:$T$397,U285)=0,INDEX('Сводка'!$T$3:$T$397,V285)=0),1,0)</x:f>
        <x:v>1</x:v>
      </x:c>
      <x:c r="S285" s="9" t="n">
        <x:f>IF(AND(R285=1,O285&lt;=$G$13),1,0)</x:f>
        <x:v>0</x:v>
      </x:c>
      <x:c r="T285" s="10" t="n">
        <x:f>EOMONTH(J285-'Сводка'!$B$11,-1)</x:f>
        <x:v>46112</x:v>
      </x:c>
      <x:c r="U285" s="4" t="n">
        <x:f>MATCH(J285,'Сводка'!$R$3:$R$397,0)</x:f>
        <x:v>296</x:v>
      </x:c>
      <x:c r="V285" s="4" t="n">
        <x:f>MATCH(J285-'Сводка'!$B$11,'Сводка'!$R$3:$R$397,0)</x:f>
        <x:v>295</x:v>
      </x:c>
      <x:c r="W285" s="4" t="n">
        <x:f>MATCH(T285,$J$388:$J$400,0)</x:f>
        <x:v>10</x:v>
      </x:c>
      <x:c r="X285" s="3"/>
      <x:c r="Y285" s="3"/>
      <x:c r="Z285" s="3"/>
    </x:row>
    <x:row r="286" ht="15" customHeight="1">
      <x:c r="A286" s="3"/>
      <x:c r="B286" s="3"/>
      <x:c r="C286" s="3"/>
      <x:c r="D286" s="3"/>
      <x:c r="E286" s="3"/>
      <x:c r="F286" s="3"/>
      <x:c r="G286" s="3"/>
      <x:c r="H286" s="3"/>
      <x:c r="I286" s="3"/>
      <x:c r="J286" s="10" t="n">
        <x:v>46137</x:v>
      </x:c>
      <x:c r="K286" s="8" t="n">
        <x:f>INDEX('Сводка'!$S$3:$S$397,U286)</x:f>
        <x:v>58</x:v>
      </x:c>
      <x:c r="L286" s="8" t="n">
        <x:f>INDEX('Сводка'!$S$3:$S$397,V286)</x:f>
        <x:v>53</x:v>
      </x:c>
      <x:c r="M286" s="8" t="n">
        <x:f>INDEX($K$388:$N$400,W286,1)+INDEX($K$388:$N$400,W286,2)*LN(((J286-$T$405+1)/1000))</x:f>
        <x:v>124.52338294219014</x:v>
      </x:c>
      <x:c r="N286" s="8" t="n">
        <x:f>K286-M286</x:f>
        <x:v>-66.52338294219014</x:v>
      </x:c>
      <x:c r="O286" s="8" t="n">
        <x:f>ABS(N286)</x:f>
        <x:v>66.52338294219014</x:v>
      </x:c>
      <x:c r="P286" s="8" t="n">
        <x:f>N286^2</x:f>
        <x:v>4425.360478073274</x:v>
      </x:c>
      <x:c r="Q286" s="8" t="n">
        <x:f>K286-L286</x:f>
        <x:v>5</x:v>
      </x:c>
      <x:c r="R286" s="9" t="n">
        <x:f>IF(AND(INDEX('Сводка'!$T$3:$T$397,U286)=0,INDEX('Сводка'!$T$3:$T$397,V286)=0),1,0)</x:f>
        <x:v>1</x:v>
      </x:c>
      <x:c r="S286" s="9" t="n">
        <x:f>IF(AND(R286=1,O286&lt;=$G$13),1,0)</x:f>
        <x:v>0</x:v>
      </x:c>
      <x:c r="T286" s="10" t="n">
        <x:f>EOMONTH(J286-'Сводка'!$B$11,-1)</x:f>
        <x:v>46112</x:v>
      </x:c>
      <x:c r="U286" s="4" t="n">
        <x:f>MATCH(J286,'Сводка'!$R$3:$R$397,0)</x:f>
        <x:v>297</x:v>
      </x:c>
      <x:c r="V286" s="4" t="n">
        <x:f>MATCH(J286-'Сводка'!$B$11,'Сводка'!$R$3:$R$397,0)</x:f>
        <x:v>296</x:v>
      </x:c>
      <x:c r="W286" s="4" t="n">
        <x:f>MATCH(T286,$J$388:$J$400,0)</x:f>
        <x:v>10</x:v>
      </x:c>
      <x:c r="X286" s="3"/>
      <x:c r="Y286" s="3"/>
      <x:c r="Z286" s="3"/>
    </x:row>
    <x:row r="287" ht="15" customHeight="1">
      <x:c r="A287" s="3"/>
      <x:c r="B287" s="3"/>
      <x:c r="C287" s="3"/>
      <x:c r="D287" s="3"/>
      <x:c r="E287" s="3"/>
      <x:c r="F287" s="3"/>
      <x:c r="G287" s="3"/>
      <x:c r="H287" s="3"/>
      <x:c r="I287" s="3"/>
      <x:c r="J287" s="10" t="n">
        <x:v>46138</x:v>
      </x:c>
      <x:c r="K287" s="8" t="n">
        <x:f>INDEX('Сводка'!$S$3:$S$397,U287)</x:f>
        <x:v>58</x:v>
      </x:c>
      <x:c r="L287" s="8" t="n">
        <x:f>INDEX('Сводка'!$S$3:$S$397,V287)</x:f>
        <x:v>58</x:v>
      </x:c>
      <x:c r="M287" s="8" t="n">
        <x:f>INDEX($K$388:$N$400,W287,1)+INDEX($K$388:$N$400,W287,2)*LN(((J287-$T$405+1)/1000))</x:f>
        <x:v>124.5297588699957</x:v>
      </x:c>
      <x:c r="N287" s="8" t="n">
        <x:f>K287-M287</x:f>
        <x:v>-66.5297588699957</x:v>
      </x:c>
      <x:c r="O287" s="8" t="n">
        <x:f>ABS(N287)</x:f>
        <x:v>66.5297588699957</x:v>
      </x:c>
      <x:c r="P287" s="8" t="n">
        <x:f>N287^2</x:f>
        <x:v>4426.208815299772</x:v>
      </x:c>
      <x:c r="Q287" s="8" t="n">
        <x:f>K287-L287</x:f>
        <x:v>0</x:v>
      </x:c>
      <x:c r="R287" s="9" t="n">
        <x:f>IF(AND(INDEX('Сводка'!$T$3:$T$397,U287)=0,INDEX('Сводка'!$T$3:$T$397,V287)=0),1,0)</x:f>
        <x:v>1</x:v>
      </x:c>
      <x:c r="S287" s="9" t="n">
        <x:f>IF(AND(R287=1,O287&lt;=$G$13),1,0)</x:f>
        <x:v>0</x:v>
      </x:c>
      <x:c r="T287" s="10" t="n">
        <x:f>EOMONTH(J287-'Сводка'!$B$11,-1)</x:f>
        <x:v>46112</x:v>
      </x:c>
      <x:c r="U287" s="4" t="n">
        <x:f>MATCH(J287,'Сводка'!$R$3:$R$397,0)</x:f>
        <x:v>298</x:v>
      </x:c>
      <x:c r="V287" s="4" t="n">
        <x:f>MATCH(J287-'Сводка'!$B$11,'Сводка'!$R$3:$R$397,0)</x:f>
        <x:v>297</x:v>
      </x:c>
      <x:c r="W287" s="4" t="n">
        <x:f>MATCH(T287,$J$388:$J$400,0)</x:f>
        <x:v>10</x:v>
      </x:c>
      <x:c r="X287" s="3"/>
      <x:c r="Y287" s="3"/>
      <x:c r="Z287" s="3"/>
    </x:row>
    <x:row r="288" ht="15" customHeight="1">
      <x:c r="A288" s="3"/>
      <x:c r="B288" s="3"/>
      <x:c r="C288" s="3"/>
      <x:c r="D288" s="3"/>
      <x:c r="E288" s="3"/>
      <x:c r="F288" s="3"/>
      <x:c r="G288" s="3"/>
      <x:c r="H288" s="3"/>
      <x:c r="I288" s="3"/>
      <x:c r="J288" s="10" t="n">
        <x:v>46139</x:v>
      </x:c>
      <x:c r="K288" s="8" t="n">
        <x:f>INDEX('Сводка'!$S$3:$S$397,U288)</x:f>
        <x:v>61</x:v>
      </x:c>
      <x:c r="L288" s="8" t="n">
        <x:f>INDEX('Сводка'!$S$3:$S$397,V288)</x:f>
        <x:v>58</x:v>
      </x:c>
      <x:c r="M288" s="8" t="n">
        <x:f>INDEX($K$388:$N$400,W288,1)+INDEX($K$388:$N$400,W288,2)*LN(((J288-$T$405+1)/1000))</x:f>
        <x:v>124.53613407999346</x:v>
      </x:c>
      <x:c r="N288" s="8" t="n">
        <x:f>K288-M288</x:f>
        <x:v>-63.53613407999346</x:v>
      </x:c>
      <x:c r="O288" s="8" t="n">
        <x:f>ABS(N288)</x:f>
        <x:v>63.53613407999346</x:v>
      </x:c>
      <x:c r="P288" s="8" t="n">
        <x:f>N288^2</x:f>
        <x:v>4036.8403338309063</x:v>
      </x:c>
      <x:c r="Q288" s="8" t="n">
        <x:f>K288-L288</x:f>
        <x:v>3</x:v>
      </x:c>
      <x:c r="R288" s="9" t="n">
        <x:f>IF(AND(INDEX('Сводка'!$T$3:$T$397,U288)=0,INDEX('Сводка'!$T$3:$T$397,V288)=0),1,0)</x:f>
        <x:v>1</x:v>
      </x:c>
      <x:c r="S288" s="9" t="n">
        <x:f>IF(AND(R288=1,O288&lt;=$G$13),1,0)</x:f>
        <x:v>0</x:v>
      </x:c>
      <x:c r="T288" s="10" t="n">
        <x:f>EOMONTH(J288-'Сводка'!$B$11,-1)</x:f>
        <x:v>46112</x:v>
      </x:c>
      <x:c r="U288" s="4" t="n">
        <x:f>MATCH(J288,'Сводка'!$R$3:$R$397,0)</x:f>
        <x:v>299</x:v>
      </x:c>
      <x:c r="V288" s="4" t="n">
        <x:f>MATCH(J288-'Сводка'!$B$11,'Сводка'!$R$3:$R$397,0)</x:f>
        <x:v>298</x:v>
      </x:c>
      <x:c r="W288" s="4" t="n">
        <x:f>MATCH(T288,$J$388:$J$400,0)</x:f>
        <x:v>10</x:v>
      </x:c>
      <x:c r="X288" s="3"/>
      <x:c r="Y288" s="3"/>
      <x:c r="Z288" s="3"/>
    </x:row>
    <x:row r="289" ht="15" customHeight="1">
      <x:c r="A289" s="3"/>
      <x:c r="B289" s="3"/>
      <x:c r="C289" s="3"/>
      <x:c r="D289" s="3"/>
      <x:c r="E289" s="3"/>
      <x:c r="F289" s="3"/>
      <x:c r="G289" s="3"/>
      <x:c r="H289" s="3"/>
      <x:c r="I289" s="3"/>
      <x:c r="J289" s="10" t="n">
        <x:v>46140</x:v>
      </x:c>
      <x:c r="K289" s="8" t="n">
        <x:f>INDEX('Сводка'!$S$3:$S$397,U289)</x:f>
        <x:v>47</x:v>
      </x:c>
      <x:c r="L289" s="8" t="n">
        <x:f>INDEX('Сводка'!$S$3:$S$397,V289)</x:f>
        <x:v>61</x:v>
      </x:c>
      <x:c r="M289" s="8" t="n">
        <x:f>INDEX($K$388:$N$400,W289,1)+INDEX($K$388:$N$400,W289,2)*LN(((J289-$T$405+1)/1000))</x:f>
        <x:v>124.54250857234504</x:v>
      </x:c>
      <x:c r="N289" s="8" t="n">
        <x:f>K289-M289</x:f>
        <x:v>-77.54250857234504</x:v>
      </x:c>
      <x:c r="O289" s="8" t="n">
        <x:f>ABS(N289)</x:f>
        <x:v>77.54250857234504</x:v>
      </x:c>
      <x:c r="P289" s="8" t="n">
        <x:f>N289^2</x:f>
        <x:v>6012.840635692204</x:v>
      </x:c>
      <x:c r="Q289" s="8" t="n">
        <x:f>K289-L289</x:f>
        <x:v>-14</x:v>
      </x:c>
      <x:c r="R289" s="9" t="n">
        <x:f>IF(AND(INDEX('Сводка'!$T$3:$T$397,U289)=0,INDEX('Сводка'!$T$3:$T$397,V289)=0),1,0)</x:f>
        <x:v>1</x:v>
      </x:c>
      <x:c r="S289" s="9" t="n">
        <x:f>IF(AND(R289=1,O289&lt;=$G$13),1,0)</x:f>
        <x:v>0</x:v>
      </x:c>
      <x:c r="T289" s="10" t="n">
        <x:f>EOMONTH(J289-'Сводка'!$B$11,-1)</x:f>
        <x:v>46112</x:v>
      </x:c>
      <x:c r="U289" s="4" t="n">
        <x:f>MATCH(J289,'Сводка'!$R$3:$R$397,0)</x:f>
        <x:v>300</x:v>
      </x:c>
      <x:c r="V289" s="4" t="n">
        <x:f>MATCH(J289-'Сводка'!$B$11,'Сводка'!$R$3:$R$397,0)</x:f>
        <x:v>299</x:v>
      </x:c>
      <x:c r="W289" s="4" t="n">
        <x:f>MATCH(T289,$J$388:$J$400,0)</x:f>
        <x:v>10</x:v>
      </x:c>
      <x:c r="X289" s="3"/>
      <x:c r="Y289" s="3"/>
      <x:c r="Z289" s="3"/>
    </x:row>
    <x:row r="290" ht="15" customHeight="1">
      <x:c r="A290" s="3"/>
      <x:c r="B290" s="3"/>
      <x:c r="C290" s="3"/>
      <x:c r="D290" s="3"/>
      <x:c r="E290" s="3"/>
      <x:c r="F290" s="3"/>
      <x:c r="G290" s="3"/>
      <x:c r="H290" s="3"/>
      <x:c r="I290" s="3"/>
      <x:c r="J290" s="10" t="n">
        <x:v>46141</x:v>
      </x:c>
      <x:c r="K290" s="8" t="n">
        <x:f>INDEX('Сводка'!$S$3:$S$397,U290)</x:f>
        <x:v>37</x:v>
      </x:c>
      <x:c r="L290" s="8" t="n">
        <x:f>INDEX('Сводка'!$S$3:$S$397,V290)</x:f>
        <x:v>47</x:v>
      </x:c>
      <x:c r="M290" s="8" t="n">
        <x:f>INDEX($K$388:$N$400,W290,1)+INDEX($K$388:$N$400,W290,2)*LN(((J290-$T$405+1)/1000))</x:f>
        <x:v>124.54888234721197</x:v>
      </x:c>
      <x:c r="N290" s="8" t="n">
        <x:f>K290-M290</x:f>
        <x:v>-87.54888234721197</x:v>
      </x:c>
      <x:c r="O290" s="8" t="n">
        <x:f>ABS(N290)</x:f>
        <x:v>87.54888234721197</x:v>
      </x:c>
      <x:c r="P290" s="8" t="n">
        <x:f>N290^2</x:f>
        <x:v>7664.806800245964</x:v>
      </x:c>
      <x:c r="Q290" s="8" t="n">
        <x:f>K290-L290</x:f>
        <x:v>-10</x:v>
      </x:c>
      <x:c r="R290" s="9" t="n">
        <x:f>IF(AND(INDEX('Сводка'!$T$3:$T$397,U290)=0,INDEX('Сводка'!$T$3:$T$397,V290)=0),1,0)</x:f>
        <x:v>1</x:v>
      </x:c>
      <x:c r="S290" s="9" t="n">
        <x:f>IF(AND(R290=1,O290&lt;=$G$13),1,0)</x:f>
        <x:v>0</x:v>
      </x:c>
      <x:c r="T290" s="10" t="n">
        <x:f>EOMONTH(J290-'Сводка'!$B$11,-1)</x:f>
        <x:v>46112</x:v>
      </x:c>
      <x:c r="U290" s="4" t="n">
        <x:f>MATCH(J290,'Сводка'!$R$3:$R$397,0)</x:f>
        <x:v>301</x:v>
      </x:c>
      <x:c r="V290" s="4" t="n">
        <x:f>MATCH(J290-'Сводка'!$B$11,'Сводка'!$R$3:$R$397,0)</x:f>
        <x:v>300</x:v>
      </x:c>
      <x:c r="W290" s="4" t="n">
        <x:f>MATCH(T290,$J$388:$J$400,0)</x:f>
        <x:v>10</x:v>
      </x:c>
      <x:c r="X290" s="3"/>
      <x:c r="Y290" s="3"/>
      <x:c r="Z290" s="3"/>
    </x:row>
    <x:row r="291" ht="15" customHeight="1">
      <x:c r="A291" s="3"/>
      <x:c r="B291" s="3"/>
      <x:c r="C291" s="3"/>
      <x:c r="D291" s="3"/>
      <x:c r="E291" s="3"/>
      <x:c r="F291" s="3"/>
      <x:c r="G291" s="3"/>
      <x:c r="H291" s="3"/>
      <x:c r="I291" s="3"/>
      <x:c r="J291" s="10" t="n">
        <x:v>46142</x:v>
      </x:c>
      <x:c r="K291" s="8" t="n">
        <x:f>INDEX('Сводка'!$S$3:$S$397,U291)</x:f>
        <x:v>33</x:v>
      </x:c>
      <x:c r="L291" s="8" t="n">
        <x:f>INDEX('Сводка'!$S$3:$S$397,V291)</x:f>
        <x:v>37</x:v>
      </x:c>
      <x:c r="M291" s="8" t="n">
        <x:f>INDEX($K$388:$N$400,W291,1)+INDEX($K$388:$N$400,W291,2)*LN(((J291-$T$405+1)/1000))</x:f>
        <x:v>124.55525540475574</x:v>
      </x:c>
      <x:c r="N291" s="8" t="n">
        <x:f>K291-M291</x:f>
        <x:v>-91.55525540475574</x:v>
      </x:c>
      <x:c r="O291" s="8" t="n">
        <x:f>ABS(N291)</x:f>
        <x:v>91.55525540475574</x:v>
      </x:c>
      <x:c r="P291" s="8" t="n">
        <x:f>N291^2</x:f>
        <x:v>8382.364792230055</x:v>
      </x:c>
      <x:c r="Q291" s="8" t="n">
        <x:f>K291-L291</x:f>
        <x:v>-4</x:v>
      </x:c>
      <x:c r="R291" s="9" t="n">
        <x:f>IF(AND(INDEX('Сводка'!$T$3:$T$397,U291)=0,INDEX('Сводка'!$T$3:$T$397,V291)=0),1,0)</x:f>
        <x:v>1</x:v>
      </x:c>
      <x:c r="S291" s="9" t="n">
        <x:f>IF(AND(R291=1,O291&lt;=$G$13),1,0)</x:f>
        <x:v>0</x:v>
      </x:c>
      <x:c r="T291" s="10" t="n">
        <x:f>EOMONTH(J291-'Сводка'!$B$11,-1)</x:f>
        <x:v>46112</x:v>
      </x:c>
      <x:c r="U291" s="4" t="n">
        <x:f>MATCH(J291,'Сводка'!$R$3:$R$397,0)</x:f>
        <x:v>302</x:v>
      </x:c>
      <x:c r="V291" s="4" t="n">
        <x:f>MATCH(J291-'Сводка'!$B$11,'Сводка'!$R$3:$R$397,0)</x:f>
        <x:v>301</x:v>
      </x:c>
      <x:c r="W291" s="4" t="n">
        <x:f>MATCH(T291,$J$388:$J$400,0)</x:f>
        <x:v>10</x:v>
      </x:c>
      <x:c r="X291" s="3"/>
      <x:c r="Y291" s="3"/>
      <x:c r="Z291" s="3"/>
    </x:row>
    <x:row r="292" ht="15" customHeight="1">
      <x:c r="A292" s="3"/>
      <x:c r="B292" s="3"/>
      <x:c r="C292" s="3"/>
      <x:c r="D292" s="3"/>
      <x:c r="E292" s="3"/>
      <x:c r="F292" s="3"/>
      <x:c r="G292" s="3"/>
      <x:c r="H292" s="3"/>
      <x:c r="I292" s="3"/>
      <x:c r="J292" s="10" t="n">
        <x:v>46143</x:v>
      </x:c>
      <x:c r="K292" s="8" t="n">
        <x:f>INDEX('Сводка'!$S$3:$S$397,U292)</x:f>
        <x:v>44</x:v>
      </x:c>
      <x:c r="L292" s="8" t="n">
        <x:f>INDEX('Сводка'!$S$3:$S$397,V292)</x:f>
        <x:v>33</x:v>
      </x:c>
      <x:c r="M292" s="8" t="n">
        <x:f>INDEX($K$388:$N$400,W292,1)+INDEX($K$388:$N$400,W292,2)*LN(((J292-$T$405+1)/1000))</x:f>
        <x:v>124.5616277451378</x:v>
      </x:c>
      <x:c r="N292" s="8" t="n">
        <x:f>K292-M292</x:f>
        <x:v>-80.5616277451378</x:v>
      </x:c>
      <x:c r="O292" s="8" t="n">
        <x:f>ABS(N292)</x:f>
        <x:v>80.5616277451378</x:v>
      </x:c>
      <x:c r="P292" s="8" t="n">
        <x:f>N292^2</x:f>
        <x:v>6490.175864946156</x:v>
      </x:c>
      <x:c r="Q292" s="8" t="n">
        <x:f>K292-L292</x:f>
        <x:v>11</x:v>
      </x:c>
      <x:c r="R292" s="9" t="n">
        <x:f>IF(AND(INDEX('Сводка'!$T$3:$T$397,U292)=0,INDEX('Сводка'!$T$3:$T$397,V292)=0),1,0)</x:f>
        <x:v>1</x:v>
      </x:c>
      <x:c r="S292" s="9" t="n">
        <x:f>IF(AND(R292=1,O292&lt;=$G$13),1,0)</x:f>
        <x:v>0</x:v>
      </x:c>
      <x:c r="T292" s="10" t="n">
        <x:f>EOMONTH(J292-'Сводка'!$B$11,-1)</x:f>
        <x:v>46112</x:v>
      </x:c>
      <x:c r="U292" s="4" t="n">
        <x:f>MATCH(J292,'Сводка'!$R$3:$R$397,0)</x:f>
        <x:v>303</x:v>
      </x:c>
      <x:c r="V292" s="4" t="n">
        <x:f>MATCH(J292-'Сводка'!$B$11,'Сводка'!$R$3:$R$397,0)</x:f>
        <x:v>302</x:v>
      </x:c>
      <x:c r="W292" s="4" t="n">
        <x:f>MATCH(T292,$J$388:$J$400,0)</x:f>
        <x:v>10</x:v>
      </x:c>
      <x:c r="X292" s="3"/>
      <x:c r="Y292" s="3"/>
      <x:c r="Z292" s="3"/>
    </x:row>
    <x:row r="293" ht="15" customHeight="1">
      <x:c r="A293" s="3"/>
      <x:c r="B293" s="3"/>
      <x:c r="C293" s="3"/>
      <x:c r="D293" s="3"/>
      <x:c r="E293" s="3"/>
      <x:c r="F293" s="3"/>
      <x:c r="G293" s="3"/>
      <x:c r="H293" s="3"/>
      <x:c r="I293" s="3"/>
      <x:c r="J293" s="10" t="n">
        <x:v>46144</x:v>
      </x:c>
      <x:c r="K293" s="8" t="n">
        <x:f>INDEX('Сводка'!$S$3:$S$397,U293)</x:f>
        <x:v>61</x:v>
      </x:c>
      <x:c r="L293" s="8" t="n">
        <x:f>INDEX('Сводка'!$S$3:$S$397,V293)</x:f>
        <x:v>44</x:v>
      </x:c>
      <x:c r="M293" s="8" t="n">
        <x:f>INDEX($K$388:$N$400,W293,1)+INDEX($K$388:$N$400,W293,2)*LN(((J293-$T$405+1)/1000))</x:f>
        <x:v>123.89062669463907</x:v>
      </x:c>
      <x:c r="N293" s="8" t="n">
        <x:f>K293-M293</x:f>
        <x:v>-62.89062669463907</x:v>
      </x:c>
      <x:c r="O293" s="8" t="n">
        <x:f>ABS(N293)</x:f>
        <x:v>62.89062669463907</x:v>
      </x:c>
      <x:c r="P293" s="8" t="n">
        <x:f>N293^2</x:f>
        <x:v>3955.230926044448</x:v>
      </x:c>
      <x:c r="Q293" s="8" t="n">
        <x:f>K293-L293</x:f>
        <x:v>17</x:v>
      </x:c>
      <x:c r="R293" s="9" t="n">
        <x:f>IF(AND(INDEX('Сводка'!$T$3:$T$397,U293)=0,INDEX('Сводка'!$T$3:$T$397,V293)=0),1,0)</x:f>
        <x:v>1</x:v>
      </x:c>
      <x:c r="S293" s="9" t="n">
        <x:f>IF(AND(R293=1,O293&lt;=$G$13),1,0)</x:f>
        <x:v>0</x:v>
      </x:c>
      <x:c r="T293" s="10" t="n">
        <x:f>EOMONTH(J293-'Сводка'!$B$11,-1)</x:f>
        <x:v>46142</x:v>
      </x:c>
      <x:c r="U293" s="4" t="n">
        <x:f>MATCH(J293,'Сводка'!$R$3:$R$397,0)</x:f>
        <x:v>304</x:v>
      </x:c>
      <x:c r="V293" s="4" t="n">
        <x:f>MATCH(J293-'Сводка'!$B$11,'Сводка'!$R$3:$R$397,0)</x:f>
        <x:v>303</x:v>
      </x:c>
      <x:c r="W293" s="4" t="n">
        <x:f>MATCH(T293,$J$388:$J$400,0)</x:f>
        <x:v>11</x:v>
      </x:c>
      <x:c r="X293" s="3"/>
      <x:c r="Y293" s="3"/>
      <x:c r="Z293" s="3"/>
    </x:row>
    <x:row r="294" ht="15" customHeight="1">
      <x:c r="A294" s="3"/>
      <x:c r="B294" s="3"/>
      <x:c r="C294" s="3"/>
      <x:c r="D294" s="3"/>
      <x:c r="E294" s="3"/>
      <x:c r="F294" s="3"/>
      <x:c r="G294" s="3"/>
      <x:c r="H294" s="3"/>
      <x:c r="I294" s="3"/>
      <x:c r="J294" s="10" t="n">
        <x:v>46145</x:v>
      </x:c>
      <x:c r="K294" s="8" t="n">
        <x:f>INDEX('Сводка'!$S$3:$S$397,U294)</x:f>
        <x:v>76</x:v>
      </x:c>
      <x:c r="L294" s="8" t="n">
        <x:f>INDEX('Сводка'!$S$3:$S$397,V294)</x:f>
        <x:v>61</x:v>
      </x:c>
      <x:c r="M294" s="8" t="n">
        <x:f>INDEX($K$388:$N$400,W294,1)+INDEX($K$388:$N$400,W294,2)*LN(((J294-$T$405+1)/1000))</x:f>
        <x:v>123.89695940172112</x:v>
      </x:c>
      <x:c r="N294" s="8" t="n">
        <x:f>K294-M294</x:f>
        <x:v>-47.89695940172112</x:v>
      </x:c>
      <x:c r="O294" s="8" t="n">
        <x:f>ABS(N294)</x:f>
        <x:v>47.89695940172112</x:v>
      </x:c>
      <x:c r="P294" s="8" t="n">
        <x:f>N294^2</x:f>
        <x:v>2294.118719930121</x:v>
      </x:c>
      <x:c r="Q294" s="8" t="n">
        <x:f>K294-L294</x:f>
        <x:v>15</x:v>
      </x:c>
      <x:c r="R294" s="9" t="n">
        <x:f>IF(AND(INDEX('Сводка'!$T$3:$T$397,U294)=0,INDEX('Сводка'!$T$3:$T$397,V294)=0),1,0)</x:f>
        <x:v>1</x:v>
      </x:c>
      <x:c r="S294" s="9" t="n">
        <x:f>IF(AND(R294=1,O294&lt;=$G$13),1,0)</x:f>
        <x:v>0</x:v>
      </x:c>
      <x:c r="T294" s="10" t="n">
        <x:f>EOMONTH(J294-'Сводка'!$B$11,-1)</x:f>
        <x:v>46142</x:v>
      </x:c>
      <x:c r="U294" s="4" t="n">
        <x:f>MATCH(J294,'Сводка'!$R$3:$R$397,0)</x:f>
        <x:v>305</x:v>
      </x:c>
      <x:c r="V294" s="4" t="n">
        <x:f>MATCH(J294-'Сводка'!$B$11,'Сводка'!$R$3:$R$397,0)</x:f>
        <x:v>304</x:v>
      </x:c>
      <x:c r="W294" s="4" t="n">
        <x:f>MATCH(T294,$J$388:$J$400,0)</x:f>
        <x:v>11</x:v>
      </x:c>
      <x:c r="X294" s="3"/>
      <x:c r="Y294" s="3"/>
      <x:c r="Z294" s="3"/>
    </x:row>
    <x:row r="295" ht="15" customHeight="1">
      <x:c r="A295" s="3"/>
      <x:c r="B295" s="3"/>
      <x:c r="C295" s="3"/>
      <x:c r="D295" s="3"/>
      <x:c r="E295" s="3"/>
      <x:c r="F295" s="3"/>
      <x:c r="G295" s="3"/>
      <x:c r="H295" s="3"/>
      <x:c r="I295" s="3"/>
      <x:c r="J295" s="10" t="n">
        <x:v>46146</x:v>
      </x:c>
      <x:c r="K295" s="8" t="n">
        <x:f>INDEX('Сводка'!$S$3:$S$397,U295)</x:f>
        <x:v>83</x:v>
      </x:c>
      <x:c r="L295" s="8" t="n">
        <x:f>INDEX('Сводка'!$S$3:$S$397,V295)</x:f>
        <x:v>76</x:v>
      </x:c>
      <x:c r="M295" s="8" t="n">
        <x:f>INDEX($K$388:$N$400,W295,1)+INDEX($K$388:$N$400,W295,2)*LN(((J295-$T$405+1)/1000))</x:f>
        <x:v>123.9032913964226</x:v>
      </x:c>
      <x:c r="N295" s="8" t="n">
        <x:f>K295-M295</x:f>
        <x:v>-40.9032913964226</x:v>
      </x:c>
      <x:c r="O295" s="8" t="n">
        <x:f>ABS(N295)</x:f>
        <x:v>40.9032913964226</x:v>
      </x:c>
      <x:c r="P295" s="8" t="n">
        <x:f>N295^2</x:f>
        <x:v>1673.0792470606593</x:v>
      </x:c>
      <x:c r="Q295" s="8" t="n">
        <x:f>K295-L295</x:f>
        <x:v>7</x:v>
      </x:c>
      <x:c r="R295" s="9" t="n">
        <x:f>IF(AND(INDEX('Сводка'!$T$3:$T$397,U295)=0,INDEX('Сводка'!$T$3:$T$397,V295)=0),1,0)</x:f>
        <x:v>1</x:v>
      </x:c>
      <x:c r="S295" s="9" t="n">
        <x:f>IF(AND(R295=1,O295&lt;=$G$13),1,0)</x:f>
        <x:v>0</x:v>
      </x:c>
      <x:c r="T295" s="10" t="n">
        <x:f>EOMONTH(J295-'Сводка'!$B$11,-1)</x:f>
        <x:v>46142</x:v>
      </x:c>
      <x:c r="U295" s="4" t="n">
        <x:f>MATCH(J295,'Сводка'!$R$3:$R$397,0)</x:f>
        <x:v>306</x:v>
      </x:c>
      <x:c r="V295" s="4" t="n">
        <x:f>MATCH(J295-'Сводка'!$B$11,'Сводка'!$R$3:$R$397,0)</x:f>
        <x:v>305</x:v>
      </x:c>
      <x:c r="W295" s="4" t="n">
        <x:f>MATCH(T295,$J$388:$J$400,0)</x:f>
        <x:v>11</x:v>
      </x:c>
      <x:c r="X295" s="3"/>
      <x:c r="Y295" s="3"/>
      <x:c r="Z295" s="3"/>
    </x:row>
    <x:row r="296" ht="15" customHeight="1">
      <x:c r="A296" s="3"/>
      <x:c r="B296" s="3"/>
      <x:c r="C296" s="3"/>
      <x:c r="D296" s="3"/>
      <x:c r="E296" s="3"/>
      <x:c r="F296" s="3"/>
      <x:c r="G296" s="3"/>
      <x:c r="H296" s="3"/>
      <x:c r="I296" s="3"/>
      <x:c r="J296" s="10" t="n">
        <x:v>46147</x:v>
      </x:c>
      <x:c r="K296" s="8" t="n">
        <x:f>INDEX('Сводка'!$S$3:$S$397,U296)</x:f>
        <x:v>87</x:v>
      </x:c>
      <x:c r="L296" s="8" t="n">
        <x:f>INDEX('Сводка'!$S$3:$S$397,V296)</x:f>
        <x:v>83</x:v>
      </x:c>
      <x:c r="M296" s="8" t="n">
        <x:f>INDEX($K$388:$N$400,W296,1)+INDEX($K$388:$N$400,W296,2)*LN(((J296-$T$405+1)/1000))</x:f>
        <x:v>123.90962267890377</x:v>
      </x:c>
      <x:c r="N296" s="8" t="n">
        <x:f>K296-M296</x:f>
        <x:v>-36.90962267890377</x:v>
      </x:c>
      <x:c r="O296" s="8" t="n">
        <x:f>ABS(N296)</x:f>
        <x:v>36.90962267890377</x:v>
      </x:c>
      <x:c r="P296" s="8" t="n">
        <x:f>N296^2</x:f>
        <x:v>1362.3202462990478</x:v>
      </x:c>
      <x:c r="Q296" s="8" t="n">
        <x:f>K296-L296</x:f>
        <x:v>4</x:v>
      </x:c>
      <x:c r="R296" s="9" t="n">
        <x:f>IF(AND(INDEX('Сводка'!$T$3:$T$397,U296)=0,INDEX('Сводка'!$T$3:$T$397,V296)=0),1,0)</x:f>
        <x:v>1</x:v>
      </x:c>
      <x:c r="S296" s="9" t="n">
        <x:f>IF(AND(R296=1,O296&lt;=$G$13),1,0)</x:f>
        <x:v>0</x:v>
      </x:c>
      <x:c r="T296" s="10" t="n">
        <x:f>EOMONTH(J296-'Сводка'!$B$11,-1)</x:f>
        <x:v>46142</x:v>
      </x:c>
      <x:c r="U296" s="4" t="n">
        <x:f>MATCH(J296,'Сводка'!$R$3:$R$397,0)</x:f>
        <x:v>307</x:v>
      </x:c>
      <x:c r="V296" s="4" t="n">
        <x:f>MATCH(J296-'Сводка'!$B$11,'Сводка'!$R$3:$R$397,0)</x:f>
        <x:v>306</x:v>
      </x:c>
      <x:c r="W296" s="4" t="n">
        <x:f>MATCH(T296,$J$388:$J$400,0)</x:f>
        <x:v>11</x:v>
      </x:c>
      <x:c r="X296" s="3"/>
      <x:c r="Y296" s="3"/>
      <x:c r="Z296" s="3"/>
    </x:row>
    <x:row r="297" ht="15" customHeight="1">
      <x:c r="A297" s="3"/>
      <x:c r="B297" s="3"/>
      <x:c r="C297" s="3"/>
      <x:c r="D297" s="3"/>
      <x:c r="E297" s="3"/>
      <x:c r="F297" s="3"/>
      <x:c r="G297" s="3"/>
      <x:c r="H297" s="3"/>
      <x:c r="I297" s="3"/>
      <x:c r="J297" s="10" t="n">
        <x:v>46148</x:v>
      </x:c>
      <x:c r="K297" s="8" t="n">
        <x:f>INDEX('Сводка'!$S$3:$S$397,U297)</x:f>
        <x:v>92</x:v>
      </x:c>
      <x:c r="L297" s="8" t="n">
        <x:f>INDEX('Сводка'!$S$3:$S$397,V297)</x:f>
        <x:v>87</x:v>
      </x:c>
      <x:c r="M297" s="8" t="n">
        <x:f>INDEX($K$388:$N$400,W297,1)+INDEX($K$388:$N$400,W297,2)*LN(((J297-$T$405+1)/1000))</x:f>
        <x:v>123.91595324932482</x:v>
      </x:c>
      <x:c r="N297" s="8" t="n">
        <x:f>K297-M297</x:f>
        <x:v>-31.915953249324815</x:v>
      </x:c>
      <x:c r="O297" s="8" t="n">
        <x:f>ABS(N297)</x:f>
        <x:v>31.915953249324815</x:v>
      </x:c>
      <x:c r="P297" s="8" t="n">
        <x:f>N297^2</x:f>
        <x:v>1018.6280718130872</x:v>
      </x:c>
      <x:c r="Q297" s="8" t="n">
        <x:f>K297-L297</x:f>
        <x:v>5</x:v>
      </x:c>
      <x:c r="R297" s="9" t="n">
        <x:f>IF(AND(INDEX('Сводка'!$T$3:$T$397,U297)=0,INDEX('Сводка'!$T$3:$T$397,V297)=0),1,0)</x:f>
        <x:v>1</x:v>
      </x:c>
      <x:c r="S297" s="9" t="n">
        <x:f>IF(AND(R297=1,O297&lt;=$G$13),1,0)</x:f>
        <x:v>0</x:v>
      </x:c>
      <x:c r="T297" s="10" t="n">
        <x:f>EOMONTH(J297-'Сводка'!$B$11,-1)</x:f>
        <x:v>46142</x:v>
      </x:c>
      <x:c r="U297" s="4" t="n">
        <x:f>MATCH(J297,'Сводка'!$R$3:$R$397,0)</x:f>
        <x:v>308</x:v>
      </x:c>
      <x:c r="V297" s="4" t="n">
        <x:f>MATCH(J297-'Сводка'!$B$11,'Сводка'!$R$3:$R$397,0)</x:f>
        <x:v>307</x:v>
      </x:c>
      <x:c r="W297" s="4" t="n">
        <x:f>MATCH(T297,$J$388:$J$400,0)</x:f>
        <x:v>11</x:v>
      </x:c>
      <x:c r="X297" s="3"/>
      <x:c r="Y297" s="3"/>
      <x:c r="Z297" s="3"/>
    </x:row>
    <x:row r="298" ht="15" customHeight="1">
      <x:c r="A298" s="3"/>
      <x:c r="B298" s="3"/>
      <x:c r="C298" s="3"/>
      <x:c r="D298" s="3"/>
      <x:c r="E298" s="3"/>
      <x:c r="F298" s="3"/>
      <x:c r="G298" s="3"/>
      <x:c r="H298" s="3"/>
      <x:c r="I298" s="3"/>
      <x:c r="J298" s="10" t="n">
        <x:v>46149</x:v>
      </x:c>
      <x:c r="K298" s="8" t="n">
        <x:f>INDEX('Сводка'!$S$3:$S$397,U298)</x:f>
        <x:v>99</x:v>
      </x:c>
      <x:c r="L298" s="8" t="n">
        <x:f>INDEX('Сводка'!$S$3:$S$397,V298)</x:f>
        <x:v>92</x:v>
      </x:c>
      <x:c r="M298" s="8" t="n">
        <x:f>INDEX($K$388:$N$400,W298,1)+INDEX($K$388:$N$400,W298,2)*LN(((J298-$T$405+1)/1000))</x:f>
        <x:v>123.9222831078459</x:v>
      </x:c>
      <x:c r="N298" s="8" t="n">
        <x:f>K298-M298</x:f>
        <x:v>-24.9222831078459</x:v>
      </x:c>
      <x:c r="O298" s="8" t="n">
        <x:f>ABS(N298)</x:f>
        <x:v>24.9222831078459</x:v>
      </x:c>
      <x:c r="P298" s="8" t="n">
        <x:f>N298^2</x:f>
        <x:v>621.1201953076211</x:v>
      </x:c>
      <x:c r="Q298" s="8" t="n">
        <x:f>K298-L298</x:f>
        <x:v>7</x:v>
      </x:c>
      <x:c r="R298" s="9" t="n">
        <x:f>IF(AND(INDEX('Сводка'!$T$3:$T$397,U298)=0,INDEX('Сводка'!$T$3:$T$397,V298)=0),1,0)</x:f>
        <x:v>1</x:v>
      </x:c>
      <x:c r="S298" s="9" t="n">
        <x:f>IF(AND(R298=1,O298&lt;=$G$13),1,0)</x:f>
        <x:v>0</x:v>
      </x:c>
      <x:c r="T298" s="10" t="n">
        <x:f>EOMONTH(J298-'Сводка'!$B$11,-1)</x:f>
        <x:v>46142</x:v>
      </x:c>
      <x:c r="U298" s="4" t="n">
        <x:f>MATCH(J298,'Сводка'!$R$3:$R$397,0)</x:f>
        <x:v>309</x:v>
      </x:c>
      <x:c r="V298" s="4" t="n">
        <x:f>MATCH(J298-'Сводка'!$B$11,'Сводка'!$R$3:$R$397,0)</x:f>
        <x:v>308</x:v>
      </x:c>
      <x:c r="W298" s="4" t="n">
        <x:f>MATCH(T298,$J$388:$J$400,0)</x:f>
        <x:v>11</x:v>
      </x:c>
      <x:c r="X298" s="3"/>
      <x:c r="Y298" s="3"/>
      <x:c r="Z298" s="3"/>
    </x:row>
    <x:row r="299" ht="15" customHeight="1">
      <x:c r="A299" s="3"/>
      <x:c r="B299" s="3"/>
      <x:c r="C299" s="3"/>
      <x:c r="D299" s="3"/>
      <x:c r="E299" s="3"/>
      <x:c r="F299" s="3"/>
      <x:c r="G299" s="3"/>
      <x:c r="H299" s="3"/>
      <x:c r="I299" s="3"/>
      <x:c r="J299" s="10" t="n">
        <x:v>46150</x:v>
      </x:c>
      <x:c r="K299" s="8" t="n">
        <x:f>INDEX('Сводка'!$S$3:$S$397,U299)</x:f>
        <x:v>108</x:v>
      </x:c>
      <x:c r="L299" s="8" t="n">
        <x:f>INDEX('Сводка'!$S$3:$S$397,V299)</x:f>
        <x:v>99</x:v>
      </x:c>
      <x:c r="M299" s="8" t="n">
        <x:f>INDEX($K$388:$N$400,W299,1)+INDEX($K$388:$N$400,W299,2)*LN(((J299-$T$405+1)/1000))</x:f>
        <x:v>123.92861225462711</x:v>
      </x:c>
      <x:c r="N299" s="8" t="n">
        <x:f>K299-M299</x:f>
        <x:v>-15.928612254627112</x:v>
      </x:c>
      <x:c r="O299" s="8" t="n">
        <x:f>ABS(N299)</x:f>
        <x:v>15.928612254627112</x:v>
      </x:c>
      <x:c r="P299" s="8" t="n">
        <x:f>N299^2</x:f>
        <x:v>253.720688358257</x:v>
      </x:c>
      <x:c r="Q299" s="8" t="n">
        <x:f>K299-L299</x:f>
        <x:v>9</x:v>
      </x:c>
      <x:c r="R299" s="9" t="n">
        <x:f>IF(AND(INDEX('Сводка'!$T$3:$T$397,U299)=0,INDEX('Сводка'!$T$3:$T$397,V299)=0),1,0)</x:f>
        <x:v>1</x:v>
      </x:c>
      <x:c r="S299" s="9" t="n">
        <x:f>IF(AND(R299=1,O299&lt;=$G$13),1,0)</x:f>
        <x:v>0</x:v>
      </x:c>
      <x:c r="T299" s="10" t="n">
        <x:f>EOMONTH(J299-'Сводка'!$B$11,-1)</x:f>
        <x:v>46142</x:v>
      </x:c>
      <x:c r="U299" s="4" t="n">
        <x:f>MATCH(J299,'Сводка'!$R$3:$R$397,0)</x:f>
        <x:v>310</x:v>
      </x:c>
      <x:c r="V299" s="4" t="n">
        <x:f>MATCH(J299-'Сводка'!$B$11,'Сводка'!$R$3:$R$397,0)</x:f>
        <x:v>309</x:v>
      </x:c>
      <x:c r="W299" s="4" t="n">
        <x:f>MATCH(T299,$J$388:$J$400,0)</x:f>
        <x:v>11</x:v>
      </x:c>
      <x:c r="X299" s="3"/>
      <x:c r="Y299" s="3"/>
      <x:c r="Z299" s="3"/>
    </x:row>
    <x:row r="300" ht="15" customHeight="1">
      <x:c r="A300" s="3"/>
      <x:c r="B300" s="3"/>
      <x:c r="C300" s="3"/>
      <x:c r="D300" s="3"/>
      <x:c r="E300" s="3"/>
      <x:c r="F300" s="3"/>
      <x:c r="G300" s="3"/>
      <x:c r="H300" s="3"/>
      <x:c r="I300" s="3"/>
      <x:c r="J300" s="10" t="n">
        <x:v>46151</x:v>
      </x:c>
      <x:c r="K300" s="8" t="n">
        <x:f>INDEX('Сводка'!$S$3:$S$397,U300)</x:f>
        <x:v>120</x:v>
      </x:c>
      <x:c r="L300" s="8" t="n">
        <x:f>INDEX('Сводка'!$S$3:$S$397,V300)</x:f>
        <x:v>108</x:v>
      </x:c>
      <x:c r="M300" s="8" t="n">
        <x:f>INDEX($K$388:$N$400,W300,1)+INDEX($K$388:$N$400,W300,2)*LN(((J300-$T$405+1)/1000))</x:f>
        <x:v>123.93494068982851</x:v>
      </x:c>
      <x:c r="N300" s="8" t="n">
        <x:f>K300-M300</x:f>
        <x:v>-3.934940689828508</x:v>
      </x:c>
      <x:c r="O300" s="8" t="n">
        <x:f>ABS(N300)</x:f>
        <x:v>3.934940689828508</x:v>
      </x:c>
      <x:c r="P300" s="8" t="n">
        <x:f>N300^2</x:f>
        <x:v>15.483758232468055</x:v>
      </x:c>
      <x:c r="Q300" s="8" t="n">
        <x:f>K300-L300</x:f>
        <x:v>12</x:v>
      </x:c>
      <x:c r="R300" s="9" t="n">
        <x:f>IF(AND(INDEX('Сводка'!$T$3:$T$397,U300)=0,INDEX('Сводка'!$T$3:$T$397,V300)=0),1,0)</x:f>
        <x:v>1</x:v>
      </x:c>
      <x:c r="S300" s="9" t="n">
        <x:f>IF(AND(R300=1,O300&lt;=$G$13),1,0)</x:f>
        <x:v>1</x:v>
      </x:c>
      <x:c r="T300" s="10" t="n">
        <x:f>EOMONTH(J300-'Сводка'!$B$11,-1)</x:f>
        <x:v>46142</x:v>
      </x:c>
      <x:c r="U300" s="4" t="n">
        <x:f>MATCH(J300,'Сводка'!$R$3:$R$397,0)</x:f>
        <x:v>311</x:v>
      </x:c>
      <x:c r="V300" s="4" t="n">
        <x:f>MATCH(J300-'Сводка'!$B$11,'Сводка'!$R$3:$R$397,0)</x:f>
        <x:v>310</x:v>
      </x:c>
      <x:c r="W300" s="4" t="n">
        <x:f>MATCH(T300,$J$388:$J$400,0)</x:f>
        <x:v>11</x:v>
      </x:c>
      <x:c r="X300" s="3"/>
      <x:c r="Y300" s="3"/>
      <x:c r="Z300" s="3"/>
    </x:row>
    <x:row r="301" ht="15" customHeight="1">
      <x:c r="A301" s="3"/>
      <x:c r="B301" s="3"/>
      <x:c r="C301" s="3"/>
      <x:c r="D301" s="3"/>
      <x:c r="E301" s="3"/>
      <x:c r="F301" s="3"/>
      <x:c r="G301" s="3"/>
      <x:c r="H301" s="3"/>
      <x:c r="I301" s="3"/>
      <x:c r="J301" s="10" t="n">
        <x:v>46152</x:v>
      </x:c>
      <x:c r="K301" s="8" t="n">
        <x:f>INDEX('Сводка'!$S$3:$S$397,U301)</x:f>
        <x:v>137</x:v>
      </x:c>
      <x:c r="L301" s="8" t="n">
        <x:f>INDEX('Сводка'!$S$3:$S$397,V301)</x:f>
        <x:v>120</x:v>
      </x:c>
      <x:c r="M301" s="8" t="n">
        <x:f>INDEX($K$388:$N$400,W301,1)+INDEX($K$388:$N$400,W301,2)*LN(((J301-$T$405+1)/1000))</x:f>
        <x:v>123.94126841361005</x:v>
      </x:c>
      <x:c r="N301" s="8" t="n">
        <x:f>K301-M301</x:f>
        <x:v>13.058731586389953</x:v>
      </x:c>
      <x:c r="O301" s="8" t="n">
        <x:f>ABS(N301)</x:f>
        <x:v>13.058731586389953</x:v>
      </x:c>
      <x:c r="P301" s="8" t="n">
        <x:f>N301^2</x:f>
        <x:v>170.53047064537867</x:v>
      </x:c>
      <x:c r="Q301" s="8" t="n">
        <x:f>K301-L301</x:f>
        <x:v>17</x:v>
      </x:c>
      <x:c r="R301" s="9" t="n">
        <x:f>IF(AND(INDEX('Сводка'!$T$3:$T$397,U301)=0,INDEX('Сводка'!$T$3:$T$397,V301)=0),1,0)</x:f>
        <x:v>1</x:v>
      </x:c>
      <x:c r="S301" s="9" t="n">
        <x:f>IF(AND(R301=1,O301&lt;=$G$13),1,0)</x:f>
        <x:v>0</x:v>
      </x:c>
      <x:c r="T301" s="10" t="n">
        <x:f>EOMONTH(J301-'Сводка'!$B$11,-1)</x:f>
        <x:v>46142</x:v>
      </x:c>
      <x:c r="U301" s="4" t="n">
        <x:f>MATCH(J301,'Сводка'!$R$3:$R$397,0)</x:f>
        <x:v>312</x:v>
      </x:c>
      <x:c r="V301" s="4" t="n">
        <x:f>MATCH(J301-'Сводка'!$B$11,'Сводка'!$R$3:$R$397,0)</x:f>
        <x:v>311</x:v>
      </x:c>
      <x:c r="W301" s="4" t="n">
        <x:f>MATCH(T301,$J$388:$J$400,0)</x:f>
        <x:v>11</x:v>
      </x:c>
      <x:c r="X301" s="3"/>
      <x:c r="Y301" s="3"/>
      <x:c r="Z301" s="3"/>
    </x:row>
    <x:row r="302" ht="15" customHeight="1">
      <x:c r="A302" s="3"/>
      <x:c r="B302" s="3"/>
      <x:c r="C302" s="3"/>
      <x:c r="D302" s="3"/>
      <x:c r="E302" s="3"/>
      <x:c r="F302" s="3"/>
      <x:c r="G302" s="3"/>
      <x:c r="H302" s="3"/>
      <x:c r="I302" s="3"/>
      <x:c r="J302" s="10" t="n">
        <x:v>46153</x:v>
      </x:c>
      <x:c r="K302" s="8" t="n">
        <x:f>INDEX('Сводка'!$S$3:$S$397,U302)</x:f>
        <x:v>152</x:v>
      </x:c>
      <x:c r="L302" s="8" t="n">
        <x:f>INDEX('Сводка'!$S$3:$S$397,V302)</x:f>
        <x:v>137</x:v>
      </x:c>
      <x:c r="M302" s="8" t="n">
        <x:f>INDEX($K$388:$N$400,W302,1)+INDEX($K$388:$N$400,W302,2)*LN(((J302-$T$405+1)/1000))</x:f>
        <x:v>123.94759542613168</x:v>
      </x:c>
      <x:c r="N302" s="8" t="n">
        <x:f>K302-M302</x:f>
        <x:v>28.052404573868316</x:v>
      </x:c>
      <x:c r="O302" s="8" t="n">
        <x:f>ABS(N302)</x:f>
        <x:v>28.052404573868316</x:v>
      </x:c>
      <x:c r="P302" s="8" t="n">
        <x:f>N302^2</x:f>
        <x:v>786.937402375988</x:v>
      </x:c>
      <x:c r="Q302" s="8" t="n">
        <x:f>K302-L302</x:f>
        <x:v>15</x:v>
      </x:c>
      <x:c r="R302" s="9" t="n">
        <x:f>IF(AND(INDEX('Сводка'!$T$3:$T$397,U302)=0,INDEX('Сводка'!$T$3:$T$397,V302)=0),1,0)</x:f>
        <x:v>1</x:v>
      </x:c>
      <x:c r="S302" s="9" t="n">
        <x:f>IF(AND(R302=1,O302&lt;=$G$13),1,0)</x:f>
        <x:v>0</x:v>
      </x:c>
      <x:c r="T302" s="10" t="n">
        <x:f>EOMONTH(J302-'Сводка'!$B$11,-1)</x:f>
        <x:v>46142</x:v>
      </x:c>
      <x:c r="U302" s="4" t="n">
        <x:f>MATCH(J302,'Сводка'!$R$3:$R$397,0)</x:f>
        <x:v>313</x:v>
      </x:c>
      <x:c r="V302" s="4" t="n">
        <x:f>MATCH(J302-'Сводка'!$B$11,'Сводка'!$R$3:$R$397,0)</x:f>
        <x:v>312</x:v>
      </x:c>
      <x:c r="W302" s="4" t="n">
        <x:f>MATCH(T302,$J$388:$J$400,0)</x:f>
        <x:v>11</x:v>
      </x:c>
      <x:c r="X302" s="3"/>
      <x:c r="Y302" s="3"/>
      <x:c r="Z302" s="3"/>
    </x:row>
    <x:row r="303" ht="15" customHeight="1">
      <x:c r="A303" s="3"/>
      <x:c r="B303" s="3"/>
      <x:c r="C303" s="3"/>
      <x:c r="D303" s="3"/>
      <x:c r="E303" s="3"/>
      <x:c r="F303" s="3"/>
      <x:c r="G303" s="3"/>
      <x:c r="H303" s="3"/>
      <x:c r="I303" s="3"/>
      <x:c r="J303" s="10" t="n">
        <x:v>46154</x:v>
      </x:c>
      <x:c r="K303" s="8" t="n">
        <x:f>INDEX('Сводка'!$S$3:$S$397,U303)</x:f>
        <x:v>160</x:v>
      </x:c>
      <x:c r="L303" s="8" t="n">
        <x:f>INDEX('Сводка'!$S$3:$S$397,V303)</x:f>
        <x:v>152</x:v>
      </x:c>
      <x:c r="M303" s="8" t="n">
        <x:f>INDEX($K$388:$N$400,W303,1)+INDEX($K$388:$N$400,W303,2)*LN(((J303-$T$405+1)/1000))</x:f>
        <x:v>123.95392172755326</x:v>
      </x:c>
      <x:c r="N303" s="8" t="n">
        <x:f>K303-M303</x:f>
        <x:v>36.046078272446735</x:v>
      </x:c>
      <x:c r="O303" s="8" t="n">
        <x:f>ABS(N303)</x:f>
        <x:v>36.046078272446735</x:v>
      </x:c>
      <x:c r="P303" s="8" t="n">
        <x:f>N303^2</x:f>
        <x:v>1299.3197588233566</x:v>
      </x:c>
      <x:c r="Q303" s="8" t="n">
        <x:f>K303-L303</x:f>
        <x:v>8</x:v>
      </x:c>
      <x:c r="R303" s="9" t="n">
        <x:f>IF(AND(INDEX('Сводка'!$T$3:$T$397,U303)=0,INDEX('Сводка'!$T$3:$T$397,V303)=0),1,0)</x:f>
        <x:v>1</x:v>
      </x:c>
      <x:c r="S303" s="9" t="n">
        <x:f>IF(AND(R303=1,O303&lt;=$G$13),1,0)</x:f>
        <x:v>0</x:v>
      </x:c>
      <x:c r="T303" s="10" t="n">
        <x:f>EOMONTH(J303-'Сводка'!$B$11,-1)</x:f>
        <x:v>46142</x:v>
      </x:c>
      <x:c r="U303" s="4" t="n">
        <x:f>MATCH(J303,'Сводка'!$R$3:$R$397,0)</x:f>
        <x:v>314</x:v>
      </x:c>
      <x:c r="V303" s="4" t="n">
        <x:f>MATCH(J303-'Сводка'!$B$11,'Сводка'!$R$3:$R$397,0)</x:f>
        <x:v>313</x:v>
      </x:c>
      <x:c r="W303" s="4" t="n">
        <x:f>MATCH(T303,$J$388:$J$400,0)</x:f>
        <x:v>11</x:v>
      </x:c>
      <x:c r="X303" s="3"/>
      <x:c r="Y303" s="3"/>
      <x:c r="Z303" s="3"/>
    </x:row>
    <x:row r="304" ht="15" customHeight="1">
      <x:c r="A304" s="3"/>
      <x:c r="B304" s="3"/>
      <x:c r="C304" s="3"/>
      <x:c r="D304" s="3"/>
      <x:c r="E304" s="3"/>
      <x:c r="F304" s="3"/>
      <x:c r="G304" s="3"/>
      <x:c r="H304" s="3"/>
      <x:c r="I304" s="3"/>
      <x:c r="J304" s="10" t="n">
        <x:v>46155</x:v>
      </x:c>
      <x:c r="K304" s="8" t="n">
        <x:f>INDEX('Сводка'!$S$3:$S$397,U304)</x:f>
        <x:v>162</x:v>
      </x:c>
      <x:c r="L304" s="8" t="n">
        <x:f>INDEX('Сводка'!$S$3:$S$397,V304)</x:f>
        <x:v>160</x:v>
      </x:c>
      <x:c r="M304" s="8" t="n">
        <x:f>INDEX($K$388:$N$400,W304,1)+INDEX($K$388:$N$400,W304,2)*LN(((J304-$T$405+1)/1000))</x:f>
        <x:v>123.96024731803466</x:v>
      </x:c>
      <x:c r="N304" s="8" t="n">
        <x:f>K304-M304</x:f>
        <x:v>38.03975268196534</x:v>
      </x:c>
      <x:c r="O304" s="8" t="n">
        <x:f>ABS(N304)</x:f>
        <x:v>38.03975268196534</x:v>
      </x:c>
      <x:c r="P304" s="8" t="n">
        <x:f>N304^2</x:f>
        <x:v>1447.0227841050892</x:v>
      </x:c>
      <x:c r="Q304" s="8" t="n">
        <x:f>K304-L304</x:f>
        <x:v>2</x:v>
      </x:c>
      <x:c r="R304" s="9" t="n">
        <x:f>IF(AND(INDEX('Сводка'!$T$3:$T$397,U304)=0,INDEX('Сводка'!$T$3:$T$397,V304)=0),1,0)</x:f>
        <x:v>1</x:v>
      </x:c>
      <x:c r="S304" s="9" t="n">
        <x:f>IF(AND(R304=1,O304&lt;=$G$13),1,0)</x:f>
        <x:v>0</x:v>
      </x:c>
      <x:c r="T304" s="10" t="n">
        <x:f>EOMONTH(J304-'Сводка'!$B$11,-1)</x:f>
        <x:v>46142</x:v>
      </x:c>
      <x:c r="U304" s="4" t="n">
        <x:f>MATCH(J304,'Сводка'!$R$3:$R$397,0)</x:f>
        <x:v>315</x:v>
      </x:c>
      <x:c r="V304" s="4" t="n">
        <x:f>MATCH(J304-'Сводка'!$B$11,'Сводка'!$R$3:$R$397,0)</x:f>
        <x:v>314</x:v>
      </x:c>
      <x:c r="W304" s="4" t="n">
        <x:f>MATCH(T304,$J$388:$J$400,0)</x:f>
        <x:v>11</x:v>
      </x:c>
      <x:c r="X304" s="3"/>
      <x:c r="Y304" s="3"/>
      <x:c r="Z304" s="3"/>
    </x:row>
    <x:row r="305" ht="15" customHeight="1">
      <x:c r="A305" s="3"/>
      <x:c r="B305" s="3"/>
      <x:c r="C305" s="3"/>
      <x:c r="D305" s="3"/>
      <x:c r="E305" s="3"/>
      <x:c r="F305" s="3"/>
      <x:c r="G305" s="3"/>
      <x:c r="H305" s="3"/>
      <x:c r="I305" s="3"/>
      <x:c r="J305" s="10" t="n">
        <x:v>46156</x:v>
      </x:c>
      <x:c r="K305" s="8" t="n">
        <x:f>INDEX('Сводка'!$S$3:$S$397,U305)</x:f>
        <x:v>161</x:v>
      </x:c>
      <x:c r="L305" s="8" t="n">
        <x:f>INDEX('Сводка'!$S$3:$S$397,V305)</x:f>
        <x:v>162</x:v>
      </x:c>
      <x:c r="M305" s="8" t="n">
        <x:f>INDEX($K$388:$N$400,W305,1)+INDEX($K$388:$N$400,W305,2)*LN(((J305-$T$405+1)/1000))</x:f>
        <x:v>123.96657219773563</x:v>
      </x:c>
      <x:c r="N305" s="8" t="n">
        <x:f>K305-M305</x:f>
        <x:v>37.03342780226437</x:v>
      </x:c>
      <x:c r="O305" s="8" t="n">
        <x:f>ABS(N305)</x:f>
        <x:v>37.03342780226437</x:v>
      </x:c>
      <x:c r="P305" s="8" t="n">
        <x:f>N305^2</x:f>
        <x:v>1371.4747747855276</x:v>
      </x:c>
      <x:c r="Q305" s="8" t="n">
        <x:f>K305-L305</x:f>
        <x:v>-1</x:v>
      </x:c>
      <x:c r="R305" s="9" t="n">
        <x:f>IF(AND(INDEX('Сводка'!$T$3:$T$397,U305)=0,INDEX('Сводка'!$T$3:$T$397,V305)=0),1,0)</x:f>
        <x:v>1</x:v>
      </x:c>
      <x:c r="S305" s="9" t="n">
        <x:f>IF(AND(R305=1,O305&lt;=$G$13),1,0)</x:f>
        <x:v>0</x:v>
      </x:c>
      <x:c r="T305" s="10" t="n">
        <x:f>EOMONTH(J305-'Сводка'!$B$11,-1)</x:f>
        <x:v>46142</x:v>
      </x:c>
      <x:c r="U305" s="4" t="n">
        <x:f>MATCH(J305,'Сводка'!$R$3:$R$397,0)</x:f>
        <x:v>316</x:v>
      </x:c>
      <x:c r="V305" s="4" t="n">
        <x:f>MATCH(J305-'Сводка'!$B$11,'Сводка'!$R$3:$R$397,0)</x:f>
        <x:v>315</x:v>
      </x:c>
      <x:c r="W305" s="4" t="n">
        <x:f>MATCH(T305,$J$388:$J$400,0)</x:f>
        <x:v>11</x:v>
      </x:c>
      <x:c r="X305" s="3"/>
      <x:c r="Y305" s="3"/>
      <x:c r="Z305" s="3"/>
    </x:row>
    <x:row r="306" ht="15" customHeight="1">
      <x:c r="A306" s="3"/>
      <x:c r="B306" s="3"/>
      <x:c r="C306" s="3"/>
      <x:c r="D306" s="3"/>
      <x:c r="E306" s="3"/>
      <x:c r="F306" s="3"/>
      <x:c r="G306" s="3"/>
      <x:c r="H306" s="3"/>
      <x:c r="I306" s="3"/>
      <x:c r="J306" s="10" t="n">
        <x:v>46157</x:v>
      </x:c>
      <x:c r="K306" s="8" t="n">
        <x:f>INDEX('Сводка'!$S$3:$S$397,U306)</x:f>
        <x:v>154</x:v>
      </x:c>
      <x:c r="L306" s="8" t="n">
        <x:f>INDEX('Сводка'!$S$3:$S$397,V306)</x:f>
        <x:v>161</x:v>
      </x:c>
      <x:c r="M306" s="8" t="n">
        <x:f>INDEX($K$388:$N$400,W306,1)+INDEX($K$388:$N$400,W306,2)*LN(((J306-$T$405+1)/1000))</x:f>
        <x:v>123.97289636681586</x:v>
      </x:c>
      <x:c r="N306" s="8" t="n">
        <x:f>K306-M306</x:f>
        <x:v>30.02710363318414</x:v>
      </x:c>
      <x:c r="O306" s="8" t="n">
        <x:f>ABS(N306)</x:f>
        <x:v>30.02710363318414</x:v>
      </x:c>
      <x:c r="P306" s="8" t="n">
        <x:f>N306^2</x:f>
        <x:v>901.6269525979802</x:v>
      </x:c>
      <x:c r="Q306" s="8" t="n">
        <x:f>K306-L306</x:f>
        <x:v>-7</x:v>
      </x:c>
      <x:c r="R306" s="9" t="n">
        <x:f>IF(AND(INDEX('Сводка'!$T$3:$T$397,U306)=0,INDEX('Сводка'!$T$3:$T$397,V306)=0),1,0)</x:f>
        <x:v>1</x:v>
      </x:c>
      <x:c r="S306" s="9" t="n">
        <x:f>IF(AND(R306=1,O306&lt;=$G$13),1,0)</x:f>
        <x:v>0</x:v>
      </x:c>
      <x:c r="T306" s="10" t="n">
        <x:f>EOMONTH(J306-'Сводка'!$B$11,-1)</x:f>
        <x:v>46142</x:v>
      </x:c>
      <x:c r="U306" s="4" t="n">
        <x:f>MATCH(J306,'Сводка'!$R$3:$R$397,0)</x:f>
        <x:v>317</x:v>
      </x:c>
      <x:c r="V306" s="4" t="n">
        <x:f>MATCH(J306-'Сводка'!$B$11,'Сводка'!$R$3:$R$397,0)</x:f>
        <x:v>316</x:v>
      </x:c>
      <x:c r="W306" s="4" t="n">
        <x:f>MATCH(T306,$J$388:$J$400,0)</x:f>
        <x:v>11</x:v>
      </x:c>
      <x:c r="X306" s="3"/>
      <x:c r="Y306" s="3"/>
      <x:c r="Z306" s="3"/>
    </x:row>
    <x:row r="307" ht="15" customHeight="1">
      <x:c r="A307" s="3"/>
      <x:c r="B307" s="3"/>
      <x:c r="C307" s="3"/>
      <x:c r="D307" s="3"/>
      <x:c r="E307" s="3"/>
      <x:c r="F307" s="3"/>
      <x:c r="G307" s="3"/>
      <x:c r="H307" s="3"/>
      <x:c r="I307" s="3"/>
      <x:c r="J307" s="10" t="n">
        <x:v>46158</x:v>
      </x:c>
      <x:c r="K307" s="8" t="n">
        <x:f>INDEX('Сводка'!$S$3:$S$397,U307)</x:f>
        <x:v>148</x:v>
      </x:c>
      <x:c r="L307" s="8" t="n">
        <x:f>INDEX('Сводка'!$S$3:$S$397,V307)</x:f>
        <x:v>154</x:v>
      </x:c>
      <x:c r="M307" s="8" t="n">
        <x:f>INDEX($K$388:$N$400,W307,1)+INDEX($K$388:$N$400,W307,2)*LN(((J307-$T$405+1)/1000))</x:f>
        <x:v>123.97921982543504</x:v>
      </x:c>
      <x:c r="N307" s="8" t="n">
        <x:f>K307-M307</x:f>
        <x:v>24.020780174564962</x:v>
      </x:c>
      <x:c r="O307" s="8" t="n">
        <x:f>ABS(N307)</x:f>
        <x:v>24.020780174564962</x:v>
      </x:c>
      <x:c r="P307" s="8" t="n">
        <x:f>N307^2</x:f>
        <x:v>576.9978801947731</x:v>
      </x:c>
      <x:c r="Q307" s="8" t="n">
        <x:f>K307-L307</x:f>
        <x:v>-6</x:v>
      </x:c>
      <x:c r="R307" s="9" t="n">
        <x:f>IF(AND(INDEX('Сводка'!$T$3:$T$397,U307)=0,INDEX('Сводка'!$T$3:$T$397,V307)=0),1,0)</x:f>
        <x:v>1</x:v>
      </x:c>
      <x:c r="S307" s="9" t="n">
        <x:f>IF(AND(R307=1,O307&lt;=$G$13),1,0)</x:f>
        <x:v>0</x:v>
      </x:c>
      <x:c r="T307" s="10" t="n">
        <x:f>EOMONTH(J307-'Сводка'!$B$11,-1)</x:f>
        <x:v>46142</x:v>
      </x:c>
      <x:c r="U307" s="4" t="n">
        <x:f>MATCH(J307,'Сводка'!$R$3:$R$397,0)</x:f>
        <x:v>318</x:v>
      </x:c>
      <x:c r="V307" s="4" t="n">
        <x:f>MATCH(J307-'Сводка'!$B$11,'Сводка'!$R$3:$R$397,0)</x:f>
        <x:v>317</x:v>
      </x:c>
      <x:c r="W307" s="4" t="n">
        <x:f>MATCH(T307,$J$388:$J$400,0)</x:f>
        <x:v>11</x:v>
      </x:c>
      <x:c r="X307" s="3"/>
      <x:c r="Y307" s="3"/>
      <x:c r="Z307" s="3"/>
    </x:row>
    <x:row r="308" ht="15" customHeight="1">
      <x:c r="A308" s="3"/>
      <x:c r="B308" s="3"/>
      <x:c r="C308" s="3"/>
      <x:c r="D308" s="3"/>
      <x:c r="E308" s="3"/>
      <x:c r="F308" s="3"/>
      <x:c r="G308" s="3"/>
      <x:c r="H308" s="3"/>
      <x:c r="I308" s="3"/>
      <x:c r="J308" s="10" t="n">
        <x:v>46159</x:v>
      </x:c>
      <x:c r="K308" s="8" t="n">
        <x:f>INDEX('Сводка'!$S$3:$S$397,U308)</x:f>
        <x:v>141</x:v>
      </x:c>
      <x:c r="L308" s="8" t="n">
        <x:f>INDEX('Сводка'!$S$3:$S$397,V308)</x:f>
        <x:v>148</x:v>
      </x:c>
      <x:c r="M308" s="8" t="n">
        <x:f>INDEX($K$388:$N$400,W308,1)+INDEX($K$388:$N$400,W308,2)*LN(((J308-$T$405+1)/1000))</x:f>
        <x:v>123.98554257375278</x:v>
      </x:c>
      <x:c r="N308" s="8" t="n">
        <x:f>K308-M308</x:f>
        <x:v>17.01445742624722</x:v>
      </x:c>
      <x:c r="O308" s="8" t="n">
        <x:f>ABS(N308)</x:f>
        <x:v>17.01445742624722</x:v>
      </x:c>
      <x:c r="P308" s="8" t="n">
        <x:f>N308^2</x:f>
        <x:v>289.49176150957913</x:v>
      </x:c>
      <x:c r="Q308" s="8" t="n">
        <x:f>K308-L308</x:f>
        <x:v>-7</x:v>
      </x:c>
      <x:c r="R308" s="9" t="n">
        <x:f>IF(AND(INDEX('Сводка'!$T$3:$T$397,U308)=0,INDEX('Сводка'!$T$3:$T$397,V308)=0),1,0)</x:f>
        <x:v>1</x:v>
      </x:c>
      <x:c r="S308" s="9" t="n">
        <x:f>IF(AND(R308=1,O308&lt;=$G$13),1,0)</x:f>
        <x:v>0</x:v>
      </x:c>
      <x:c r="T308" s="10" t="n">
        <x:f>EOMONTH(J308-'Сводка'!$B$11,-1)</x:f>
        <x:v>46142</x:v>
      </x:c>
      <x:c r="U308" s="4" t="n">
        <x:f>MATCH(J308,'Сводка'!$R$3:$R$397,0)</x:f>
        <x:v>319</x:v>
      </x:c>
      <x:c r="V308" s="4" t="n">
        <x:f>MATCH(J308-'Сводка'!$B$11,'Сводка'!$R$3:$R$397,0)</x:f>
        <x:v>318</x:v>
      </x:c>
      <x:c r="W308" s="4" t="n">
        <x:f>MATCH(T308,$J$388:$J$400,0)</x:f>
        <x:v>11</x:v>
      </x:c>
      <x:c r="X308" s="3"/>
      <x:c r="Y308" s="3"/>
      <x:c r="Z308" s="3"/>
    </x:row>
    <x:row r="309" ht="15" customHeight="1">
      <x:c r="A309" s="3"/>
      <x:c r="B309" s="3"/>
      <x:c r="C309" s="3"/>
      <x:c r="D309" s="3"/>
      <x:c r="E309" s="3"/>
      <x:c r="F309" s="3"/>
      <x:c r="G309" s="3"/>
      <x:c r="H309" s="3"/>
      <x:c r="I309" s="3"/>
      <x:c r="J309" s="10" t="n">
        <x:v>46160</x:v>
      </x:c>
      <x:c r="K309" s="8" t="n">
        <x:f>INDEX('Сводка'!$S$3:$S$397,U309)</x:f>
        <x:v>139</x:v>
      </x:c>
      <x:c r="L309" s="8" t="n">
        <x:f>INDEX('Сводка'!$S$3:$S$397,V309)</x:f>
        <x:v>141</x:v>
      </x:c>
      <x:c r="M309" s="8" t="n">
        <x:f>INDEX($K$388:$N$400,W309,1)+INDEX($K$388:$N$400,W309,2)*LN(((J309-$T$405+1)/1000))</x:f>
        <x:v>123.99186461192862</x:v>
      </x:c>
      <x:c r="N309" s="8" t="n">
        <x:f>K309-M309</x:f>
        <x:v>15.00813538807138</x:v>
      </x:c>
      <x:c r="O309" s="8" t="n">
        <x:f>ABS(N309)</x:f>
        <x:v>15.00813538807138</x:v>
      </x:c>
      <x:c r="P309" s="8" t="n">
        <x:f>N309^2</x:f>
        <x:v>225.24412782668048</x:v>
      </x:c>
      <x:c r="Q309" s="8" t="n">
        <x:f>K309-L309</x:f>
        <x:v>-2</x:v>
      </x:c>
      <x:c r="R309" s="9" t="n">
        <x:f>IF(AND(INDEX('Сводка'!$T$3:$T$397,U309)=0,INDEX('Сводка'!$T$3:$T$397,V309)=0),1,0)</x:f>
        <x:v>1</x:v>
      </x:c>
      <x:c r="S309" s="9" t="n">
        <x:f>IF(AND(R309=1,O309&lt;=$G$13),1,0)</x:f>
        <x:v>0</x:v>
      </x:c>
      <x:c r="T309" s="10" t="n">
        <x:f>EOMONTH(J309-'Сводка'!$B$11,-1)</x:f>
        <x:v>46142</x:v>
      </x:c>
      <x:c r="U309" s="4" t="n">
        <x:f>MATCH(J309,'Сводка'!$R$3:$R$397,0)</x:f>
        <x:v>320</x:v>
      </x:c>
      <x:c r="V309" s="4" t="n">
        <x:f>MATCH(J309-'Сводка'!$B$11,'Сводка'!$R$3:$R$397,0)</x:f>
        <x:v>319</x:v>
      </x:c>
      <x:c r="W309" s="4" t="n">
        <x:f>MATCH(T309,$J$388:$J$400,0)</x:f>
        <x:v>11</x:v>
      </x:c>
      <x:c r="X309" s="3"/>
      <x:c r="Y309" s="3"/>
      <x:c r="Z309" s="3"/>
    </x:row>
    <x:row r="310" ht="15" customHeight="1">
      <x:c r="A310" s="3"/>
      <x:c r="B310" s="3"/>
      <x:c r="C310" s="3"/>
      <x:c r="D310" s="3"/>
      <x:c r="E310" s="3"/>
      <x:c r="F310" s="3"/>
      <x:c r="G310" s="3"/>
      <x:c r="H310" s="3"/>
      <x:c r="I310" s="3"/>
      <x:c r="J310" s="10" t="n">
        <x:v>46161</x:v>
      </x:c>
      <x:c r="K310" s="8" t="n">
        <x:f>INDEX('Сводка'!$S$3:$S$397,U310)</x:f>
        <x:v>135</x:v>
      </x:c>
      <x:c r="L310" s="8" t="n">
        <x:f>INDEX('Сводка'!$S$3:$S$397,V310)</x:f>
        <x:v>139</x:v>
      </x:c>
      <x:c r="M310" s="8" t="n">
        <x:f>INDEX($K$388:$N$400,W310,1)+INDEX($K$388:$N$400,W310,2)*LN(((J310-$T$405+1)/1000))</x:f>
        <x:v>123.99818594012207</x:v>
      </x:c>
      <x:c r="N310" s="8" t="n">
        <x:f>K310-M310</x:f>
        <x:v>11.00181405987793</x:v>
      </x:c>
      <x:c r="O310" s="8" t="n">
        <x:f>ABS(N310)</x:f>
        <x:v>11.00181405987793</x:v>
      </x:c>
      <x:c r="P310" s="8" t="n">
        <x:f>N310^2</x:f>
        <x:v>121.0399126081277</x:v>
      </x:c>
      <x:c r="Q310" s="8" t="n">
        <x:f>K310-L310</x:f>
        <x:v>-4</x:v>
      </x:c>
      <x:c r="R310" s="9" t="n">
        <x:f>IF(AND(INDEX('Сводка'!$T$3:$T$397,U310)=0,INDEX('Сводка'!$T$3:$T$397,V310)=0),1,0)</x:f>
        <x:v>1</x:v>
      </x:c>
      <x:c r="S310" s="9" t="n">
        <x:f>IF(AND(R310=1,O310&lt;=$G$13),1,0)</x:f>
        <x:v>0</x:v>
      </x:c>
      <x:c r="T310" s="10" t="n">
        <x:f>EOMONTH(J310-'Сводка'!$B$11,-1)</x:f>
        <x:v>46142</x:v>
      </x:c>
      <x:c r="U310" s="4" t="n">
        <x:f>MATCH(J310,'Сводка'!$R$3:$R$397,0)</x:f>
        <x:v>321</x:v>
      </x:c>
      <x:c r="V310" s="4" t="n">
        <x:f>MATCH(J310-'Сводка'!$B$11,'Сводка'!$R$3:$R$397,0)</x:f>
        <x:v>320</x:v>
      </x:c>
      <x:c r="W310" s="4" t="n">
        <x:f>MATCH(T310,$J$388:$J$400,0)</x:f>
        <x:v>11</x:v>
      </x:c>
      <x:c r="X310" s="3"/>
      <x:c r="Y310" s="3"/>
      <x:c r="Z310" s="3"/>
    </x:row>
    <x:row r="311" ht="15" customHeight="1">
      <x:c r="A311" s="3"/>
      <x:c r="B311" s="3"/>
      <x:c r="C311" s="3"/>
      <x:c r="D311" s="3"/>
      <x:c r="E311" s="3"/>
      <x:c r="F311" s="3"/>
      <x:c r="G311" s="3"/>
      <x:c r="H311" s="3"/>
      <x:c r="I311" s="3"/>
      <x:c r="J311" s="10" t="n">
        <x:v>46162</x:v>
      </x:c>
      <x:c r="K311" s="8" t="n">
        <x:f>INDEX('Сводка'!$S$3:$S$397,U311)</x:f>
        <x:v>135</x:v>
      </x:c>
      <x:c r="L311" s="8" t="n">
        <x:f>INDEX('Сводка'!$S$3:$S$397,V311)</x:f>
        <x:v>135</x:v>
      </x:c>
      <x:c r="M311" s="8" t="n">
        <x:f>INDEX($K$388:$N$400,W311,1)+INDEX($K$388:$N$400,W311,2)*LN(((J311-$T$405+1)/1000))</x:f>
        <x:v>124.0045065584926</x:v>
      </x:c>
      <x:c r="N311" s="8" t="n">
        <x:f>K311-M311</x:f>
        <x:v>10.995493441507406</x:v>
      </x:c>
      <x:c r="O311" s="8" t="n">
        <x:f>ABS(N311)</x:f>
        <x:v>10.995493441507406</x:v>
      </x:c>
      <x:c r="P311" s="8" t="n">
        <x:f>N311^2</x:f>
        <x:v>120.90087602223238</x:v>
      </x:c>
      <x:c r="Q311" s="8" t="n">
        <x:f>K311-L311</x:f>
        <x:v>0</x:v>
      </x:c>
      <x:c r="R311" s="9" t="n">
        <x:f>IF(AND(INDEX('Сводка'!$T$3:$T$397,U311)=0,INDEX('Сводка'!$T$3:$T$397,V311)=0),1,0)</x:f>
        <x:v>1</x:v>
      </x:c>
      <x:c r="S311" s="9" t="n">
        <x:f>IF(AND(R311=1,O311&lt;=$G$13),1,0)</x:f>
        <x:v>0</x:v>
      </x:c>
      <x:c r="T311" s="10" t="n">
        <x:f>EOMONTH(J311-'Сводка'!$B$11,-1)</x:f>
        <x:v>46142</x:v>
      </x:c>
      <x:c r="U311" s="4" t="n">
        <x:f>MATCH(J311,'Сводка'!$R$3:$R$397,0)</x:f>
        <x:v>322</x:v>
      </x:c>
      <x:c r="V311" s="4" t="n">
        <x:f>MATCH(J311-'Сводка'!$B$11,'Сводка'!$R$3:$R$397,0)</x:f>
        <x:v>321</x:v>
      </x:c>
      <x:c r="W311" s="4" t="n">
        <x:f>MATCH(T311,$J$388:$J$400,0)</x:f>
        <x:v>11</x:v>
      </x:c>
      <x:c r="X311" s="3"/>
      <x:c r="Y311" s="3"/>
      <x:c r="Z311" s="3"/>
    </x:row>
    <x:row r="312" ht="15" customHeight="1">
      <x:c r="A312" s="3"/>
      <x:c r="B312" s="3"/>
      <x:c r="C312" s="3"/>
      <x:c r="D312" s="3"/>
      <x:c r="E312" s="3"/>
      <x:c r="F312" s="3"/>
      <x:c r="G312" s="3"/>
      <x:c r="H312" s="3"/>
      <x:c r="I312" s="3"/>
      <x:c r="J312" s="10" t="n">
        <x:v>46163</x:v>
      </x:c>
      <x:c r="K312" s="8" t="n">
        <x:f>INDEX('Сводка'!$S$3:$S$397,U312)</x:f>
        <x:v>134</x:v>
      </x:c>
      <x:c r="L312" s="8" t="n">
        <x:f>INDEX('Сводка'!$S$3:$S$397,V312)</x:f>
        <x:v>135</x:v>
      </x:c>
      <x:c r="M312" s="8" t="n">
        <x:f>INDEX($K$388:$N$400,W312,1)+INDEX($K$388:$N$400,W312,2)*LN(((J312-$T$405+1)/1000))</x:f>
        <x:v>124.01082646719954</x:v>
      </x:c>
      <x:c r="N312" s="8" t="n">
        <x:f>K312-M312</x:f>
        <x:v>9.989173532800464</x:v>
      </x:c>
      <x:c r="O312" s="8" t="n">
        <x:f>ABS(N312)</x:f>
        <x:v>9.989173532800464</x:v>
      </x:c>
      <x:c r="P312" s="8" t="n">
        <x:f>N312^2</x:f>
        <x:v>99.78358786840131</x:v>
      </x:c>
      <x:c r="Q312" s="8" t="n">
        <x:f>K312-L312</x:f>
        <x:v>-1</x:v>
      </x:c>
      <x:c r="R312" s="9" t="n">
        <x:f>IF(AND(INDEX('Сводка'!$T$3:$T$397,U312)=0,INDEX('Сводка'!$T$3:$T$397,V312)=0),1,0)</x:f>
        <x:v>1</x:v>
      </x:c>
      <x:c r="S312" s="9" t="n">
        <x:f>IF(AND(R312=1,O312&lt;=$G$13),1,0)</x:f>
        <x:v>0</x:v>
      </x:c>
      <x:c r="T312" s="10" t="n">
        <x:f>EOMONTH(J312-'Сводка'!$B$11,-1)</x:f>
        <x:v>46142</x:v>
      </x:c>
      <x:c r="U312" s="4" t="n">
        <x:f>MATCH(J312,'Сводка'!$R$3:$R$397,0)</x:f>
        <x:v>323</x:v>
      </x:c>
      <x:c r="V312" s="4" t="n">
        <x:f>MATCH(J312-'Сводка'!$B$11,'Сводка'!$R$3:$R$397,0)</x:f>
        <x:v>322</x:v>
      </x:c>
      <x:c r="W312" s="4" t="n">
        <x:f>MATCH(T312,$J$388:$J$400,0)</x:f>
        <x:v>11</x:v>
      </x:c>
      <x:c r="X312" s="3"/>
      <x:c r="Y312" s="3"/>
      <x:c r="Z312" s="3"/>
    </x:row>
    <x:row r="313" ht="15" customHeight="1">
      <x:c r="A313" s="3"/>
      <x:c r="B313" s="3"/>
      <x:c r="C313" s="3"/>
      <x:c r="D313" s="3"/>
      <x:c r="E313" s="3"/>
      <x:c r="F313" s="3"/>
      <x:c r="G313" s="3"/>
      <x:c r="H313" s="3"/>
      <x:c r="I313" s="3"/>
      <x:c r="J313" s="10" t="n">
        <x:v>46164</x:v>
      </x:c>
      <x:c r="K313" s="8" t="n">
        <x:f>INDEX('Сводка'!$S$3:$S$397,U313)</x:f>
        <x:v>131</x:v>
      </x:c>
      <x:c r="L313" s="8" t="n">
        <x:f>INDEX('Сводка'!$S$3:$S$397,V313)</x:f>
        <x:v>134</x:v>
      </x:c>
      <x:c r="M313" s="8" t="n">
        <x:f>INDEX($K$388:$N$400,W313,1)+INDEX($K$388:$N$400,W313,2)*LN(((J313-$T$405+1)/1000))</x:f>
        <x:v>124.0171456664023</x:v>
      </x:c>
      <x:c r="N313" s="8" t="n">
        <x:f>K313-M313</x:f>
        <x:v>6.9828543335977</x:v>
      </x:c>
      <x:c r="O313" s="8" t="n">
        <x:f>ABS(N313)</x:f>
        <x:v>6.9828543335977</x:v>
      </x:c>
      <x:c r="P313" s="8" t="n">
        <x:f>N313^2</x:f>
        <x:v>48.760254644244185</x:v>
      </x:c>
      <x:c r="Q313" s="8" t="n">
        <x:f>K313-L313</x:f>
        <x:v>-3</x:v>
      </x:c>
      <x:c r="R313" s="9" t="n">
        <x:f>IF(AND(INDEX('Сводка'!$T$3:$T$397,U313)=0,INDEX('Сводка'!$T$3:$T$397,V313)=0),1,0)</x:f>
        <x:v>1</x:v>
      </x:c>
      <x:c r="S313" s="9" t="n">
        <x:f>IF(AND(R313=1,O313&lt;=$G$13),1,0)</x:f>
        <x:v>1</x:v>
      </x:c>
      <x:c r="T313" s="10" t="n">
        <x:f>EOMONTH(J313-'Сводка'!$B$11,-1)</x:f>
        <x:v>46142</x:v>
      </x:c>
      <x:c r="U313" s="4" t="n">
        <x:f>MATCH(J313,'Сводка'!$R$3:$R$397,0)</x:f>
        <x:v>324</x:v>
      </x:c>
      <x:c r="V313" s="4" t="n">
        <x:f>MATCH(J313-'Сводка'!$B$11,'Сводка'!$R$3:$R$397,0)</x:f>
        <x:v>323</x:v>
      </x:c>
      <x:c r="W313" s="4" t="n">
        <x:f>MATCH(T313,$J$388:$J$400,0)</x:f>
        <x:v>11</x:v>
      </x:c>
      <x:c r="X313" s="3"/>
      <x:c r="Y313" s="3"/>
      <x:c r="Z313" s="3"/>
    </x:row>
    <x:row r="314" ht="15" customHeight="1">
      <x:c r="A314" s="3"/>
      <x:c r="B314" s="3"/>
      <x:c r="C314" s="3"/>
      <x:c r="D314" s="3"/>
      <x:c r="E314" s="3"/>
      <x:c r="F314" s="3"/>
      <x:c r="G314" s="3"/>
      <x:c r="H314" s="3"/>
      <x:c r="I314" s="3"/>
      <x:c r="J314" s="10" t="n">
        <x:v>46165</x:v>
      </x:c>
      <x:c r="K314" s="8" t="n">
        <x:f>INDEX('Сводка'!$S$3:$S$397,U314)</x:f>
        <x:v>126</x:v>
      </x:c>
      <x:c r="L314" s="8" t="n">
        <x:f>INDEX('Сводка'!$S$3:$S$397,V314)</x:f>
        <x:v>131</x:v>
      </x:c>
      <x:c r="M314" s="8" t="n">
        <x:f>INDEX($K$388:$N$400,W314,1)+INDEX($K$388:$N$400,W314,2)*LN(((J314-$T$405+1)/1000))</x:f>
        <x:v>124.02346415626013</x:v>
      </x:c>
      <x:c r="N314" s="8" t="n">
        <x:f>K314-M314</x:f>
        <x:v>1.9765358437398675</x:v>
      </x:c>
      <x:c r="O314" s="8" t="n">
        <x:f>ABS(N314)</x:f>
        <x:v>1.9765358437398675</x:v>
      </x:c>
      <x:c r="P314" s="8" t="n">
        <x:f>N314^2</x:f>
        <x:v>3.9066939415884696</x:v>
      </x:c>
      <x:c r="Q314" s="8" t="n">
        <x:f>K314-L314</x:f>
        <x:v>-5</x:v>
      </x:c>
      <x:c r="R314" s="9" t="n">
        <x:f>IF(AND(INDEX('Сводка'!$T$3:$T$397,U314)=0,INDEX('Сводка'!$T$3:$T$397,V314)=0),1,0)</x:f>
        <x:v>1</x:v>
      </x:c>
      <x:c r="S314" s="9" t="n">
        <x:f>IF(AND(R314=1,O314&lt;=$G$13),1,0)</x:f>
        <x:v>1</x:v>
      </x:c>
      <x:c r="T314" s="10" t="n">
        <x:f>EOMONTH(J314-'Сводка'!$B$11,-1)</x:f>
        <x:v>46142</x:v>
      </x:c>
      <x:c r="U314" s="4" t="n">
        <x:f>MATCH(J314,'Сводка'!$R$3:$R$397,0)</x:f>
        <x:v>325</x:v>
      </x:c>
      <x:c r="V314" s="4" t="n">
        <x:f>MATCH(J314-'Сводка'!$B$11,'Сводка'!$R$3:$R$397,0)</x:f>
        <x:v>324</x:v>
      </x:c>
      <x:c r="W314" s="4" t="n">
        <x:f>MATCH(T314,$J$388:$J$400,0)</x:f>
        <x:v>11</x:v>
      </x:c>
      <x:c r="X314" s="3"/>
      <x:c r="Y314" s="3"/>
      <x:c r="Z314" s="3"/>
    </x:row>
    <x:row r="315" ht="15" customHeight="1">
      <x:c r="A315" s="3"/>
      <x:c r="B315" s="3"/>
      <x:c r="C315" s="3"/>
      <x:c r="D315" s="3"/>
      <x:c r="E315" s="3"/>
      <x:c r="F315" s="3"/>
      <x:c r="G315" s="3"/>
      <x:c r="H315" s="3"/>
      <x:c r="I315" s="3"/>
      <x:c r="J315" s="10" t="n">
        <x:v>46166</x:v>
      </x:c>
      <x:c r="K315" s="8" t="n">
        <x:f>INDEX('Сводка'!$S$3:$S$397,U315)</x:f>
        <x:v>119</x:v>
      </x:c>
      <x:c r="L315" s="8" t="n">
        <x:f>INDEX('Сводка'!$S$3:$S$397,V315)</x:f>
        <x:v>126</x:v>
      </x:c>
      <x:c r="M315" s="8" t="n">
        <x:f>INDEX($K$388:$N$400,W315,1)+INDEX($K$388:$N$400,W315,2)*LN(((J315-$T$405+1)/1000))</x:f>
        <x:v>124.02978193693228</x:v>
      </x:c>
      <x:c r="N315" s="8" t="n">
        <x:f>K315-M315</x:f>
        <x:v>-5.029781936932281</x:v>
      </x:c>
      <x:c r="O315" s="8" t="n">
        <x:f>ABS(N315)</x:f>
        <x:v>5.029781936932281</x:v>
      </x:c>
      <x:c r="P315" s="8" t="n">
        <x:f>N315^2</x:f>
        <x:v>25.298706333090248</x:v>
      </x:c>
      <x:c r="Q315" s="8" t="n">
        <x:f>K315-L315</x:f>
        <x:v>-7</x:v>
      </x:c>
      <x:c r="R315" s="9" t="n">
        <x:f>IF(AND(INDEX('Сводка'!$T$3:$T$397,U315)=0,INDEX('Сводка'!$T$3:$T$397,V315)=0),1,0)</x:f>
        <x:v>1</x:v>
      </x:c>
      <x:c r="S315" s="9" t="n">
        <x:f>IF(AND(R315=1,O315&lt;=$G$13),1,0)</x:f>
        <x:v>1</x:v>
      </x:c>
      <x:c r="T315" s="10" t="n">
        <x:f>EOMONTH(J315-'Сводка'!$B$11,-1)</x:f>
        <x:v>46142</x:v>
      </x:c>
      <x:c r="U315" s="4" t="n">
        <x:f>MATCH(J315,'Сводка'!$R$3:$R$397,0)</x:f>
        <x:v>326</x:v>
      </x:c>
      <x:c r="V315" s="4" t="n">
        <x:f>MATCH(J315-'Сводка'!$B$11,'Сводка'!$R$3:$R$397,0)</x:f>
        <x:v>325</x:v>
      </x:c>
      <x:c r="W315" s="4" t="n">
        <x:f>MATCH(T315,$J$388:$J$400,0)</x:f>
        <x:v>11</x:v>
      </x:c>
      <x:c r="X315" s="3"/>
      <x:c r="Y315" s="3"/>
      <x:c r="Z315" s="3"/>
    </x:row>
    <x:row r="316" ht="15" customHeight="1">
      <x:c r="A316" s="3"/>
      <x:c r="B316" s="3"/>
      <x:c r="C316" s="3"/>
      <x:c r="D316" s="3"/>
      <x:c r="E316" s="3"/>
      <x:c r="F316" s="3"/>
      <x:c r="G316" s="3"/>
      <x:c r="H316" s="3"/>
      <x:c r="I316" s="3"/>
      <x:c r="J316" s="10" t="n">
        <x:v>46167</x:v>
      </x:c>
      <x:c r="K316" s="8" t="n">
        <x:f>INDEX('Сводка'!$S$3:$S$397,U316)</x:f>
        <x:v>114</x:v>
      </x:c>
      <x:c r="L316" s="8" t="n">
        <x:f>INDEX('Сводка'!$S$3:$S$397,V316)</x:f>
        <x:v>119</x:v>
      </x:c>
      <x:c r="M316" s="8" t="n">
        <x:f>INDEX($K$388:$N$400,W316,1)+INDEX($K$388:$N$400,W316,2)*LN(((J316-$T$405+1)/1000))</x:f>
        <x:v>124.03609900857792</x:v>
      </x:c>
      <x:c r="N316" s="8" t="n">
        <x:f>K316-M316</x:f>
        <x:v>-10.03609900857792</x:v>
      </x:c>
      <x:c r="O316" s="8" t="n">
        <x:f>ABS(N316)</x:f>
        <x:v>10.03609900857792</x:v>
      </x:c>
      <x:c r="P316" s="8" t="n">
        <x:f>N316^2</x:f>
        <x:v>100.72328330997873</x:v>
      </x:c>
      <x:c r="Q316" s="8" t="n">
        <x:f>K316-L316</x:f>
        <x:v>-5</x:v>
      </x:c>
      <x:c r="R316" s="9" t="n">
        <x:f>IF(AND(INDEX('Сводка'!$T$3:$T$397,U316)=0,INDEX('Сводка'!$T$3:$T$397,V316)=0),1,0)</x:f>
        <x:v>1</x:v>
      </x:c>
      <x:c r="S316" s="9" t="n">
        <x:f>IF(AND(R316=1,O316&lt;=$G$13),1,0)</x:f>
        <x:v>0</x:v>
      </x:c>
      <x:c r="T316" s="10" t="n">
        <x:f>EOMONTH(J316-'Сводка'!$B$11,-1)</x:f>
        <x:v>46142</x:v>
      </x:c>
      <x:c r="U316" s="4" t="n">
        <x:f>MATCH(J316,'Сводка'!$R$3:$R$397,0)</x:f>
        <x:v>327</x:v>
      </x:c>
      <x:c r="V316" s="4" t="n">
        <x:f>MATCH(J316-'Сводка'!$B$11,'Сводка'!$R$3:$R$397,0)</x:f>
        <x:v>326</x:v>
      </x:c>
      <x:c r="W316" s="4" t="n">
        <x:f>MATCH(T316,$J$388:$J$400,0)</x:f>
        <x:v>11</x:v>
      </x:c>
      <x:c r="X316" s="3"/>
      <x:c r="Y316" s="3"/>
      <x:c r="Z316" s="3"/>
    </x:row>
    <x:row r="317" ht="15" customHeight="1">
      <x:c r="A317" s="3"/>
      <x:c r="B317" s="3"/>
      <x:c r="C317" s="3"/>
      <x:c r="D317" s="3"/>
      <x:c r="E317" s="3"/>
      <x:c r="F317" s="3"/>
      <x:c r="G317" s="3"/>
      <x:c r="H317" s="3"/>
      <x:c r="I317" s="3"/>
      <x:c r="J317" s="10" t="n">
        <x:v>46168</x:v>
      </x:c>
      <x:c r="K317" s="8" t="n">
        <x:f>INDEX('Сводка'!$S$3:$S$397,U317)</x:f>
        <x:v>106</x:v>
      </x:c>
      <x:c r="L317" s="8" t="n">
        <x:f>INDEX('Сводка'!$S$3:$S$397,V317)</x:f>
        <x:v>114</x:v>
      </x:c>
      <x:c r="M317" s="8" t="n">
        <x:f>INDEX($K$388:$N$400,W317,1)+INDEX($K$388:$N$400,W317,2)*LN(((J317-$T$405+1)/1000))</x:f>
        <x:v>124.04241537135619</x:v>
      </x:c>
      <x:c r="N317" s="8" t="n">
        <x:f>K317-M317</x:f>
        <x:v>-18.042415371356185</x:v>
      </x:c>
      <x:c r="O317" s="8" t="n">
        <x:f>ABS(N317)</x:f>
        <x:v>18.042415371356185</x:v>
      </x:c>
      <x:c r="P317" s="8" t="n">
        <x:f>N317^2</x:f>
        <x:v>325.52875243254994</x:v>
      </x:c>
      <x:c r="Q317" s="8" t="n">
        <x:f>K317-L317</x:f>
        <x:v>-8</x:v>
      </x:c>
      <x:c r="R317" s="9" t="n">
        <x:f>IF(AND(INDEX('Сводка'!$T$3:$T$397,U317)=0,INDEX('Сводка'!$T$3:$T$397,V317)=0),1,0)</x:f>
        <x:v>1</x:v>
      </x:c>
      <x:c r="S317" s="9" t="n">
        <x:f>IF(AND(R317=1,O317&lt;=$G$13),1,0)</x:f>
        <x:v>0</x:v>
      </x:c>
      <x:c r="T317" s="10" t="n">
        <x:f>EOMONTH(J317-'Сводка'!$B$11,-1)</x:f>
        <x:v>46142</x:v>
      </x:c>
      <x:c r="U317" s="4" t="n">
        <x:f>MATCH(J317,'Сводка'!$R$3:$R$397,0)</x:f>
        <x:v>328</x:v>
      </x:c>
      <x:c r="V317" s="4" t="n">
        <x:f>MATCH(J317-'Сводка'!$B$11,'Сводка'!$R$3:$R$397,0)</x:f>
        <x:v>327</x:v>
      </x:c>
      <x:c r="W317" s="4" t="n">
        <x:f>MATCH(T317,$J$388:$J$400,0)</x:f>
        <x:v>11</x:v>
      </x:c>
      <x:c r="X317" s="3"/>
      <x:c r="Y317" s="3"/>
      <x:c r="Z317" s="3"/>
    </x:row>
    <x:row r="318" ht="15" customHeight="1">
      <x:c r="A318" s="3"/>
      <x:c r="B318" s="3"/>
      <x:c r="C318" s="3"/>
      <x:c r="D318" s="3"/>
      <x:c r="E318" s="3"/>
      <x:c r="F318" s="3"/>
      <x:c r="G318" s="3"/>
      <x:c r="H318" s="3"/>
      <x:c r="I318" s="3"/>
      <x:c r="J318" s="10" t="n">
        <x:v>46169</x:v>
      </x:c>
      <x:c r="K318" s="8" t="n">
        <x:f>INDEX('Сводка'!$S$3:$S$397,U318)</x:f>
        <x:v>101</x:v>
      </x:c>
      <x:c r="L318" s="8" t="n">
        <x:f>INDEX('Сводка'!$S$3:$S$397,V318)</x:f>
        <x:v>106</x:v>
      </x:c>
      <x:c r="M318" s="8" t="n">
        <x:f>INDEX($K$388:$N$400,W318,1)+INDEX($K$388:$N$400,W318,2)*LN(((J318-$T$405+1)/1000))</x:f>
        <x:v>124.04873102542615</x:v>
      </x:c>
      <x:c r="N318" s="8" t="n">
        <x:f>K318-M318</x:f>
        <x:v>-23.04873102542615</x:v>
      </x:c>
      <x:c r="O318" s="8" t="n">
        <x:f>ABS(N318)</x:f>
        <x:v>23.04873102542615</x:v>
      </x:c>
      <x:c r="P318" s="8" t="n">
        <x:f>N318^2</x:f>
        <x:v>531.244001882442</x:v>
      </x:c>
      <x:c r="Q318" s="8" t="n">
        <x:f>K318-L318</x:f>
        <x:v>-5</x:v>
      </x:c>
      <x:c r="R318" s="9" t="n">
        <x:f>IF(AND(INDEX('Сводка'!$T$3:$T$397,U318)=0,INDEX('Сводка'!$T$3:$T$397,V318)=0),1,0)</x:f>
        <x:v>1</x:v>
      </x:c>
      <x:c r="S318" s="9" t="n">
        <x:f>IF(AND(R318=1,O318&lt;=$G$13),1,0)</x:f>
        <x:v>0</x:v>
      </x:c>
      <x:c r="T318" s="10" t="n">
        <x:f>EOMONTH(J318-'Сводка'!$B$11,-1)</x:f>
        <x:v>46142</x:v>
      </x:c>
      <x:c r="U318" s="4" t="n">
        <x:f>MATCH(J318,'Сводка'!$R$3:$R$397,0)</x:f>
        <x:v>329</x:v>
      </x:c>
      <x:c r="V318" s="4" t="n">
        <x:f>MATCH(J318-'Сводка'!$B$11,'Сводка'!$R$3:$R$397,0)</x:f>
        <x:v>328</x:v>
      </x:c>
      <x:c r="W318" s="4" t="n">
        <x:f>MATCH(T318,$J$388:$J$400,0)</x:f>
        <x:v>11</x:v>
      </x:c>
      <x:c r="X318" s="3"/>
      <x:c r="Y318" s="3"/>
      <x:c r="Z318" s="3"/>
    </x:row>
    <x:row r="319" ht="15" customHeight="1">
      <x:c r="A319" s="3"/>
      <x:c r="B319" s="3"/>
      <x:c r="C319" s="3"/>
      <x:c r="D319" s="3"/>
      <x:c r="E319" s="3"/>
      <x:c r="F319" s="3"/>
      <x:c r="G319" s="3"/>
      <x:c r="H319" s="3"/>
      <x:c r="I319" s="3"/>
      <x:c r="J319" s="10" t="n">
        <x:v>46170</x:v>
      </x:c>
      <x:c r="K319" s="8" t="n">
        <x:f>INDEX('Сводка'!$S$3:$S$397,U319)</x:f>
        <x:v>95</x:v>
      </x:c>
      <x:c r="L319" s="8" t="n">
        <x:f>INDEX('Сводка'!$S$3:$S$397,V319)</x:f>
        <x:v>101</x:v>
      </x:c>
      <x:c r="M319" s="8" t="n">
        <x:f>INDEX($K$388:$N$400,W319,1)+INDEX($K$388:$N$400,W319,2)*LN(((J319-$T$405+1)/1000))</x:f>
        <x:v>124.05504597094681</x:v>
      </x:c>
      <x:c r="N319" s="8" t="n">
        <x:f>K319-M319</x:f>
        <x:v>-29.055045970946807</x:v>
      </x:c>
      <x:c r="O319" s="8" t="n">
        <x:f>ABS(N319)</x:f>
        <x:v>29.055045970946807</x:v>
      </x:c>
      <x:c r="P319" s="8" t="n">
        <x:f>N319^2</x:f>
        <x:v>844.1956963738323</x:v>
      </x:c>
      <x:c r="Q319" s="8" t="n">
        <x:f>K319-L319</x:f>
        <x:v>-6</x:v>
      </x:c>
      <x:c r="R319" s="9" t="n">
        <x:f>IF(AND(INDEX('Сводка'!$T$3:$T$397,U319)=0,INDEX('Сводка'!$T$3:$T$397,V319)=0),1,0)</x:f>
        <x:v>1</x:v>
      </x:c>
      <x:c r="S319" s="9" t="n">
        <x:f>IF(AND(R319=1,O319&lt;=$G$13),1,0)</x:f>
        <x:v>0</x:v>
      </x:c>
      <x:c r="T319" s="10" t="n">
        <x:f>EOMONTH(J319-'Сводка'!$B$11,-1)</x:f>
        <x:v>46142</x:v>
      </x:c>
      <x:c r="U319" s="4" t="n">
        <x:f>MATCH(J319,'Сводка'!$R$3:$R$397,0)</x:f>
        <x:v>330</x:v>
      </x:c>
      <x:c r="V319" s="4" t="n">
        <x:f>MATCH(J319-'Сводка'!$B$11,'Сводка'!$R$3:$R$397,0)</x:f>
        <x:v>329</x:v>
      </x:c>
      <x:c r="W319" s="4" t="n">
        <x:f>MATCH(T319,$J$388:$J$400,0)</x:f>
        <x:v>11</x:v>
      </x:c>
      <x:c r="X319" s="3"/>
      <x:c r="Y319" s="3"/>
      <x:c r="Z319" s="3"/>
    </x:row>
    <x:row r="320" ht="15" customHeight="1">
      <x:c r="A320" s="3"/>
      <x:c r="B320" s="3"/>
      <x:c r="C320" s="3"/>
      <x:c r="D320" s="3"/>
      <x:c r="E320" s="3"/>
      <x:c r="F320" s="3"/>
      <x:c r="G320" s="3"/>
      <x:c r="H320" s="3"/>
      <x:c r="I320" s="3"/>
      <x:c r="J320" s="10" t="n">
        <x:v>46171</x:v>
      </x:c>
      <x:c r="K320" s="8" t="n">
        <x:f>INDEX('Сводка'!$S$3:$S$397,U320)</x:f>
        <x:v>85</x:v>
      </x:c>
      <x:c r="L320" s="8" t="n">
        <x:f>INDEX('Сводка'!$S$3:$S$397,V320)</x:f>
        <x:v>95</x:v>
      </x:c>
      <x:c r="M320" s="8" t="n">
        <x:f>INDEX($K$388:$N$400,W320,1)+INDEX($K$388:$N$400,W320,2)*LN(((J320-$T$405+1)/1000))</x:f>
        <x:v>124.06136020807716</x:v>
      </x:c>
      <x:c r="N320" s="8" t="n">
        <x:f>K320-M320</x:f>
        <x:v>-39.06136020807716</x:v>
      </x:c>
      <x:c r="O320" s="8" t="n">
        <x:f>ABS(N320)</x:f>
        <x:v>39.06136020807716</x:v>
      </x:c>
      <x:c r="P320" s="8" t="n">
        <x:f>N320^2</x:f>
        <x:v>1525.7898613051539</x:v>
      </x:c>
      <x:c r="Q320" s="8" t="n">
        <x:f>K320-L320</x:f>
        <x:v>-10</x:v>
      </x:c>
      <x:c r="R320" s="9" t="n">
        <x:f>IF(AND(INDEX('Сводка'!$T$3:$T$397,U320)=0,INDEX('Сводка'!$T$3:$T$397,V320)=0),1,0)</x:f>
        <x:v>1</x:v>
      </x:c>
      <x:c r="S320" s="9" t="n">
        <x:f>IF(AND(R320=1,O320&lt;=$G$13),1,0)</x:f>
        <x:v>0</x:v>
      </x:c>
      <x:c r="T320" s="10" t="n">
        <x:f>EOMONTH(J320-'Сводка'!$B$11,-1)</x:f>
        <x:v>46142</x:v>
      </x:c>
      <x:c r="U320" s="4" t="n">
        <x:f>MATCH(J320,'Сводка'!$R$3:$R$397,0)</x:f>
        <x:v>331</x:v>
      </x:c>
      <x:c r="V320" s="4" t="n">
        <x:f>MATCH(J320-'Сводка'!$B$11,'Сводка'!$R$3:$R$397,0)</x:f>
        <x:v>330</x:v>
      </x:c>
      <x:c r="W320" s="4" t="n">
        <x:f>MATCH(T320,$J$388:$J$400,0)</x:f>
        <x:v>11</x:v>
      </x:c>
      <x:c r="X320" s="3"/>
      <x:c r="Y320" s="3"/>
      <x:c r="Z320" s="3"/>
    </x:row>
    <x:row r="321" ht="15" customHeight="1">
      <x:c r="A321" s="3"/>
      <x:c r="B321" s="3"/>
      <x:c r="C321" s="3"/>
      <x:c r="D321" s="3"/>
      <x:c r="E321" s="3"/>
      <x:c r="F321" s="3"/>
      <x:c r="G321" s="3"/>
      <x:c r="H321" s="3"/>
      <x:c r="I321" s="3"/>
      <x:c r="J321" s="10" t="n">
        <x:v>46172</x:v>
      </x:c>
      <x:c r="K321" s="8" t="n">
        <x:f>INDEX('Сводка'!$S$3:$S$397,U321)</x:f>
        <x:v>77</x:v>
      </x:c>
      <x:c r="L321" s="8" t="n">
        <x:f>INDEX('Сводка'!$S$3:$S$397,V321)</x:f>
        <x:v>85</x:v>
      </x:c>
      <x:c r="M321" s="8" t="n">
        <x:f>INDEX($K$388:$N$400,W321,1)+INDEX($K$388:$N$400,W321,2)*LN(((J321-$T$405+1)/1000))</x:f>
        <x:v>124.06767373697609</x:v>
      </x:c>
      <x:c r="N321" s="8" t="n">
        <x:f>K321-M321</x:f>
        <x:v>-47.06767373697609</x:v>
      </x:c>
      <x:c r="O321" s="8" t="n">
        <x:f>ABS(N321)</x:f>
        <x:v>47.06767373697609</x:v>
      </x:c>
      <x:c r="P321" s="8" t="n">
        <x:f>N321^2</x:f>
        <x:v>2215.3659110104286</x:v>
      </x:c>
      <x:c r="Q321" s="8" t="n">
        <x:f>K321-L321</x:f>
        <x:v>-8</x:v>
      </x:c>
      <x:c r="R321" s="9" t="n">
        <x:f>IF(AND(INDEX('Сводка'!$T$3:$T$397,U321)=0,INDEX('Сводка'!$T$3:$T$397,V321)=0),1,0)</x:f>
        <x:v>1</x:v>
      </x:c>
      <x:c r="S321" s="9" t="n">
        <x:f>IF(AND(R321=1,O321&lt;=$G$13),1,0)</x:f>
        <x:v>0</x:v>
      </x:c>
      <x:c r="T321" s="10" t="n">
        <x:f>EOMONTH(J321-'Сводка'!$B$11,-1)</x:f>
        <x:v>46142</x:v>
      </x:c>
      <x:c r="U321" s="4" t="n">
        <x:f>MATCH(J321,'Сводка'!$R$3:$R$397,0)</x:f>
        <x:v>332</x:v>
      </x:c>
      <x:c r="V321" s="4" t="n">
        <x:f>MATCH(J321-'Сводка'!$B$11,'Сводка'!$R$3:$R$397,0)</x:f>
        <x:v>331</x:v>
      </x:c>
      <x:c r="W321" s="4" t="n">
        <x:f>MATCH(T321,$J$388:$J$400,0)</x:f>
        <x:v>11</x:v>
      </x:c>
      <x:c r="X321" s="3"/>
      <x:c r="Y321" s="3"/>
      <x:c r="Z321" s="3"/>
    </x:row>
    <x:row r="322" ht="15" customHeight="1">
      <x:c r="A322" s="3"/>
      <x:c r="B322" s="3"/>
      <x:c r="C322" s="3"/>
      <x:c r="D322" s="3"/>
      <x:c r="E322" s="3"/>
      <x:c r="F322" s="3"/>
      <x:c r="G322" s="3"/>
      <x:c r="H322" s="3"/>
      <x:c r="I322" s="3"/>
      <x:c r="J322" s="10" t="n">
        <x:v>46173</x:v>
      </x:c>
      <x:c r="K322" s="8" t="n">
        <x:f>INDEX('Сводка'!$S$3:$S$397,U322)</x:f>
        <x:v>70</x:v>
      </x:c>
      <x:c r="L322" s="8" t="n">
        <x:f>INDEX('Сводка'!$S$3:$S$397,V322)</x:f>
        <x:v>77</x:v>
      </x:c>
      <x:c r="M322" s="8" t="n">
        <x:f>INDEX($K$388:$N$400,W322,1)+INDEX($K$388:$N$400,W322,2)*LN(((J322-$T$405+1)/1000))</x:f>
        <x:v>124.07398655780247</x:v>
      </x:c>
      <x:c r="N322" s="8" t="n">
        <x:f>K322-M322</x:f>
        <x:v>-54.07398655780247</x:v>
      </x:c>
      <x:c r="O322" s="8" t="n">
        <x:f>ABS(N322)</x:f>
        <x:v>54.07398655780247</x:v>
      </x:c>
      <x:c r="P322" s="8" t="n">
        <x:f>N322^2</x:f>
        <x:v>2923.9960222534023</x:v>
      </x:c>
      <x:c r="Q322" s="8" t="n">
        <x:f>K322-L322</x:f>
        <x:v>-7</x:v>
      </x:c>
      <x:c r="R322" s="9" t="n">
        <x:f>IF(AND(INDEX('Сводка'!$T$3:$T$397,U322)=0,INDEX('Сводка'!$T$3:$T$397,V322)=0),1,0)</x:f>
        <x:v>1</x:v>
      </x:c>
      <x:c r="S322" s="9" t="n">
        <x:f>IF(AND(R322=1,O322&lt;=$G$13),1,0)</x:f>
        <x:v>0</x:v>
      </x:c>
      <x:c r="T322" s="10" t="n">
        <x:f>EOMONTH(J322-'Сводка'!$B$11,-1)</x:f>
        <x:v>46142</x:v>
      </x:c>
      <x:c r="U322" s="4" t="n">
        <x:f>MATCH(J322,'Сводка'!$R$3:$R$397,0)</x:f>
        <x:v>333</x:v>
      </x:c>
      <x:c r="V322" s="4" t="n">
        <x:f>MATCH(J322-'Сводка'!$B$11,'Сводка'!$R$3:$R$397,0)</x:f>
        <x:v>332</x:v>
      </x:c>
      <x:c r="W322" s="4" t="n">
        <x:f>MATCH(T322,$J$388:$J$400,0)</x:f>
        <x:v>11</x:v>
      </x:c>
      <x:c r="X322" s="3"/>
      <x:c r="Y322" s="3"/>
      <x:c r="Z322" s="3"/>
    </x:row>
    <x:row r="323" ht="15" customHeight="1">
      <x:c r="A323" s="3"/>
      <x:c r="B323" s="3"/>
      <x:c r="C323" s="3"/>
      <x:c r="D323" s="3"/>
      <x:c r="E323" s="3"/>
      <x:c r="F323" s="3"/>
      <x:c r="G323" s="3"/>
      <x:c r="H323" s="3"/>
      <x:c r="I323" s="3"/>
      <x:c r="J323" s="10" t="n">
        <x:v>46174</x:v>
      </x:c>
      <x:c r="K323" s="8" t="n">
        <x:f>INDEX('Сводка'!$S$3:$S$397,U323)</x:f>
        <x:v>64</x:v>
      </x:c>
      <x:c r="L323" s="8" t="n">
        <x:f>INDEX('Сводка'!$S$3:$S$397,V323)</x:f>
        <x:v>70</x:v>
      </x:c>
      <x:c r="M323" s="8" t="n">
        <x:f>INDEX($K$388:$N$400,W323,1)+INDEX($K$388:$N$400,W323,2)*LN(((J323-$T$405+1)/1000))</x:f>
        <x:v>124.08029867071511</x:v>
      </x:c>
      <x:c r="N323" s="8" t="n">
        <x:f>K323-M323</x:f>
        <x:v>-60.08029867071511</x:v>
      </x:c>
      <x:c r="O323" s="8" t="n">
        <x:f>ABS(N323)</x:f>
        <x:v>60.08029867071511</x:v>
      </x:c>
      <x:c r="P323" s="8" t="n">
        <x:f>N323^2</x:f>
        <x:v>3609.642288362332</x:v>
      </x:c>
      <x:c r="Q323" s="8" t="n">
        <x:f>K323-L323</x:f>
        <x:v>-6</x:v>
      </x:c>
      <x:c r="R323" s="9" t="n">
        <x:f>IF(AND(INDEX('Сводка'!$T$3:$T$397,U323)=0,INDEX('Сводка'!$T$3:$T$397,V323)=0),1,0)</x:f>
        <x:v>1</x:v>
      </x:c>
      <x:c r="S323" s="9" t="n">
        <x:f>IF(AND(R323=1,O323&lt;=$G$13),1,0)</x:f>
        <x:v>0</x:v>
      </x:c>
      <x:c r="T323" s="10" t="n">
        <x:f>EOMONTH(J323-'Сводка'!$B$11,-1)</x:f>
        <x:v>46142</x:v>
      </x:c>
      <x:c r="U323" s="4" t="n">
        <x:f>MATCH(J323,'Сводка'!$R$3:$R$397,0)</x:f>
        <x:v>334</x:v>
      </x:c>
      <x:c r="V323" s="4" t="n">
        <x:f>MATCH(J323-'Сводка'!$B$11,'Сводка'!$R$3:$R$397,0)</x:f>
        <x:v>333</x:v>
      </x:c>
      <x:c r="W323" s="4" t="n">
        <x:f>MATCH(T323,$J$388:$J$400,0)</x:f>
        <x:v>11</x:v>
      </x:c>
      <x:c r="X323" s="3"/>
      <x:c r="Y323" s="3"/>
      <x:c r="Z323" s="3"/>
    </x:row>
    <x:row r="324" ht="15" customHeight="1">
      <x:c r="A324" s="3"/>
      <x:c r="B324" s="3"/>
      <x:c r="C324" s="3"/>
      <x:c r="D324" s="3"/>
      <x:c r="E324" s="3"/>
      <x:c r="F324" s="3"/>
      <x:c r="G324" s="3"/>
      <x:c r="H324" s="3"/>
      <x:c r="I324" s="3"/>
      <x:c r="J324" s="10" t="n">
        <x:v>46175</x:v>
      </x:c>
      <x:c r="K324" s="8" t="n">
        <x:f>INDEX('Сводка'!$S$3:$S$397,U324)</x:f>
        <x:v>62</x:v>
      </x:c>
      <x:c r="L324" s="8" t="n">
        <x:f>INDEX('Сводка'!$S$3:$S$397,V324)</x:f>
        <x:v>64</x:v>
      </x:c>
      <x:c r="M324" s="8" t="n">
        <x:f>INDEX($K$388:$N$400,W324,1)+INDEX($K$388:$N$400,W324,2)*LN(((J324-$T$405+1)/1000))</x:f>
        <x:v>124.01695379580806</x:v>
      </x:c>
      <x:c r="N324" s="8" t="n">
        <x:f>K324-M324</x:f>
        <x:v>-62.016953795808064</x:v>
      </x:c>
      <x:c r="O324" s="8" t="n">
        <x:f>ABS(N324)</x:f>
        <x:v>62.016953795808064</x:v>
      </x:c>
      <x:c r="P324" s="8" t="n">
        <x:f>N324^2</x:f>
        <x:v>3846.102558111392</x:v>
      </x:c>
      <x:c r="Q324" s="8" t="n">
        <x:f>K324-L324</x:f>
        <x:v>-2</x:v>
      </x:c>
      <x:c r="R324" s="9" t="n">
        <x:f>IF(AND(INDEX('Сводка'!$T$3:$T$397,U324)=0,INDEX('Сводка'!$T$3:$T$397,V324)=0),1,0)</x:f>
        <x:v>1</x:v>
      </x:c>
      <x:c r="S324" s="9" t="n">
        <x:f>IF(AND(R324=1,O324&lt;=$G$13),1,0)</x:f>
        <x:v>0</x:v>
      </x:c>
      <x:c r="T324" s="10" t="n">
        <x:f>EOMONTH(J324-'Сводка'!$B$11,-1)</x:f>
        <x:v>46173</x:v>
      </x:c>
      <x:c r="U324" s="4" t="n">
        <x:f>MATCH(J324,'Сводка'!$R$3:$R$397,0)</x:f>
        <x:v>335</x:v>
      </x:c>
      <x:c r="V324" s="4" t="n">
        <x:f>MATCH(J324-'Сводка'!$B$11,'Сводка'!$R$3:$R$397,0)</x:f>
        <x:v>334</x:v>
      </x:c>
      <x:c r="W324" s="4" t="n">
        <x:f>MATCH(T324,$J$388:$J$400,0)</x:f>
        <x:v>12</x:v>
      </x:c>
      <x:c r="X324" s="3"/>
      <x:c r="Y324" s="3"/>
      <x:c r="Z324" s="3"/>
    </x:row>
    <x:row r="325" ht="15" customHeight="1">
      <x:c r="A325" s="3"/>
      <x:c r="B325" s="3"/>
      <x:c r="C325" s="3"/>
      <x:c r="D325" s="3"/>
      <x:c r="E325" s="3"/>
      <x:c r="F325" s="3"/>
      <x:c r="G325" s="3"/>
      <x:c r="H325" s="3"/>
      <x:c r="I325" s="3"/>
      <x:c r="J325" s="10" t="n">
        <x:v>46176</x:v>
      </x:c>
      <x:c r="K325" s="8" t="n">
        <x:f>INDEX('Сводка'!$S$3:$S$397,U325)</x:f>
        <x:v>61</x:v>
      </x:c>
      <x:c r="L325" s="8" t="n">
        <x:f>INDEX('Сводка'!$S$3:$S$397,V325)</x:f>
        <x:v>62</x:v>
      </x:c>
      <x:c r="M325" s="8" t="n">
        <x:f>INDEX($K$388:$N$400,W325,1)+INDEX($K$388:$N$400,W325,2)*LN(((J325-$T$405+1)/1000))</x:f>
        <x:v>124.02326057948252</x:v>
      </x:c>
      <x:c r="N325" s="8" t="n">
        <x:f>K325-M325</x:f>
        <x:v>-63.023260579482525</x:v>
      </x:c>
      <x:c r="O325" s="8" t="n">
        <x:f>ABS(N325)</x:f>
        <x:v>63.023260579482525</x:v>
      </x:c>
      <x:c r="P325" s="8" t="n">
        <x:f>N325^2</x:f>
        <x:v>3971.931374069356</x:v>
      </x:c>
      <x:c r="Q325" s="8" t="n">
        <x:f>K325-L325</x:f>
        <x:v>-1</x:v>
      </x:c>
      <x:c r="R325" s="9" t="n">
        <x:f>IF(AND(INDEX('Сводка'!$T$3:$T$397,U325)=0,INDEX('Сводка'!$T$3:$T$397,V325)=0),1,0)</x:f>
        <x:v>1</x:v>
      </x:c>
      <x:c r="S325" s="9" t="n">
        <x:f>IF(AND(R325=1,O325&lt;=$G$13),1,0)</x:f>
        <x:v>0</x:v>
      </x:c>
      <x:c r="T325" s="10" t="n">
        <x:f>EOMONTH(J325-'Сводка'!$B$11,-1)</x:f>
        <x:v>46173</x:v>
      </x:c>
      <x:c r="U325" s="4" t="n">
        <x:f>MATCH(J325,'Сводка'!$R$3:$R$397,0)</x:f>
        <x:v>336</x:v>
      </x:c>
      <x:c r="V325" s="4" t="n">
        <x:f>MATCH(J325-'Сводка'!$B$11,'Сводка'!$R$3:$R$397,0)</x:f>
        <x:v>335</x:v>
      </x:c>
      <x:c r="W325" s="4" t="n">
        <x:f>MATCH(T325,$J$388:$J$400,0)</x:f>
        <x:v>12</x:v>
      </x:c>
      <x:c r="X325" s="3"/>
      <x:c r="Y325" s="3"/>
      <x:c r="Z325" s="3"/>
    </x:row>
    <x:row r="326" ht="15" customHeight="1">
      <x:c r="A326" s="3"/>
      <x:c r="B326" s="3"/>
      <x:c r="C326" s="3"/>
      <x:c r="D326" s="3"/>
      <x:c r="E326" s="3"/>
      <x:c r="F326" s="3"/>
      <x:c r="G326" s="3"/>
      <x:c r="H326" s="3"/>
      <x:c r="I326" s="3"/>
      <x:c r="J326" s="10" t="n">
        <x:v>46177</x:v>
      </x:c>
      <x:c r="K326" s="8" t="n">
        <x:f>INDEX('Сводка'!$S$3:$S$397,U326)</x:f>
        <x:v>75</x:v>
      </x:c>
      <x:c r="L326" s="8" t="n">
        <x:f>INDEX('Сводка'!$S$3:$S$397,V326)</x:f>
        <x:v>61</x:v>
      </x:c>
      <x:c r="M326" s="8" t="n">
        <x:f>INDEX($K$388:$N$400,W326,1)+INDEX($K$388:$N$400,W326,2)*LN(((J326-$T$405+1)/1000))</x:f>
        <x:v>124.02956665615808</x:v>
      </x:c>
      <x:c r="N326" s="8" t="n">
        <x:f>K326-M326</x:f>
        <x:v>-49.02956665615808</x:v>
      </x:c>
      <x:c r="O326" s="8" t="n">
        <x:f>ABS(N326)</x:f>
        <x:v>49.02956665615808</x:v>
      </x:c>
      <x:c r="P326" s="8" t="n">
        <x:f>N326^2</x:f>
        <x:v>2403.8984064906485</x:v>
      </x:c>
      <x:c r="Q326" s="8" t="n">
        <x:f>K326-L326</x:f>
        <x:v>14</x:v>
      </x:c>
      <x:c r="R326" s="9" t="n">
        <x:f>IF(AND(INDEX('Сводка'!$T$3:$T$397,U326)=0,INDEX('Сводка'!$T$3:$T$397,V326)=0),1,0)</x:f>
        <x:v>1</x:v>
      </x:c>
      <x:c r="S326" s="9" t="n">
        <x:f>IF(AND(R326=1,O326&lt;=$G$13),1,0)</x:f>
        <x:v>0</x:v>
      </x:c>
      <x:c r="T326" s="10" t="n">
        <x:f>EOMONTH(J326-'Сводка'!$B$11,-1)</x:f>
        <x:v>46173</x:v>
      </x:c>
      <x:c r="U326" s="4" t="n">
        <x:f>MATCH(J326,'Сводка'!$R$3:$R$397,0)</x:f>
        <x:v>337</x:v>
      </x:c>
      <x:c r="V326" s="4" t="n">
        <x:f>MATCH(J326-'Сводка'!$B$11,'Сводка'!$R$3:$R$397,0)</x:f>
        <x:v>336</x:v>
      </x:c>
      <x:c r="W326" s="4" t="n">
        <x:f>MATCH(T326,$J$388:$J$400,0)</x:f>
        <x:v>12</x:v>
      </x:c>
      <x:c r="X326" s="3"/>
      <x:c r="Y326" s="3"/>
      <x:c r="Z326" s="3"/>
    </x:row>
    <x:row r="327" ht="15" customHeight="1">
      <x:c r="A327" s="3"/>
      <x:c r="B327" s="3"/>
      <x:c r="C327" s="3"/>
      <x:c r="D327" s="3"/>
      <x:c r="E327" s="3"/>
      <x:c r="F327" s="3"/>
      <x:c r="G327" s="3"/>
      <x:c r="H327" s="3"/>
      <x:c r="I327" s="3"/>
      <x:c r="J327" s="10" t="n">
        <x:v>46178</x:v>
      </x:c>
      <x:c r="K327" s="8" t="n">
        <x:f>INDEX('Сводка'!$S$3:$S$397,U327)</x:f>
        <x:v>94</x:v>
      </x:c>
      <x:c r="L327" s="8" t="n">
        <x:f>INDEX('Сводка'!$S$3:$S$397,V327)</x:f>
        <x:v>75</x:v>
      </x:c>
      <x:c r="M327" s="8" t="n">
        <x:f>INDEX($K$388:$N$400,W327,1)+INDEX($K$388:$N$400,W327,2)*LN(((J327-$T$405+1)/1000))</x:f>
        <x:v>124.03587202599329</x:v>
      </x:c>
      <x:c r="N327" s="8" t="n">
        <x:f>K327-M327</x:f>
        <x:v>-30.035872025993285</x:v>
      </x:c>
      <x:c r="O327" s="8" t="n">
        <x:f>ABS(N327)</x:f>
        <x:v>30.035872025993285</x:v>
      </x:c>
      <x:c r="P327" s="8" t="n">
        <x:f>N327^2</x:f>
        <x:v>902.153608361846</x:v>
      </x:c>
      <x:c r="Q327" s="8" t="n">
        <x:f>K327-L327</x:f>
        <x:v>19</x:v>
      </x:c>
      <x:c r="R327" s="9" t="n">
        <x:f>IF(AND(INDEX('Сводка'!$T$3:$T$397,U327)=0,INDEX('Сводка'!$T$3:$T$397,V327)=0),1,0)</x:f>
        <x:v>1</x:v>
      </x:c>
      <x:c r="S327" s="9" t="n">
        <x:f>IF(AND(R327=1,O327&lt;=$G$13),1,0)</x:f>
        <x:v>0</x:v>
      </x:c>
      <x:c r="T327" s="10" t="n">
        <x:f>EOMONTH(J327-'Сводка'!$B$11,-1)</x:f>
        <x:v>46173</x:v>
      </x:c>
      <x:c r="U327" s="4" t="n">
        <x:f>MATCH(J327,'Сводка'!$R$3:$R$397,0)</x:f>
        <x:v>338</x:v>
      </x:c>
      <x:c r="V327" s="4" t="n">
        <x:f>MATCH(J327-'Сводка'!$B$11,'Сводка'!$R$3:$R$397,0)</x:f>
        <x:v>337</x:v>
      </x:c>
      <x:c r="W327" s="4" t="n">
        <x:f>MATCH(T327,$J$388:$J$400,0)</x:f>
        <x:v>12</x:v>
      </x:c>
      <x:c r="X327" s="3"/>
      <x:c r="Y327" s="3"/>
      <x:c r="Z327" s="3"/>
    </x:row>
    <x:row r="328" ht="15" customHeight="1">
      <x:c r="A328" s="3"/>
      <x:c r="B328" s="3"/>
      <x:c r="C328" s="3"/>
      <x:c r="D328" s="3"/>
      <x:c r="E328" s="3"/>
      <x:c r="F328" s="3"/>
      <x:c r="G328" s="3"/>
      <x:c r="H328" s="3"/>
      <x:c r="I328" s="3"/>
      <x:c r="J328" s="10" t="n">
        <x:v>46179</x:v>
      </x:c>
      <x:c r="K328" s="8" t="n">
        <x:f>INDEX('Сводка'!$S$3:$S$397,U328)</x:f>
        <x:v>116</x:v>
      </x:c>
      <x:c r="L328" s="8" t="n">
        <x:f>INDEX('Сводка'!$S$3:$S$397,V328)</x:f>
        <x:v>94</x:v>
      </x:c>
      <x:c r="M328" s="8" t="n">
        <x:f>INDEX($K$388:$N$400,W328,1)+INDEX($K$388:$N$400,W328,2)*LN(((J328-$T$405+1)/1000))</x:f>
        <x:v>124.04217668914647</x:v>
      </x:c>
      <x:c r="N328" s="8" t="n">
        <x:f>K328-M328</x:f>
        <x:v>-8.042176689146473</x:v>
      </x:c>
      <x:c r="O328" s="8" t="n">
        <x:f>ABS(N328)</x:f>
        <x:v>8.042176689146473</x:v>
      </x:c>
      <x:c r="P328" s="8" t="n">
        <x:f>N328^2</x:f>
        <x:v>64.67660589945092</x:v>
      </x:c>
      <x:c r="Q328" s="8" t="n">
        <x:f>K328-L328</x:f>
        <x:v>22</x:v>
      </x:c>
      <x:c r="R328" s="9" t="n">
        <x:f>IF(AND(INDEX('Сводка'!$T$3:$T$397,U328)=0,INDEX('Сводка'!$T$3:$T$397,V328)=0),1,0)</x:f>
        <x:v>1</x:v>
      </x:c>
      <x:c r="S328" s="9" t="n">
        <x:f>IF(AND(R328=1,O328&lt;=$G$13),1,0)</x:f>
        <x:v>0</x:v>
      </x:c>
      <x:c r="T328" s="10" t="n">
        <x:f>EOMONTH(J328-'Сводка'!$B$11,-1)</x:f>
        <x:v>46173</x:v>
      </x:c>
      <x:c r="U328" s="4" t="n">
        <x:f>MATCH(J328,'Сводка'!$R$3:$R$397,0)</x:f>
        <x:v>339</x:v>
      </x:c>
      <x:c r="V328" s="4" t="n">
        <x:f>MATCH(J328-'Сводка'!$B$11,'Сводка'!$R$3:$R$397,0)</x:f>
        <x:v>338</x:v>
      </x:c>
      <x:c r="W328" s="4" t="n">
        <x:f>MATCH(T328,$J$388:$J$400,0)</x:f>
        <x:v>12</x:v>
      </x:c>
      <x:c r="X328" s="3"/>
      <x:c r="Y328" s="3"/>
      <x:c r="Z328" s="3"/>
    </x:row>
    <x:row r="329" ht="15" customHeight="1">
      <x:c r="A329" s="3"/>
      <x:c r="B329" s="3"/>
      <x:c r="C329" s="3"/>
      <x:c r="D329" s="3"/>
      <x:c r="E329" s="3"/>
      <x:c r="F329" s="3"/>
      <x:c r="G329" s="3"/>
      <x:c r="H329" s="3"/>
      <x:c r="I329" s="3"/>
      <x:c r="J329" s="10" t="n">
        <x:v>46180</x:v>
      </x:c>
      <x:c r="K329" s="8" t="n">
        <x:f>INDEX('Сводка'!$S$3:$S$397,U329)</x:f>
        <x:v>128</x:v>
      </x:c>
      <x:c r="L329" s="8" t="n">
        <x:f>INDEX('Сводка'!$S$3:$S$397,V329)</x:f>
        <x:v>116</x:v>
      </x:c>
      <x:c r="M329" s="8" t="n">
        <x:f>INDEX($K$388:$N$400,W329,1)+INDEX($K$388:$N$400,W329,2)*LN(((J329-$T$405+1)/1000))</x:f>
        <x:v>124.0484806457761</x:v>
      </x:c>
      <x:c r="N329" s="8" t="n">
        <x:f>K329-M329</x:f>
        <x:v>3.9515193542239047</x:v>
      </x:c>
      <x:c r="O329" s="8" t="n">
        <x:f>ABS(N329)</x:f>
        <x:v>3.9515193542239047</x:v>
      </x:c>
      <x:c r="P329" s="8" t="n">
        <x:f>N329^2</x:f>
        <x:v>15.614505206806104</x:v>
      </x:c>
      <x:c r="Q329" s="8" t="n">
        <x:f>K329-L329</x:f>
        <x:v>12</x:v>
      </x:c>
      <x:c r="R329" s="9" t="n">
        <x:f>IF(AND(INDEX('Сводка'!$T$3:$T$397,U329)=0,INDEX('Сводка'!$T$3:$T$397,V329)=0),1,0)</x:f>
        <x:v>1</x:v>
      </x:c>
      <x:c r="S329" s="9" t="n">
        <x:f>IF(AND(R329=1,O329&lt;=$G$13),1,0)</x:f>
        <x:v>1</x:v>
      </x:c>
      <x:c r="T329" s="10" t="n">
        <x:f>EOMONTH(J329-'Сводка'!$B$11,-1)</x:f>
        <x:v>46173</x:v>
      </x:c>
      <x:c r="U329" s="4" t="n">
        <x:f>MATCH(J329,'Сводка'!$R$3:$R$397,0)</x:f>
        <x:v>340</x:v>
      </x:c>
      <x:c r="V329" s="4" t="n">
        <x:f>MATCH(J329-'Сводка'!$B$11,'Сводка'!$R$3:$R$397,0)</x:f>
        <x:v>339</x:v>
      </x:c>
      <x:c r="W329" s="4" t="n">
        <x:f>MATCH(T329,$J$388:$J$400,0)</x:f>
        <x:v>12</x:v>
      </x:c>
      <x:c r="X329" s="3"/>
      <x:c r="Y329" s="3"/>
      <x:c r="Z329" s="3"/>
    </x:row>
    <x:row r="330" ht="15" customHeight="1">
      <x:c r="A330" s="3"/>
      <x:c r="B330" s="3"/>
      <x:c r="C330" s="3"/>
      <x:c r="D330" s="3"/>
      <x:c r="E330" s="3"/>
      <x:c r="F330" s="3"/>
      <x:c r="G330" s="3"/>
      <x:c r="H330" s="3"/>
      <x:c r="I330" s="3"/>
      <x:c r="J330" s="10" t="n">
        <x:v>46181</x:v>
      </x:c>
      <x:c r="K330" s="8" t="n">
        <x:f>INDEX('Сводка'!$S$3:$S$397,U330)</x:f>
        <x:v>132</x:v>
      </x:c>
      <x:c r="L330" s="8" t="n">
        <x:f>INDEX('Сводка'!$S$3:$S$397,V330)</x:f>
        <x:v>128</x:v>
      </x:c>
      <x:c r="M330" s="8" t="n">
        <x:f>INDEX($K$388:$N$400,W330,1)+INDEX($K$388:$N$400,W330,2)*LN(((J330-$T$405+1)/1000))</x:f>
        <x:v>124.05478389604048</x:v>
      </x:c>
      <x:c r="N330" s="8" t="n">
        <x:f>K330-M330</x:f>
        <x:v>7.945216103959524</x:v>
      </x:c>
      <x:c r="O330" s="8" t="n">
        <x:f>ABS(N330)</x:f>
        <x:v>7.945216103959524</x:v>
      </x:c>
      <x:c r="P330" s="8" t="n">
        <x:f>N330^2</x:f>
        <x:v>63.12645893861776</x:v>
      </x:c>
      <x:c r="Q330" s="8" t="n">
        <x:f>K330-L330</x:f>
        <x:v>4</x:v>
      </x:c>
      <x:c r="R330" s="9" t="n">
        <x:f>IF(AND(INDEX('Сводка'!$T$3:$T$397,U330)=0,INDEX('Сводка'!$T$3:$T$397,V330)=0),1,0)</x:f>
        <x:v>1</x:v>
      </x:c>
      <x:c r="S330" s="9" t="n">
        <x:f>IF(AND(R330=1,O330&lt;=$G$13),1,0)</x:f>
        <x:v>0</x:v>
      </x:c>
      <x:c r="T330" s="10" t="n">
        <x:f>EOMONTH(J330-'Сводка'!$B$11,-1)</x:f>
        <x:v>46173</x:v>
      </x:c>
      <x:c r="U330" s="4" t="n">
        <x:f>MATCH(J330,'Сводка'!$R$3:$R$397,0)</x:f>
        <x:v>341</x:v>
      </x:c>
      <x:c r="V330" s="4" t="n">
        <x:f>MATCH(J330-'Сводка'!$B$11,'Сводка'!$R$3:$R$397,0)</x:f>
        <x:v>340</x:v>
      </x:c>
      <x:c r="W330" s="4" t="n">
        <x:f>MATCH(T330,$J$388:$J$400,0)</x:f>
        <x:v>12</x:v>
      </x:c>
      <x:c r="X330" s="3"/>
      <x:c r="Y330" s="3"/>
      <x:c r="Z330" s="3"/>
    </x:row>
    <x:row r="331" ht="15" customHeight="1">
      <x:c r="A331" s="3"/>
      <x:c r="B331" s="3"/>
      <x:c r="C331" s="3"/>
      <x:c r="D331" s="3"/>
      <x:c r="E331" s="3"/>
      <x:c r="F331" s="3"/>
      <x:c r="G331" s="3"/>
      <x:c r="H331" s="3"/>
      <x:c r="I331" s="3"/>
      <x:c r="J331" s="10" t="n">
        <x:v>46182</x:v>
      </x:c>
      <x:c r="K331" s="8" t="n">
        <x:f>INDEX('Сводка'!$S$3:$S$397,U331)</x:f>
        <x:v>131</x:v>
      </x:c>
      <x:c r="L331" s="8" t="n">
        <x:f>INDEX('Сводка'!$S$3:$S$397,V331)</x:f>
        <x:v>132</x:v>
      </x:c>
      <x:c r="M331" s="8" t="n">
        <x:f>INDEX($K$388:$N$400,W331,1)+INDEX($K$388:$N$400,W331,2)*LN(((J331-$T$405+1)/1000))</x:f>
        <x:v>124.06108644009787</x:v>
      </x:c>
      <x:c r="N331" s="8" t="n">
        <x:f>K331-M331</x:f>
        <x:v>6.938913559902133</x:v>
      </x:c>
      <x:c r="O331" s="8" t="n">
        <x:f>ABS(N331)</x:f>
        <x:v>6.938913559902133</x:v>
      </x:c>
      <x:c r="P331" s="8" t="n">
        <x:f>N331^2</x:f>
        <x:v>48.14852139179369</x:v>
      </x:c>
      <x:c r="Q331" s="8" t="n">
        <x:f>K331-L331</x:f>
        <x:v>-1</x:v>
      </x:c>
      <x:c r="R331" s="9" t="n">
        <x:f>IF(AND(INDEX('Сводка'!$T$3:$T$397,U331)=0,INDEX('Сводка'!$T$3:$T$397,V331)=0),1,0)</x:f>
        <x:v>1</x:v>
      </x:c>
      <x:c r="S331" s="9" t="n">
        <x:f>IF(AND(R331=1,O331&lt;=$G$13),1,0)</x:f>
        <x:v>1</x:v>
      </x:c>
      <x:c r="T331" s="10" t="n">
        <x:f>EOMONTH(J331-'Сводка'!$B$11,-1)</x:f>
        <x:v>46173</x:v>
      </x:c>
      <x:c r="U331" s="4" t="n">
        <x:f>MATCH(J331,'Сводка'!$R$3:$R$397,0)</x:f>
        <x:v>342</x:v>
      </x:c>
      <x:c r="V331" s="4" t="n">
        <x:f>MATCH(J331-'Сводка'!$B$11,'Сводка'!$R$3:$R$397,0)</x:f>
        <x:v>341</x:v>
      </x:c>
      <x:c r="W331" s="4" t="n">
        <x:f>MATCH(T331,$J$388:$J$400,0)</x:f>
        <x:v>12</x:v>
      </x:c>
      <x:c r="X331" s="3"/>
      <x:c r="Y331" s="3"/>
      <x:c r="Z331" s="3"/>
    </x:row>
    <x:row r="332" ht="15" customHeight="1">
      <x:c r="A332" s="3"/>
      <x:c r="B332" s="3"/>
      <x:c r="C332" s="3"/>
      <x:c r="D332" s="3"/>
      <x:c r="E332" s="3"/>
      <x:c r="F332" s="3"/>
      <x:c r="G332" s="3"/>
      <x:c r="H332" s="3"/>
      <x:c r="I332" s="3"/>
      <x:c r="J332" s="10" t="n">
        <x:v>46183</x:v>
      </x:c>
      <x:c r="K332" s="8" t="n">
        <x:f>INDEX('Сводка'!$S$3:$S$397,U332)</x:f>
        <x:v>128</x:v>
      </x:c>
      <x:c r="L332" s="8" t="n">
        <x:f>INDEX('Сводка'!$S$3:$S$397,V332)</x:f>
        <x:v>131</x:v>
      </x:c>
      <x:c r="M332" s="8" t="n">
        <x:f>INDEX($K$388:$N$400,W332,1)+INDEX($K$388:$N$400,W332,2)*LN(((J332-$T$405+1)/1000))</x:f>
        <x:v>124.06738827810655</x:v>
      </x:c>
      <x:c r="N332" s="8" t="n">
        <x:f>K332-M332</x:f>
        <x:v>3.9326117218934513</x:v>
      </x:c>
      <x:c r="O332" s="8" t="n">
        <x:f>ABS(N332)</x:f>
        <x:v>3.9326117218934513</x:v>
      </x:c>
      <x:c r="P332" s="8" t="n">
        <x:f>N332^2</x:f>
        <x:v>15.465434955173777</x:v>
      </x:c>
      <x:c r="Q332" s="8" t="n">
        <x:f>K332-L332</x:f>
        <x:v>-3</x:v>
      </x:c>
      <x:c r="R332" s="9" t="n">
        <x:f>IF(AND(INDEX('Сводка'!$T$3:$T$397,U332)=0,INDEX('Сводка'!$T$3:$T$397,V332)=0),1,0)</x:f>
        <x:v>1</x:v>
      </x:c>
      <x:c r="S332" s="9" t="n">
        <x:f>IF(AND(R332=1,O332&lt;=$G$13),1,0)</x:f>
        <x:v>1</x:v>
      </x:c>
      <x:c r="T332" s="10" t="n">
        <x:f>EOMONTH(J332-'Сводка'!$B$11,-1)</x:f>
        <x:v>46173</x:v>
      </x:c>
      <x:c r="U332" s="4" t="n">
        <x:f>MATCH(J332,'Сводка'!$R$3:$R$397,0)</x:f>
        <x:v>343</x:v>
      </x:c>
      <x:c r="V332" s="4" t="n">
        <x:f>MATCH(J332-'Сводка'!$B$11,'Сводка'!$R$3:$R$397,0)</x:f>
        <x:v>342</x:v>
      </x:c>
      <x:c r="W332" s="4" t="n">
        <x:f>MATCH(T332,$J$388:$J$400,0)</x:f>
        <x:v>12</x:v>
      </x:c>
      <x:c r="X332" s="3"/>
      <x:c r="Y332" s="3"/>
      <x:c r="Z332" s="3"/>
    </x:row>
    <x:row r="333" ht="15" customHeight="1">
      <x:c r="A333" s="3"/>
      <x:c r="B333" s="3"/>
      <x:c r="C333" s="3"/>
      <x:c r="D333" s="3"/>
      <x:c r="E333" s="3"/>
      <x:c r="F333" s="3"/>
      <x:c r="G333" s="3"/>
      <x:c r="H333" s="3"/>
      <x:c r="I333" s="3"/>
      <x:c r="J333" s="10" t="n">
        <x:v>46184</x:v>
      </x:c>
      <x:c r="K333" s="8" t="n">
        <x:f>INDEX('Сводка'!$S$3:$S$397,U333)</x:f>
        <x:v>128</x:v>
      </x:c>
      <x:c r="L333" s="8" t="n">
        <x:f>INDEX('Сводка'!$S$3:$S$397,V333)</x:f>
        <x:v>128</x:v>
      </x:c>
      <x:c r="M333" s="8" t="n">
        <x:f>INDEX($K$388:$N$400,W333,1)+INDEX($K$388:$N$400,W333,2)*LN(((J333-$T$405+1)/1000))</x:f>
        <x:v>124.07368941022466</x:v>
      </x:c>
      <x:c r="N333" s="8" t="n">
        <x:f>K333-M333</x:f>
        <x:v>3.9263105897753405</x:v>
      </x:c>
      <x:c r="O333" s="8" t="n">
        <x:f>ABS(N333)</x:f>
        <x:v>3.9263105897753405</x:v>
      </x:c>
      <x:c r="P333" s="8" t="n">
        <x:f>N333^2</x:f>
        <x:v>15.415914847381982</x:v>
      </x:c>
      <x:c r="Q333" s="8" t="n">
        <x:f>K333-L333</x:f>
        <x:v>0</x:v>
      </x:c>
      <x:c r="R333" s="9" t="n">
        <x:f>IF(AND(INDEX('Сводка'!$T$3:$T$397,U333)=0,INDEX('Сводка'!$T$3:$T$397,V333)=0),1,0)</x:f>
        <x:v>1</x:v>
      </x:c>
      <x:c r="S333" s="9" t="n">
        <x:f>IF(AND(R333=1,O333&lt;=$G$13),1,0)</x:f>
        <x:v>1</x:v>
      </x:c>
      <x:c r="T333" s="10" t="n">
        <x:f>EOMONTH(J333-'Сводка'!$B$11,-1)</x:f>
        <x:v>46173</x:v>
      </x:c>
      <x:c r="U333" s="4" t="n">
        <x:f>MATCH(J333,'Сводка'!$R$3:$R$397,0)</x:f>
        <x:v>344</x:v>
      </x:c>
      <x:c r="V333" s="4" t="n">
        <x:f>MATCH(J333-'Сводка'!$B$11,'Сводка'!$R$3:$R$397,0)</x:f>
        <x:v>343</x:v>
      </x:c>
      <x:c r="W333" s="4" t="n">
        <x:f>MATCH(T333,$J$388:$J$400,0)</x:f>
        <x:v>12</x:v>
      </x:c>
      <x:c r="X333" s="3"/>
      <x:c r="Y333" s="3"/>
      <x:c r="Z333" s="3"/>
    </x:row>
    <x:row r="334" ht="15" customHeight="1">
      <x:c r="A334" s="3"/>
      <x:c r="B334" s="3"/>
      <x:c r="C334" s="3"/>
      <x:c r="D334" s="3"/>
      <x:c r="E334" s="3"/>
      <x:c r="F334" s="3"/>
      <x:c r="G334" s="3"/>
      <x:c r="H334" s="3"/>
      <x:c r="I334" s="3"/>
      <x:c r="J334" s="10" t="n">
        <x:v>46185</x:v>
      </x:c>
      <x:c r="K334" s="8" t="n">
        <x:f>INDEX('Сводка'!$S$3:$S$397,U334)</x:f>
        <x:v>123</x:v>
      </x:c>
      <x:c r="L334" s="8" t="n">
        <x:f>INDEX('Сводка'!$S$3:$S$397,V334)</x:f>
        <x:v>128</x:v>
      </x:c>
      <x:c r="M334" s="8" t="n">
        <x:f>INDEX($K$388:$N$400,W334,1)+INDEX($K$388:$N$400,W334,2)*LN(((J334-$T$405+1)/1000))</x:f>
        <x:v>124.07998983661031</x:v>
      </x:c>
      <x:c r="N334" s="8" t="n">
        <x:f>K334-M334</x:f>
        <x:v>-1.0799898366103093</x:v>
      </x:c>
      <x:c r="O334" s="8" t="n">
        <x:f>ABS(N334)</x:f>
        <x:v>1.0799898366103093</x:v>
      </x:c>
      <x:c r="P334" s="8" t="n">
        <x:f>N334^2</x:f>
        <x:v>1.1663780471815626</x:v>
      </x:c>
      <x:c r="Q334" s="8" t="n">
        <x:f>K334-L334</x:f>
        <x:v>-5</x:v>
      </x:c>
      <x:c r="R334" s="9" t="n">
        <x:f>IF(AND(INDEX('Сводка'!$T$3:$T$397,U334)=0,INDEX('Сводка'!$T$3:$T$397,V334)=0),1,0)</x:f>
        <x:v>1</x:v>
      </x:c>
      <x:c r="S334" s="9" t="n">
        <x:f>IF(AND(R334=1,O334&lt;=$G$13),1,0)</x:f>
        <x:v>1</x:v>
      </x:c>
      <x:c r="T334" s="10" t="n">
        <x:f>EOMONTH(J334-'Сводка'!$B$11,-1)</x:f>
        <x:v>46173</x:v>
      </x:c>
      <x:c r="U334" s="4" t="n">
        <x:f>MATCH(J334,'Сводка'!$R$3:$R$397,0)</x:f>
        <x:v>345</x:v>
      </x:c>
      <x:c r="V334" s="4" t="n">
        <x:f>MATCH(J334-'Сводка'!$B$11,'Сводка'!$R$3:$R$397,0)</x:f>
        <x:v>344</x:v>
      </x:c>
      <x:c r="W334" s="4" t="n">
        <x:f>MATCH(T334,$J$388:$J$400,0)</x:f>
        <x:v>12</x:v>
      </x:c>
      <x:c r="X334" s="3"/>
      <x:c r="Y334" s="3"/>
      <x:c r="Z334" s="3"/>
    </x:row>
    <x:row r="335" ht="15" customHeight="1">
      <x:c r="A335" s="3"/>
      <x:c r="B335" s="3"/>
      <x:c r="C335" s="3"/>
      <x:c r="D335" s="3"/>
      <x:c r="E335" s="3"/>
      <x:c r="F335" s="3"/>
      <x:c r="G335" s="3"/>
      <x:c r="H335" s="3"/>
      <x:c r="I335" s="3"/>
      <x:c r="J335" s="10" t="n">
        <x:v>46186</x:v>
      </x:c>
      <x:c r="K335" s="8" t="n">
        <x:f>INDEX('Сводка'!$S$3:$S$397,U335)</x:f>
        <x:v>128</x:v>
      </x:c>
      <x:c r="L335" s="8" t="n">
        <x:f>INDEX('Сводка'!$S$3:$S$397,V335)</x:f>
        <x:v>123</x:v>
      </x:c>
      <x:c r="M335" s="8" t="n">
        <x:f>INDEX($K$388:$N$400,W335,1)+INDEX($K$388:$N$400,W335,2)*LN(((J335-$T$405+1)/1000))</x:f>
        <x:v>124.08628955742161</x:v>
      </x:c>
      <x:c r="N335" s="8" t="n">
        <x:f>K335-M335</x:f>
        <x:v>3.9137104425783917</x:v>
      </x:c>
      <x:c r="O335" s="8" t="n">
        <x:f>ABS(N335)</x:f>
        <x:v>3.9137104425783917</x:v>
      </x:c>
      <x:c r="P335" s="8" t="n">
        <x:f>N335^2</x:f>
        <x:v>15.317129428347151</x:v>
      </x:c>
      <x:c r="Q335" s="8" t="n">
        <x:f>K335-L335</x:f>
        <x:v>5</x:v>
      </x:c>
      <x:c r="R335" s="9" t="n">
        <x:f>IF(AND(INDEX('Сводка'!$T$3:$T$397,U335)=0,INDEX('Сводка'!$T$3:$T$397,V335)=0),1,0)</x:f>
        <x:v>1</x:v>
      </x:c>
      <x:c r="S335" s="9" t="n">
        <x:f>IF(AND(R335=1,O335&lt;=$G$13),1,0)</x:f>
        <x:v>1</x:v>
      </x:c>
      <x:c r="T335" s="10" t="n">
        <x:f>EOMONTH(J335-'Сводка'!$B$11,-1)</x:f>
        <x:v>46173</x:v>
      </x:c>
      <x:c r="U335" s="4" t="n">
        <x:f>MATCH(J335,'Сводка'!$R$3:$R$397,0)</x:f>
        <x:v>346</x:v>
      </x:c>
      <x:c r="V335" s="4" t="n">
        <x:f>MATCH(J335-'Сводка'!$B$11,'Сводка'!$R$3:$R$397,0)</x:f>
        <x:v>345</x:v>
      </x:c>
      <x:c r="W335" s="4" t="n">
        <x:f>MATCH(T335,$J$388:$J$400,0)</x:f>
        <x:v>12</x:v>
      </x:c>
      <x:c r="X335" s="3"/>
      <x:c r="Y335" s="3"/>
      <x:c r="Z335" s="3"/>
    </x:row>
    <x:row r="336" ht="15" customHeight="1">
      <x:c r="A336" s="3"/>
      <x:c r="B336" s="3"/>
      <x:c r="C336" s="3"/>
      <x:c r="D336" s="3"/>
      <x:c r="E336" s="3"/>
      <x:c r="F336" s="3"/>
      <x:c r="G336" s="3"/>
      <x:c r="H336" s="3"/>
      <x:c r="I336" s="3"/>
      <x:c r="J336" s="10" t="n">
        <x:v>46187</x:v>
      </x:c>
      <x:c r="K336" s="8" t="n">
        <x:f>INDEX('Сводка'!$S$3:$S$397,U336)</x:f>
        <x:v>138</x:v>
      </x:c>
      <x:c r="L336" s="8" t="n">
        <x:f>INDEX('Сводка'!$S$3:$S$397,V336)</x:f>
        <x:v>128</x:v>
      </x:c>
      <x:c r="M336" s="8" t="n">
        <x:f>INDEX($K$388:$N$400,W336,1)+INDEX($K$388:$N$400,W336,2)*LN(((J336-$T$405+1)/1000))</x:f>
        <x:v>124.09258857281652</x:v>
      </x:c>
      <x:c r="N336" s="8" t="n">
        <x:f>K336-M336</x:f>
        <x:v>13.907411427183476</x:v>
      </x:c>
      <x:c r="O336" s="8" t="n">
        <x:f>ABS(N336)</x:f>
        <x:v>13.907411427183476</x:v>
      </x:c>
      <x:c r="P336" s="8" t="n">
        <x:f>N336^2</x:f>
        <x:v>193.41609260495352</x:v>
      </x:c>
      <x:c r="Q336" s="8" t="n">
        <x:f>K336-L336</x:f>
        <x:v>10</x:v>
      </x:c>
      <x:c r="R336" s="9" t="n">
        <x:f>IF(AND(INDEX('Сводка'!$T$3:$T$397,U336)=0,INDEX('Сводка'!$T$3:$T$397,V336)=0),1,0)</x:f>
        <x:v>1</x:v>
      </x:c>
      <x:c r="S336" s="9" t="n">
        <x:f>IF(AND(R336=1,O336&lt;=$G$13),1,0)</x:f>
        <x:v>0</x:v>
      </x:c>
      <x:c r="T336" s="10" t="n">
        <x:f>EOMONTH(J336-'Сводка'!$B$11,-1)</x:f>
        <x:v>46173</x:v>
      </x:c>
      <x:c r="U336" s="4" t="n">
        <x:f>MATCH(J336,'Сводка'!$R$3:$R$397,0)</x:f>
        <x:v>347</x:v>
      </x:c>
      <x:c r="V336" s="4" t="n">
        <x:f>MATCH(J336-'Сводка'!$B$11,'Сводка'!$R$3:$R$397,0)</x:f>
        <x:v>346</x:v>
      </x:c>
      <x:c r="W336" s="4" t="n">
        <x:f>MATCH(T336,$J$388:$J$400,0)</x:f>
        <x:v>12</x:v>
      </x:c>
      <x:c r="X336" s="3"/>
      <x:c r="Y336" s="3"/>
      <x:c r="Z336" s="3"/>
    </x:row>
    <x:row r="337" ht="15" customHeight="1">
      <x:c r="A337" s="3"/>
      <x:c r="B337" s="3"/>
      <x:c r="C337" s="3"/>
      <x:c r="D337" s="3"/>
      <x:c r="E337" s="3"/>
      <x:c r="F337" s="3"/>
      <x:c r="G337" s="3"/>
      <x:c r="H337" s="3"/>
      <x:c r="I337" s="3"/>
      <x:c r="J337" s="10" t="n">
        <x:v>46188</x:v>
      </x:c>
      <x:c r="K337" s="8" t="n">
        <x:f>INDEX('Сводка'!$S$3:$S$397,U337)</x:f>
        <x:v>147</x:v>
      </x:c>
      <x:c r="L337" s="8" t="n">
        <x:f>INDEX('Сводка'!$S$3:$S$397,V337)</x:f>
        <x:v>138</x:v>
      </x:c>
      <x:c r="M337" s="8" t="n">
        <x:f>INDEX($K$388:$N$400,W337,1)+INDEX($K$388:$N$400,W337,2)*LN(((J337-$T$405+1)/1000))</x:f>
        <x:v>124.09888688295304</x:v>
      </x:c>
      <x:c r="N337" s="8" t="n">
        <x:f>K337-M337</x:f>
        <x:v>22.90111311704696</x:v>
      </x:c>
      <x:c r="O337" s="8" t="n">
        <x:f>ABS(N337)</x:f>
        <x:v>22.90111311704696</x:v>
      </x:c>
      <x:c r="P337" s="8" t="n">
        <x:f>N337^2</x:f>
        <x:v>524.4609819997804</x:v>
      </x:c>
      <x:c r="Q337" s="8" t="n">
        <x:f>K337-L337</x:f>
        <x:v>9</x:v>
      </x:c>
      <x:c r="R337" s="9" t="n">
        <x:f>IF(AND(INDEX('Сводка'!$T$3:$T$397,U337)=0,INDEX('Сводка'!$T$3:$T$397,V337)=0),1,0)</x:f>
        <x:v>1</x:v>
      </x:c>
      <x:c r="S337" s="9" t="n">
        <x:f>IF(AND(R337=1,O337&lt;=$G$13),1,0)</x:f>
        <x:v>0</x:v>
      </x:c>
      <x:c r="T337" s="10" t="n">
        <x:f>EOMONTH(J337-'Сводка'!$B$11,-1)</x:f>
        <x:v>46173</x:v>
      </x:c>
      <x:c r="U337" s="4" t="n">
        <x:f>MATCH(J337,'Сводка'!$R$3:$R$397,0)</x:f>
        <x:v>348</x:v>
      </x:c>
      <x:c r="V337" s="4" t="n">
        <x:f>MATCH(J337-'Сводка'!$B$11,'Сводка'!$R$3:$R$397,0)</x:f>
        <x:v>347</x:v>
      </x:c>
      <x:c r="W337" s="4" t="n">
        <x:f>MATCH(T337,$J$388:$J$400,0)</x:f>
        <x:v>12</x:v>
      </x:c>
      <x:c r="X337" s="3"/>
      <x:c r="Y337" s="3"/>
      <x:c r="Z337" s="3"/>
    </x:row>
    <x:row r="338" ht="15" customHeight="1">
      <x:c r="A338" s="3"/>
      <x:c r="B338" s="3"/>
      <x:c r="C338" s="3"/>
      <x:c r="D338" s="3"/>
      <x:c r="E338" s="3"/>
      <x:c r="F338" s="3"/>
      <x:c r="G338" s="3"/>
      <x:c r="H338" s="3"/>
      <x:c r="I338" s="3"/>
      <x:c r="J338" s="10" t="n">
        <x:v>46189</x:v>
      </x:c>
      <x:c r="K338" s="8" t="n">
        <x:f>INDEX('Сводка'!$S$3:$S$397,U338)</x:f>
        <x:v>154</x:v>
      </x:c>
      <x:c r="L338" s="8" t="n">
        <x:f>INDEX('Сводка'!$S$3:$S$397,V338)</x:f>
        <x:v>147</x:v>
      </x:c>
      <x:c r="M338" s="8" t="n">
        <x:f>INDEX($K$388:$N$400,W338,1)+INDEX($K$388:$N$400,W338,2)*LN(((J338-$T$405+1)/1000))</x:f>
        <x:v>124.10518448798906</x:v>
      </x:c>
      <x:c r="N338" s="8" t="n">
        <x:f>K338-M338</x:f>
        <x:v>29.894815512010936</x:v>
      </x:c>
      <x:c r="O338" s="8" t="n">
        <x:f>ABS(N338)</x:f>
        <x:v>29.894815512010936</x:v>
      </x:c>
      <x:c r="P338" s="8" t="n">
        <x:f>N338^2</x:f>
        <x:v>893.6999944971697</x:v>
      </x:c>
      <x:c r="Q338" s="8" t="n">
        <x:f>K338-L338</x:f>
        <x:v>7</x:v>
      </x:c>
      <x:c r="R338" s="9" t="n">
        <x:f>IF(AND(INDEX('Сводка'!$T$3:$T$397,U338)=0,INDEX('Сводка'!$T$3:$T$397,V338)=0),1,0)</x:f>
        <x:v>1</x:v>
      </x:c>
      <x:c r="S338" s="9" t="n">
        <x:f>IF(AND(R338=1,O338&lt;=$G$13),1,0)</x:f>
        <x:v>0</x:v>
      </x:c>
      <x:c r="T338" s="10" t="n">
        <x:f>EOMONTH(J338-'Сводка'!$B$11,-1)</x:f>
        <x:v>46173</x:v>
      </x:c>
      <x:c r="U338" s="4" t="n">
        <x:f>MATCH(J338,'Сводка'!$R$3:$R$397,0)</x:f>
        <x:v>349</x:v>
      </x:c>
      <x:c r="V338" s="4" t="n">
        <x:f>MATCH(J338-'Сводка'!$B$11,'Сводка'!$R$3:$R$397,0)</x:f>
        <x:v>348</x:v>
      </x:c>
      <x:c r="W338" s="4" t="n">
        <x:f>MATCH(T338,$J$388:$J$400,0)</x:f>
        <x:v>12</x:v>
      </x:c>
      <x:c r="X338" s="3"/>
      <x:c r="Y338" s="3"/>
      <x:c r="Z338" s="3"/>
    </x:row>
    <x:row r="339" ht="15" customHeight="1">
      <x:c r="A339" s="3"/>
      <x:c r="B339" s="3"/>
      <x:c r="C339" s="3"/>
      <x:c r="D339" s="3"/>
      <x:c r="E339" s="3"/>
      <x:c r="F339" s="3"/>
      <x:c r="G339" s="3"/>
      <x:c r="H339" s="3"/>
      <x:c r="I339" s="3"/>
      <x:c r="J339" s="10" t="n">
        <x:v>46190</x:v>
      </x:c>
      <x:c r="K339" s="8" t="n">
        <x:f>INDEX('Сводка'!$S$3:$S$397,U339)</x:f>
        <x:v>158</x:v>
      </x:c>
      <x:c r="L339" s="8" t="n">
        <x:f>INDEX('Сводка'!$S$3:$S$397,V339)</x:f>
        <x:v>154</x:v>
      </x:c>
      <x:c r="M339" s="8" t="n">
        <x:f>INDEX($K$388:$N$400,W339,1)+INDEX($K$388:$N$400,W339,2)*LN(((J339-$T$405+1)/1000))</x:f>
        <x:v>124.11148138808247</x:v>
      </x:c>
      <x:c r="N339" s="8" t="n">
        <x:f>K339-M339</x:f>
        <x:v>33.88851861191753</x:v>
      </x:c>
      <x:c r="O339" s="8" t="n">
        <x:f>ABS(N339)</x:f>
        <x:v>33.88851861191753</x:v>
      </x:c>
      <x:c r="P339" s="8" t="n">
        <x:f>N339^2</x:f>
        <x:v>1148.431693710281</x:v>
      </x:c>
      <x:c r="Q339" s="8" t="n">
        <x:f>K339-L339</x:f>
        <x:v>4</x:v>
      </x:c>
      <x:c r="R339" s="9" t="n">
        <x:f>IF(AND(INDEX('Сводка'!$T$3:$T$397,U339)=0,INDEX('Сводка'!$T$3:$T$397,V339)=0),1,0)</x:f>
        <x:v>1</x:v>
      </x:c>
      <x:c r="S339" s="9" t="n">
        <x:f>IF(AND(R339=1,O339&lt;=$G$13),1,0)</x:f>
        <x:v>0</x:v>
      </x:c>
      <x:c r="T339" s="10" t="n">
        <x:f>EOMONTH(J339-'Сводка'!$B$11,-1)</x:f>
        <x:v>46173</x:v>
      </x:c>
      <x:c r="U339" s="4" t="n">
        <x:f>MATCH(J339,'Сводка'!$R$3:$R$397,0)</x:f>
        <x:v>350</x:v>
      </x:c>
      <x:c r="V339" s="4" t="n">
        <x:f>MATCH(J339-'Сводка'!$B$11,'Сводка'!$R$3:$R$397,0)</x:f>
        <x:v>349</x:v>
      </x:c>
      <x:c r="W339" s="4" t="n">
        <x:f>MATCH(T339,$J$388:$J$400,0)</x:f>
        <x:v>12</x:v>
      </x:c>
      <x:c r="X339" s="3"/>
      <x:c r="Y339" s="3"/>
      <x:c r="Z339" s="3"/>
    </x:row>
    <x:row r="340" ht="15" customHeight="1">
      <x:c r="A340" s="3"/>
      <x:c r="B340" s="3"/>
      <x:c r="C340" s="3"/>
      <x:c r="D340" s="3"/>
      <x:c r="E340" s="3"/>
      <x:c r="F340" s="3"/>
      <x:c r="G340" s="3"/>
      <x:c r="H340" s="3"/>
      <x:c r="I340" s="3"/>
      <x:c r="J340" s="10" t="n">
        <x:v>46191</x:v>
      </x:c>
      <x:c r="K340" s="8" t="n">
        <x:f>INDEX('Сводка'!$S$3:$S$397,U340)</x:f>
        <x:v>166</x:v>
      </x:c>
      <x:c r="L340" s="8" t="n">
        <x:f>INDEX('Сводка'!$S$3:$S$397,V340)</x:f>
        <x:v>158</x:v>
      </x:c>
      <x:c r="M340" s="8" t="n">
        <x:f>INDEX($K$388:$N$400,W340,1)+INDEX($K$388:$N$400,W340,2)*LN(((J340-$T$405+1)/1000))</x:f>
        <x:v>124.11777758339102</x:v>
      </x:c>
      <x:c r="N340" s="8" t="n">
        <x:f>K340-M340</x:f>
        <x:v>41.88222241660898</x:v>
      </x:c>
      <x:c r="O340" s="8" t="n">
        <x:f>ABS(N340)</x:f>
        <x:v>41.88222241660898</x:v>
      </x:c>
      <x:c r="P340" s="8" t="n">
        <x:f>N340^2</x:f>
        <x:v>1754.120554554304</x:v>
      </x:c>
      <x:c r="Q340" s="8" t="n">
        <x:f>K340-L340</x:f>
        <x:v>8</x:v>
      </x:c>
      <x:c r="R340" s="9" t="n">
        <x:f>IF(AND(INDEX('Сводка'!$T$3:$T$397,U340)=0,INDEX('Сводка'!$T$3:$T$397,V340)=0),1,0)</x:f>
        <x:v>1</x:v>
      </x:c>
      <x:c r="S340" s="9" t="n">
        <x:f>IF(AND(R340=1,O340&lt;=$G$13),1,0)</x:f>
        <x:v>0</x:v>
      </x:c>
      <x:c r="T340" s="10" t="n">
        <x:f>EOMONTH(J340-'Сводка'!$B$11,-1)</x:f>
        <x:v>46173</x:v>
      </x:c>
      <x:c r="U340" s="4" t="n">
        <x:f>MATCH(J340,'Сводка'!$R$3:$R$397,0)</x:f>
        <x:v>351</x:v>
      </x:c>
      <x:c r="V340" s="4" t="n">
        <x:f>MATCH(J340-'Сводка'!$B$11,'Сводка'!$R$3:$R$397,0)</x:f>
        <x:v>350</x:v>
      </x:c>
      <x:c r="W340" s="4" t="n">
        <x:f>MATCH(T340,$J$388:$J$400,0)</x:f>
        <x:v>12</x:v>
      </x:c>
      <x:c r="X340" s="3"/>
      <x:c r="Y340" s="3"/>
      <x:c r="Z340" s="3"/>
    </x:row>
    <x:row r="341" ht="15" customHeight="1">
      <x:c r="A341" s="3"/>
      <x:c r="B341" s="3"/>
      <x:c r="C341" s="3"/>
      <x:c r="D341" s="3"/>
      <x:c r="E341" s="3"/>
      <x:c r="F341" s="3"/>
      <x:c r="G341" s="3"/>
      <x:c r="H341" s="3"/>
      <x:c r="I341" s="3"/>
      <x:c r="J341" s="10" t="n">
        <x:v>46192</x:v>
      </x:c>
      <x:c r="K341" s="8" t="n">
        <x:f>INDEX('Сводка'!$S$3:$S$397,U341)</x:f>
        <x:v>170</x:v>
      </x:c>
      <x:c r="L341" s="8" t="n">
        <x:f>INDEX('Сводка'!$S$3:$S$397,V341)</x:f>
        <x:v>166</x:v>
      </x:c>
      <x:c r="M341" s="8" t="n">
        <x:f>INDEX($K$388:$N$400,W341,1)+INDEX($K$388:$N$400,W341,2)*LN(((J341-$T$405+1)/1000))</x:f>
        <x:v>124.12407307407247</x:v>
      </x:c>
      <x:c r="N341" s="8" t="n">
        <x:f>K341-M341</x:f>
        <x:v>45.87592692592753</x:v>
      </x:c>
      <x:c r="O341" s="8" t="n">
        <x:f>ABS(N341)</x:f>
        <x:v>45.87592692592753</x:v>
      </x:c>
      <x:c r="P341" s="8" t="n">
        <x:f>N341^2</x:f>
        <x:v>2104.6006713130428</x:v>
      </x:c>
      <x:c r="Q341" s="8" t="n">
        <x:f>K341-L341</x:f>
        <x:v>4</x:v>
      </x:c>
      <x:c r="R341" s="9" t="n">
        <x:f>IF(AND(INDEX('Сводка'!$T$3:$T$397,U341)=0,INDEX('Сводка'!$T$3:$T$397,V341)=0),1,0)</x:f>
        <x:v>1</x:v>
      </x:c>
      <x:c r="S341" s="9" t="n">
        <x:f>IF(AND(R341=1,O341&lt;=$G$13),1,0)</x:f>
        <x:v>0</x:v>
      </x:c>
      <x:c r="T341" s="10" t="n">
        <x:f>EOMONTH(J341-'Сводка'!$B$11,-1)</x:f>
        <x:v>46173</x:v>
      </x:c>
      <x:c r="U341" s="4" t="n">
        <x:f>MATCH(J341,'Сводка'!$R$3:$R$397,0)</x:f>
        <x:v>352</x:v>
      </x:c>
      <x:c r="V341" s="4" t="n">
        <x:f>MATCH(J341-'Сводка'!$B$11,'Сводка'!$R$3:$R$397,0)</x:f>
        <x:v>351</x:v>
      </x:c>
      <x:c r="W341" s="4" t="n">
        <x:f>MATCH(T341,$J$388:$J$400,0)</x:f>
        <x:v>12</x:v>
      </x:c>
      <x:c r="X341" s="3"/>
      <x:c r="Y341" s="3"/>
      <x:c r="Z341" s="3"/>
    </x:row>
    <x:row r="342" ht="15" customHeight="1">
      <x:c r="A342" s="3"/>
      <x:c r="B342" s="3"/>
      <x:c r="C342" s="3"/>
      <x:c r="D342" s="3"/>
      <x:c r="E342" s="3"/>
      <x:c r="F342" s="3"/>
      <x:c r="G342" s="3"/>
      <x:c r="H342" s="3"/>
      <x:c r="I342" s="3"/>
      <x:c r="J342" s="10" t="n">
        <x:v>46193</x:v>
      </x:c>
      <x:c r="K342" s="8" t="n">
        <x:f>INDEX('Сводка'!$S$3:$S$397,U342)</x:f>
        <x:v>171</x:v>
      </x:c>
      <x:c r="L342" s="8" t="n">
        <x:f>INDEX('Сводка'!$S$3:$S$397,V342)</x:f>
        <x:v>170</x:v>
      </x:c>
      <x:c r="M342" s="8" t="n">
        <x:f>INDEX($K$388:$N$400,W342,1)+INDEX($K$388:$N$400,W342,2)*LN(((J342-$T$405+1)/1000))</x:f>
        <x:v>124.13036786028455</x:v>
      </x:c>
      <x:c r="N342" s="8" t="n">
        <x:f>K342-M342</x:f>
        <x:v>46.86963213971545</x:v>
      </x:c>
      <x:c r="O342" s="8" t="n">
        <x:f>ABS(N342)</x:f>
        <x:v>46.86963213971545</x:v>
      </x:c>
      <x:c r="P342" s="8" t="n">
        <x:f>N342^2</x:f>
        <x:v>2196.7624169122473</x:v>
      </x:c>
      <x:c r="Q342" s="8" t="n">
        <x:f>K342-L342</x:f>
        <x:v>1</x:v>
      </x:c>
      <x:c r="R342" s="9" t="n">
        <x:f>IF(AND(INDEX('Сводка'!$T$3:$T$397,U342)=0,INDEX('Сводка'!$T$3:$T$397,V342)=0),1,0)</x:f>
        <x:v>1</x:v>
      </x:c>
      <x:c r="S342" s="9" t="n">
        <x:f>IF(AND(R342=1,O342&lt;=$G$13),1,0)</x:f>
        <x:v>0</x:v>
      </x:c>
      <x:c r="T342" s="10" t="n">
        <x:f>EOMONTH(J342-'Сводка'!$B$11,-1)</x:f>
        <x:v>46173</x:v>
      </x:c>
      <x:c r="U342" s="4" t="n">
        <x:f>MATCH(J342,'Сводка'!$R$3:$R$397,0)</x:f>
        <x:v>353</x:v>
      </x:c>
      <x:c r="V342" s="4" t="n">
        <x:f>MATCH(J342-'Сводка'!$B$11,'Сводка'!$R$3:$R$397,0)</x:f>
        <x:v>352</x:v>
      </x:c>
      <x:c r="W342" s="4" t="n">
        <x:f>MATCH(T342,$J$388:$J$400,0)</x:f>
        <x:v>12</x:v>
      </x:c>
      <x:c r="X342" s="3"/>
      <x:c r="Y342" s="3"/>
      <x:c r="Z342" s="3"/>
    </x:row>
    <x:row r="343" ht="15" customHeight="1">
      <x:c r="A343" s="3"/>
      <x:c r="B343" s="3"/>
      <x:c r="C343" s="3"/>
      <x:c r="D343" s="3"/>
      <x:c r="E343" s="3"/>
      <x:c r="F343" s="3"/>
      <x:c r="G343" s="3"/>
      <x:c r="H343" s="3"/>
      <x:c r="I343" s="3"/>
      <x:c r="J343" s="10" t="n">
        <x:v>46194</x:v>
      </x:c>
      <x:c r="K343" s="8" t="n">
        <x:f>INDEX('Сводка'!$S$3:$S$397,U343)</x:f>
        <x:v>169</x:v>
      </x:c>
      <x:c r="L343" s="8" t="n">
        <x:f>INDEX('Сводка'!$S$3:$S$397,V343)</x:f>
        <x:v>171</x:v>
      </x:c>
      <x:c r="M343" s="8" t="n">
        <x:f>INDEX($K$388:$N$400,W343,1)+INDEX($K$388:$N$400,W343,2)*LN(((J343-$T$405+1)/1000))</x:f>
        <x:v>124.13666194218492</x:v>
      </x:c>
      <x:c r="N343" s="8" t="n">
        <x:f>K343-M343</x:f>
        <x:v>44.863338057815085</x:v>
      </x:c>
      <x:c r="O343" s="8" t="n">
        <x:f>ABS(N343)</x:f>
        <x:v>44.863338057815085</x:v>
      </x:c>
      <x:c r="P343" s="8" t="n">
        <x:f>N343^2</x:f>
        <x:v>2012.7191016897993</x:v>
      </x:c>
      <x:c r="Q343" s="8" t="n">
        <x:f>K343-L343</x:f>
        <x:v>-2</x:v>
      </x:c>
      <x:c r="R343" s="9" t="n">
        <x:f>IF(AND(INDEX('Сводка'!$T$3:$T$397,U343)=0,INDEX('Сводка'!$T$3:$T$397,V343)=0),1,0)</x:f>
        <x:v>1</x:v>
      </x:c>
      <x:c r="S343" s="9" t="n">
        <x:f>IF(AND(R343=1,O343&lt;=$G$13),1,0)</x:f>
        <x:v>0</x:v>
      </x:c>
      <x:c r="T343" s="10" t="n">
        <x:f>EOMONTH(J343-'Сводка'!$B$11,-1)</x:f>
        <x:v>46173</x:v>
      </x:c>
      <x:c r="U343" s="4" t="n">
        <x:f>MATCH(J343,'Сводка'!$R$3:$R$397,0)</x:f>
        <x:v>354</x:v>
      </x:c>
      <x:c r="V343" s="4" t="n">
        <x:f>MATCH(J343-'Сводка'!$B$11,'Сводка'!$R$3:$R$397,0)</x:f>
        <x:v>353</x:v>
      </x:c>
      <x:c r="W343" s="4" t="n">
        <x:f>MATCH(T343,$J$388:$J$400,0)</x:f>
        <x:v>12</x:v>
      </x:c>
      <x:c r="X343" s="3"/>
      <x:c r="Y343" s="3"/>
      <x:c r="Z343" s="3"/>
    </x:row>
    <x:row r="344" ht="15" customHeight="1">
      <x:c r="A344" s="3"/>
      <x:c r="B344" s="3"/>
      <x:c r="C344" s="3"/>
      <x:c r="D344" s="3"/>
      <x:c r="E344" s="3"/>
      <x:c r="F344" s="3"/>
      <x:c r="G344" s="3"/>
      <x:c r="H344" s="3"/>
      <x:c r="I344" s="3"/>
      <x:c r="J344" s="10" t="n">
        <x:v>46195</x:v>
      </x:c>
      <x:c r="K344" s="8" t="n">
        <x:f>INDEX('Сводка'!$S$3:$S$397,U344)</x:f>
        <x:v>168</x:v>
      </x:c>
      <x:c r="L344" s="8" t="n">
        <x:f>INDEX('Сводка'!$S$3:$S$397,V344)</x:f>
        <x:v>169</x:v>
      </x:c>
      <x:c r="M344" s="8" t="n">
        <x:f>INDEX($K$388:$N$400,W344,1)+INDEX($K$388:$N$400,W344,2)*LN(((J344-$T$405+1)/1000))</x:f>
        <x:v>124.14295531993108</x:v>
      </x:c>
      <x:c r="N344" s="8" t="n">
        <x:f>K344-M344</x:f>
        <x:v>43.857044680068924</x:v>
      </x:c>
      <x:c r="O344" s="8" t="n">
        <x:f>ABS(N344)</x:f>
        <x:v>43.857044680068924</x:v>
      </x:c>
      <x:c r="P344" s="8" t="n">
        <x:f>N344^2</x:f>
        <x:v>1923.4403680695618</x:v>
      </x:c>
      <x:c r="Q344" s="8" t="n">
        <x:f>K344-L344</x:f>
        <x:v>-1</x:v>
      </x:c>
      <x:c r="R344" s="9" t="n">
        <x:f>IF(AND(INDEX('Сводка'!$T$3:$T$397,U344)=0,INDEX('Сводка'!$T$3:$T$397,V344)=0),1,0)</x:f>
        <x:v>1</x:v>
      </x:c>
      <x:c r="S344" s="9" t="n">
        <x:f>IF(AND(R344=1,O344&lt;=$G$13),1,0)</x:f>
        <x:v>0</x:v>
      </x:c>
      <x:c r="T344" s="10" t="n">
        <x:f>EOMONTH(J344-'Сводка'!$B$11,-1)</x:f>
        <x:v>46173</x:v>
      </x:c>
      <x:c r="U344" s="4" t="n">
        <x:f>MATCH(J344,'Сводка'!$R$3:$R$397,0)</x:f>
        <x:v>355</x:v>
      </x:c>
      <x:c r="V344" s="4" t="n">
        <x:f>MATCH(J344-'Сводка'!$B$11,'Сводка'!$R$3:$R$397,0)</x:f>
        <x:v>354</x:v>
      </x:c>
      <x:c r="W344" s="4" t="n">
        <x:f>MATCH(T344,$J$388:$J$400,0)</x:f>
        <x:v>12</x:v>
      </x:c>
      <x:c r="X344" s="3"/>
      <x:c r="Y344" s="3"/>
      <x:c r="Z344" s="3"/>
    </x:row>
    <x:row r="345" ht="15" customHeight="1">
      <x:c r="A345" s="3"/>
      <x:c r="B345" s="3"/>
      <x:c r="C345" s="3"/>
      <x:c r="D345" s="3"/>
      <x:c r="E345" s="3"/>
      <x:c r="F345" s="3"/>
      <x:c r="G345" s="3"/>
      <x:c r="H345" s="3"/>
      <x:c r="I345" s="3"/>
      <x:c r="J345" s="10" t="n">
        <x:v>46196</x:v>
      </x:c>
      <x:c r="K345" s="8" t="n">
        <x:f>INDEX('Сводка'!$S$3:$S$397,U345)</x:f>
        <x:v>159</x:v>
      </x:c>
      <x:c r="L345" s="8" t="n">
        <x:f>INDEX('Сводка'!$S$3:$S$397,V345)</x:f>
        <x:v>168</x:v>
      </x:c>
      <x:c r="M345" s="8" t="n">
        <x:f>INDEX($K$388:$N$400,W345,1)+INDEX($K$388:$N$400,W345,2)*LN(((J345-$T$405+1)/1000))</x:f>
        <x:v>124.14924799368065</x:v>
      </x:c>
      <x:c r="N345" s="8" t="n">
        <x:f>K345-M345</x:f>
        <x:v>34.850752006319354</x:v>
      </x:c>
      <x:c r="O345" s="8" t="n">
        <x:f>ABS(N345)</x:f>
        <x:v>34.850752006319354</x:v>
      </x:c>
      <x:c r="P345" s="8" t="n">
        <x:f>N345^2</x:f>
        <x:v>1214.5749154059724</x:v>
      </x:c>
      <x:c r="Q345" s="8" t="n">
        <x:f>K345-L345</x:f>
        <x:v>-9</x:v>
      </x:c>
      <x:c r="R345" s="9" t="n">
        <x:f>IF(AND(INDEX('Сводка'!$T$3:$T$397,U345)=0,INDEX('Сводка'!$T$3:$T$397,V345)=0),1,0)</x:f>
        <x:v>1</x:v>
      </x:c>
      <x:c r="S345" s="9" t="n">
        <x:f>IF(AND(R345=1,O345&lt;=$G$13),1,0)</x:f>
        <x:v>0</x:v>
      </x:c>
      <x:c r="T345" s="10" t="n">
        <x:f>EOMONTH(J345-'Сводка'!$B$11,-1)</x:f>
        <x:v>46173</x:v>
      </x:c>
      <x:c r="U345" s="4" t="n">
        <x:f>MATCH(J345,'Сводка'!$R$3:$R$397,0)</x:f>
        <x:v>356</x:v>
      </x:c>
      <x:c r="V345" s="4" t="n">
        <x:f>MATCH(J345-'Сводка'!$B$11,'Сводка'!$R$3:$R$397,0)</x:f>
        <x:v>355</x:v>
      </x:c>
      <x:c r="W345" s="4" t="n">
        <x:f>MATCH(T345,$J$388:$J$400,0)</x:f>
        <x:v>12</x:v>
      </x:c>
      <x:c r="X345" s="3"/>
      <x:c r="Y345" s="3"/>
      <x:c r="Z345" s="3"/>
    </x:row>
    <x:row r="346" ht="15" customHeight="1">
      <x:c r="A346" s="3"/>
      <x:c r="B346" s="3"/>
      <x:c r="C346" s="3"/>
      <x:c r="D346" s="3"/>
      <x:c r="E346" s="3"/>
      <x:c r="F346" s="3"/>
      <x:c r="G346" s="3"/>
      <x:c r="H346" s="3"/>
      <x:c r="I346" s="3"/>
      <x:c r="J346" s="10" t="n">
        <x:v>46197</x:v>
      </x:c>
      <x:c r="K346" s="8" t="n">
        <x:f>INDEX('Сводка'!$S$3:$S$397,U346)</x:f>
        <x:v>151</x:v>
      </x:c>
      <x:c r="L346" s="8" t="n">
        <x:f>INDEX('Сводка'!$S$3:$S$397,V346)</x:f>
        <x:v>159</x:v>
      </x:c>
      <x:c r="M346" s="8" t="n">
        <x:f>INDEX($K$388:$N$400,W346,1)+INDEX($K$388:$N$400,W346,2)*LN(((J346-$T$405+1)/1000))</x:f>
        <x:v>124.15553996359108</x:v>
      </x:c>
      <x:c r="N346" s="8" t="n">
        <x:f>K346-M346</x:f>
        <x:v>26.84446003640892</x:v>
      </x:c>
      <x:c r="O346" s="8" t="n">
        <x:f>ABS(N346)</x:f>
        <x:v>26.84446003640892</x:v>
      </x:c>
      <x:c r="P346" s="8" t="n">
        <x:f>N346^2</x:f>
        <x:v>720.6250346463555</x:v>
      </x:c>
      <x:c r="Q346" s="8" t="n">
        <x:f>K346-L346</x:f>
        <x:v>-8</x:v>
      </x:c>
      <x:c r="R346" s="9" t="n">
        <x:f>IF(AND(INDEX('Сводка'!$T$3:$T$397,U346)=0,INDEX('Сводка'!$T$3:$T$397,V346)=0),1,0)</x:f>
        <x:v>1</x:v>
      </x:c>
      <x:c r="S346" s="9" t="n">
        <x:f>IF(AND(R346=1,O346&lt;=$G$13),1,0)</x:f>
        <x:v>0</x:v>
      </x:c>
      <x:c r="T346" s="10" t="n">
        <x:f>EOMONTH(J346-'Сводка'!$B$11,-1)</x:f>
        <x:v>46173</x:v>
      </x:c>
      <x:c r="U346" s="4" t="n">
        <x:f>MATCH(J346,'Сводка'!$R$3:$R$397,0)</x:f>
        <x:v>357</x:v>
      </x:c>
      <x:c r="V346" s="4" t="n">
        <x:f>MATCH(J346-'Сводка'!$B$11,'Сводка'!$R$3:$R$397,0)</x:f>
        <x:v>356</x:v>
      </x:c>
      <x:c r="W346" s="4" t="n">
        <x:f>MATCH(T346,$J$388:$J$400,0)</x:f>
        <x:v>12</x:v>
      </x:c>
      <x:c r="X346" s="3"/>
      <x:c r="Y346" s="3"/>
      <x:c r="Z346" s="3"/>
    </x:row>
    <x:row r="347" ht="15" customHeight="1">
      <x:c r="A347" s="3"/>
      <x:c r="B347" s="3"/>
      <x:c r="C347" s="3"/>
      <x:c r="D347" s="3"/>
      <x:c r="E347" s="3"/>
      <x:c r="F347" s="3"/>
      <x:c r="G347" s="3"/>
      <x:c r="H347" s="3"/>
      <x:c r="I347" s="3"/>
      <x:c r="J347" s="10" t="n">
        <x:v>46198</x:v>
      </x:c>
      <x:c r="K347" s="8" t="n">
        <x:f>INDEX('Сводка'!$S$3:$S$397,U347)</x:f>
        <x:v>144</x:v>
      </x:c>
      <x:c r="L347" s="8" t="n">
        <x:f>INDEX('Сводка'!$S$3:$S$397,V347)</x:f>
        <x:v>151</x:v>
      </x:c>
      <x:c r="M347" s="8" t="n">
        <x:f>INDEX($K$388:$N$400,W347,1)+INDEX($K$388:$N$400,W347,2)*LN(((J347-$T$405+1)/1000))</x:f>
        <x:v>124.16183122981981</x:v>
      </x:c>
      <x:c r="N347" s="8" t="n">
        <x:f>K347-M347</x:f>
        <x:v>19.83816877018019</x:v>
      </x:c>
      <x:c r="O347" s="8" t="n">
        <x:f>ABS(N347)</x:f>
        <x:v>19.83816877018019</x:v>
      </x:c>
      <x:c r="P347" s="8" t="n">
        <x:f>N347^2</x:f>
        <x:v>393.55294015415257</x:v>
      </x:c>
      <x:c r="Q347" s="8" t="n">
        <x:f>K347-L347</x:f>
        <x:v>-7</x:v>
      </x:c>
      <x:c r="R347" s="9" t="n">
        <x:f>IF(AND(INDEX('Сводка'!$T$3:$T$397,U347)=0,INDEX('Сводка'!$T$3:$T$397,V347)=0),1,0)</x:f>
        <x:v>1</x:v>
      </x:c>
      <x:c r="S347" s="9" t="n">
        <x:f>IF(AND(R347=1,O347&lt;=$G$13),1,0)</x:f>
        <x:v>0</x:v>
      </x:c>
      <x:c r="T347" s="10" t="n">
        <x:f>EOMONTH(J347-'Сводка'!$B$11,-1)</x:f>
        <x:v>46173</x:v>
      </x:c>
      <x:c r="U347" s="4" t="n">
        <x:f>MATCH(J347,'Сводка'!$R$3:$R$397,0)</x:f>
        <x:v>358</x:v>
      </x:c>
      <x:c r="V347" s="4" t="n">
        <x:f>MATCH(J347-'Сводка'!$B$11,'Сводка'!$R$3:$R$397,0)</x:f>
        <x:v>357</x:v>
      </x:c>
      <x:c r="W347" s="4" t="n">
        <x:f>MATCH(T347,$J$388:$J$400,0)</x:f>
        <x:v>12</x:v>
      </x:c>
      <x:c r="X347" s="3"/>
      <x:c r="Y347" s="3"/>
      <x:c r="Z347" s="3"/>
    </x:row>
    <x:row r="348" ht="15" customHeight="1">
      <x:c r="A348" s="3"/>
      <x:c r="B348" s="3"/>
      <x:c r="C348" s="3"/>
      <x:c r="D348" s="3"/>
      <x:c r="E348" s="3"/>
      <x:c r="F348" s="3"/>
      <x:c r="G348" s="3"/>
      <x:c r="H348" s="3"/>
      <x:c r="I348" s="3"/>
      <x:c r="J348" s="10" t="n">
        <x:v>46199</x:v>
      </x:c>
      <x:c r="K348" s="8" t="n">
        <x:f>INDEX('Сводка'!$S$3:$S$397,U348)</x:f>
        <x:v>139</x:v>
      </x:c>
      <x:c r="L348" s="8" t="n">
        <x:f>INDEX('Сводка'!$S$3:$S$397,V348)</x:f>
        <x:v>144</x:v>
      </x:c>
      <x:c r="M348" s="8" t="n">
        <x:f>INDEX($K$388:$N$400,W348,1)+INDEX($K$388:$N$400,W348,2)*LN(((J348-$T$405+1)/1000))</x:f>
        <x:v>124.1681217925242</x:v>
      </x:c>
      <x:c r="N348" s="8" t="n">
        <x:f>K348-M348</x:f>
        <x:v>14.831878207475796</x:v>
      </x:c>
      <x:c r="O348" s="8" t="n">
        <x:f>ABS(N348)</x:f>
        <x:v>14.831878207475796</x:v>
      </x:c>
      <x:c r="P348" s="8" t="n">
        <x:f>N348^2</x:f>
        <x:v>219.98461116139543</x:v>
      </x:c>
      <x:c r="Q348" s="8" t="n">
        <x:f>K348-L348</x:f>
        <x:v>-5</x:v>
      </x:c>
      <x:c r="R348" s="9" t="n">
        <x:f>IF(AND(INDEX('Сводка'!$T$3:$T$397,U348)=0,INDEX('Сводка'!$T$3:$T$397,V348)=0),1,0)</x:f>
        <x:v>1</x:v>
      </x:c>
      <x:c r="S348" s="9" t="n">
        <x:f>IF(AND(R348=1,O348&lt;=$G$13),1,0)</x:f>
        <x:v>0</x:v>
      </x:c>
      <x:c r="T348" s="10" t="n">
        <x:f>EOMONTH(J348-'Сводка'!$B$11,-1)</x:f>
        <x:v>46173</x:v>
      </x:c>
      <x:c r="U348" s="4" t="n">
        <x:f>MATCH(J348,'Сводка'!$R$3:$R$397,0)</x:f>
        <x:v>359</x:v>
      </x:c>
      <x:c r="V348" s="4" t="n">
        <x:f>MATCH(J348-'Сводка'!$B$11,'Сводка'!$R$3:$R$397,0)</x:f>
        <x:v>358</x:v>
      </x:c>
      <x:c r="W348" s="4" t="n">
        <x:f>MATCH(T348,$J$388:$J$400,0)</x:f>
        <x:v>12</x:v>
      </x:c>
      <x:c r="X348" s="3"/>
      <x:c r="Y348" s="3"/>
      <x:c r="Z348" s="3"/>
    </x:row>
    <x:row r="349" ht="15" customHeight="1">
      <x:c r="A349" s="3"/>
      <x:c r="B349" s="3"/>
      <x:c r="C349" s="3"/>
      <x:c r="D349" s="3"/>
      <x:c r="E349" s="3"/>
      <x:c r="F349" s="3"/>
      <x:c r="G349" s="3"/>
      <x:c r="H349" s="3"/>
      <x:c r="I349" s="3"/>
      <x:c r="J349" s="10" t="n">
        <x:v>46200</x:v>
      </x:c>
      <x:c r="K349" s="8" t="n">
        <x:f>INDEX('Сводка'!$S$3:$S$397,U349)</x:f>
        <x:v>136</x:v>
      </x:c>
      <x:c r="L349" s="8" t="n">
        <x:f>INDEX('Сводка'!$S$3:$S$397,V349)</x:f>
        <x:v>139</x:v>
      </x:c>
      <x:c r="M349" s="8" t="n">
        <x:f>INDEX($K$388:$N$400,W349,1)+INDEX($K$388:$N$400,W349,2)*LN(((J349-$T$405+1)/1000))</x:f>
        <x:v>124.17441165186163</x:v>
      </x:c>
      <x:c r="N349" s="8" t="n">
        <x:f>K349-M349</x:f>
        <x:v>11.825588348138368</x:v>
      </x:c>
      <x:c r="O349" s="8" t="n">
        <x:f>ABS(N349)</x:f>
        <x:v>11.825588348138368</x:v>
      </x:c>
      <x:c r="P349" s="8" t="n">
        <x:f>N349^2</x:f>
        <x:v>139.84453977962593</x:v>
      </x:c>
      <x:c r="Q349" s="8" t="n">
        <x:f>K349-L349</x:f>
        <x:v>-3</x:v>
      </x:c>
      <x:c r="R349" s="9" t="n">
        <x:f>IF(AND(INDEX('Сводка'!$T$3:$T$397,U349)=0,INDEX('Сводка'!$T$3:$T$397,V349)=0),1,0)</x:f>
        <x:v>1</x:v>
      </x:c>
      <x:c r="S349" s="9" t="n">
        <x:f>IF(AND(R349=1,O349&lt;=$G$13),1,0)</x:f>
        <x:v>0</x:v>
      </x:c>
      <x:c r="T349" s="10" t="n">
        <x:f>EOMONTH(J349-'Сводка'!$B$11,-1)</x:f>
        <x:v>46173</x:v>
      </x:c>
      <x:c r="U349" s="4" t="n">
        <x:f>MATCH(J349,'Сводка'!$R$3:$R$397,0)</x:f>
        <x:v>360</x:v>
      </x:c>
      <x:c r="V349" s="4" t="n">
        <x:f>MATCH(J349-'Сводка'!$B$11,'Сводка'!$R$3:$R$397,0)</x:f>
        <x:v>359</x:v>
      </x:c>
      <x:c r="W349" s="4" t="n">
        <x:f>MATCH(T349,$J$388:$J$400,0)</x:f>
        <x:v>12</x:v>
      </x:c>
      <x:c r="X349" s="3"/>
      <x:c r="Y349" s="3"/>
      <x:c r="Z349" s="3"/>
    </x:row>
    <x:row r="350" ht="15" customHeight="1">
      <x:c r="A350" s="3"/>
      <x:c r="B350" s="3"/>
      <x:c r="C350" s="3"/>
      <x:c r="D350" s="3"/>
      <x:c r="E350" s="3"/>
      <x:c r="F350" s="3"/>
      <x:c r="G350" s="3"/>
      <x:c r="H350" s="3"/>
      <x:c r="I350" s="3"/>
      <x:c r="J350" s="10" t="n">
        <x:v>46201</x:v>
      </x:c>
      <x:c r="K350" s="8" t="n">
        <x:f>INDEX('Сводка'!$S$3:$S$397,U350)</x:f>
        <x:v>127</x:v>
      </x:c>
      <x:c r="L350" s="8" t="n">
        <x:f>INDEX('Сводка'!$S$3:$S$397,V350)</x:f>
        <x:v>136</x:v>
      </x:c>
      <x:c r="M350" s="8" t="n">
        <x:f>INDEX($K$388:$N$400,W350,1)+INDEX($K$388:$N$400,W350,2)*LN(((J350-$T$405+1)/1000))</x:f>
        <x:v>124.18070080798933</x:v>
      </x:c>
      <x:c r="N350" s="8" t="n">
        <x:f>K350-M350</x:f>
        <x:v>2.819299192010675</x:v>
      </x:c>
      <x:c r="O350" s="8" t="n">
        <x:f>ABS(N350)</x:f>
        <x:v>2.819299192010675</x:v>
      </x:c>
      <x:c r="P350" s="8" t="n">
        <x:f>N350^2</x:f>
        <x:v>7.948447934072044</x:v>
      </x:c>
      <x:c r="Q350" s="8" t="n">
        <x:f>K350-L350</x:f>
        <x:v>-9</x:v>
      </x:c>
      <x:c r="R350" s="9" t="n">
        <x:f>IF(AND(INDEX('Сводка'!$T$3:$T$397,U350)=0,INDEX('Сводка'!$T$3:$T$397,V350)=0),1,0)</x:f>
        <x:v>1</x:v>
      </x:c>
      <x:c r="S350" s="9" t="n">
        <x:f>IF(AND(R350=1,O350&lt;=$G$13),1,0)</x:f>
        <x:v>1</x:v>
      </x:c>
      <x:c r="T350" s="10" t="n">
        <x:f>EOMONTH(J350-'Сводка'!$B$11,-1)</x:f>
        <x:v>46173</x:v>
      </x:c>
      <x:c r="U350" s="4" t="n">
        <x:f>MATCH(J350,'Сводка'!$R$3:$R$397,0)</x:f>
        <x:v>361</x:v>
      </x:c>
      <x:c r="V350" s="4" t="n">
        <x:f>MATCH(J350-'Сводка'!$B$11,'Сводка'!$R$3:$R$397,0)</x:f>
        <x:v>360</x:v>
      </x:c>
      <x:c r="W350" s="4" t="n">
        <x:f>MATCH(T350,$J$388:$J$400,0)</x:f>
        <x:v>12</x:v>
      </x:c>
      <x:c r="X350" s="3"/>
      <x:c r="Y350" s="3"/>
      <x:c r="Z350" s="3"/>
    </x:row>
    <x:row r="351" ht="15" customHeight="1">
      <x:c r="A351" s="3"/>
      <x:c r="B351" s="3"/>
      <x:c r="C351" s="3"/>
      <x:c r="D351" s="3"/>
      <x:c r="E351" s="3"/>
      <x:c r="F351" s="3"/>
      <x:c r="G351" s="3"/>
      <x:c r="H351" s="3"/>
      <x:c r="I351" s="3"/>
      <x:c r="J351" s="10" t="n">
        <x:v>46202</x:v>
      </x:c>
      <x:c r="K351" s="8" t="n">
        <x:f>INDEX('Сводка'!$S$3:$S$397,U351)</x:f>
        <x:v>122</x:v>
      </x:c>
      <x:c r="L351" s="8" t="n">
        <x:f>INDEX('Сводка'!$S$3:$S$397,V351)</x:f>
        <x:v>127</x:v>
      </x:c>
      <x:c r="M351" s="8" t="n">
        <x:f>INDEX($K$388:$N$400,W351,1)+INDEX($K$388:$N$400,W351,2)*LN(((J351-$T$405+1)/1000))</x:f>
        <x:v>124.18698926106451</x:v>
      </x:c>
      <x:c r="N351" s="8" t="n">
        <x:f>K351-M351</x:f>
        <x:v>-2.186989261064511</x:v>
      </x:c>
      <x:c r="O351" s="8" t="n">
        <x:f>ABS(N351)</x:f>
        <x:v>2.186989261064511</x:v>
      </x:c>
      <x:c r="P351" s="8" t="n">
        <x:f>N351^2</x:f>
        <x:v>4.7829220280114955</x:v>
      </x:c>
      <x:c r="Q351" s="8" t="n">
        <x:f>K351-L351</x:f>
        <x:v>-5</x:v>
      </x:c>
      <x:c r="R351" s="9" t="n">
        <x:f>IF(AND(INDEX('Сводка'!$T$3:$T$397,U351)=0,INDEX('Сводка'!$T$3:$T$397,V351)=0),1,0)</x:f>
        <x:v>1</x:v>
      </x:c>
      <x:c r="S351" s="9" t="n">
        <x:f>IF(AND(R351=1,O351&lt;=$G$13),1,0)</x:f>
        <x:v>1</x:v>
      </x:c>
      <x:c r="T351" s="10" t="n">
        <x:f>EOMONTH(J351-'Сводка'!$B$11,-1)</x:f>
        <x:v>46173</x:v>
      </x:c>
      <x:c r="U351" s="4" t="n">
        <x:f>MATCH(J351,'Сводка'!$R$3:$R$397,0)</x:f>
        <x:v>362</x:v>
      </x:c>
      <x:c r="V351" s="4" t="n">
        <x:f>MATCH(J351-'Сводка'!$B$11,'Сводка'!$R$3:$R$397,0)</x:f>
        <x:v>361</x:v>
      </x:c>
      <x:c r="W351" s="4" t="n">
        <x:f>MATCH(T351,$J$388:$J$400,0)</x:f>
        <x:v>12</x:v>
      </x:c>
      <x:c r="X351" s="3"/>
      <x:c r="Y351" s="3"/>
      <x:c r="Z351" s="3"/>
    </x:row>
    <x:row r="352" ht="15" customHeight="1">
      <x:c r="A352" s="3"/>
      <x:c r="B352" s="3"/>
      <x:c r="C352" s="3"/>
      <x:c r="D352" s="3"/>
      <x:c r="E352" s="3"/>
      <x:c r="F352" s="3"/>
      <x:c r="G352" s="3"/>
      <x:c r="H352" s="3"/>
      <x:c r="I352" s="3"/>
      <x:c r="J352" s="10" t="n">
        <x:v>46203</x:v>
      </x:c>
      <x:c r="K352" s="8" t="n">
        <x:f>INDEX('Сводка'!$S$3:$S$397,U352)</x:f>
        <x:v>116</x:v>
      </x:c>
      <x:c r="L352" s="8" t="n">
        <x:f>INDEX('Сводка'!$S$3:$S$397,V352)</x:f>
        <x:v>122</x:v>
      </x:c>
      <x:c r="M352" s="8" t="n">
        <x:f>INDEX($K$388:$N$400,W352,1)+INDEX($K$388:$N$400,W352,2)*LN(((J352-$T$405+1)/1000))</x:f>
        <x:v>124.19327701124436</x:v>
      </x:c>
      <x:c r="N352" s="8" t="n">
        <x:f>K352-M352</x:f>
        <x:v>-8.193277011244362</x:v>
      </x:c>
      <x:c r="O352" s="8" t="n">
        <x:f>ABS(N352)</x:f>
        <x:v>8.193277011244362</x:v>
      </x:c>
      <x:c r="P352" s="8" t="n">
        <x:f>N352^2</x:f>
        <x:v>67.12978818298535</x:v>
      </x:c>
      <x:c r="Q352" s="8" t="n">
        <x:f>K352-L352</x:f>
        <x:v>-6</x:v>
      </x:c>
      <x:c r="R352" s="9" t="n">
        <x:f>IF(AND(INDEX('Сводка'!$T$3:$T$397,U352)=0,INDEX('Сводка'!$T$3:$T$397,V352)=0),1,0)</x:f>
        <x:v>1</x:v>
      </x:c>
      <x:c r="S352" s="9" t="n">
        <x:f>IF(AND(R352=1,O352&lt;=$G$13),1,0)</x:f>
        <x:v>0</x:v>
      </x:c>
      <x:c r="T352" s="10" t="n">
        <x:f>EOMONTH(J352-'Сводка'!$B$11,-1)</x:f>
        <x:v>46173</x:v>
      </x:c>
      <x:c r="U352" s="4" t="n">
        <x:f>MATCH(J352,'Сводка'!$R$3:$R$397,0)</x:f>
        <x:v>363</x:v>
      </x:c>
      <x:c r="V352" s="4" t="n">
        <x:f>MATCH(J352-'Сводка'!$B$11,'Сводка'!$R$3:$R$397,0)</x:f>
        <x:v>362</x:v>
      </x:c>
      <x:c r="W352" s="4" t="n">
        <x:f>MATCH(T352,$J$388:$J$400,0)</x:f>
        <x:v>12</x:v>
      </x:c>
      <x:c r="X352" s="3"/>
      <x:c r="Y352" s="3"/>
      <x:c r="Z352" s="3"/>
    </x:row>
    <x:row r="353" ht="15" customHeight="1">
      <x:c r="A353" s="3"/>
      <x:c r="B353" s="3"/>
      <x:c r="C353" s="3"/>
      <x:c r="D353" s="3"/>
      <x:c r="E353" s="3"/>
      <x:c r="F353" s="3"/>
      <x:c r="G353" s="3"/>
      <x:c r="H353" s="3"/>
      <x:c r="I353" s="3"/>
      <x:c r="J353" s="10" t="n">
        <x:v>46204</x:v>
      </x:c>
      <x:c r="K353" s="8" t="n">
        <x:f>INDEX('Сводка'!$S$3:$S$397,U353)</x:f>
        <x:v>110</x:v>
      </x:c>
      <x:c r="L353" s="8" t="n">
        <x:f>INDEX('Сводка'!$S$3:$S$397,V353)</x:f>
        <x:v>116</x:v>
      </x:c>
      <x:c r="M353" s="8" t="n">
        <x:f>INDEX($K$388:$N$400,W353,1)+INDEX($K$388:$N$400,W353,2)*LN(((J353-$T$405+1)/1000))</x:f>
        <x:v>124.19956405868602</x:v>
      </x:c>
      <x:c r="N353" s="8" t="n">
        <x:f>K353-M353</x:f>
        <x:v>-14.199564058686022</x:v>
      </x:c>
      <x:c r="O353" s="8" t="n">
        <x:f>ABS(N353)</x:f>
        <x:v>14.199564058686022</x:v>
      </x:c>
      <x:c r="P353" s="8" t="n">
        <x:f>N353^2</x:f>
        <x:v>201.62761945672784</x:v>
      </x:c>
      <x:c r="Q353" s="8" t="n">
        <x:f>K353-L353</x:f>
        <x:v>-6</x:v>
      </x:c>
      <x:c r="R353" s="9" t="n">
        <x:f>IF(AND(INDEX('Сводка'!$T$3:$T$397,U353)=0,INDEX('Сводка'!$T$3:$T$397,V353)=0),1,0)</x:f>
        <x:v>1</x:v>
      </x:c>
      <x:c r="S353" s="9" t="n">
        <x:f>IF(AND(R353=1,O353&lt;=$G$13),1,0)</x:f>
        <x:v>0</x:v>
      </x:c>
      <x:c r="T353" s="10" t="n">
        <x:f>EOMONTH(J353-'Сводка'!$B$11,-1)</x:f>
        <x:v>46173</x:v>
      </x:c>
      <x:c r="U353" s="4" t="n">
        <x:f>MATCH(J353,'Сводка'!$R$3:$R$397,0)</x:f>
        <x:v>364</x:v>
      </x:c>
      <x:c r="V353" s="4" t="n">
        <x:f>MATCH(J353-'Сводка'!$B$11,'Сводка'!$R$3:$R$397,0)</x:f>
        <x:v>363</x:v>
      </x:c>
      <x:c r="W353" s="4" t="n">
        <x:f>MATCH(T353,$J$388:$J$400,0)</x:f>
        <x:v>12</x:v>
      </x:c>
      <x:c r="X353" s="3"/>
      <x:c r="Y353" s="3"/>
      <x:c r="Z353" s="3"/>
    </x:row>
    <x:row r="354" ht="15" customHeight="1">
      <x:c r="A354" s="3"/>
      <x:c r="B354" s="3"/>
      <x:c r="C354" s="3"/>
      <x:c r="D354" s="3"/>
      <x:c r="E354" s="3"/>
      <x:c r="F354" s="3"/>
      <x:c r="G354" s="3"/>
      <x:c r="H354" s="3"/>
      <x:c r="I354" s="3"/>
      <x:c r="J354" s="10" t="n">
        <x:v>46205</x:v>
      </x:c>
      <x:c r="K354" s="8" t="n">
        <x:f>INDEX('Сводка'!$S$3:$S$397,U354)</x:f>
        <x:v>105</x:v>
      </x:c>
      <x:c r="L354" s="8" t="n">
        <x:f>INDEX('Сводка'!$S$3:$S$397,V354)</x:f>
        <x:v>110</x:v>
      </x:c>
      <x:c r="M354" s="8" t="n">
        <x:f>INDEX($K$388:$N$400,W354,1)+INDEX($K$388:$N$400,W354,2)*LN(((J354-$T$405+1)/1000))</x:f>
        <x:v>124.24926264935175</x:v>
      </x:c>
      <x:c r="N354" s="8" t="n">
        <x:f>K354-M354</x:f>
        <x:v>-19.24926264935175</x:v>
      </x:c>
      <x:c r="O354" s="8" t="n">
        <x:f>ABS(N354)</x:f>
        <x:v>19.24926264935175</x:v>
      </x:c>
      <x:c r="P354" s="8" t="n">
        <x:f>N354^2</x:f>
        <x:v>370.5341125437283</x:v>
      </x:c>
      <x:c r="Q354" s="8" t="n">
        <x:f>K354-L354</x:f>
        <x:v>-5</x:v>
      </x:c>
      <x:c r="R354" s="9" t="n">
        <x:f>IF(AND(INDEX('Сводка'!$T$3:$T$397,U354)=0,INDEX('Сводка'!$T$3:$T$397,V354)=0),1,0)</x:f>
        <x:v>1</x:v>
      </x:c>
      <x:c r="S354" s="9" t="n">
        <x:f>IF(AND(R354=1,O354&lt;=$G$13),1,0)</x:f>
        <x:v>0</x:v>
      </x:c>
      <x:c r="T354" s="10" t="n">
        <x:f>EOMONTH(J354-'Сводка'!$B$11,-1)</x:f>
        <x:v>46203</x:v>
      </x:c>
      <x:c r="U354" s="4" t="n">
        <x:f>MATCH(J354,'Сводка'!$R$3:$R$397,0)</x:f>
        <x:v>365</x:v>
      </x:c>
      <x:c r="V354" s="4" t="n">
        <x:f>MATCH(J354-'Сводка'!$B$11,'Сводка'!$R$3:$R$397,0)</x:f>
        <x:v>364</x:v>
      </x:c>
      <x:c r="W354" s="4" t="n">
        <x:f>MATCH(T354,$J$388:$J$400,0)</x:f>
        <x:v>13</x:v>
      </x:c>
      <x:c r="X354" s="3"/>
      <x:c r="Y354" s="3"/>
      <x:c r="Z354" s="3"/>
    </x:row>
    <x:row r="355" ht="15" customHeight="1">
      <x:c r="A355" s="3"/>
      <x:c r="B355" s="3"/>
      <x:c r="C355" s="3"/>
      <x:c r="D355" s="3"/>
      <x:c r="E355" s="3"/>
      <x:c r="F355" s="3"/>
      <x:c r="G355" s="3"/>
      <x:c r="H355" s="3"/>
      <x:c r="I355" s="3"/>
      <x:c r="J355" s="10" t="n">
        <x:v>46206</x:v>
      </x:c>
      <x:c r="K355" s="8" t="n">
        <x:f>INDEX('Сводка'!$S$3:$S$397,U355)</x:f>
        <x:v>105</x:v>
      </x:c>
      <x:c r="L355" s="8" t="n">
        <x:f>INDEX('Сводка'!$S$3:$S$397,V355)</x:f>
        <x:v>105</x:v>
      </x:c>
      <x:c r="M355" s="8" t="n">
        <x:f>INDEX($K$388:$N$400,W355,1)+INDEX($K$388:$N$400,W355,2)*LN(((J355-$T$405+1)/1000))</x:f>
        <x:v>124.25555072699782</x:v>
      </x:c>
      <x:c r="N355" s="8" t="n">
        <x:f>K355-M355</x:f>
        <x:v>-19.255550726997825</x:v>
      </x:c>
      <x:c r="O355" s="8" t="n">
        <x:f>ABS(N355)</x:f>
        <x:v>19.255550726997825</x:v>
      </x:c>
      <x:c r="P355" s="8" t="n">
        <x:f>N355^2</x:f>
        <x:v>370.77623379998647</x:v>
      </x:c>
      <x:c r="Q355" s="8" t="n">
        <x:f>K355-L355</x:f>
        <x:v>0</x:v>
      </x:c>
      <x:c r="R355" s="9" t="n">
        <x:f>IF(AND(INDEX('Сводка'!$T$3:$T$397,U355)=0,INDEX('Сводка'!$T$3:$T$397,V355)=0),1,0)</x:f>
        <x:v>1</x:v>
      </x:c>
      <x:c r="S355" s="9" t="n">
        <x:f>IF(AND(R355=1,O355&lt;=$G$13),1,0)</x:f>
        <x:v>0</x:v>
      </x:c>
      <x:c r="T355" s="10" t="n">
        <x:f>EOMONTH(J355-'Сводка'!$B$11,-1)</x:f>
        <x:v>46203</x:v>
      </x:c>
      <x:c r="U355" s="4" t="n">
        <x:f>MATCH(J355,'Сводка'!$R$3:$R$397,0)</x:f>
        <x:v>366</x:v>
      </x:c>
      <x:c r="V355" s="4" t="n">
        <x:f>MATCH(J355-'Сводка'!$B$11,'Сводка'!$R$3:$R$397,0)</x:f>
        <x:v>365</x:v>
      </x:c>
      <x:c r="W355" s="4" t="n">
        <x:f>MATCH(T355,$J$388:$J$400,0)</x:f>
        <x:v>13</x:v>
      </x:c>
      <x:c r="X355" s="3"/>
      <x:c r="Y355" s="3"/>
      <x:c r="Z355" s="3"/>
    </x:row>
    <x:row r="356" ht="15" customHeight="1">
      <x:c r="A356" s="3"/>
      <x:c r="B356" s="3"/>
      <x:c r="C356" s="3"/>
      <x:c r="D356" s="3"/>
      <x:c r="E356" s="3"/>
      <x:c r="F356" s="3"/>
      <x:c r="G356" s="3"/>
      <x:c r="H356" s="3"/>
      <x:c r="I356" s="3"/>
      <x:c r="J356" s="10" t="n">
        <x:v>46207</x:v>
      </x:c>
      <x:c r="K356" s="8" t="n">
        <x:f>INDEX('Сводка'!$S$3:$S$397,U356)</x:f>
        <x:v>121</x:v>
      </x:c>
      <x:c r="L356" s="8" t="n">
        <x:f>INDEX('Сводка'!$S$3:$S$397,V356)</x:f>
        <x:v>105</x:v>
      </x:c>
      <x:c r="M356" s="8" t="n">
        <x:f>INDEX($K$388:$N$400,W356,1)+INDEX($K$388:$N$400,W356,2)*LN(((J356-$T$405+1)/1000))</x:f>
        <x:v>124.26183810210465</x:v>
      </x:c>
      <x:c r="N356" s="8" t="n">
        <x:f>K356-M356</x:f>
        <x:v>-3.2618381021046474</x:v>
      </x:c>
      <x:c r="O356" s="8" t="n">
        <x:f>ABS(N356)</x:f>
        <x:v>3.2618381021046474</x:v>
      </x:c>
      <x:c r="P356" s="8" t="n">
        <x:f>N356^2</x:f>
        <x:v>10.639587804341648</x:v>
      </x:c>
      <x:c r="Q356" s="8" t="n">
        <x:f>K356-L356</x:f>
        <x:v>16</x:v>
      </x:c>
      <x:c r="R356" s="9" t="n">
        <x:f>IF(AND(INDEX('Сводка'!$T$3:$T$397,U356)=0,INDEX('Сводка'!$T$3:$T$397,V356)=0),1,0)</x:f>
        <x:v>1</x:v>
      </x:c>
      <x:c r="S356" s="9" t="n">
        <x:f>IF(AND(R356=1,O356&lt;=$G$13),1,0)</x:f>
        <x:v>1</x:v>
      </x:c>
      <x:c r="T356" s="10" t="n">
        <x:f>EOMONTH(J356-'Сводка'!$B$11,-1)</x:f>
        <x:v>46203</x:v>
      </x:c>
      <x:c r="U356" s="4" t="n">
        <x:f>MATCH(J356,'Сводка'!$R$3:$R$397,0)</x:f>
        <x:v>367</x:v>
      </x:c>
      <x:c r="V356" s="4" t="n">
        <x:f>MATCH(J356-'Сводка'!$B$11,'Сводка'!$R$3:$R$397,0)</x:f>
        <x:v>366</x:v>
      </x:c>
      <x:c r="W356" s="4" t="n">
        <x:f>MATCH(T356,$J$388:$J$400,0)</x:f>
        <x:v>13</x:v>
      </x:c>
      <x:c r="X356" s="3"/>
      <x:c r="Y356" s="3"/>
      <x:c r="Z356" s="3"/>
    </x:row>
    <x:row r="357" ht="15" customHeight="1">
      <x:c r="A357" s="3"/>
      <x:c r="B357" s="3"/>
      <x:c r="C357" s="3"/>
      <x:c r="D357" s="3"/>
      <x:c r="E357" s="3"/>
      <x:c r="F357" s="3"/>
      <x:c r="G357" s="3"/>
      <x:c r="H357" s="3"/>
      <x:c r="I357" s="3"/>
      <x:c r="J357" s="10" t="n">
        <x:v>46208</x:v>
      </x:c>
      <x:c r="K357" s="8" t="n">
        <x:f>INDEX('Сводка'!$S$3:$S$397,U357)</x:f>
        <x:v>138</x:v>
      </x:c>
      <x:c r="L357" s="8" t="n">
        <x:f>INDEX('Сводка'!$S$3:$S$397,V357)</x:f>
        <x:v>121</x:v>
      </x:c>
      <x:c r="M357" s="8" t="n">
        <x:f>INDEX($K$388:$N$400,W357,1)+INDEX($K$388:$N$400,W357,2)*LN(((J357-$T$405+1)/1000))</x:f>
        <x:v>124.26812477482916</x:v>
      </x:c>
      <x:c r="N357" s="8" t="n">
        <x:f>K357-M357</x:f>
        <x:v>13.731875225170839</x:v>
      </x:c>
      <x:c r="O357" s="8" t="n">
        <x:f>ABS(N357)</x:f>
        <x:v>13.731875225170839</x:v>
      </x:c>
      <x:c r="P357" s="8" t="n">
        <x:f>N357^2</x:f>
        <x:v>188.56439719966068</x:v>
      </x:c>
      <x:c r="Q357" s="8" t="n">
        <x:f>K357-L357</x:f>
        <x:v>17</x:v>
      </x:c>
      <x:c r="R357" s="9" t="n">
        <x:f>IF(AND(INDEX('Сводка'!$T$3:$T$397,U357)=0,INDEX('Сводка'!$T$3:$T$397,V357)=0),1,0)</x:f>
        <x:v>1</x:v>
      </x:c>
      <x:c r="S357" s="9" t="n">
        <x:f>IF(AND(R357=1,O357&lt;=$G$13),1,0)</x:f>
        <x:v>0</x:v>
      </x:c>
      <x:c r="T357" s="10" t="n">
        <x:f>EOMONTH(J357-'Сводка'!$B$11,-1)</x:f>
        <x:v>46203</x:v>
      </x:c>
      <x:c r="U357" s="4" t="n">
        <x:f>MATCH(J357,'Сводка'!$R$3:$R$397,0)</x:f>
        <x:v>368</x:v>
      </x:c>
      <x:c r="V357" s="4" t="n">
        <x:f>MATCH(J357-'Сводка'!$B$11,'Сводка'!$R$3:$R$397,0)</x:f>
        <x:v>367</x:v>
      </x:c>
      <x:c r="W357" s="4" t="n">
        <x:f>MATCH(T357,$J$388:$J$400,0)</x:f>
        <x:v>13</x:v>
      </x:c>
      <x:c r="X357" s="3"/>
      <x:c r="Y357" s="3"/>
      <x:c r="Z357" s="3"/>
    </x:row>
    <x:row r="358" ht="15" customHeight="1">
      <x:c r="A358" s="3"/>
      <x:c r="B358" s="3"/>
      <x:c r="C358" s="3"/>
      <x:c r="D358" s="3"/>
      <x:c r="E358" s="3"/>
      <x:c r="F358" s="3"/>
      <x:c r="G358" s="3"/>
      <x:c r="H358" s="3"/>
      <x:c r="I358" s="3"/>
      <x:c r="J358" s="10" t="n">
        <x:v>46209</x:v>
      </x:c>
      <x:c r="K358" s="8" t="n">
        <x:f>INDEX('Сводка'!$S$3:$S$397,U358)</x:f>
        <x:v>149</x:v>
      </x:c>
      <x:c r="L358" s="8" t="n">
        <x:f>INDEX('Сводка'!$S$3:$S$397,V358)</x:f>
        <x:v>138</x:v>
      </x:c>
      <x:c r="M358" s="8" t="n">
        <x:f>INDEX($K$388:$N$400,W358,1)+INDEX($K$388:$N$400,W358,2)*LN(((J358-$T$405+1)/1000))</x:f>
        <x:v>124.27441074532828</x:v>
      </x:c>
      <x:c r="N358" s="8" t="n">
        <x:f>K358-M358</x:f>
        <x:v>24.725589254671718</x:v>
      </x:c>
      <x:c r="O358" s="8" t="n">
        <x:f>ABS(N358)</x:f>
        <x:v>24.725589254671718</x:v>
      </x:c>
      <x:c r="P358" s="8" t="n">
        <x:f>N358^2</x:f>
        <x:v>611.3547639907375</x:v>
      </x:c>
      <x:c r="Q358" s="8" t="n">
        <x:f>K358-L358</x:f>
        <x:v>11</x:v>
      </x:c>
      <x:c r="R358" s="9" t="n">
        <x:f>IF(AND(INDEX('Сводка'!$T$3:$T$397,U358)=0,INDEX('Сводка'!$T$3:$T$397,V358)=0),1,0)</x:f>
        <x:v>1</x:v>
      </x:c>
      <x:c r="S358" s="9" t="n">
        <x:f>IF(AND(R358=1,O358&lt;=$G$13),1,0)</x:f>
        <x:v>0</x:v>
      </x:c>
      <x:c r="T358" s="10" t="n">
        <x:f>EOMONTH(J358-'Сводка'!$B$11,-1)</x:f>
        <x:v>46203</x:v>
      </x:c>
      <x:c r="U358" s="4" t="n">
        <x:f>MATCH(J358,'Сводка'!$R$3:$R$397,0)</x:f>
        <x:v>369</x:v>
      </x:c>
      <x:c r="V358" s="4" t="n">
        <x:f>MATCH(J358-'Сводка'!$B$11,'Сводка'!$R$3:$R$397,0)</x:f>
        <x:v>368</x:v>
      </x:c>
      <x:c r="W358" s="4" t="n">
        <x:f>MATCH(T358,$J$388:$J$400,0)</x:f>
        <x:v>13</x:v>
      </x:c>
      <x:c r="X358" s="3"/>
      <x:c r="Y358" s="3"/>
      <x:c r="Z358" s="3"/>
    </x:row>
    <x:row r="359" ht="15" customHeight="1">
      <x:c r="A359" s="3"/>
      <x:c r="B359" s="3"/>
      <x:c r="C359" s="3"/>
      <x:c r="D359" s="3"/>
      <x:c r="E359" s="3"/>
      <x:c r="F359" s="3"/>
      <x:c r="G359" s="3"/>
      <x:c r="H359" s="3"/>
      <x:c r="I359" s="3"/>
      <x:c r="J359" s="10" t="n">
        <x:v>46210</x:v>
      </x:c>
      <x:c r="K359" s="8" t="n">
        <x:f>INDEX('Сводка'!$S$3:$S$397,U359)</x:f>
        <x:v>158</x:v>
      </x:c>
      <x:c r="L359" s="8" t="n">
        <x:f>INDEX('Сводка'!$S$3:$S$397,V359)</x:f>
        <x:v>149</x:v>
      </x:c>
      <x:c r="M359" s="8" t="n">
        <x:f>INDEX($K$388:$N$400,W359,1)+INDEX($K$388:$N$400,W359,2)*LN(((J359-$T$405+1)/1000))</x:f>
        <x:v>124.28069601375891</x:v>
      </x:c>
      <x:c r="N359" s="8" t="n">
        <x:f>K359-M359</x:f>
        <x:v>33.71930398624109</x:v>
      </x:c>
      <x:c r="O359" s="8" t="n">
        <x:f>ABS(N359)</x:f>
        <x:v>33.71930398624109</x:v>
      </x:c>
      <x:c r="P359" s="8" t="n">
        <x:f>N359^2</x:f>
        <x:v>1136.991461316534</x:v>
      </x:c>
      <x:c r="Q359" s="8" t="n">
        <x:f>K359-L359</x:f>
        <x:v>9</x:v>
      </x:c>
      <x:c r="R359" s="9" t="n">
        <x:f>IF(AND(INDEX('Сводка'!$T$3:$T$397,U359)=0,INDEX('Сводка'!$T$3:$T$397,V359)=0),1,0)</x:f>
        <x:v>1</x:v>
      </x:c>
      <x:c r="S359" s="9" t="n">
        <x:f>IF(AND(R359=1,O359&lt;=$G$13),1,0)</x:f>
        <x:v>0</x:v>
      </x:c>
      <x:c r="T359" s="10" t="n">
        <x:f>EOMONTH(J359-'Сводка'!$B$11,-1)</x:f>
        <x:v>46203</x:v>
      </x:c>
      <x:c r="U359" s="4" t="n">
        <x:f>MATCH(J359,'Сводка'!$R$3:$R$397,0)</x:f>
        <x:v>370</x:v>
      </x:c>
      <x:c r="V359" s="4" t="n">
        <x:f>MATCH(J359-'Сводка'!$B$11,'Сводка'!$R$3:$R$397,0)</x:f>
        <x:v>369</x:v>
      </x:c>
      <x:c r="W359" s="4" t="n">
        <x:f>MATCH(T359,$J$388:$J$400,0)</x:f>
        <x:v>13</x:v>
      </x:c>
      <x:c r="X359" s="3"/>
      <x:c r="Y359" s="3"/>
      <x:c r="Z359" s="3"/>
    </x:row>
    <x:row r="360" ht="15" customHeight="1">
      <x:c r="A360" s="3"/>
      <x:c r="B360" s="3"/>
      <x:c r="C360" s="3"/>
      <x:c r="D360" s="3"/>
      <x:c r="E360" s="3"/>
      <x:c r="F360" s="3"/>
      <x:c r="G360" s="3"/>
      <x:c r="H360" s="3"/>
      <x:c r="I360" s="3"/>
      <x:c r="J360" s="10" t="n">
        <x:v>46211</x:v>
      </x:c>
      <x:c r="K360" s="8" t="n">
        <x:f>INDEX('Сводка'!$S$3:$S$397,U360)</x:f>
        <x:v>166</x:v>
      </x:c>
      <x:c r="L360" s="8" t="n">
        <x:f>INDEX('Сводка'!$S$3:$S$397,V360)</x:f>
        <x:v>158</x:v>
      </x:c>
      <x:c r="M360" s="8" t="n">
        <x:f>INDEX($K$388:$N$400,W360,1)+INDEX($K$388:$N$400,W360,2)*LN(((J360-$T$405+1)/1000))</x:f>
        <x:v>124.28698058027781</x:v>
      </x:c>
      <x:c r="N360" s="8" t="n">
        <x:f>K360-M360</x:f>
        <x:v>41.71301941972219</x:v>
      </x:c>
      <x:c r="O360" s="8" t="n">
        <x:f>ABS(N360)</x:f>
        <x:v>41.71301941972219</x:v>
      </x:c>
      <x:c r="P360" s="8" t="n">
        <x:f>N360^2</x:f>
        <x:v>1739.9759891101203</x:v>
      </x:c>
      <x:c r="Q360" s="8" t="n">
        <x:f>K360-L360</x:f>
        <x:v>8</x:v>
      </x:c>
      <x:c r="R360" s="9" t="n">
        <x:f>IF(AND(INDEX('Сводка'!$T$3:$T$397,U360)=0,INDEX('Сводка'!$T$3:$T$397,V360)=0),1,0)</x:f>
        <x:v>1</x:v>
      </x:c>
      <x:c r="S360" s="9" t="n">
        <x:f>IF(AND(R360=1,O360&lt;=$G$13),1,0)</x:f>
        <x:v>0</x:v>
      </x:c>
      <x:c r="T360" s="10" t="n">
        <x:f>EOMONTH(J360-'Сводка'!$B$11,-1)</x:f>
        <x:v>46203</x:v>
      </x:c>
      <x:c r="U360" s="4" t="n">
        <x:f>MATCH(J360,'Сводка'!$R$3:$R$397,0)</x:f>
        <x:v>371</x:v>
      </x:c>
      <x:c r="V360" s="4" t="n">
        <x:f>MATCH(J360-'Сводка'!$B$11,'Сводка'!$R$3:$R$397,0)</x:f>
        <x:v>370</x:v>
      </x:c>
      <x:c r="W360" s="4" t="n">
        <x:f>MATCH(T360,$J$388:$J$400,0)</x:f>
        <x:v>13</x:v>
      </x:c>
      <x:c r="X360" s="3"/>
      <x:c r="Y360" s="3"/>
      <x:c r="Z360" s="3"/>
    </x:row>
    <x:row r="361" ht="15" customHeight="1">
      <x:c r="A361" s="3"/>
      <x:c r="B361" s="3"/>
      <x:c r="C361" s="3"/>
      <x:c r="D361" s="3"/>
      <x:c r="E361" s="3"/>
      <x:c r="F361" s="3"/>
      <x:c r="G361" s="3"/>
      <x:c r="H361" s="3"/>
      <x:c r="I361" s="3"/>
      <x:c r="J361" s="10" t="n">
        <x:v>46212</x:v>
      </x:c>
      <x:c r="K361" s="8" t="n">
        <x:f>INDEX('Сводка'!$S$3:$S$397,U361)</x:f>
        <x:v>174</x:v>
      </x:c>
      <x:c r="L361" s="8" t="n">
        <x:f>INDEX('Сводка'!$S$3:$S$397,V361)</x:f>
        <x:v>166</x:v>
      </x:c>
      <x:c r="M361" s="8" t="n">
        <x:f>INDEX($K$388:$N$400,W361,1)+INDEX($K$388:$N$400,W361,2)*LN(((J361-$T$405+1)/1000))</x:f>
        <x:v>124.29326444504174</x:v>
      </x:c>
      <x:c r="N361" s="8" t="n">
        <x:f>K361-M361</x:f>
        <x:v>49.70673555495826</x:v>
      </x:c>
      <x:c r="O361" s="8" t="n">
        <x:f>ABS(N361)</x:f>
        <x:v>49.70673555495826</x:v>
      </x:c>
      <x:c r="P361" s="8" t="n">
        <x:f>N361^2</x:f>
        <x:v>2470.7595595305515</x:v>
      </x:c>
      <x:c r="Q361" s="8" t="n">
        <x:f>K361-L361</x:f>
        <x:v>8</x:v>
      </x:c>
      <x:c r="R361" s="9" t="n">
        <x:f>IF(AND(INDEX('Сводка'!$T$3:$T$397,U361)=0,INDEX('Сводка'!$T$3:$T$397,V361)=0),1,0)</x:f>
        <x:v>1</x:v>
      </x:c>
      <x:c r="S361" s="9" t="n">
        <x:f>IF(AND(R361=1,O361&lt;=$G$13),1,0)</x:f>
        <x:v>0</x:v>
      </x:c>
      <x:c r="T361" s="10" t="n">
        <x:f>EOMONTH(J361-'Сводка'!$B$11,-1)</x:f>
        <x:v>46203</x:v>
      </x:c>
      <x:c r="U361" s="4" t="n">
        <x:f>MATCH(J361,'Сводка'!$R$3:$R$397,0)</x:f>
        <x:v>372</x:v>
      </x:c>
      <x:c r="V361" s="4" t="n">
        <x:f>MATCH(J361-'Сводка'!$B$11,'Сводка'!$R$3:$R$397,0)</x:f>
        <x:v>371</x:v>
      </x:c>
      <x:c r="W361" s="4" t="n">
        <x:f>MATCH(T361,$J$388:$J$400,0)</x:f>
        <x:v>13</x:v>
      </x:c>
      <x:c r="X361" s="3"/>
      <x:c r="Y361" s="3"/>
      <x:c r="Z361" s="3"/>
    </x:row>
    <x:row r="362" ht="15" customHeight="1">
      <x:c r="A362" s="3"/>
      <x:c r="B362" s="3"/>
      <x:c r="C362" s="3"/>
      <x:c r="D362" s="3"/>
      <x:c r="E362" s="3"/>
      <x:c r="F362" s="3"/>
      <x:c r="G362" s="3"/>
      <x:c r="H362" s="3"/>
      <x:c r="I362" s="3"/>
      <x:c r="J362" s="10" t="n">
        <x:v>46213</x:v>
      </x:c>
      <x:c r="K362" s="8" t="n">
        <x:f>INDEX('Сводка'!$S$3:$S$397,U362)</x:f>
        <x:v>180</x:v>
      </x:c>
      <x:c r="L362" s="8" t="n">
        <x:f>INDEX('Сводка'!$S$3:$S$397,V362)</x:f>
        <x:v>174</x:v>
      </x:c>
      <x:c r="M362" s="8" t="n">
        <x:f>INDEX($K$388:$N$400,W362,1)+INDEX($K$388:$N$400,W362,2)*LN(((J362-$T$405+1)/1000))</x:f>
        <x:v>124.29954760820745</x:v>
      </x:c>
      <x:c r="N362" s="8" t="n">
        <x:f>K362-M362</x:f>
        <x:v>55.70045239179255</x:v>
      </x:c>
      <x:c r="O362" s="8" t="n">
        <x:f>ABS(N362)</x:f>
        <x:v>55.70045239179255</x:v>
      </x:c>
      <x:c r="P362" s="8" t="n">
        <x:f>N362^2</x:f>
        <x:v>3102.5403966503486</x:v>
      </x:c>
      <x:c r="Q362" s="8" t="n">
        <x:f>K362-L362</x:f>
        <x:v>6</x:v>
      </x:c>
      <x:c r="R362" s="9" t="n">
        <x:f>IF(AND(INDEX('Сводка'!$T$3:$T$397,U362)=0,INDEX('Сводка'!$T$3:$T$397,V362)=0),1,0)</x:f>
        <x:v>1</x:v>
      </x:c>
      <x:c r="S362" s="9" t="n">
        <x:f>IF(AND(R362=1,O362&lt;=$G$13),1,0)</x:f>
        <x:v>0</x:v>
      </x:c>
      <x:c r="T362" s="10" t="n">
        <x:f>EOMONTH(J362-'Сводка'!$B$11,-1)</x:f>
        <x:v>46203</x:v>
      </x:c>
      <x:c r="U362" s="4" t="n">
        <x:f>MATCH(J362,'Сводка'!$R$3:$R$397,0)</x:f>
        <x:v>373</x:v>
      </x:c>
      <x:c r="V362" s="4" t="n">
        <x:f>MATCH(J362-'Сводка'!$B$11,'Сводка'!$R$3:$R$397,0)</x:f>
        <x:v>372</x:v>
      </x:c>
      <x:c r="W362" s="4" t="n">
        <x:f>MATCH(T362,$J$388:$J$400,0)</x:f>
        <x:v>13</x:v>
      </x:c>
      <x:c r="X362" s="3"/>
      <x:c r="Y362" s="3"/>
      <x:c r="Z362" s="3"/>
    </x:row>
    <x:row r="363" ht="15" customHeight="1">
      <x:c r="A363" s="3"/>
      <x:c r="B363" s="3"/>
      <x:c r="C363" s="3"/>
      <x:c r="D363" s="3"/>
      <x:c r="E363" s="3"/>
      <x:c r="F363" s="3"/>
      <x:c r="G363" s="3"/>
      <x:c r="H363" s="3"/>
      <x:c r="I363" s="3"/>
      <x:c r="J363" s="10" t="n">
        <x:v>46214</x:v>
      </x:c>
      <x:c r="K363" s="8" t="n">
        <x:f>INDEX('Сводка'!$S$3:$S$397,U363)</x:f>
        <x:v>181</x:v>
      </x:c>
      <x:c r="L363" s="8" t="n">
        <x:f>INDEX('Сводка'!$S$3:$S$397,V363)</x:f>
        <x:v>180</x:v>
      </x:c>
      <x:c r="M363" s="8" t="n">
        <x:f>INDEX($K$388:$N$400,W363,1)+INDEX($K$388:$N$400,W363,2)*LN(((J363-$T$405+1)/1000))</x:f>
        <x:v>124.30583006993153</x:v>
      </x:c>
      <x:c r="N363" s="8" t="n">
        <x:f>K363-M363</x:f>
        <x:v>56.69416993006847</x:v>
      </x:c>
      <x:c r="O363" s="8" t="n">
        <x:f>ABS(N363)</x:f>
        <x:v>56.69416993006847</x:v>
      </x:c>
      <x:c r="P363" s="8" t="n">
        <x:f>N363^2</x:f>
        <x:v>3214.2289040594796</x:v>
      </x:c>
      <x:c r="Q363" s="8" t="n">
        <x:f>K363-L363</x:f>
        <x:v>1</x:v>
      </x:c>
      <x:c r="R363" s="9" t="n">
        <x:f>IF(AND(INDEX('Сводка'!$T$3:$T$397,U363)=0,INDEX('Сводка'!$T$3:$T$397,V363)=0),1,0)</x:f>
        <x:v>1</x:v>
      </x:c>
      <x:c r="S363" s="9" t="n">
        <x:f>IF(AND(R363=1,O363&lt;=$G$13),1,0)</x:f>
        <x:v>0</x:v>
      </x:c>
      <x:c r="T363" s="10" t="n">
        <x:f>EOMONTH(J363-'Сводка'!$B$11,-1)</x:f>
        <x:v>46203</x:v>
      </x:c>
      <x:c r="U363" s="4" t="n">
        <x:f>MATCH(J363,'Сводка'!$R$3:$R$397,0)</x:f>
        <x:v>374</x:v>
      </x:c>
      <x:c r="V363" s="4" t="n">
        <x:f>MATCH(J363-'Сводка'!$B$11,'Сводка'!$R$3:$R$397,0)</x:f>
        <x:v>373</x:v>
      </x:c>
      <x:c r="W363" s="4" t="n">
        <x:f>MATCH(T363,$J$388:$J$400,0)</x:f>
        <x:v>13</x:v>
      </x:c>
      <x:c r="X363" s="3"/>
      <x:c r="Y363" s="3"/>
      <x:c r="Z363" s="3"/>
    </x:row>
    <x:row r="364" ht="15" customHeight="1">
      <x:c r="A364" s="3"/>
      <x:c r="B364" s="3"/>
      <x:c r="C364" s="3"/>
      <x:c r="D364" s="3"/>
      <x:c r="E364" s="3"/>
      <x:c r="F364" s="3"/>
      <x:c r="G364" s="3"/>
      <x:c r="H364" s="3"/>
      <x:c r="I364" s="3"/>
      <x:c r="J364" s="10" t="n">
        <x:v>46215</x:v>
      </x:c>
      <x:c r="K364" s="8" t="n">
        <x:f>INDEX('Сводка'!$S$3:$S$397,U364)</x:f>
        <x:v>179</x:v>
      </x:c>
      <x:c r="L364" s="8" t="n">
        <x:f>INDEX('Сводка'!$S$3:$S$397,V364)</x:f>
        <x:v>181</x:v>
      </x:c>
      <x:c r="M364" s="8" t="n">
        <x:f>INDEX($K$388:$N$400,W364,1)+INDEX($K$388:$N$400,W364,2)*LN(((J364-$T$405+1)/1000))</x:f>
        <x:v>124.3121118303706</x:v>
      </x:c>
      <x:c r="N364" s="8" t="n">
        <x:f>K364-M364</x:f>
        <x:v>54.6878881696294</x:v>
      </x:c>
      <x:c r="O364" s="8" t="n">
        <x:f>ABS(N364)</x:f>
        <x:v>54.6878881696294</x:v>
      </x:c>
      <x:c r="P364" s="8" t="n">
        <x:f>N364^2</x:f>
        <x:v>2990.7651124538916</x:v>
      </x:c>
      <x:c r="Q364" s="8" t="n">
        <x:f>K364-L364</x:f>
        <x:v>-2</x:v>
      </x:c>
      <x:c r="R364" s="9" t="n">
        <x:f>IF(AND(INDEX('Сводка'!$T$3:$T$397,U364)=0,INDEX('Сводка'!$T$3:$T$397,V364)=0),1,0)</x:f>
        <x:v>1</x:v>
      </x:c>
      <x:c r="S364" s="9" t="n">
        <x:f>IF(AND(R364=1,O364&lt;=$G$13),1,0)</x:f>
        <x:v>0</x:v>
      </x:c>
      <x:c r="T364" s="10" t="n">
        <x:f>EOMONTH(J364-'Сводка'!$B$11,-1)</x:f>
        <x:v>46203</x:v>
      </x:c>
      <x:c r="U364" s="4" t="n">
        <x:f>MATCH(J364,'Сводка'!$R$3:$R$397,0)</x:f>
        <x:v>375</x:v>
      </x:c>
      <x:c r="V364" s="4" t="n">
        <x:f>MATCH(J364-'Сводка'!$B$11,'Сводка'!$R$3:$R$397,0)</x:f>
        <x:v>374</x:v>
      </x:c>
      <x:c r="W364" s="4" t="n">
        <x:f>MATCH(T364,$J$388:$J$400,0)</x:f>
        <x:v>13</x:v>
      </x:c>
      <x:c r="X364" s="3"/>
      <x:c r="Y364" s="3"/>
      <x:c r="Z364" s="3"/>
    </x:row>
    <x:row r="365" ht="15" customHeight="1">
      <x:c r="A365" s="3"/>
      <x:c r="B365" s="3"/>
      <x:c r="C365" s="3"/>
      <x:c r="D365" s="3"/>
      <x:c r="E365" s="3"/>
      <x:c r="F365" s="3"/>
      <x:c r="G365" s="3"/>
      <x:c r="H365" s="3"/>
      <x:c r="I365" s="3"/>
      <x:c r="J365" s="10" t="n">
        <x:v>46216</x:v>
      </x:c>
      <x:c r="K365" s="8" t="n">
        <x:f>INDEX('Сводка'!$S$3:$S$397,U365)</x:f>
        <x:v>182</x:v>
      </x:c>
      <x:c r="L365" s="8" t="n">
        <x:f>INDEX('Сводка'!$S$3:$S$397,V365)</x:f>
        <x:v>179</x:v>
      </x:c>
      <x:c r="M365" s="8" t="n">
        <x:f>INDEX($K$388:$N$400,W365,1)+INDEX($K$388:$N$400,W365,2)*LN(((J365-$T$405+1)/1000))</x:f>
        <x:v>124.3183928896812</x:v>
      </x:c>
      <x:c r="N365" s="8" t="n">
        <x:f>K365-M365</x:f>
        <x:v>57.681607110318794</x:v>
      </x:c>
      <x:c r="O365" s="8" t="n">
        <x:f>ABS(N365)</x:f>
        <x:v>57.681607110318794</x:v>
      </x:c>
      <x:c r="P365" s="8" t="n">
        <x:f>N365^2</x:f>
        <x:v>3327.1677988291794</x:v>
      </x:c>
      <x:c r="Q365" s="8" t="n">
        <x:f>K365-L365</x:f>
        <x:v>3</x:v>
      </x:c>
      <x:c r="R365" s="9" t="n">
        <x:f>IF(AND(INDEX('Сводка'!$T$3:$T$397,U365)=0,INDEX('Сводка'!$T$3:$T$397,V365)=0),1,0)</x:f>
        <x:v>1</x:v>
      </x:c>
      <x:c r="S365" s="9" t="n">
        <x:f>IF(AND(R365=1,O365&lt;=$G$13),1,0)</x:f>
        <x:v>0</x:v>
      </x:c>
      <x:c r="T365" s="10" t="n">
        <x:f>EOMONTH(J365-'Сводка'!$B$11,-1)</x:f>
        <x:v>46203</x:v>
      </x:c>
      <x:c r="U365" s="4" t="n">
        <x:f>MATCH(J365,'Сводка'!$R$3:$R$397,0)</x:f>
        <x:v>376</x:v>
      </x:c>
      <x:c r="V365" s="4" t="n">
        <x:f>MATCH(J365-'Сводка'!$B$11,'Сводка'!$R$3:$R$397,0)</x:f>
        <x:v>375</x:v>
      </x:c>
      <x:c r="W365" s="4" t="n">
        <x:f>MATCH(T365,$J$388:$J$400,0)</x:f>
        <x:v>13</x:v>
      </x:c>
      <x:c r="X365" s="3"/>
      <x:c r="Y365" s="3"/>
      <x:c r="Z365" s="3"/>
    </x:row>
    <x:row r="366" ht="15" customHeight="1">
      <x:c r="A366" s="3"/>
      <x:c r="B366" s="3"/>
      <x:c r="C366" s="3"/>
      <x:c r="D366" s="3"/>
      <x:c r="E366" s="3"/>
      <x:c r="F366" s="3"/>
      <x:c r="G366" s="3"/>
      <x:c r="H366" s="3"/>
      <x:c r="I366" s="3"/>
      <x:c r="J366" s="10" t="n">
        <x:v>46217</x:v>
      </x:c>
      <x:c r="K366" s="8" t="n">
        <x:f>INDEX('Сводка'!$S$3:$S$397,U366)</x:f>
        <x:v>191</x:v>
      </x:c>
      <x:c r="L366" s="8" t="n">
        <x:f>INDEX('Сводка'!$S$3:$S$397,V366)</x:f>
        <x:v>182</x:v>
      </x:c>
      <x:c r="M366" s="8" t="n">
        <x:f>INDEX($K$388:$N$400,W366,1)+INDEX($K$388:$N$400,W366,2)*LN(((J366-$T$405+1)/1000))</x:f>
        <x:v>124.32467324801985</x:v>
      </x:c>
      <x:c r="N366" s="8" t="n">
        <x:f>K366-M366</x:f>
        <x:v>66.67532675198015</x:v>
      </x:c>
      <x:c r="O366" s="8" t="n">
        <x:f>ABS(N366)</x:f>
        <x:v>66.67532675198015</x:v>
      </x:c>
      <x:c r="P366" s="8" t="n">
        <x:f>N366^2</x:f>
        <x:v>4445.59919748332</x:v>
      </x:c>
      <x:c r="Q366" s="8" t="n">
        <x:f>K366-L366</x:f>
        <x:v>9</x:v>
      </x:c>
      <x:c r="R366" s="9" t="n">
        <x:f>IF(AND(INDEX('Сводка'!$T$3:$T$397,U366)=0,INDEX('Сводка'!$T$3:$T$397,V366)=0),1,0)</x:f>
        <x:v>1</x:v>
      </x:c>
      <x:c r="S366" s="9" t="n">
        <x:f>IF(AND(R366=1,O366&lt;=$G$13),1,0)</x:f>
        <x:v>0</x:v>
      </x:c>
      <x:c r="T366" s="10" t="n">
        <x:f>EOMONTH(J366-'Сводка'!$B$11,-1)</x:f>
        <x:v>46203</x:v>
      </x:c>
      <x:c r="U366" s="4" t="n">
        <x:f>MATCH(J366,'Сводка'!$R$3:$R$397,0)</x:f>
        <x:v>377</x:v>
      </x:c>
      <x:c r="V366" s="4" t="n">
        <x:f>MATCH(J366-'Сводка'!$B$11,'Сводка'!$R$3:$R$397,0)</x:f>
        <x:v>376</x:v>
      </x:c>
      <x:c r="W366" s="4" t="n">
        <x:f>MATCH(T366,$J$388:$J$400,0)</x:f>
        <x:v>13</x:v>
      </x:c>
      <x:c r="X366" s="3"/>
      <x:c r="Y366" s="3"/>
      <x:c r="Z366" s="3"/>
    </x:row>
    <x:row r="367" ht="15" customHeight="1">
      <x:c r="A367" s="3"/>
      <x:c r="B367" s="3"/>
      <x:c r="C367" s="3"/>
      <x:c r="D367" s="3"/>
      <x:c r="E367" s="3"/>
      <x:c r="F367" s="3"/>
      <x:c r="G367" s="3"/>
      <x:c r="H367" s="3"/>
      <x:c r="I367" s="3"/>
      <x:c r="J367" s="10" t="n">
        <x:v>46218</x:v>
      </x:c>
      <x:c r="K367" s="8" t="n">
        <x:f>INDEX('Сводка'!$S$3:$S$397,U367)</x:f>
        <x:v>206</x:v>
      </x:c>
      <x:c r="L367" s="8" t="n">
        <x:f>INDEX('Сводка'!$S$3:$S$397,V367)</x:f>
        <x:v>191</x:v>
      </x:c>
      <x:c r="M367" s="8" t="n">
        <x:f>INDEX($K$388:$N$400,W367,1)+INDEX($K$388:$N$400,W367,2)*LN(((J367-$T$405+1)/1000))</x:f>
        <x:v>124.33095290554297</x:v>
      </x:c>
      <x:c r="N367" s="8" t="n">
        <x:f>K367-M367</x:f>
        <x:v>81.66904709445703</x:v>
      </x:c>
      <x:c r="O367" s="8" t="n">
        <x:f>ABS(N367)</x:f>
        <x:v>81.66904709445703</x:v>
      </x:c>
      <x:c r="P367" s="8" t="n">
        <x:f>N367^2</x:f>
        <x:v>6669.83325331664</x:v>
      </x:c>
      <x:c r="Q367" s="8" t="n">
        <x:f>K367-L367</x:f>
        <x:v>15</x:v>
      </x:c>
      <x:c r="R367" s="9" t="n">
        <x:f>IF(AND(INDEX('Сводка'!$T$3:$T$397,U367)=0,INDEX('Сводка'!$T$3:$T$397,V367)=0),1,0)</x:f>
        <x:v>1</x:v>
      </x:c>
      <x:c r="S367" s="9" t="n">
        <x:f>IF(AND(R367=1,O367&lt;=$G$13),1,0)</x:f>
        <x:v>0</x:v>
      </x:c>
      <x:c r="T367" s="10" t="n">
        <x:f>EOMONTH(J367-'Сводка'!$B$11,-1)</x:f>
        <x:v>46203</x:v>
      </x:c>
      <x:c r="U367" s="4" t="n">
        <x:f>MATCH(J367,'Сводка'!$R$3:$R$397,0)</x:f>
        <x:v>378</x:v>
      </x:c>
      <x:c r="V367" s="4" t="n">
        <x:f>MATCH(J367-'Сводка'!$B$11,'Сводка'!$R$3:$R$397,0)</x:f>
        <x:v>377</x:v>
      </x:c>
      <x:c r="W367" s="4" t="n">
        <x:f>MATCH(T367,$J$388:$J$400,0)</x:f>
        <x:v>13</x:v>
      </x:c>
      <x:c r="X367" s="3"/>
      <x:c r="Y367" s="3"/>
      <x:c r="Z367" s="3"/>
    </x:row>
    <x:row r="368" ht="15" customHeight="1">
      <x:c r="A368" s="3"/>
      <x:c r="B368" s="3"/>
      <x:c r="C368" s="3"/>
      <x:c r="D368" s="3"/>
      <x:c r="E368" s="3"/>
      <x:c r="F368" s="3"/>
      <x:c r="G368" s="3"/>
      <x:c r="H368" s="3"/>
      <x:c r="I368" s="3"/>
      <x:c r="J368" s="10" t="n">
        <x:v>46219</x:v>
      </x:c>
      <x:c r="K368" s="8" t="n">
        <x:f>INDEX('Сводка'!$S$3:$S$397,U368)</x:f>
        <x:v>225</x:v>
      </x:c>
      <x:c r="L368" s="8" t="n">
        <x:f>INDEX('Сводка'!$S$3:$S$397,V368)</x:f>
        <x:v>206</x:v>
      </x:c>
      <x:c r="M368" s="8" t="n">
        <x:f>INDEX($K$388:$N$400,W368,1)+INDEX($K$388:$N$400,W368,2)*LN(((J368-$T$405+1)/1000))</x:f>
        <x:v>124.33723186240695</x:v>
      </x:c>
      <x:c r="N368" s="8" t="n">
        <x:f>K368-M368</x:f>
        <x:v>100.66276813759305</x:v>
      </x:c>
      <x:c r="O368" s="8" t="n">
        <x:f>ABS(N368)</x:f>
        <x:v>100.66276813759305</x:v>
      </x:c>
      <x:c r="P368" s="8" t="n">
        <x:f>N368^2</x:f>
        <x:v>10132.992889122817</x:v>
      </x:c>
      <x:c r="Q368" s="8" t="n">
        <x:f>K368-L368</x:f>
        <x:v>19</x:v>
      </x:c>
      <x:c r="R368" s="9" t="n">
        <x:f>IF(AND(INDEX('Сводка'!$T$3:$T$397,U368)=0,INDEX('Сводка'!$T$3:$T$397,V368)=0),1,0)</x:f>
        <x:v>1</x:v>
      </x:c>
      <x:c r="S368" s="9" t="n">
        <x:f>IF(AND(R368=1,O368&lt;=$G$13),1,0)</x:f>
        <x:v>0</x:v>
      </x:c>
      <x:c r="T368" s="10" t="n">
        <x:f>EOMONTH(J368-'Сводка'!$B$11,-1)</x:f>
        <x:v>46203</x:v>
      </x:c>
      <x:c r="U368" s="4" t="n">
        <x:f>MATCH(J368,'Сводка'!$R$3:$R$397,0)</x:f>
        <x:v>379</x:v>
      </x:c>
      <x:c r="V368" s="4" t="n">
        <x:f>MATCH(J368-'Сводка'!$B$11,'Сводка'!$R$3:$R$397,0)</x:f>
        <x:v>378</x:v>
      </x:c>
      <x:c r="W368" s="4" t="n">
        <x:f>MATCH(T368,$J$388:$J$400,0)</x:f>
        <x:v>13</x:v>
      </x:c>
      <x:c r="X368" s="3"/>
      <x:c r="Y368" s="3"/>
      <x:c r="Z368" s="3"/>
    </x:row>
    <x:row r="369" ht="15" customHeight="1">
      <x:c r="A369" s="3"/>
      <x:c r="B369" s="3"/>
      <x:c r="C369" s="3"/>
      <x:c r="D369" s="3"/>
      <x:c r="E369" s="3"/>
      <x:c r="F369" s="3"/>
      <x:c r="G369" s="3"/>
      <x:c r="H369" s="3"/>
      <x:c r="I369" s="3"/>
      <x:c r="J369" s="10" t="n">
        <x:v>46220</x:v>
      </x:c>
      <x:c r="K369" s="8" t="n">
        <x:f>INDEX('Сводка'!$S$3:$S$397,U369)</x:f>
        <x:v>245</x:v>
      </x:c>
      <x:c r="L369" s="8" t="n">
        <x:f>INDEX('Сводка'!$S$3:$S$397,V369)</x:f>
        <x:v>225</x:v>
      </x:c>
      <x:c r="M369" s="8" t="n">
        <x:f>INDEX($K$388:$N$400,W369,1)+INDEX($K$388:$N$400,W369,2)*LN(((J369-$T$405+1)/1000))</x:f>
        <x:v>124.34351011876812</x:v>
      </x:c>
      <x:c r="N369" s="8" t="n">
        <x:f>K369-M369</x:f>
        <x:v>120.65648988123188</x:v>
      </x:c>
      <x:c r="O369" s="8" t="n">
        <x:f>ABS(N369)</x:f>
        <x:v>120.65648988123188</x:v>
      </x:c>
      <x:c r="P369" s="8" t="n">
        <x:f>N369^2</x:f>
        <x:v>14557.98855045981</x:v>
      </x:c>
      <x:c r="Q369" s="8" t="n">
        <x:f>K369-L369</x:f>
        <x:v>20</x:v>
      </x:c>
      <x:c r="R369" s="9" t="n">
        <x:f>IF(AND(INDEX('Сводка'!$T$3:$T$397,U369)=0,INDEX('Сводка'!$T$3:$T$397,V369)=0),1,0)</x:f>
        <x:v>1</x:v>
      </x:c>
      <x:c r="S369" s="9" t="n">
        <x:f>IF(AND(R369=1,O369&lt;=$G$13),1,0)</x:f>
        <x:v>0</x:v>
      </x:c>
      <x:c r="T369" s="10" t="n">
        <x:f>EOMONTH(J369-'Сводка'!$B$11,-1)</x:f>
        <x:v>46203</x:v>
      </x:c>
      <x:c r="U369" s="4" t="n">
        <x:f>MATCH(J369,'Сводка'!$R$3:$R$397,0)</x:f>
        <x:v>380</x:v>
      </x:c>
      <x:c r="V369" s="4" t="n">
        <x:f>MATCH(J369-'Сводка'!$B$11,'Сводка'!$R$3:$R$397,0)</x:f>
        <x:v>379</x:v>
      </x:c>
      <x:c r="W369" s="4" t="n">
        <x:f>MATCH(T369,$J$388:$J$400,0)</x:f>
        <x:v>13</x:v>
      </x:c>
      <x:c r="X369" s="3"/>
      <x:c r="Y369" s="3"/>
      <x:c r="Z369" s="3"/>
    </x:row>
    <x:row r="370" ht="15" customHeight="1">
      <x:c r="A370" s="3"/>
      <x:c r="B370" s="3"/>
      <x:c r="C370" s="3"/>
      <x:c r="D370" s="3"/>
      <x:c r="E370" s="3"/>
      <x:c r="F370" s="3"/>
      <x:c r="G370" s="3"/>
      <x:c r="H370" s="3"/>
      <x:c r="I370" s="3"/>
      <x:c r="J370" s="10" t="n">
        <x:v>46221</x:v>
      </x:c>
      <x:c r="K370" s="8" t="n">
        <x:f>INDEX('Сводка'!$S$3:$S$397,U370)</x:f>
        <x:v>266</x:v>
      </x:c>
      <x:c r="L370" s="8" t="n">
        <x:f>INDEX('Сводка'!$S$3:$S$397,V370)</x:f>
        <x:v>245</x:v>
      </x:c>
      <x:c r="M370" s="8" t="n">
        <x:f>INDEX($K$388:$N$400,W370,1)+INDEX($K$388:$N$400,W370,2)*LN(((J370-$T$405+1)/1000))</x:f>
        <x:v>124.34978767478277</x:v>
      </x:c>
      <x:c r="N370" s="8" t="n">
        <x:f>K370-M370</x:f>
        <x:v>141.65021232521724</x:v>
      </x:c>
      <x:c r="O370" s="8" t="n">
        <x:f>ABS(N370)</x:f>
        <x:v>141.65021232521724</x:v>
      </x:c>
      <x:c r="P370" s="8" t="n">
        <x:f>N370^2</x:f>
        <x:v>20064.782651779125</x:v>
      </x:c>
      <x:c r="Q370" s="8" t="n">
        <x:f>K370-L370</x:f>
        <x:v>21</x:v>
      </x:c>
      <x:c r="R370" s="9" t="n">
        <x:f>IF(AND(INDEX('Сводка'!$T$3:$T$397,U370)=0,INDEX('Сводка'!$T$3:$T$397,V370)=0),1,0)</x:f>
        <x:v>1</x:v>
      </x:c>
      <x:c r="S370" s="9" t="n">
        <x:f>IF(AND(R370=1,O370&lt;=$G$13),1,0)</x:f>
        <x:v>0</x:v>
      </x:c>
      <x:c r="T370" s="10" t="n">
        <x:f>EOMONTH(J370-'Сводка'!$B$11,-1)</x:f>
        <x:v>46203</x:v>
      </x:c>
      <x:c r="U370" s="4" t="n">
        <x:f>MATCH(J370,'Сводка'!$R$3:$R$397,0)</x:f>
        <x:v>381</x:v>
      </x:c>
      <x:c r="V370" s="4" t="n">
        <x:f>MATCH(J370-'Сводка'!$B$11,'Сводка'!$R$3:$R$397,0)</x:f>
        <x:v>380</x:v>
      </x:c>
      <x:c r="W370" s="4" t="n">
        <x:f>MATCH(T370,$J$388:$J$400,0)</x:f>
        <x:v>13</x:v>
      </x:c>
      <x:c r="X370" s="3"/>
      <x:c r="Y370" s="3"/>
      <x:c r="Z370" s="3"/>
    </x:row>
    <x:row r="371" ht="15" customHeight="1">
      <x:c r="A371" s="3"/>
      <x:c r="B371" s="3"/>
      <x:c r="C371" s="3"/>
      <x:c r="D371" s="3"/>
      <x:c r="E371" s="3"/>
      <x:c r="F371" s="3"/>
      <x:c r="G371" s="3"/>
      <x:c r="H371" s="3"/>
      <x:c r="I371" s="3"/>
      <x:c r="J371" s="10" t="n">
        <x:v>46222</x:v>
      </x:c>
      <x:c r="K371" s="8" t="n">
        <x:f>INDEX('Сводка'!$S$3:$S$397,U371)</x:f>
        <x:v>281</x:v>
      </x:c>
      <x:c r="L371" s="8" t="n">
        <x:f>INDEX('Сводка'!$S$3:$S$397,V371)</x:f>
        <x:v>266</x:v>
      </x:c>
      <x:c r="M371" s="8" t="n">
        <x:f>INDEX($K$388:$N$400,W371,1)+INDEX($K$388:$N$400,W371,2)*LN(((J371-$T$405+1)/1000))</x:f>
        <x:v>124.35606453060716</x:v>
      </x:c>
      <x:c r="N371" s="8" t="n">
        <x:f>K371-M371</x:f>
        <x:v>156.64393546939283</x:v>
      </x:c>
      <x:c r="O371" s="8" t="n">
        <x:f>ABS(N371)</x:f>
        <x:v>156.64393546939283</x:v>
      </x:c>
      <x:c r="P371" s="8" t="n">
        <x:f>N371^2</x:f>
        <x:v>24537.322519339305</x:v>
      </x:c>
      <x:c r="Q371" s="8" t="n">
        <x:f>K371-L371</x:f>
        <x:v>15</x:v>
      </x:c>
      <x:c r="R371" s="9" t="n">
        <x:f>IF(AND(INDEX('Сводка'!$T$3:$T$397,U371)=0,INDEX('Сводка'!$T$3:$T$397,V371)=0),1,0)</x:f>
        <x:v>1</x:v>
      </x:c>
      <x:c r="S371" s="9" t="n">
        <x:f>IF(AND(R371=1,O371&lt;=$G$13),1,0)</x:f>
        <x:v>0</x:v>
      </x:c>
      <x:c r="T371" s="10" t="n">
        <x:f>EOMONTH(J371-'Сводка'!$B$11,-1)</x:f>
        <x:v>46203</x:v>
      </x:c>
      <x:c r="U371" s="4" t="n">
        <x:f>MATCH(J371,'Сводка'!$R$3:$R$397,0)</x:f>
        <x:v>382</x:v>
      </x:c>
      <x:c r="V371" s="4" t="n">
        <x:f>MATCH(J371-'Сводка'!$B$11,'Сводка'!$R$3:$R$397,0)</x:f>
        <x:v>381</x:v>
      </x:c>
      <x:c r="W371" s="4" t="n">
        <x:f>MATCH(T371,$J$388:$J$400,0)</x:f>
        <x:v>13</x:v>
      </x:c>
      <x:c r="X371" s="3"/>
      <x:c r="Y371" s="3"/>
      <x:c r="Z371" s="3"/>
    </x:row>
    <x:row r="372" ht="15" customHeight="1">
      <x:c r="A372" s="3"/>
      <x:c r="B372" s="3"/>
      <x:c r="C372" s="3"/>
      <x:c r="D372" s="3"/>
      <x:c r="E372" s="3"/>
      <x:c r="F372" s="3"/>
      <x:c r="G372" s="3"/>
      <x:c r="H372" s="3"/>
      <x:c r="I372" s="3"/>
      <x:c r="J372" s="10" t="n">
        <x:v>46223</x:v>
      </x:c>
      <x:c r="K372" s="8" t="n">
        <x:f>INDEX('Сводка'!$S$3:$S$397,U372)</x:f>
        <x:v>292</x:v>
      </x:c>
      <x:c r="L372" s="8" t="n">
        <x:f>INDEX('Сводка'!$S$3:$S$397,V372)</x:f>
        <x:v>281</x:v>
      </x:c>
      <x:c r="M372" s="8" t="n">
        <x:f>INDEX($K$388:$N$400,W372,1)+INDEX($K$388:$N$400,W372,2)*LN(((J372-$T$405+1)/1000))</x:f>
        <x:v>124.3623406863974</x:v>
      </x:c>
      <x:c r="N372" s="8" t="n">
        <x:f>K372-M372</x:f>
        <x:v>167.6376593136026</x:v>
      </x:c>
      <x:c r="O372" s="8" t="n">
        <x:f>ABS(N372)</x:f>
        <x:v>167.6376593136026</x:v>
      </x:c>
      <x:c r="P372" s="8" t="n">
        <x:f>N372^2</x:f>
        <x:v>28102.384820143492</x:v>
      </x:c>
      <x:c r="Q372" s="8" t="n">
        <x:f>K372-L372</x:f>
        <x:v>11</x:v>
      </x:c>
      <x:c r="R372" s="9" t="n">
        <x:f>IF(AND(INDEX('Сводка'!$T$3:$T$397,U372)=0,INDEX('Сводка'!$T$3:$T$397,V372)=0),1,0)</x:f>
        <x:v>1</x:v>
      </x:c>
      <x:c r="S372" s="9" t="n">
        <x:f>IF(AND(R372=1,O372&lt;=$G$13),1,0)</x:f>
        <x:v>0</x:v>
      </x:c>
      <x:c r="T372" s="10" t="n">
        <x:f>EOMONTH(J372-'Сводка'!$B$11,-1)</x:f>
        <x:v>46203</x:v>
      </x:c>
      <x:c r="U372" s="4" t="n">
        <x:f>MATCH(J372,'Сводка'!$R$3:$R$397,0)</x:f>
        <x:v>383</x:v>
      </x:c>
      <x:c r="V372" s="4" t="n">
        <x:f>MATCH(J372-'Сводка'!$B$11,'Сводка'!$R$3:$R$397,0)</x:f>
        <x:v>382</x:v>
      </x:c>
      <x:c r="W372" s="4" t="n">
        <x:f>MATCH(T372,$J$388:$J$400,0)</x:f>
        <x:v>13</x:v>
      </x:c>
      <x:c r="X372" s="3"/>
      <x:c r="Y372" s="3"/>
      <x:c r="Z372" s="3"/>
    </x:row>
    <x:row r="373" ht="15" customHeight="1">
      <x:c r="A373" s="3"/>
      <x:c r="B373" s="3"/>
      <x:c r="C373" s="3"/>
      <x:c r="D373" s="3"/>
      <x:c r="E373" s="3"/>
      <x:c r="F373" s="3"/>
      <x:c r="G373" s="3"/>
      <x:c r="H373" s="3"/>
      <x:c r="I373" s="3"/>
      <x:c r="J373" s="10" t="n">
        <x:v>46224</x:v>
      </x:c>
      <x:c r="K373" s="8" t="n">
        <x:f>INDEX('Сводка'!$S$3:$S$397,U373)</x:f>
        <x:v>303</x:v>
      </x:c>
      <x:c r="L373" s="8" t="n">
        <x:f>INDEX('Сводка'!$S$3:$S$397,V373)</x:f>
        <x:v>292</x:v>
      </x:c>
      <x:c r="M373" s="8" t="n">
        <x:f>INDEX($K$388:$N$400,W373,1)+INDEX($K$388:$N$400,W373,2)*LN(((J373-$T$405+1)/1000))</x:f>
        <x:v>124.36861614230969</x:v>
      </x:c>
      <x:c r="N373" s="8" t="n">
        <x:f>K373-M373</x:f>
        <x:v>178.6313838576903</x:v>
      </x:c>
      <x:c r="O373" s="8" t="n">
        <x:f>ABS(N373)</x:f>
        <x:v>178.6313838576903</x:v>
      </x:c>
      <x:c r="P373" s="8" t="n">
        <x:f>N373^2</x:f>
        <x:v>31909.1712989135</x:v>
      </x:c>
      <x:c r="Q373" s="8" t="n">
        <x:f>K373-L373</x:f>
        <x:v>11</x:v>
      </x:c>
      <x:c r="R373" s="9" t="n">
        <x:f>IF(AND(INDEX('Сводка'!$T$3:$T$397,U373)=0,INDEX('Сводка'!$T$3:$T$397,V373)=0),1,0)</x:f>
        <x:v>1</x:v>
      </x:c>
      <x:c r="S373" s="9" t="n">
        <x:f>IF(AND(R373=1,O373&lt;=$G$13),1,0)</x:f>
        <x:v>0</x:v>
      </x:c>
      <x:c r="T373" s="10" t="n">
        <x:f>EOMONTH(J373-'Сводка'!$B$11,-1)</x:f>
        <x:v>46203</x:v>
      </x:c>
      <x:c r="U373" s="4" t="n">
        <x:f>MATCH(J373,'Сводка'!$R$3:$R$397,0)</x:f>
        <x:v>384</x:v>
      </x:c>
      <x:c r="V373" s="4" t="n">
        <x:f>MATCH(J373-'Сводка'!$B$11,'Сводка'!$R$3:$R$397,0)</x:f>
        <x:v>383</x:v>
      </x:c>
      <x:c r="W373" s="4" t="n">
        <x:f>MATCH(T373,$J$388:$J$400,0)</x:f>
        <x:v>13</x:v>
      </x:c>
      <x:c r="X373" s="3"/>
      <x:c r="Y373" s="3"/>
      <x:c r="Z373" s="3"/>
    </x:row>
    <x:row r="374" ht="15" customHeight="1">
      <x:c r="A374" s="3"/>
      <x:c r="B374" s="3"/>
      <x:c r="C374" s="3"/>
      <x:c r="D374" s="3"/>
      <x:c r="E374" s="3"/>
      <x:c r="F374" s="3"/>
      <x:c r="G374" s="3"/>
      <x:c r="H374" s="3"/>
      <x:c r="I374" s="3"/>
      <x:c r="J374" s="10" t="n">
        <x:v>46225</x:v>
      </x:c>
      <x:c r="K374" s="8" t="n">
        <x:f>INDEX('Сводка'!$S$3:$S$397,U374)</x:f>
        <x:v>311</x:v>
      </x:c>
      <x:c r="L374" s="8" t="n">
        <x:f>INDEX('Сводка'!$S$3:$S$397,V374)</x:f>
        <x:v>303</x:v>
      </x:c>
      <x:c r="M374" s="8" t="n">
        <x:f>INDEX($K$388:$N$400,W374,1)+INDEX($K$388:$N$400,W374,2)*LN(((J374-$T$405+1)/1000))</x:f>
        <x:v>124.37489089850003</x:v>
      </x:c>
      <x:c r="N374" s="8" t="n">
        <x:f>K374-M374</x:f>
        <x:v>186.62510910149996</x:v>
      </x:c>
      <x:c r="O374" s="8" t="n">
        <x:f>ABS(N374)</x:f>
        <x:v>186.62510910149996</x:v>
      </x:c>
      <x:c r="P374" s="8" t="n">
        <x:f>N374^2</x:f>
        <x:v>34828.93134714676</x:v>
      </x:c>
      <x:c r="Q374" s="8" t="n">
        <x:f>K374-L374</x:f>
        <x:v>8</x:v>
      </x:c>
      <x:c r="R374" s="9" t="n">
        <x:f>IF(AND(INDEX('Сводка'!$T$3:$T$397,U374)=0,INDEX('Сводка'!$T$3:$T$397,V374)=0),1,0)</x:f>
        <x:v>1</x:v>
      </x:c>
      <x:c r="S374" s="9" t="n">
        <x:f>IF(AND(R374=1,O374&lt;=$G$13),1,0)</x:f>
        <x:v>0</x:v>
      </x:c>
      <x:c r="T374" s="10" t="n">
        <x:f>EOMONTH(J374-'Сводка'!$B$11,-1)</x:f>
        <x:v>46203</x:v>
      </x:c>
      <x:c r="U374" s="4" t="n">
        <x:f>MATCH(J374,'Сводка'!$R$3:$R$397,0)</x:f>
        <x:v>385</x:v>
      </x:c>
      <x:c r="V374" s="4" t="n">
        <x:f>MATCH(J374-'Сводка'!$B$11,'Сводка'!$R$3:$R$397,0)</x:f>
        <x:v>384</x:v>
      </x:c>
      <x:c r="W374" s="4" t="n">
        <x:f>MATCH(T374,$J$388:$J$400,0)</x:f>
        <x:v>13</x:v>
      </x:c>
      <x:c r="X374" s="3"/>
      <x:c r="Y374" s="3"/>
      <x:c r="Z374" s="3"/>
    </x:row>
    <x:row r="375" ht="15" customHeight="1">
      <x:c r="A375" s="3"/>
      <x:c r="B375" s="3"/>
      <x:c r="C375" s="3"/>
      <x:c r="D375" s="3"/>
      <x:c r="E375" s="3"/>
      <x:c r="F375" s="3"/>
      <x:c r="G375" s="3"/>
      <x:c r="H375" s="3"/>
      <x:c r="I375" s="3"/>
      <x:c r="J375" s="10" t="n">
        <x:v>46226</x:v>
      </x:c>
      <x:c r="K375" s="8" t="n">
        <x:f>INDEX('Сводка'!$S$3:$S$397,U375)</x:f>
        <x:v>328</x:v>
      </x:c>
      <x:c r="L375" s="8" t="n">
        <x:f>INDEX('Сводка'!$S$3:$S$397,V375)</x:f>
        <x:v>311</x:v>
      </x:c>
      <x:c r="M375" s="8" t="n">
        <x:f>INDEX($K$388:$N$400,W375,1)+INDEX($K$388:$N$400,W375,2)*LN(((J375-$T$405+1)/1000))</x:f>
        <x:v>124.38116495512452</x:v>
      </x:c>
      <x:c r="N375" s="8" t="n">
        <x:f>K375-M375</x:f>
        <x:v>203.61883504487548</x:v>
      </x:c>
      <x:c r="O375" s="8" t="n">
        <x:f>ABS(N375)</x:f>
        <x:v>203.61883504487548</x:v>
      </x:c>
      <x:c r="P375" s="8" t="n">
        <x:f>N375^2</x:f>
        <x:v>41460.62998503221</x:v>
      </x:c>
      <x:c r="Q375" s="8" t="n">
        <x:f>K375-L375</x:f>
        <x:v>17</x:v>
      </x:c>
      <x:c r="R375" s="9" t="n">
        <x:f>IF(AND(INDEX('Сводка'!$T$3:$T$397,U375)=0,INDEX('Сводка'!$T$3:$T$397,V375)=0),1,0)</x:f>
        <x:v>1</x:v>
      </x:c>
      <x:c r="S375" s="9" t="n">
        <x:f>IF(AND(R375=1,O375&lt;=$G$13),1,0)</x:f>
        <x:v>0</x:v>
      </x:c>
      <x:c r="T375" s="10" t="n">
        <x:f>EOMONTH(J375-'Сводка'!$B$11,-1)</x:f>
        <x:v>46203</x:v>
      </x:c>
      <x:c r="U375" s="4" t="n">
        <x:f>MATCH(J375,'Сводка'!$R$3:$R$397,0)</x:f>
        <x:v>386</x:v>
      </x:c>
      <x:c r="V375" s="4" t="n">
        <x:f>MATCH(J375-'Сводка'!$B$11,'Сводка'!$R$3:$R$397,0)</x:f>
        <x:v>385</x:v>
      </x:c>
      <x:c r="W375" s="4" t="n">
        <x:f>MATCH(T375,$J$388:$J$400,0)</x:f>
        <x:v>13</x:v>
      </x:c>
      <x:c r="X375" s="3"/>
      <x:c r="Y375" s="3"/>
      <x:c r="Z375" s="3"/>
    </x:row>
    <x:row r="376" ht="15" customHeight="1">
      <x:c r="A376" s="3"/>
      <x:c r="B376" s="3"/>
      <x:c r="C376" s="3"/>
      <x:c r="D376" s="3"/>
      <x:c r="E376" s="3"/>
      <x:c r="F376" s="3"/>
      <x:c r="G376" s="3"/>
      <x:c r="H376" s="3"/>
      <x:c r="I376" s="3"/>
      <x:c r="J376" s="10" t="n">
        <x:v>46227</x:v>
      </x:c>
      <x:c r="K376" s="8" t="n">
        <x:f>INDEX('Сводка'!$S$3:$S$397,U376)</x:f>
        <x:v>340</x:v>
      </x:c>
      <x:c r="L376" s="8" t="n">
        <x:f>INDEX('Сводка'!$S$3:$S$397,V376)</x:f>
        <x:v>328</x:v>
      </x:c>
      <x:c r="M376" s="8" t="n">
        <x:f>INDEX($K$388:$N$400,W376,1)+INDEX($K$388:$N$400,W376,2)*LN(((J376-$T$405+1)/1000))</x:f>
        <x:v>124.3874383123391</x:v>
      </x:c>
      <x:c r="N376" s="8" t="n">
        <x:f>K376-M376</x:f>
        <x:v>215.6125616876609</x:v>
      </x:c>
      <x:c r="O376" s="8" t="n">
        <x:f>ABS(N376)</x:f>
        <x:v>215.6125616876609</x:v>
      </x:c>
      <x:c r="P376" s="8" t="n">
        <x:f>N376^2</x:f>
        <x:v>46488.77675751538</x:v>
      </x:c>
      <x:c r="Q376" s="8" t="n">
        <x:f>K376-L376</x:f>
        <x:v>12</x:v>
      </x:c>
      <x:c r="R376" s="9" t="n">
        <x:f>IF(AND(INDEX('Сводка'!$T$3:$T$397,U376)=0,INDEX('Сводка'!$T$3:$T$397,V376)=0),1,0)</x:f>
        <x:v>1</x:v>
      </x:c>
      <x:c r="S376" s="9" t="n">
        <x:f>IF(AND(R376=1,O376&lt;=$G$13),1,0)</x:f>
        <x:v>0</x:v>
      </x:c>
      <x:c r="T376" s="10" t="n">
        <x:f>EOMONTH(J376-'Сводка'!$B$11,-1)</x:f>
        <x:v>46203</x:v>
      </x:c>
      <x:c r="U376" s="4" t="n">
        <x:f>MATCH(J376,'Сводка'!$R$3:$R$397,0)</x:f>
        <x:v>387</x:v>
      </x:c>
      <x:c r="V376" s="4" t="n">
        <x:f>MATCH(J376-'Сводка'!$B$11,'Сводка'!$R$3:$R$397,0)</x:f>
        <x:v>386</x:v>
      </x:c>
      <x:c r="W376" s="4" t="n">
        <x:f>MATCH(T376,$J$388:$J$400,0)</x:f>
        <x:v>13</x:v>
      </x:c>
      <x:c r="X376" s="3"/>
      <x:c r="Y376" s="3"/>
      <x:c r="Z376" s="3"/>
    </x:row>
    <x:row r="377" ht="15" customHeight="1">
      <x:c r="A377" s="3"/>
      <x:c r="B377" s="3"/>
      <x:c r="C377" s="3"/>
      <x:c r="D377" s="3"/>
      <x:c r="E377" s="3"/>
      <x:c r="F377" s="3"/>
      <x:c r="G377" s="3"/>
      <x:c r="H377" s="3"/>
      <x:c r="I377" s="3"/>
      <x:c r="J377" s="10" t="n">
        <x:v>46228</x:v>
      </x:c>
      <x:c r="K377" s="8" t="n">
        <x:f>INDEX('Сводка'!$S$3:$S$397,U377)</x:f>
        <x:v>350</x:v>
      </x:c>
      <x:c r="L377" s="8" t="n">
        <x:f>INDEX('Сводка'!$S$3:$S$397,V377)</x:f>
        <x:v>340</x:v>
      </x:c>
      <x:c r="M377" s="8" t="n">
        <x:f>INDEX($K$388:$N$400,W377,1)+INDEX($K$388:$N$400,W377,2)*LN(((J377-$T$405+1)/1000))</x:f>
        <x:v>124.39371097029968</x:v>
      </x:c>
      <x:c r="N377" s="8" t="n">
        <x:f>K377-M377</x:f>
        <x:v>225.60628902970032</x:v>
      </x:c>
      <x:c r="O377" s="8" t="n">
        <x:f>ABS(N377)</x:f>
        <x:v>225.60628902970032</x:v>
      </x:c>
      <x:c r="P377" s="8" t="n">
        <x:f>N377^2</x:f>
        <x:v>50898.19764975268</x:v>
      </x:c>
      <x:c r="Q377" s="8" t="n">
        <x:f>K377-L377</x:f>
        <x:v>10</x:v>
      </x:c>
      <x:c r="R377" s="9" t="n">
        <x:f>IF(AND(INDEX('Сводка'!$T$3:$T$397,U377)=0,INDEX('Сводка'!$T$3:$T$397,V377)=0),1,0)</x:f>
        <x:v>1</x:v>
      </x:c>
      <x:c r="S377" s="9" t="n">
        <x:f>IF(AND(R377=1,O377&lt;=$G$13),1,0)</x:f>
        <x:v>0</x:v>
      </x:c>
      <x:c r="T377" s="10" t="n">
        <x:f>EOMONTH(J377-'Сводка'!$B$11,-1)</x:f>
        <x:v>46203</x:v>
      </x:c>
      <x:c r="U377" s="4" t="n">
        <x:f>MATCH(J377,'Сводка'!$R$3:$R$397,0)</x:f>
        <x:v>388</x:v>
      </x:c>
      <x:c r="V377" s="4" t="n">
        <x:f>MATCH(J377-'Сводка'!$B$11,'Сводка'!$R$3:$R$397,0)</x:f>
        <x:v>387</x:v>
      </x:c>
      <x:c r="W377" s="4" t="n">
        <x:f>MATCH(T377,$J$388:$J$400,0)</x:f>
        <x:v>13</x:v>
      </x:c>
      <x:c r="X377" s="3"/>
      <x:c r="Y377" s="3"/>
      <x:c r="Z377" s="3"/>
    </x:row>
    <x:row r="378" ht="15" customHeight="1">
      <x:c r="A378" s="3"/>
      <x:c r="B378" s="3"/>
      <x:c r="C378" s="3"/>
      <x:c r="D378" s="3"/>
      <x:c r="E378" s="3"/>
      <x:c r="F378" s="3"/>
      <x:c r="G378" s="3"/>
      <x:c r="H378" s="3"/>
      <x:c r="I378" s="3"/>
      <x:c r="J378" s="10" t="n">
        <x:v>46229</x:v>
      </x:c>
      <x:c r="K378" s="8" t="n">
        <x:f>INDEX('Сводка'!$S$3:$S$397,U378)</x:f>
        <x:v>361</x:v>
      </x:c>
      <x:c r="L378" s="8" t="n">
        <x:f>INDEX('Сводка'!$S$3:$S$397,V378)</x:f>
        <x:v>350</x:v>
      </x:c>
      <x:c r="M378" s="8" t="n">
        <x:f>INDEX($K$388:$N$400,W378,1)+INDEX($K$388:$N$400,W378,2)*LN(((J378-$T$405+1)/1000))</x:f>
        <x:v>124.3999829291621</x:v>
      </x:c>
      <x:c r="N378" s="8" t="n">
        <x:f>K378-M378</x:f>
        <x:v>236.6000170708379</x:v>
      </x:c>
      <x:c r="O378" s="8" t="n">
        <x:f>ABS(N378)</x:f>
        <x:v>236.6000170708379</x:v>
      </x:c>
      <x:c r="P378" s="8" t="n">
        <x:f>N378^2</x:f>
        <x:v>55979.56807792079</x:v>
      </x:c>
      <x:c r="Q378" s="8" t="n">
        <x:f>K378-L378</x:f>
        <x:v>11</x:v>
      </x:c>
      <x:c r="R378" s="9" t="n">
        <x:f>IF(AND(INDEX('Сводка'!$T$3:$T$397,U378)=0,INDEX('Сводка'!$T$3:$T$397,V378)=0),1,0)</x:f>
        <x:v>1</x:v>
      </x:c>
      <x:c r="S378" s="9" t="n">
        <x:f>IF(AND(R378=1,O378&lt;=$G$13),1,0)</x:f>
        <x:v>0</x:v>
      </x:c>
      <x:c r="T378" s="10" t="n">
        <x:f>EOMONTH(J378-'Сводка'!$B$11,-1)</x:f>
        <x:v>46203</x:v>
      </x:c>
      <x:c r="U378" s="4" t="n">
        <x:f>MATCH(J378,'Сводка'!$R$3:$R$397,0)</x:f>
        <x:v>389</x:v>
      </x:c>
      <x:c r="V378" s="4" t="n">
        <x:f>MATCH(J378-'Сводка'!$B$11,'Сводка'!$R$3:$R$397,0)</x:f>
        <x:v>388</x:v>
      </x:c>
      <x:c r="W378" s="4" t="n">
        <x:f>MATCH(T378,$J$388:$J$400,0)</x:f>
        <x:v>13</x:v>
      </x:c>
      <x:c r="X378" s="3"/>
      <x:c r="Y378" s="3"/>
      <x:c r="Z378" s="3"/>
    </x:row>
    <x:row r="379" ht="15" customHeight="1">
      <x:c r="A379" s="3"/>
      <x:c r="B379" s="3"/>
      <x:c r="C379" s="3"/>
      <x:c r="D379" s="3"/>
      <x:c r="E379" s="3"/>
      <x:c r="F379" s="3"/>
      <x:c r="G379" s="3"/>
      <x:c r="H379" s="3"/>
      <x:c r="I379" s="3"/>
      <x:c r="J379" s="10" t="n">
        <x:v>46230</x:v>
      </x:c>
      <x:c r="K379" s="8" t="n">
        <x:f>INDEX('Сводка'!$S$3:$S$397,U379)</x:f>
        <x:v>369</x:v>
      </x:c>
      <x:c r="L379" s="8" t="n">
        <x:f>INDEX('Сводка'!$S$3:$S$397,V379)</x:f>
        <x:v>361</x:v>
      </x:c>
      <x:c r="M379" s="8" t="n">
        <x:f>INDEX($K$388:$N$400,W379,1)+INDEX($K$388:$N$400,W379,2)*LN(((J379-$T$405+1)/1000))</x:f>
        <x:v>124.40625418908223</x:v>
      </x:c>
      <x:c r="N379" s="8" t="n">
        <x:f>K379-M379</x:f>
        <x:v>244.59374581091777</x:v>
      </x:c>
      <x:c r="O379" s="8" t="n">
        <x:f>ABS(N379)</x:f>
        <x:v>244.59374581091777</x:v>
      </x:c>
      <x:c r="P379" s="8" t="n">
        <x:f>N379^2</x:f>
        <x:v>59826.10048981585</x:v>
      </x:c>
      <x:c r="Q379" s="8" t="n">
        <x:f>K379-L379</x:f>
        <x:v>8</x:v>
      </x:c>
      <x:c r="R379" s="9" t="n">
        <x:f>IF(AND(INDEX('Сводка'!$T$3:$T$397,U379)=0,INDEX('Сводка'!$T$3:$T$397,V379)=0),1,0)</x:f>
        <x:v>1</x:v>
      </x:c>
      <x:c r="S379" s="9" t="n">
        <x:f>IF(AND(R379=1,O379&lt;=$G$13),1,0)</x:f>
        <x:v>0</x:v>
      </x:c>
      <x:c r="T379" s="10" t="n">
        <x:f>EOMONTH(J379-'Сводка'!$B$11,-1)</x:f>
        <x:v>46203</x:v>
      </x:c>
      <x:c r="U379" s="4" t="n">
        <x:f>MATCH(J379,'Сводка'!$R$3:$R$397,0)</x:f>
        <x:v>390</x:v>
      </x:c>
      <x:c r="V379" s="4" t="n">
        <x:f>MATCH(J379-'Сводка'!$B$11,'Сводка'!$R$3:$R$397,0)</x:f>
        <x:v>389</x:v>
      </x:c>
      <x:c r="W379" s="4" t="n">
        <x:f>MATCH(T379,$J$388:$J$400,0)</x:f>
        <x:v>13</x:v>
      </x:c>
      <x:c r="X379" s="3"/>
      <x:c r="Y379" s="3"/>
      <x:c r="Z379" s="3"/>
    </x:row>
    <x:row r="380" ht="15" customHeight="1">
      <x:c r="A380" s="3"/>
      <x:c r="B380" s="3"/>
      <x:c r="C380" s="3"/>
      <x:c r="D380" s="3"/>
      <x:c r="E380" s="3"/>
      <x:c r="F380" s="3"/>
      <x:c r="G380" s="3"/>
      <x:c r="H380" s="3"/>
      <x:c r="I380" s="3"/>
      <x:c r="J380" s="10" t="n">
        <x:v>46231</x:v>
      </x:c>
      <x:c r="K380" s="8" t="n">
        <x:f>INDEX('Сводка'!$S$3:$S$397,U380)</x:f>
        <x:v>377</x:v>
      </x:c>
      <x:c r="L380" s="8" t="n">
        <x:f>INDEX('Сводка'!$S$3:$S$397,V380)</x:f>
        <x:v>369</x:v>
      </x:c>
      <x:c r="M380" s="8" t="n">
        <x:f>INDEX($K$388:$N$400,W380,1)+INDEX($K$388:$N$400,W380,2)*LN(((J380-$T$405+1)/1000))</x:f>
        <x:v>124.4125247502158</x:v>
      </x:c>
      <x:c r="N380" s="8" t="n">
        <x:f>K380-M380</x:f>
        <x:v>252.5874752497842</x:v>
      </x:c>
      <x:c r="O380" s="8" t="n">
        <x:f>ABS(N380)</x:f>
        <x:v>252.5874752497842</x:v>
      </x:c>
      <x:c r="P380" s="8" t="n">
        <x:f>N380^2</x:f>
        <x:v>63800.43265306035</x:v>
      </x:c>
      <x:c r="Q380" s="8" t="n">
        <x:f>K380-L380</x:f>
        <x:v>8</x:v>
      </x:c>
      <x:c r="R380" s="9" t="n">
        <x:f>IF(AND(INDEX('Сводка'!$T$3:$T$397,U380)=0,INDEX('Сводка'!$T$3:$T$397,V380)=0),1,0)</x:f>
        <x:v>1</x:v>
      </x:c>
      <x:c r="S380" s="9" t="n">
        <x:f>IF(AND(R380=1,O380&lt;=$G$13),1,0)</x:f>
        <x:v>0</x:v>
      </x:c>
      <x:c r="T380" s="10" t="n">
        <x:f>EOMONTH(J380-'Сводка'!$B$11,-1)</x:f>
        <x:v>46203</x:v>
      </x:c>
      <x:c r="U380" s="4" t="n">
        <x:f>MATCH(J380,'Сводка'!$R$3:$R$397,0)</x:f>
        <x:v>391</x:v>
      </x:c>
      <x:c r="V380" s="4" t="n">
        <x:f>MATCH(J380-'Сводка'!$B$11,'Сводка'!$R$3:$R$397,0)</x:f>
        <x:v>390</x:v>
      </x:c>
      <x:c r="W380" s="4" t="n">
        <x:f>MATCH(T380,$J$388:$J$400,0)</x:f>
        <x:v>13</x:v>
      </x:c>
      <x:c r="X380" s="3"/>
      <x:c r="Y380" s="3"/>
      <x:c r="Z380" s="3"/>
    </x:row>
    <x:row r="381" ht="15" customHeight="1">
      <x:c r="A381" s="3"/>
      <x:c r="B381" s="3"/>
      <x:c r="C381" s="3"/>
      <x:c r="D381" s="3"/>
      <x:c r="E381" s="3"/>
      <x:c r="F381" s="3"/>
      <x:c r="G381" s="3"/>
      <x:c r="H381" s="3"/>
      <x:c r="I381" s="3"/>
      <x:c r="J381" s="10" t="n">
        <x:v>46232</x:v>
      </x:c>
      <x:c r="K381" s="8" t="n">
        <x:f>INDEX('Сводка'!$S$3:$S$397,U381)</x:f>
        <x:v>385</x:v>
      </x:c>
      <x:c r="L381" s="8" t="n">
        <x:f>INDEX('Сводка'!$S$3:$S$397,V381)</x:f>
        <x:v>377</x:v>
      </x:c>
      <x:c r="M381" s="8" t="n">
        <x:f>INDEX($K$388:$N$400,W381,1)+INDEX($K$388:$N$400,W381,2)*LN(((J381-$T$405+1)/1000))</x:f>
        <x:v>124.41879461271856</x:v>
      </x:c>
      <x:c r="N381" s="8" t="n">
        <x:f>K381-M381</x:f>
        <x:v>260.58120538728144</x:v>
      </x:c>
      <x:c r="O381" s="8" t="n">
        <x:f>ABS(N381)</x:f>
        <x:v>260.58120538728144</x:v>
      </x:c>
      <x:c r="P381" s="8" t="n">
        <x:f>N381^2</x:f>
        <x:v>67902.56460108855</x:v>
      </x:c>
      <x:c r="Q381" s="8" t="n">
        <x:f>K381-L381</x:f>
        <x:v>8</x:v>
      </x:c>
      <x:c r="R381" s="9" t="n">
        <x:f>IF(AND(INDEX('Сводка'!$T$3:$T$397,U381)=0,INDEX('Сводка'!$T$3:$T$397,V381)=0),1,0)</x:f>
        <x:v>1</x:v>
      </x:c>
      <x:c r="S381" s="9" t="n">
        <x:f>IF(AND(R381=1,O381&lt;=$G$13),1,0)</x:f>
        <x:v>0</x:v>
      </x:c>
      <x:c r="T381" s="10" t="n">
        <x:f>EOMONTH(J381-'Сводка'!$B$11,-1)</x:f>
        <x:v>46203</x:v>
      </x:c>
      <x:c r="U381" s="4" t="n">
        <x:f>MATCH(J381,'Сводка'!$R$3:$R$397,0)</x:f>
        <x:v>392</x:v>
      </x:c>
      <x:c r="V381" s="4" t="n">
        <x:f>MATCH(J381-'Сводка'!$B$11,'Сводка'!$R$3:$R$397,0)</x:f>
        <x:v>391</x:v>
      </x:c>
      <x:c r="W381" s="4" t="n">
        <x:f>MATCH(T381,$J$388:$J$400,0)</x:f>
        <x:v>13</x:v>
      </x:c>
      <x:c r="X381" s="3"/>
      <x:c r="Y381" s="3"/>
      <x:c r="Z381" s="3"/>
    </x:row>
    <x:row r="382" ht="15" customHeight="1">
      <x:c r="A382" s="3"/>
      <x:c r="B382" s="3"/>
      <x:c r="C382" s="3"/>
      <x:c r="D382" s="3"/>
      <x:c r="E382" s="3"/>
      <x:c r="F382" s="3"/>
      <x:c r="G382" s="3"/>
      <x:c r="H382" s="3"/>
      <x:c r="I382" s="3"/>
      <x:c r="J382" s="10" t="n">
        <x:v>46233</x:v>
      </x:c>
      <x:c r="K382" s="8" t="n">
        <x:f>INDEX('Сводка'!$S$3:$S$397,U382)</x:f>
        <x:v>389</x:v>
      </x:c>
      <x:c r="L382" s="8" t="n">
        <x:f>INDEX('Сводка'!$S$3:$S$397,V382)</x:f>
        <x:v>385</x:v>
      </x:c>
      <x:c r="M382" s="8" t="n">
        <x:f>INDEX($K$388:$N$400,W382,1)+INDEX($K$388:$N$400,W382,2)*LN(((J382-$T$405+1)/1000))</x:f>
        <x:v>124.42506377674609</x:v>
      </x:c>
      <x:c r="N382" s="8" t="n">
        <x:f>K382-M382</x:f>
        <x:v>264.5749362232539</x:v>
      </x:c>
      <x:c r="O382" s="8" t="n">
        <x:f>ABS(N382)</x:f>
        <x:v>264.5749362232539</x:v>
      </x:c>
      <x:c r="P382" s="8" t="n">
        <x:f>N382^2</x:f>
        <x:v>69999.89687753888</x:v>
      </x:c>
      <x:c r="Q382" s="8" t="n">
        <x:f>K382-L382</x:f>
        <x:v>4</x:v>
      </x:c>
      <x:c r="R382" s="9" t="n">
        <x:f>IF(AND(INDEX('Сводка'!$T$3:$T$397,U382)=0,INDEX('Сводка'!$T$3:$T$397,V382)=0),1,0)</x:f>
        <x:v>1</x:v>
      </x:c>
      <x:c r="S382" s="9" t="n">
        <x:f>IF(AND(R382=1,O382&lt;=$G$13),1,0)</x:f>
        <x:v>0</x:v>
      </x:c>
      <x:c r="T382" s="10" t="n">
        <x:f>EOMONTH(J382-'Сводка'!$B$11,-1)</x:f>
        <x:v>46203</x:v>
      </x:c>
      <x:c r="U382" s="4" t="n">
        <x:f>MATCH(J382,'Сводка'!$R$3:$R$397,0)</x:f>
        <x:v>393</x:v>
      </x:c>
      <x:c r="V382" s="4" t="n">
        <x:f>MATCH(J382-'Сводка'!$B$11,'Сводка'!$R$3:$R$397,0)</x:f>
        <x:v>392</x:v>
      </x:c>
      <x:c r="W382" s="4" t="n">
        <x:f>MATCH(T382,$J$388:$J$400,0)</x:f>
        <x:v>13</x:v>
      </x:c>
      <x:c r="X382" s="3"/>
      <x:c r="Y382" s="3"/>
      <x:c r="Z382" s="3"/>
    </x:row>
    <x:row r="383" ht="15" customHeight="1">
      <x:c r="A383" s="3"/>
      <x:c r="B383" s="3"/>
      <x:c r="C383" s="3"/>
      <x:c r="D383" s="3"/>
      <x:c r="E383" s="3"/>
      <x:c r="F383" s="3"/>
      <x:c r="G383" s="3"/>
      <x:c r="H383" s="3"/>
      <x:c r="I383" s="3"/>
      <x:c r="J383" s="10" t="n">
        <x:v>46234</x:v>
      </x:c>
      <x:c r="K383" s="8" t="n">
        <x:f>INDEX('Сводка'!$S$3:$S$397,U383)</x:f>
        <x:v>399</x:v>
      </x:c>
      <x:c r="L383" s="8" t="n">
        <x:f>INDEX('Сводка'!$S$3:$S$397,V383)</x:f>
        <x:v>389</x:v>
      </x:c>
      <x:c r="M383" s="8" t="n">
        <x:f>INDEX($K$388:$N$400,W383,1)+INDEX($K$388:$N$400,W383,2)*LN(((J383-$T$405+1)/1000))</x:f>
        <x:v>124.43133224245405</x:v>
      </x:c>
      <x:c r="N383" s="8" t="n">
        <x:f>K383-M383</x:f>
        <x:v>274.56866775754594</x:v>
      </x:c>
      <x:c r="O383" s="8" t="n">
        <x:f>ABS(N383)</x:f>
        <x:v>274.56866775754594</x:v>
      </x:c>
      <x:c r="P383" s="8" t="n">
        <x:f>N383^2</x:f>
        <x:v>75387.95331415365</x:v>
      </x:c>
      <x:c r="Q383" s="8" t="n">
        <x:f>K383-L383</x:f>
        <x:v>10</x:v>
      </x:c>
      <x:c r="R383" s="9" t="n">
        <x:f>IF(AND(INDEX('Сводка'!$T$3:$T$397,U383)=0,INDEX('Сводка'!$T$3:$T$397,V383)=0),1,0)</x:f>
        <x:v>1</x:v>
      </x:c>
      <x:c r="S383" s="9" t="n">
        <x:f>IF(AND(R383=1,O383&lt;=$G$13),1,0)</x:f>
        <x:v>0</x:v>
      </x:c>
      <x:c r="T383" s="10" t="n">
        <x:f>EOMONTH(J383-'Сводка'!$B$11,-1)</x:f>
        <x:v>46203</x:v>
      </x:c>
      <x:c r="U383" s="4" t="n">
        <x:f>MATCH(J383,'Сводка'!$R$3:$R$397,0)</x:f>
        <x:v>394</x:v>
      </x:c>
      <x:c r="V383" s="4" t="n">
        <x:f>MATCH(J383-'Сводка'!$B$11,'Сводка'!$R$3:$R$397,0)</x:f>
        <x:v>393</x:v>
      </x:c>
      <x:c r="W383" s="4" t="n">
        <x:f>MATCH(T383,$J$388:$J$400,0)</x:f>
        <x:v>13</x:v>
      </x:c>
      <x:c r="X383" s="3"/>
      <x:c r="Y383" s="3"/>
      <x:c r="Z383" s="3"/>
    </x:row>
    <x:row r="384" ht="15" customHeight="1">
      <x:c r="A384" s="3"/>
      <x:c r="B384" s="3"/>
      <x:c r="C384" s="3"/>
      <x:c r="D384" s="3"/>
      <x:c r="E384" s="3"/>
      <x:c r="F384" s="3"/>
      <x:c r="G384" s="3"/>
      <x:c r="H384" s="3"/>
      <x:c r="I384" s="3"/>
      <x:c r="J384" s="10" t="n">
        <x:v>46235</x:v>
      </x:c>
      <x:c r="K384" s="8" t="n">
        <x:f>INDEX('Сводка'!$S$3:$S$397,U384)</x:f>
        <x:v>405</x:v>
      </x:c>
      <x:c r="L384" s="8" t="n">
        <x:f>INDEX('Сводка'!$S$3:$S$397,V384)</x:f>
        <x:v>399</x:v>
      </x:c>
      <x:c r="M384" s="8" t="n">
        <x:f>INDEX($K$388:$N$400,W384,1)+INDEX($K$388:$N$400,W384,2)*LN(((J384-$T$405+1)/1000))</x:f>
        <x:v>124.43760000999798</x:v>
      </x:c>
      <x:c r="N384" s="8" t="n">
        <x:f>K384-M384</x:f>
        <x:v>280.562399990002</x:v>
      </x:c>
      <x:c r="O384" s="8" t="n">
        <x:f>ABS(N384)</x:f>
        <x:v>280.562399990002</x:v>
      </x:c>
      <x:c r="P384" s="8" t="n">
        <x:f>N384^2</x:f>
        <x:v>78715.26028814988</x:v>
      </x:c>
      <x:c r="Q384" s="8" t="n">
        <x:f>K384-L384</x:f>
        <x:v>6</x:v>
      </x:c>
      <x:c r="R384" s="9" t="n">
        <x:f>IF(AND(INDEX('Сводка'!$T$3:$T$397,U384)=0,INDEX('Сводка'!$T$3:$T$397,V384)=0),1,0)</x:f>
        <x:v>1</x:v>
      </x:c>
      <x:c r="S384" s="9" t="n">
        <x:f>IF(AND(R384=1,O384&lt;=$G$13),1,0)</x:f>
        <x:v>0</x:v>
      </x:c>
      <x:c r="T384" s="10" t="n">
        <x:f>EOMONTH(J384-'Сводка'!$B$11,-1)</x:f>
        <x:v>46203</x:v>
      </x:c>
      <x:c r="U384" s="4" t="n">
        <x:f>MATCH(J384,'Сводка'!$R$3:$R$397,0)</x:f>
        <x:v>395</x:v>
      </x:c>
      <x:c r="V384" s="4" t="n">
        <x:f>MATCH(J384-'Сводка'!$B$11,'Сводка'!$R$3:$R$397,0)</x:f>
        <x:v>394</x:v>
      </x:c>
      <x:c r="W384" s="4" t="n">
        <x:f>MATCH(T384,$J$388:$J$400,0)</x:f>
        <x:v>13</x:v>
      </x:c>
      <x:c r="X384" s="3"/>
      <x:c r="Y384" s="3"/>
      <x:c r="Z384" s="3"/>
    </x:row>
    <x:row r="385" ht="15" customHeight="1">
      <x:c r="A385" s="3"/>
      <x:c r="B385" s="3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  <x:c r="N385" s="3"/>
      <x:c r="O385" s="3"/>
      <x:c r="P385" s="3"/>
      <x:c r="Q385" s="3"/>
      <x:c r="R385" s="3"/>
      <x:c r="S385" s="3"/>
      <x:c r="T385" s="3"/>
      <x:c r="U385" s="3"/>
      <x:c r="V385" s="3"/>
      <x:c r="W385" s="3"/>
      <x:c r="X385" s="3"/>
      <x:c r="Y385" s="3"/>
      <x:c r="Z385" s="3"/>
    </x:row>
    <x:row r="386" ht="15" customHeight="1">
      <x:c r="A386" s="3"/>
      <x:c r="B386" s="3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  <x:c r="N386" s="3"/>
      <x:c r="O386" s="3"/>
      <x:c r="P386" s="3"/>
      <x:c r="Q386" s="3"/>
      <x:c r="R386" s="3"/>
      <x:c r="S386" s="3"/>
      <x:c r="T386" s="3"/>
      <x:c r="U386" s="3"/>
      <x:c r="V386" s="3"/>
      <x:c r="W386" s="3"/>
      <x:c r="X386" s="3"/>
      <x:c r="Y386" s="3"/>
      <x:c r="Z386" s="3"/>
    </x:row>
    <x:row r="387" ht="30" customHeight="1">
      <x:c r="A387" s="3"/>
      <x:c r="B387" s="3"/>
      <x:c r="C387" s="3"/>
      <x:c r="D387" s="3"/>
      <x:c r="E387" s="3"/>
      <x:c r="F387" s="3"/>
      <x:c r="G387" s="3"/>
      <x:c r="H387" s="3"/>
      <x:c r="I387" s="3"/>
      <x:c r="J387" s="14" t="str">
        <x:v>Обучение до</x:v>
      </x:c>
      <x:c r="K387" s="14" t="str">
        <x:v>a0/a</x:v>
      </x:c>
      <x:c r="L387" s="14" t="str">
        <x:v>a1/b</x:v>
      </x:c>
      <x:c r="M387" s="14" t="str">
        <x:v>a2</x:v>
      </x:c>
      <x:c r="N387" s="14" t="str">
        <x:v>a3</x:v>
      </x:c>
      <x:c r="O387" s="14" t="str">
        <x:v>c1</x:v>
      </x:c>
      <x:c r="P387" s="14" t="str">
        <x:v>c2</x:v>
      </x:c>
      <x:c r="Q387" s="14" t="str">
        <x:v>c3</x:v>
      </x:c>
      <x:c r="R387" s="14" t="str">
        <x:v>c4</x:v>
      </x:c>
      <x:c r="S387" s="14" t="str">
        <x:v>c5</x:v>
      </x:c>
      <x:c r="T387" s="14" t="str">
        <x:v>c6</x:v>
      </x:c>
      <x:c r="U387" s="14" t="str">
        <x:v>c7</x:v>
      </x:c>
      <x:c r="V387" s="14" t="str">
        <x:v>c8</x:v>
      </x:c>
      <x:c r="W387" s="14" t="str">
        <x:v>c9</x:v>
      </x:c>
      <x:c r="X387" s="14" t="str">
        <x:v>c10</x:v>
      </x:c>
      <x:c r="Y387" s="14" t="str">
        <x:v>c11</x:v>
      </x:c>
      <x:c r="Z387" s="14" t="str">
        <x:v>c12</x:v>
      </x:c>
    </x:row>
    <x:row r="388" ht="15" customHeight="1">
      <x:c r="A388" s="3"/>
      <x:c r="B388" s="3"/>
      <x:c r="C388" s="3"/>
      <x:c r="D388" s="3"/>
      <x:c r="E388" s="3"/>
      <x:c r="F388" s="3"/>
      <x:c r="G388" s="3"/>
      <x:c r="H388" s="3"/>
      <x:c r="I388" s="3"/>
      <x:c r="J388" s="7" t="n">
        <x:v>45838</x:v>
      </x:c>
      <x:c r="K388" s="3" t="n">
        <x:v>0.4769824808388672</x:v>
      </x:c>
      <x:c r="L388" s="3" t="n">
        <x:v>58.608922374309174</x:v>
      </x:c>
      <x:c r="M388" s="3" t="n">
        <x:v>0</x:v>
      </x:c>
      <x:c r="N388" s="3" t="n">
        <x:v>0</x:v>
      </x:c>
      <x:c r="O388" s="3" t="n">
        <x:v>0</x:v>
      </x:c>
      <x:c r="P388" s="3" t="n">
        <x:v>0</x:v>
      </x:c>
      <x:c r="Q388" s="3" t="n">
        <x:v>0</x:v>
      </x:c>
      <x:c r="R388" s="3" t="n">
        <x:v>0</x:v>
      </x:c>
      <x:c r="S388" s="3" t="n">
        <x:v>0</x:v>
      </x:c>
      <x:c r="T388" s="3" t="n">
        <x:v>0</x:v>
      </x:c>
      <x:c r="U388" s="3" t="n">
        <x:v>0</x:v>
      </x:c>
      <x:c r="V388" s="3" t="n">
        <x:v>0</x:v>
      </x:c>
      <x:c r="W388" s="3" t="n">
        <x:v>0</x:v>
      </x:c>
      <x:c r="X388" s="3" t="n">
        <x:v>0</x:v>
      </x:c>
      <x:c r="Y388" s="3" t="n">
        <x:v>0</x:v>
      </x:c>
      <x:c r="Z388" s="3" t="n">
        <x:v>0</x:v>
      </x:c>
    </x:row>
    <x:row r="389" ht="15" customHeight="1">
      <x:c r="A389" s="3"/>
      <x:c r="B389" s="3"/>
      <x:c r="C389" s="3"/>
      <x:c r="D389" s="3"/>
      <x:c r="E389" s="3"/>
      <x:c r="F389" s="3"/>
      <x:c r="G389" s="3"/>
      <x:c r="H389" s="3"/>
      <x:c r="I389" s="3"/>
      <x:c r="J389" s="7" t="n">
        <x:v>45869</x:v>
      </x:c>
      <x:c r="K389" s="3" t="n">
        <x:v>0.4377244865941119</x:v>
      </x:c>
      <x:c r="L389" s="3" t="n">
        <x:v>58.85434783656334</x:v>
      </x:c>
      <x:c r="M389" s="3" t="n">
        <x:v>0</x:v>
      </x:c>
      <x:c r="N389" s="3" t="n">
        <x:v>0</x:v>
      </x:c>
      <x:c r="O389" s="3" t="n">
        <x:v>0</x:v>
      </x:c>
      <x:c r="P389" s="3" t="n">
        <x:v>0</x:v>
      </x:c>
      <x:c r="Q389" s="3" t="n">
        <x:v>0</x:v>
      </x:c>
      <x:c r="R389" s="3" t="n">
        <x:v>0</x:v>
      </x:c>
      <x:c r="S389" s="3" t="n">
        <x:v>0</x:v>
      </x:c>
      <x:c r="T389" s="3" t="n">
        <x:v>0</x:v>
      </x:c>
      <x:c r="U389" s="3" t="n">
        <x:v>0</x:v>
      </x:c>
      <x:c r="V389" s="3" t="n">
        <x:v>0</x:v>
      </x:c>
      <x:c r="W389" s="3" t="n">
        <x:v>0</x:v>
      </x:c>
      <x:c r="X389" s="3" t="n">
        <x:v>0</x:v>
      </x:c>
      <x:c r="Y389" s="3" t="n">
        <x:v>0</x:v>
      </x:c>
      <x:c r="Z389" s="3" t="n">
        <x:v>0</x:v>
      </x:c>
    </x:row>
    <x:row r="390" ht="15" customHeight="1">
      <x:c r="A390" s="3"/>
      <x:c r="B390" s="3"/>
      <x:c r="C390" s="3"/>
      <x:c r="D390" s="3"/>
      <x:c r="E390" s="3"/>
      <x:c r="F390" s="3"/>
      <x:c r="G390" s="3"/>
      <x:c r="H390" s="3"/>
      <x:c r="I390" s="3"/>
      <x:c r="J390" s="7" t="n">
        <x:v>45900</x:v>
      </x:c>
      <x:c r="K390" s="3" t="n">
        <x:v>0.34899258694161717</x:v>
      </x:c>
      <x:c r="L390" s="3" t="n">
        <x:v>59.3972853514571</x:v>
      </x:c>
      <x:c r="M390" s="3" t="n">
        <x:v>0</x:v>
      </x:c>
      <x:c r="N390" s="3" t="n">
        <x:v>0</x:v>
      </x:c>
      <x:c r="O390" s="3" t="n">
        <x:v>0</x:v>
      </x:c>
      <x:c r="P390" s="3" t="n">
        <x:v>0</x:v>
      </x:c>
      <x:c r="Q390" s="3" t="n">
        <x:v>0</x:v>
      </x:c>
      <x:c r="R390" s="3" t="n">
        <x:v>0</x:v>
      </x:c>
      <x:c r="S390" s="3" t="n">
        <x:v>0</x:v>
      </x:c>
      <x:c r="T390" s="3" t="n">
        <x:v>0</x:v>
      </x:c>
      <x:c r="U390" s="3" t="n">
        <x:v>0</x:v>
      </x:c>
      <x:c r="V390" s="3" t="n">
        <x:v>0</x:v>
      </x:c>
      <x:c r="W390" s="3" t="n">
        <x:v>0</x:v>
      </x:c>
      <x:c r="X390" s="3" t="n">
        <x:v>0</x:v>
      </x:c>
      <x:c r="Y390" s="3" t="n">
        <x:v>0</x:v>
      </x:c>
      <x:c r="Z390" s="3" t="n">
        <x:v>0</x:v>
      </x:c>
    </x:row>
    <x:row r="391" ht="15" customHeight="1">
      <x:c r="A391" s="3"/>
      <x:c r="B391" s="3"/>
      <x:c r="C391" s="3"/>
      <x:c r="D391" s="3"/>
      <x:c r="E391" s="3"/>
      <x:c r="F391" s="3"/>
      <x:c r="G391" s="3"/>
      <x:c r="H391" s="3"/>
      <x:c r="I391" s="3"/>
      <x:c r="J391" s="7" t="n">
        <x:v>45930</x:v>
      </x:c>
      <x:c r="K391" s="3" t="n">
        <x:v>0.27882627273368504</x:v>
      </x:c>
      <x:c r="L391" s="3" t="n">
        <x:v>59.817393499227414</x:v>
      </x:c>
      <x:c r="M391" s="3" t="n">
        <x:v>0</x:v>
      </x:c>
      <x:c r="N391" s="3" t="n">
        <x:v>0</x:v>
      </x:c>
      <x:c r="O391" s="3" t="n">
        <x:v>0</x:v>
      </x:c>
      <x:c r="P391" s="3" t="n">
        <x:v>0</x:v>
      </x:c>
      <x:c r="Q391" s="3" t="n">
        <x:v>0</x:v>
      </x:c>
      <x:c r="R391" s="3" t="n">
        <x:v>0</x:v>
      </x:c>
      <x:c r="S391" s="3" t="n">
        <x:v>0</x:v>
      </x:c>
      <x:c r="T391" s="3" t="n">
        <x:v>0</x:v>
      </x:c>
      <x:c r="U391" s="3" t="n">
        <x:v>0</x:v>
      </x:c>
      <x:c r="V391" s="3" t="n">
        <x:v>0</x:v>
      </x:c>
      <x:c r="W391" s="3" t="n">
        <x:v>0</x:v>
      </x:c>
      <x:c r="X391" s="3" t="n">
        <x:v>0</x:v>
      </x:c>
      <x:c r="Y391" s="3" t="n">
        <x:v>0</x:v>
      </x:c>
      <x:c r="Z391" s="3" t="n">
        <x:v>0</x:v>
      </x:c>
    </x:row>
    <x:row r="392" ht="15" customHeight="1">
      <x:c r="A392" s="3"/>
      <x:c r="B392" s="3"/>
      <x:c r="C392" s="3"/>
      <x:c r="D392" s="3"/>
      <x:c r="E392" s="3"/>
      <x:c r="F392" s="3"/>
      <x:c r="G392" s="3"/>
      <x:c r="H392" s="3"/>
      <x:c r="I392" s="3"/>
      <x:c r="J392" s="7" t="n">
        <x:v>45961</x:v>
      </x:c>
      <x:c r="K392" s="3" t="n">
        <x:v>0.2952550859764708</x:v>
      </x:c>
      <x:c r="L392" s="3" t="n">
        <x:v>59.72310297272406</x:v>
      </x:c>
      <x:c r="M392" s="3" t="n">
        <x:v>0</x:v>
      </x:c>
      <x:c r="N392" s="3" t="n">
        <x:v>0</x:v>
      </x:c>
      <x:c r="O392" s="3" t="n">
        <x:v>0</x:v>
      </x:c>
      <x:c r="P392" s="3" t="n">
        <x:v>0</x:v>
      </x:c>
      <x:c r="Q392" s="3" t="n">
        <x:v>0</x:v>
      </x:c>
      <x:c r="R392" s="3" t="n">
        <x:v>0</x:v>
      </x:c>
      <x:c r="S392" s="3" t="n">
        <x:v>0</x:v>
      </x:c>
      <x:c r="T392" s="3" t="n">
        <x:v>0</x:v>
      </x:c>
      <x:c r="U392" s="3" t="n">
        <x:v>0</x:v>
      </x:c>
      <x:c r="V392" s="3" t="n">
        <x:v>0</x:v>
      </x:c>
      <x:c r="W392" s="3" t="n">
        <x:v>0</x:v>
      </x:c>
      <x:c r="X392" s="3" t="n">
        <x:v>0</x:v>
      </x:c>
      <x:c r="Y392" s="3" t="n">
        <x:v>0</x:v>
      </x:c>
      <x:c r="Z392" s="3" t="n">
        <x:v>0</x:v>
      </x:c>
    </x:row>
    <x:row r="393" ht="15" customHeight="1">
      <x:c r="A393" s="3"/>
      <x:c r="B393" s="3"/>
      <x:c r="C393" s="3"/>
      <x:c r="D393" s="3"/>
      <x:c r="E393" s="3"/>
      <x:c r="F393" s="3"/>
      <x:c r="G393" s="3"/>
      <x:c r="H393" s="3"/>
      <x:c r="I393" s="3"/>
      <x:c r="J393" s="7" t="n">
        <x:v>45991</x:v>
      </x:c>
      <x:c r="K393" s="3" t="n">
        <x:v>0.4244240348314801</x:v>
      </x:c>
      <x:c r="L393" s="3" t="n">
        <x:v>58.978819678342965</x:v>
      </x:c>
      <x:c r="M393" s="3" t="n">
        <x:v>0</x:v>
      </x:c>
      <x:c r="N393" s="3" t="n">
        <x:v>0</x:v>
      </x:c>
      <x:c r="O393" s="3" t="n">
        <x:v>0</x:v>
      </x:c>
      <x:c r="P393" s="3" t="n">
        <x:v>0</x:v>
      </x:c>
      <x:c r="Q393" s="3" t="n">
        <x:v>0</x:v>
      </x:c>
      <x:c r="R393" s="3" t="n">
        <x:v>0</x:v>
      </x:c>
      <x:c r="S393" s="3" t="n">
        <x:v>0</x:v>
      </x:c>
      <x:c r="T393" s="3" t="n">
        <x:v>0</x:v>
      </x:c>
      <x:c r="U393" s="3" t="n">
        <x:v>0</x:v>
      </x:c>
      <x:c r="V393" s="3" t="n">
        <x:v>0</x:v>
      </x:c>
      <x:c r="W393" s="3" t="n">
        <x:v>0</x:v>
      </x:c>
      <x:c r="X393" s="3" t="n">
        <x:v>0</x:v>
      </x:c>
      <x:c r="Y393" s="3" t="n">
        <x:v>0</x:v>
      </x:c>
      <x:c r="Z393" s="3" t="n">
        <x:v>0</x:v>
      </x:c>
    </x:row>
    <x:row r="394" ht="15" customHeight="1">
      <x:c r="A394" s="3"/>
      <x:c r="B394" s="3"/>
      <x:c r="C394" s="3"/>
      <x:c r="D394" s="3"/>
      <x:c r="E394" s="3"/>
      <x:c r="F394" s="3"/>
      <x:c r="G394" s="3"/>
      <x:c r="H394" s="3"/>
      <x:c r="I394" s="3"/>
      <x:c r="J394" s="7" t="n">
        <x:v>46022</x:v>
      </x:c>
      <x:c r="K394" s="3" t="n">
        <x:v>0.5112346444810597</x:v>
      </x:c>
      <x:c r="L394" s="3" t="n">
        <x:v>58.48805103156807</x:v>
      </x:c>
      <x:c r="M394" s="3" t="n">
        <x:v>0</x:v>
      </x:c>
      <x:c r="N394" s="3" t="n">
        <x:v>0</x:v>
      </x:c>
      <x:c r="O394" s="3" t="n">
        <x:v>0</x:v>
      </x:c>
      <x:c r="P394" s="3" t="n">
        <x:v>0</x:v>
      </x:c>
      <x:c r="Q394" s="3" t="n">
        <x:v>0</x:v>
      </x:c>
      <x:c r="R394" s="3" t="n">
        <x:v>0</x:v>
      </x:c>
      <x:c r="S394" s="3" t="n">
        <x:v>0</x:v>
      </x:c>
      <x:c r="T394" s="3" t="n">
        <x:v>0</x:v>
      </x:c>
      <x:c r="U394" s="3" t="n">
        <x:v>0</x:v>
      </x:c>
      <x:c r="V394" s="3" t="n">
        <x:v>0</x:v>
      </x:c>
      <x:c r="W394" s="3" t="n">
        <x:v>0</x:v>
      </x:c>
      <x:c r="X394" s="3" t="n">
        <x:v>0</x:v>
      </x:c>
      <x:c r="Y394" s="3" t="n">
        <x:v>0</x:v>
      </x:c>
      <x:c r="Z394" s="3" t="n">
        <x:v>0</x:v>
      </x:c>
    </x:row>
    <x:row r="395" ht="15" customHeight="1">
      <x:c r="A395" s="3"/>
      <x:c r="B395" s="3"/>
      <x:c r="C395" s="3"/>
      <x:c r="D395" s="3"/>
      <x:c r="E395" s="3"/>
      <x:c r="F395" s="3"/>
      <x:c r="G395" s="3"/>
      <x:c r="H395" s="3"/>
      <x:c r="I395" s="3"/>
      <x:c r="J395" s="7" t="n">
        <x:v>46053</x:v>
      </x:c>
      <x:c r="K395" s="3" t="n">
        <x:v>0.6129840535562109</x:v>
      </x:c>
      <x:c r="L395" s="3" t="n">
        <x:v>57.923887363763384</x:v>
      </x:c>
      <x:c r="M395" s="3" t="n">
        <x:v>0</x:v>
      </x:c>
      <x:c r="N395" s="3" t="n">
        <x:v>0</x:v>
      </x:c>
      <x:c r="O395" s="3" t="n">
        <x:v>0</x:v>
      </x:c>
      <x:c r="P395" s="3" t="n">
        <x:v>0</x:v>
      </x:c>
      <x:c r="Q395" s="3" t="n">
        <x:v>0</x:v>
      </x:c>
      <x:c r="R395" s="3" t="n">
        <x:v>0</x:v>
      </x:c>
      <x:c r="S395" s="3" t="n">
        <x:v>0</x:v>
      </x:c>
      <x:c r="T395" s="3" t="n">
        <x:v>0</x:v>
      </x:c>
      <x:c r="U395" s="3" t="n">
        <x:v>0</x:v>
      </x:c>
      <x:c r="V395" s="3" t="n">
        <x:v>0</x:v>
      </x:c>
      <x:c r="W395" s="3" t="n">
        <x:v>0</x:v>
      </x:c>
      <x:c r="X395" s="3" t="n">
        <x:v>0</x:v>
      </x:c>
      <x:c r="Y395" s="3" t="n">
        <x:v>0</x:v>
      </x:c>
      <x:c r="Z395" s="3" t="n">
        <x:v>0</x:v>
      </x:c>
    </x:row>
    <x:row r="396" ht="15" customHeight="1">
      <x:c r="A396" s="3"/>
      <x:c r="B396" s="3"/>
      <x:c r="C396" s="3"/>
      <x:c r="D396" s="3"/>
      <x:c r="E396" s="3"/>
      <x:c r="F396" s="3"/>
      <x:c r="G396" s="3"/>
      <x:c r="H396" s="3"/>
      <x:c r="I396" s="3"/>
      <x:c r="J396" s="7" t="n">
        <x:v>46081</x:v>
      </x:c>
      <x:c r="K396" s="3" t="n">
        <x:v>0.7178732072497873</x:v>
      </x:c>
      <x:c r="L396" s="3" t="n">
        <x:v>57.35224948188075</x:v>
      </x:c>
      <x:c r="M396" s="3" t="n">
        <x:v>0</x:v>
      </x:c>
      <x:c r="N396" s="3" t="n">
        <x:v>0</x:v>
      </x:c>
      <x:c r="O396" s="3" t="n">
        <x:v>0</x:v>
      </x:c>
      <x:c r="P396" s="3" t="n">
        <x:v>0</x:v>
      </x:c>
      <x:c r="Q396" s="3" t="n">
        <x:v>0</x:v>
      </x:c>
      <x:c r="R396" s="3" t="n">
        <x:v>0</x:v>
      </x:c>
      <x:c r="S396" s="3" t="n">
        <x:v>0</x:v>
      </x:c>
      <x:c r="T396" s="3" t="n">
        <x:v>0</x:v>
      </x:c>
      <x:c r="U396" s="3" t="n">
        <x:v>0</x:v>
      </x:c>
      <x:c r="V396" s="3" t="n">
        <x:v>0</x:v>
      </x:c>
      <x:c r="W396" s="3" t="n">
        <x:v>0</x:v>
      </x:c>
      <x:c r="X396" s="3" t="n">
        <x:v>0</x:v>
      </x:c>
      <x:c r="Y396" s="3" t="n">
        <x:v>0</x:v>
      </x:c>
      <x:c r="Z396" s="3" t="n">
        <x:v>0</x:v>
      </x:c>
    </x:row>
    <x:row r="397" ht="15" customHeight="1">
      <x:c r="A397" s="3"/>
      <x:c r="B397" s="3"/>
      <x:c r="C397" s="3"/>
      <x:c r="D397" s="3"/>
      <x:c r="E397" s="3"/>
      <x:c r="F397" s="3"/>
      <x:c r="G397" s="3"/>
      <x:c r="H397" s="3"/>
      <x:c r="I397" s="3"/>
      <x:c r="J397" s="7" t="n">
        <x:v>46112</x:v>
      </x:c>
      <x:c r="K397" s="3" t="n">
        <x:v>0.8531224913162079</x:v>
      </x:c>
      <x:c r="L397" s="3" t="n">
        <x:v>56.62780274538833</x:v>
      </x:c>
      <x:c r="M397" s="3" t="n">
        <x:v>0</x:v>
      </x:c>
      <x:c r="N397" s="3" t="n">
        <x:v>0</x:v>
      </x:c>
      <x:c r="O397" s="3" t="n">
        <x:v>0</x:v>
      </x:c>
      <x:c r="P397" s="3" t="n">
        <x:v>0</x:v>
      </x:c>
      <x:c r="Q397" s="3" t="n">
        <x:v>0</x:v>
      </x:c>
      <x:c r="R397" s="3" t="n">
        <x:v>0</x:v>
      </x:c>
      <x:c r="S397" s="3" t="n">
        <x:v>0</x:v>
      </x:c>
      <x:c r="T397" s="3" t="n">
        <x:v>0</x:v>
      </x:c>
      <x:c r="U397" s="3" t="n">
        <x:v>0</x:v>
      </x:c>
      <x:c r="V397" s="3" t="n">
        <x:v>0</x:v>
      </x:c>
      <x:c r="W397" s="3" t="n">
        <x:v>0</x:v>
      </x:c>
      <x:c r="X397" s="3" t="n">
        <x:v>0</x:v>
      </x:c>
      <x:c r="Y397" s="3" t="n">
        <x:v>0</x:v>
      </x:c>
      <x:c r="Z397" s="3" t="n">
        <x:v>0</x:v>
      </x:c>
    </x:row>
    <x:row r="398" ht="15" customHeight="1">
      <x:c r="A398" s="3"/>
      <x:c r="B398" s="3"/>
      <x:c r="C398" s="3"/>
      <x:c r="D398" s="3"/>
      <x:c r="E398" s="3"/>
      <x:c r="F398" s="3"/>
      <x:c r="G398" s="3"/>
      <x:c r="H398" s="3"/>
      <x:c r="I398" s="3"/>
      <x:c r="J398" s="7" t="n">
        <x:v>46142</x:v>
      </x:c>
      <x:c r="K398" s="3" t="n">
        <x:v>0.9175346080137446</x:v>
      </x:c>
      <x:c r="L398" s="3" t="n">
        <x:v>56.28826683943522</x:v>
      </x:c>
      <x:c r="M398" s="3" t="n">
        <x:v>0</x:v>
      </x:c>
      <x:c r="N398" s="3" t="n">
        <x:v>0</x:v>
      </x:c>
      <x:c r="O398" s="3" t="n">
        <x:v>0</x:v>
      </x:c>
      <x:c r="P398" s="3" t="n">
        <x:v>0</x:v>
      </x:c>
      <x:c r="Q398" s="3" t="n">
        <x:v>0</x:v>
      </x:c>
      <x:c r="R398" s="3" t="n">
        <x:v>0</x:v>
      </x:c>
      <x:c r="S398" s="3" t="n">
        <x:v>0</x:v>
      </x:c>
      <x:c r="T398" s="3" t="n">
        <x:v>0</x:v>
      </x:c>
      <x:c r="U398" s="3" t="n">
        <x:v>0</x:v>
      </x:c>
      <x:c r="V398" s="3" t="n">
        <x:v>0</x:v>
      </x:c>
      <x:c r="W398" s="3" t="n">
        <x:v>0</x:v>
      </x:c>
      <x:c r="X398" s="3" t="n">
        <x:v>0</x:v>
      </x:c>
      <x:c r="Y398" s="3" t="n">
        <x:v>0</x:v>
      </x:c>
      <x:c r="Z398" s="3" t="n">
        <x:v>0</x:v>
      </x:c>
    </x:row>
    <x:row r="399" ht="15" customHeight="1">
      <x:c r="A399" s="3"/>
      <x:c r="B399" s="3"/>
      <x:c r="C399" s="3"/>
      <x:c r="D399" s="3"/>
      <x:c r="E399" s="3"/>
      <x:c r="F399" s="3"/>
      <x:c r="G399" s="3"/>
      <x:c r="H399" s="3"/>
      <x:c r="I399" s="3"/>
      <x:c r="J399" s="7" t="n">
        <x:v>46173</x:v>
      </x:c>
      <x:c r="K399" s="3" t="n">
        <x:v>0.9242676370869675</x:v>
      </x:c>
      <x:c r="L399" s="3" t="n">
        <x:v>56.253356925561924</x:v>
      </x:c>
      <x:c r="M399" s="3" t="n">
        <x:v>0</x:v>
      </x:c>
      <x:c r="N399" s="3" t="n">
        <x:v>0</x:v>
      </x:c>
      <x:c r="O399" s="3" t="n">
        <x:v>0</x:v>
      </x:c>
      <x:c r="P399" s="3" t="n">
        <x:v>0</x:v>
      </x:c>
      <x:c r="Q399" s="3" t="n">
        <x:v>0</x:v>
      </x:c>
      <x:c r="R399" s="3" t="n">
        <x:v>0</x:v>
      </x:c>
      <x:c r="S399" s="3" t="n">
        <x:v>0</x:v>
      </x:c>
      <x:c r="T399" s="3" t="n">
        <x:v>0</x:v>
      </x:c>
      <x:c r="U399" s="3" t="n">
        <x:v>0</x:v>
      </x:c>
      <x:c r="V399" s="3" t="n">
        <x:v>0</x:v>
      </x:c>
      <x:c r="W399" s="3" t="n">
        <x:v>0</x:v>
      </x:c>
      <x:c r="X399" s="3" t="n">
        <x:v>0</x:v>
      </x:c>
      <x:c r="Y399" s="3" t="n">
        <x:v>0</x:v>
      </x:c>
      <x:c r="Z399" s="3" t="n">
        <x:v>0</x:v>
      </x:c>
    </x:row>
    <x:row r="400" ht="15" customHeight="1">
      <x:c r="A400" s="3"/>
      <x:c r="B400" s="3"/>
      <x:c r="C400" s="3"/>
      <x:c r="D400" s="3"/>
      <x:c r="E400" s="3"/>
      <x:c r="F400" s="3"/>
      <x:c r="G400" s="3"/>
      <x:c r="H400" s="3"/>
      <x:c r="I400" s="3"/>
      <x:c r="J400" s="7" t="n">
        <x:v>46203</x:v>
      </x:c>
      <x:c r="K400" s="3" t="n">
        <x:v>0.9199176194711772</x:v>
      </x:c>
      <x:c r="L400" s="3" t="n">
        <x:v>56.27515083501299</x:v>
      </x:c>
      <x:c r="M400" s="3" t="n">
        <x:v>0</x:v>
      </x:c>
      <x:c r="N400" s="3" t="n">
        <x:v>0</x:v>
      </x:c>
      <x:c r="O400" s="3" t="n">
        <x:v>0</x:v>
      </x:c>
      <x:c r="P400" s="3" t="n">
        <x:v>0</x:v>
      </x:c>
      <x:c r="Q400" s="3" t="n">
        <x:v>0</x:v>
      </x:c>
      <x:c r="R400" s="3" t="n">
        <x:v>0</x:v>
      </x:c>
      <x:c r="S400" s="3" t="n">
        <x:v>0</x:v>
      </x:c>
      <x:c r="T400" s="3" t="n">
        <x:v>0</x:v>
      </x:c>
      <x:c r="U400" s="3" t="n">
        <x:v>0</x:v>
      </x:c>
      <x:c r="V400" s="3" t="n">
        <x:v>0</x:v>
      </x:c>
      <x:c r="W400" s="3" t="n">
        <x:v>0</x:v>
      </x:c>
      <x:c r="X400" s="3" t="n">
        <x:v>0</x:v>
      </x:c>
      <x:c r="Y400" s="3" t="n">
        <x:v>0</x:v>
      </x:c>
      <x:c r="Z400" s="3" t="n">
        <x:v>0</x:v>
      </x:c>
    </x:row>
    <x:row r="401" ht="15" customHeight="1">
      <x:c r="A401" s="3"/>
      <x:c r="B401" s="3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  <x:c r="N401" s="3"/>
      <x:c r="O401" s="3"/>
      <x:c r="P401" s="3"/>
      <x:c r="Q401" s="3"/>
      <x:c r="R401" s="3"/>
      <x:c r="S401" s="3"/>
      <x:c r="T401" s="3"/>
      <x:c r="U401" s="3"/>
      <x:c r="V401" s="3"/>
      <x:c r="W401" s="3"/>
      <x:c r="X401" s="3"/>
      <x:c r="Y401" s="3"/>
      <x:c r="Z401" s="3"/>
    </x:row>
    <x:row r="402" ht="15" customHeight="1">
      <x:c r="A402" s="3"/>
      <x:c r="B402" s="3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  <x:c r="N402" s="3"/>
      <x:c r="O402" s="3"/>
      <x:c r="P402" s="3"/>
      <x:c r="Q402" s="3"/>
      <x:c r="R402" s="3"/>
      <x:c r="S402" s="3"/>
      <x:c r="T402" s="3"/>
      <x:c r="U402" s="3"/>
      <x:c r="V402" s="3"/>
      <x:c r="W402" s="3"/>
      <x:c r="X402" s="3"/>
      <x:c r="Y402" s="3"/>
      <x:c r="Z402" s="3"/>
    </x:row>
    <x:row r="403" ht="15" customHeight="1">
      <x:c r="A403" s="3"/>
      <x:c r="B403" s="3"/>
      <x:c r="C403" s="3"/>
      <x:c r="D403" s="3"/>
      <x:c r="E403" s="3"/>
      <x:c r="F403" s="3"/>
      <x:c r="G403" s="3"/>
      <x:c r="H403" s="3"/>
      <x:c r="I403" s="3"/>
      <x:c r="J403" s="3" t="str">
        <x:v>n</x:v>
      </x:c>
      <x:c r="K403" s="3" t="n">
        <x:f>G11</x:f>
        <x:v>355</x:v>
      </x:c>
      <x:c r="L403" s="3"/>
      <x:c r="M403" s="3"/>
      <x:c r="N403" s="3"/>
      <x:c r="O403" s="3"/>
      <x:c r="P403" s="3"/>
      <x:c r="Q403" s="3"/>
      <x:c r="R403" s="3"/>
      <x:c r="S403" s="3" t="str">
        <x:v>s остатков</x:v>
      </x:c>
      <x:c r="T403" s="3" t="n">
        <x:v>162.51458035855</x:v>
      </x:c>
      <x:c r="U403" s="3"/>
      <x:c r="V403" s="3"/>
      <x:c r="W403" s="3"/>
      <x:c r="X403" s="3"/>
      <x:c r="Y403" s="3"/>
      <x:c r="Z403" s="3"/>
    </x:row>
    <x:row r="404" ht="15" customHeight="1">
      <x:c r="A404" s="3"/>
      <x:c r="B404" s="3"/>
      <x:c r="C404" s="3"/>
      <x:c r="D404" s="3"/>
      <x:c r="E404" s="3"/>
      <x:c r="F404" s="3"/>
      <x:c r="G404" s="3"/>
      <x:c r="H404" s="3"/>
      <x:c r="I404" s="3"/>
      <x:c r="J404" s="3" t="str">
        <x:v>ΣH</x:v>
      </x:c>
      <x:c r="K404" s="3" t="n">
        <x:f>SUMPRODUCT($R$20:$R$384,$K$20:$K$384)</x:f>
        <x:v>28150</x:v>
      </x:c>
      <x:c r="L404" s="3"/>
      <x:c r="M404" s="3"/>
      <x:c r="N404" s="3"/>
      <x:c r="O404" s="3"/>
      <x:c r="P404" s="3"/>
      <x:c r="Q404" s="3"/>
      <x:c r="R404" s="3"/>
      <x:c r="S404" s="3" t="str">
        <x:v>t95</x:v>
      </x:c>
      <x:c r="T404" s="3" t="n">
        <x:v>1.9602400929689823</x:v>
      </x:c>
      <x:c r="U404" s="3"/>
      <x:c r="V404" s="3"/>
      <x:c r="W404" s="3"/>
      <x:c r="X404" s="3"/>
      <x:c r="Y404" s="3"/>
      <x:c r="Z404" s="3"/>
    </x:row>
    <x:row r="405" ht="15" customHeight="1">
      <x:c r="A405" s="3"/>
      <x:c r="B405" s="3"/>
      <x:c r="C405" s="3"/>
      <x:c r="D405" s="3"/>
      <x:c r="E405" s="3"/>
      <x:c r="F405" s="3"/>
      <x:c r="G405" s="3"/>
      <x:c r="H405" s="3"/>
      <x:c r="I405" s="3"/>
      <x:c r="J405" s="3" t="str">
        <x:v>SST</x:v>
      </x:c>
      <x:c r="K405" s="3" t="n">
        <x:f>SUMPRODUCT($R$20:$R$384,$K$20:$K$384,$K$20:$K$384)-K404^2/G11</x:f>
        <x:v>6276929.943661972</x:v>
      </x:c>
      <x:c r="L405" s="3"/>
      <x:c r="M405" s="3"/>
      <x:c r="N405" s="3"/>
      <x:c r="O405" s="3"/>
      <x:c r="P405" s="3"/>
      <x:c r="Q405" s="3"/>
      <x:c r="R405" s="3"/>
      <x:c r="S405" s="3" t="str">
        <x:v>Начало ряда</x:v>
      </x:c>
      <x:c r="T405" s="7" t="n">
        <x:v>37257</x:v>
      </x:c>
      <x:c r="U405" s="3"/>
      <x:c r="V405" s="3"/>
      <x:c r="W405" s="3"/>
      <x:c r="X405" s="3"/>
      <x:c r="Y405" s="3"/>
      <x:c r="Z405" s="3"/>
    </x:row>
    <x:row r="406" ht="15" customHeight="1">
      <x:c r="A406" s="3"/>
      <x:c r="B406" s="3"/>
      <x:c r="C406" s="3"/>
      <x:c r="D406" s="3"/>
      <x:c r="E406" s="3"/>
      <x:c r="F406" s="3"/>
      <x:c r="G406" s="3"/>
      <x:c r="H406" s="3"/>
      <x:c r="I406" s="3"/>
      <x:c r="J406" s="3" t="str">
        <x:v>ΣΔ</x:v>
      </x:c>
      <x:c r="K406" s="3" t="n">
        <x:f>SUMPRODUCT($R$20:$R$384,$Q$20:$Q$384)</x:f>
        <x:v>137</x:v>
      </x:c>
      <x:c r="L406" s="3"/>
      <x:c r="M406" s="3"/>
      <x:c r="N406" s="3"/>
      <x:c r="O406" s="3"/>
      <x:c r="P406" s="3"/>
      <x:c r="Q406" s="3"/>
      <x:c r="R406" s="3"/>
      <x:c r="S406" s="3" t="str">
        <x:v>Длина ряда</x:v>
      </x:c>
      <x:c r="T406" s="3" t="n">
        <x:v>8978</x:v>
      </x:c>
      <x:c r="U406" s="3"/>
      <x:c r="V406" s="3"/>
      <x:c r="W406" s="3"/>
      <x:c r="X406" s="3"/>
      <x:c r="Y406" s="3"/>
      <x:c r="Z406" s="3"/>
    </x:row>
    <x:row r="407" ht="15" customHeight="1">
      <x:c r="A407" s="3"/>
      <x:c r="B407" s="3"/>
      <x:c r="C407" s="3"/>
      <x:c r="D407" s="3"/>
      <x:c r="E407" s="3"/>
      <x:c r="F407" s="3"/>
      <x:c r="G407" s="3"/>
      <x:c r="H407" s="3"/>
      <x:c r="I407" s="3"/>
      <x:c r="J407" s="3" t="str">
        <x:v>SSΔ</x:v>
      </x:c>
      <x:c r="K407" s="3" t="n">
        <x:f>SUMPRODUCT($R$20:$R$384,$Q$20:$Q$384,$Q$20:$Q$384)-K406^2/G11</x:f>
        <x:v>42404.12957746479</x:v>
      </x:c>
      <x:c r="L407" s="3"/>
      <x:c r="M407" s="3"/>
      <x:c r="N407" s="3"/>
      <x:c r="O407" s="3"/>
      <x:c r="P407" s="3"/>
      <x:c r="Q407" s="3"/>
      <x:c r="R407" s="3"/>
      <x:c r="S407" s="3"/>
      <x:c r="T407" s="3"/>
      <x:c r="U407" s="3"/>
      <x:c r="V407" s="3"/>
      <x:c r="W407" s="3"/>
      <x:c r="X407" s="3"/>
      <x:c r="Y407" s="3"/>
      <x:c r="Z407" s="3"/>
    </x:row>
    <x:row r="408" ht="15" customHeight="1">
      <x:c r="A408" s="3"/>
      <x:c r="B408" s="3"/>
      <x:c r="C408" s="3"/>
      <x:c r="D408" s="3"/>
      <x:c r="E408" s="3"/>
      <x:c r="F408" s="3"/>
      <x:c r="G408" s="3"/>
      <x:c r="H408" s="3"/>
      <x:c r="I408" s="3"/>
      <x:c r="J408" s="3" t="str">
        <x:v>SSE</x:v>
      </x:c>
      <x:c r="K408" s="3" t="n">
        <x:f>SUMPRODUCT($R$20:$R$384,$P$20:$P$384)</x:f>
        <x:v>7110608.048753605</x:v>
      </x:c>
      <x:c r="L408" s="3"/>
      <x:c r="M408" s="3"/>
      <x:c r="N408" s="3"/>
      <x:c r="O408" s="3"/>
      <x:c r="P408" s="3"/>
      <x:c r="Q408" s="3"/>
      <x:c r="R408" s="3"/>
      <x:c r="S408" s="3" t="str">
        <x:v>Cov базовых коэффициентов</x:v>
      </x:c>
      <x:c r="T408" s="3"/>
      <x:c r="U408" s="3"/>
      <x:c r="V408" s="3"/>
      <x:c r="W408" s="3"/>
      <x:c r="X408" s="3"/>
      <x:c r="Y408" s="3"/>
      <x:c r="Z408" s="3"/>
    </x:row>
    <x:row r="409" ht="15" customHeight="1">
      <x:c r="A409" s="3"/>
      <x:c r="B409" s="3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  <x:c r="N409" s="3"/>
      <x:c r="O409" s="3"/>
      <x:c r="P409" s="3"/>
      <x:c r="Q409" s="3"/>
      <x:c r="R409" s="3"/>
      <x:c r="S409" s="3" t="n">
        <x:v>7.3693630387848925</x:v>
      </x:c>
      <x:c r="T409" s="3" t="n">
        <x:v>-3.646367044201473</x:v>
      </x:c>
      <x:c r="U409" s="3"/>
      <x:c r="V409" s="3"/>
      <x:c r="W409" s="3"/>
      <x:c r="X409" s="3"/>
      <x:c r="Y409" s="3"/>
      <x:c r="Z409" s="3"/>
    </x:row>
    <x:row r="410" ht="15" customHeight="1">
      <x:c r="A410" s="3"/>
      <x:c r="B410" s="3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  <x:c r="N410" s="3"/>
      <x:c r="O410" s="3"/>
      <x:c r="P410" s="3"/>
      <x:c r="Q410" s="3"/>
      <x:c r="R410" s="3"/>
      <x:c r="S410" s="3" t="n">
        <x:v>-3.6463670442014724</x:v>
      </x:c>
      <x:c r="T410" s="3" t="n">
        <x:v>3.0945876347679655</x:v>
      </x:c>
      <x:c r="U410" s="3"/>
      <x:c r="V410" s="3"/>
      <x:c r="W410" s="3"/>
      <x:c r="X410" s="3"/>
      <x:c r="Y410" s="3"/>
      <x:c r="Z410" s="3"/>
    </x:row>
    <x:row r="411" ht="15" customHeight="1">
      <x:c r="A411" s="3"/>
      <x:c r="B411" s="3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  <x:c r="N411" s="3"/>
      <x:c r="O411" s="3"/>
      <x:c r="P411" s="3"/>
      <x:c r="Q411" s="3"/>
      <x:c r="R411" s="3"/>
      <x:c r="S411" s="3"/>
      <x:c r="T411" s="3"/>
      <x:c r="U411" s="3"/>
      <x:c r="V411" s="3"/>
      <x:c r="W411" s="3"/>
      <x:c r="X411" s="3"/>
      <x:c r="Y411" s="3"/>
      <x:c r="Z411" s="3"/>
    </x:row>
    <x:row r="412" ht="15" customHeight="1">
      <x:c r="A412" s="3"/>
      <x:c r="B412" s="3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  <x:c r="N412" s="3"/>
      <x:c r="O412" s="3"/>
      <x:c r="P412" s="3"/>
      <x:c r="Q412" s="3"/>
      <x:c r="R412" s="3"/>
      <x:c r="S412" s="3"/>
      <x:c r="T412" s="3"/>
      <x:c r="U412" s="3"/>
      <x:c r="V412" s="3"/>
      <x:c r="W412" s="3"/>
      <x:c r="X412" s="3"/>
      <x:c r="Y412" s="3"/>
      <x:c r="Z412" s="3"/>
    </x:row>
    <x:row r="413" ht="15" customHeight="1">
      <x:c r="A413" s="3"/>
      <x:c r="B413" s="3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  <x:c r="N413" s="3"/>
      <x:c r="O413" s="3"/>
      <x:c r="P413" s="3"/>
      <x:c r="Q413" s="3"/>
      <x:c r="R413" s="3"/>
      <x:c r="S413" s="3"/>
      <x:c r="T413" s="3"/>
      <x:c r="U413" s="3"/>
      <x:c r="V413" s="3"/>
      <x:c r="W413" s="3"/>
      <x:c r="X413" s="3"/>
      <x:c r="Y413" s="3"/>
      <x:c r="Z413" s="3"/>
    </x:row>
    <x:row r="414" ht="15" customHeight="1">
      <x:c r="A414" s="3"/>
      <x:c r="B414" s="3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  <x:c r="N414" s="3"/>
      <x:c r="O414" s="3"/>
      <x:c r="P414" s="3"/>
      <x:c r="Q414" s="3"/>
      <x:c r="R414" s="3"/>
      <x:c r="S414" s="3"/>
      <x:c r="T414" s="3"/>
      <x:c r="U414" s="3"/>
      <x:c r="V414" s="3"/>
      <x:c r="W414" s="3"/>
      <x:c r="X414" s="3"/>
      <x:c r="Y414" s="3"/>
      <x:c r="Z414" s="3"/>
    </x:row>
    <x:row r="415" ht="30" customHeight="1">
      <x:c r="A415" s="3"/>
      <x:c r="B415" s="3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  <x:c r="N415" s="3"/>
      <x:c r="O415" s="3"/>
      <x:c r="P415" s="3"/>
      <x:c r="Q415" s="3"/>
      <x:c r="R415" s="3"/>
      <x:c r="S415" s="14" t="str">
        <x:v>Cov a0,cₘ</x:v>
      </x:c>
      <x:c r="T415" s="14" t="str">
        <x:v>Cov a1,cₘ</x:v>
      </x:c>
      <x:c r="U415" s="14" t="str">
        <x:v>Cov a2,cₘ</x:v>
      </x:c>
      <x:c r="V415" s="14" t="str">
        <x:v>Cov a3,cₘ</x:v>
      </x:c>
      <x:c r="W415" s="14" t="str">
        <x:v>Var cₘ</x:v>
      </x:c>
      <x:c r="X415" s="3"/>
      <x:c r="Y415" s="3"/>
      <x:c r="Z415" s="3"/>
    </x:row>
    <x:row r="416" ht="15" customHeight="1">
      <x:c r="A416" s="3"/>
      <x:c r="B416" s="3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  <x:c r="N416" s="3"/>
      <x:c r="O416" s="3"/>
      <x:c r="P416" s="3"/>
      <x:c r="Q416" s="3"/>
      <x:c r="R416" s="3"/>
      <x:c r="S416" s="3" t="n">
        <x:v>0</x:v>
      </x:c>
      <x:c r="T416" s="3" t="n">
        <x:v>0</x:v>
      </x:c>
      <x:c r="U416" s="3" t="n">
        <x:v>0</x:v>
      </x:c>
      <x:c r="V416" s="3" t="n">
        <x:v>0</x:v>
      </x:c>
      <x:c r="W416" s="3" t="n">
        <x:v>0</x:v>
      </x:c>
      <x:c r="X416" s="3"/>
      <x:c r="Y416" s="3"/>
      <x:c r="Z416" s="3"/>
    </x:row>
    <x:row r="417" ht="15" customHeight="1">
      <x:c r="A417" s="3"/>
      <x:c r="B417" s="3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  <x:c r="N417" s="3"/>
      <x:c r="O417" s="3"/>
      <x:c r="P417" s="3"/>
      <x:c r="Q417" s="3"/>
      <x:c r="R417" s="3"/>
      <x:c r="S417" s="3" t="n">
        <x:v>0</x:v>
      </x:c>
      <x:c r="T417" s="3" t="n">
        <x:v>0</x:v>
      </x:c>
      <x:c r="U417" s="3" t="n">
        <x:v>0</x:v>
      </x:c>
      <x:c r="V417" s="3" t="n">
        <x:v>0</x:v>
      </x:c>
      <x:c r="W417" s="3" t="n">
        <x:v>0</x:v>
      </x:c>
      <x:c r="X417" s="3"/>
      <x:c r="Y417" s="3"/>
      <x:c r="Z417" s="3"/>
    </x:row>
    <x:row r="418" ht="15" customHeight="1">
      <x:c r="A418" s="3"/>
      <x:c r="B418" s="3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  <x:c r="N418" s="3"/>
      <x:c r="O418" s="3"/>
      <x:c r="P418" s="3"/>
      <x:c r="Q418" s="3"/>
      <x:c r="R418" s="3"/>
      <x:c r="S418" s="3" t="n">
        <x:v>0</x:v>
      </x:c>
      <x:c r="T418" s="3" t="n">
        <x:v>0</x:v>
      </x:c>
      <x:c r="U418" s="3" t="n">
        <x:v>0</x:v>
      </x:c>
      <x:c r="V418" s="3" t="n">
        <x:v>0</x:v>
      </x:c>
      <x:c r="W418" s="3" t="n">
        <x:v>0</x:v>
      </x:c>
      <x:c r="X418" s="3"/>
      <x:c r="Y418" s="3"/>
      <x:c r="Z418" s="3"/>
    </x:row>
    <x:row r="419" ht="15" customHeight="1">
      <x:c r="A419" s="3"/>
      <x:c r="B419" s="3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  <x:c r="N419" s="3"/>
      <x:c r="O419" s="3"/>
      <x:c r="P419" s="3"/>
      <x:c r="Q419" s="3"/>
      <x:c r="R419" s="3"/>
      <x:c r="S419" s="3" t="n">
        <x:v>0</x:v>
      </x:c>
      <x:c r="T419" s="3" t="n">
        <x:v>0</x:v>
      </x:c>
      <x:c r="U419" s="3" t="n">
        <x:v>0</x:v>
      </x:c>
      <x:c r="V419" s="3" t="n">
        <x:v>0</x:v>
      </x:c>
      <x:c r="W419" s="3" t="n">
        <x:v>0</x:v>
      </x:c>
      <x:c r="X419" s="3"/>
      <x:c r="Y419" s="3"/>
      <x:c r="Z419" s="3"/>
    </x:row>
    <x:row r="420" ht="15" customHeight="1">
      <x:c r="A420" s="3"/>
      <x:c r="B420" s="3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  <x:c r="N420" s="3"/>
      <x:c r="O420" s="3"/>
      <x:c r="P420" s="3"/>
      <x:c r="Q420" s="3"/>
      <x:c r="R420" s="3"/>
      <x:c r="S420" s="3" t="n">
        <x:v>0</x:v>
      </x:c>
      <x:c r="T420" s="3" t="n">
        <x:v>0</x:v>
      </x:c>
      <x:c r="U420" s="3" t="n">
        <x:v>0</x:v>
      </x:c>
      <x:c r="V420" s="3" t="n">
        <x:v>0</x:v>
      </x:c>
      <x:c r="W420" s="3" t="n">
        <x:v>0</x:v>
      </x:c>
      <x:c r="X420" s="3"/>
      <x:c r="Y420" s="3"/>
      <x:c r="Z420" s="3"/>
    </x:row>
    <x:row r="421" ht="15" customHeight="1">
      <x:c r="A421" s="3"/>
      <x:c r="B421" s="3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  <x:c r="N421" s="3"/>
      <x:c r="O421" s="3"/>
      <x:c r="P421" s="3"/>
      <x:c r="Q421" s="3"/>
      <x:c r="R421" s="3"/>
      <x:c r="S421" s="3" t="n">
        <x:v>0</x:v>
      </x:c>
      <x:c r="T421" s="3" t="n">
        <x:v>0</x:v>
      </x:c>
      <x:c r="U421" s="3" t="n">
        <x:v>0</x:v>
      </x:c>
      <x:c r="V421" s="3" t="n">
        <x:v>0</x:v>
      </x:c>
      <x:c r="W421" s="3" t="n">
        <x:v>0</x:v>
      </x:c>
      <x:c r="X421" s="3"/>
      <x:c r="Y421" s="3"/>
      <x:c r="Z421" s="3"/>
    </x:row>
    <x:row r="422" ht="15" customHeight="1">
      <x:c r="A422" s="3"/>
      <x:c r="B422" s="3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  <x:c r="N422" s="3"/>
      <x:c r="O422" s="3"/>
      <x:c r="P422" s="3"/>
      <x:c r="Q422" s="3"/>
      <x:c r="R422" s="3"/>
      <x:c r="S422" s="3" t="n">
        <x:v>0</x:v>
      </x:c>
      <x:c r="T422" s="3" t="n">
        <x:v>0</x:v>
      </x:c>
      <x:c r="U422" s="3" t="n">
        <x:v>0</x:v>
      </x:c>
      <x:c r="V422" s="3" t="n">
        <x:v>0</x:v>
      </x:c>
      <x:c r="W422" s="3" t="n">
        <x:v>0</x:v>
      </x:c>
      <x:c r="X422" s="3"/>
      <x:c r="Y422" s="3"/>
      <x:c r="Z422" s="3"/>
    </x:row>
    <x:row r="423" ht="15" customHeight="1">
      <x:c r="A423" s="3"/>
      <x:c r="B423" s="3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  <x:c r="N423" s="3"/>
      <x:c r="O423" s="3"/>
      <x:c r="P423" s="3"/>
      <x:c r="Q423" s="3"/>
      <x:c r="R423" s="3"/>
      <x:c r="S423" s="3" t="n">
        <x:v>0</x:v>
      </x:c>
      <x:c r="T423" s="3" t="n">
        <x:v>0</x:v>
      </x:c>
      <x:c r="U423" s="3" t="n">
        <x:v>0</x:v>
      </x:c>
      <x:c r="V423" s="3" t="n">
        <x:v>0</x:v>
      </x:c>
      <x:c r="W423" s="3" t="n">
        <x:v>0</x:v>
      </x:c>
      <x:c r="X423" s="3"/>
      <x:c r="Y423" s="3"/>
      <x:c r="Z423" s="3"/>
    </x:row>
    <x:row r="424" ht="15" customHeight="1">
      <x:c r="A424" s="3"/>
      <x:c r="B424" s="3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  <x:c r="N424" s="3"/>
      <x:c r="O424" s="3"/>
      <x:c r="P424" s="3"/>
      <x:c r="Q424" s="3"/>
      <x:c r="R424" s="3"/>
      <x:c r="S424" s="3" t="n">
        <x:v>0</x:v>
      </x:c>
      <x:c r="T424" s="3" t="n">
        <x:v>0</x:v>
      </x:c>
      <x:c r="U424" s="3" t="n">
        <x:v>0</x:v>
      </x:c>
      <x:c r="V424" s="3" t="n">
        <x:v>0</x:v>
      </x:c>
      <x:c r="W424" s="3" t="n">
        <x:v>0</x:v>
      </x:c>
      <x:c r="X424" s="3"/>
      <x:c r="Y424" s="3"/>
      <x:c r="Z424" s="3"/>
    </x:row>
    <x:row r="425" ht="15" customHeight="1">
      <x:c r="A425" s="3"/>
      <x:c r="B425" s="3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  <x:c r="N425" s="3"/>
      <x:c r="O425" s="3"/>
      <x:c r="P425" s="3"/>
      <x:c r="Q425" s="3"/>
      <x:c r="R425" s="3"/>
      <x:c r="S425" s="3" t="n">
        <x:v>0</x:v>
      </x:c>
      <x:c r="T425" s="3" t="n">
        <x:v>0</x:v>
      </x:c>
      <x:c r="U425" s="3" t="n">
        <x:v>0</x:v>
      </x:c>
      <x:c r="V425" s="3" t="n">
        <x:v>0</x:v>
      </x:c>
      <x:c r="W425" s="3" t="n">
        <x:v>0</x:v>
      </x:c>
      <x:c r="X425" s="3"/>
      <x:c r="Y425" s="3"/>
      <x:c r="Z425" s="3"/>
    </x:row>
    <x:row r="426" ht="15" customHeight="1">
      <x:c r="A426" s="3"/>
      <x:c r="B426" s="3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  <x:c r="N426" s="3"/>
      <x:c r="O426" s="3"/>
      <x:c r="P426" s="3"/>
      <x:c r="Q426" s="3"/>
      <x:c r="R426" s="3"/>
      <x:c r="S426" s="3" t="n">
        <x:v>0</x:v>
      </x:c>
      <x:c r="T426" s="3" t="n">
        <x:v>0</x:v>
      </x:c>
      <x:c r="U426" s="3" t="n">
        <x:v>0</x:v>
      </x:c>
      <x:c r="V426" s="3" t="n">
        <x:v>0</x:v>
      </x:c>
      <x:c r="W426" s="3" t="n">
        <x:v>0</x:v>
      </x:c>
      <x:c r="X426" s="3"/>
      <x:c r="Y426" s="3"/>
      <x:c r="Z426" s="3"/>
    </x:row>
    <x:row r="427" ht="15" customHeight="1">
      <x:c r="A427" s="3"/>
      <x:c r="B427" s="3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  <x:c r="N427" s="3"/>
      <x:c r="O427" s="3"/>
      <x:c r="P427" s="3"/>
      <x:c r="Q427" s="3"/>
      <x:c r="R427" s="3"/>
      <x:c r="S427" s="3" t="n">
        <x:v>0</x:v>
      </x:c>
      <x:c r="T427" s="3" t="n">
        <x:v>0</x:v>
      </x:c>
      <x:c r="U427" s="3" t="n">
        <x:v>0</x:v>
      </x:c>
      <x:c r="V427" s="3" t="n">
        <x:v>0</x:v>
      </x:c>
      <x:c r="W427" s="3" t="n">
        <x:v>0</x:v>
      </x:c>
      <x:c r="X427" s="3"/>
      <x:c r="Y427" s="3"/>
      <x:c r="Z427" s="3"/>
    </x:row>
  </x:sheetData>
  <x:pageMargins left="0.7" right="0.7" top="0.75" bottom="0.75" header="0.3" footer="0.3"/>
  <x:drawing xmlns:r="http://schemas.openxmlformats.org/officeDocument/2006/relationships" r:id="Re8285bf6d0c34695"/>
</x:worksheet>
</file>

<file path=xl/worksheets/sheet6.xml><?xml version="1.0" encoding="utf-8"?>
<x:worksheet xmlns:x="http://schemas.openxmlformats.org/spreadsheetml/2006/main">
  <x:sheetPr>
    <x:tabColor rgb="FFFFFFFF"/>
  </x:sheetPr>
  <x:sheetViews>
    <x:sheetView showGridLines="1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6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15" customHeight="1">
      <x:c r="A1" s="3" t="str">
        <x:v>Экспоненциальная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15" customHeight="1">
      <x:c r="A2" s="3" t="str">
        <x:v>H=a·exp(b·x)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</x:row>
    <x:row r="3" ht="30" customHeight="1">
      <x:c r="A3" s="14" t="str">
        <x:v>Коэф.</x:v>
      </x:c>
      <x:c r="B3" s="14" t="str">
        <x:v>Оценка</x:v>
      </x:c>
      <x:c r="C3" s="14" t="str">
        <x:v>SE</x:v>
      </x:c>
      <x:c r="D3" s="3"/>
      <x:c r="E3" s="3"/>
      <x:c r="F3" s="14" t="str">
        <x:v>Показатель</x:v>
      </x:c>
      <x:c r="G3" s="14" t="str">
        <x:v>Значение</x:v>
      </x:c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</x:row>
    <x:row r="4" ht="15" customHeight="1">
      <x:c r="A4" s="8" t="str">
        <x:v>a</x:v>
      </x:c>
      <x:c r="B4" s="16" t="n">
        <x:v>24.128164673201063</x:v>
      </x:c>
      <x:c r="C4" s="16" t="n">
        <x:f>SQRT(S409)</x:f>
        <x:v>1.8950403517446923</x:v>
      </x:c>
      <x:c r="D4" s="3"/>
      <x:c r="E4" s="3"/>
      <x:c r="F4" s="8" t="str">
        <x:v>R² обучения</x:v>
      </x:c>
      <x:c r="G4" s="12" t="n">
        <x:v>0.07381372877329362</x:v>
      </x:c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</x:row>
    <x:row r="5" ht="15" customHeight="1">
      <x:c r="A5" s="8" t="str">
        <x:v>b</x:v>
      </x:c>
      <x:c r="B5" s="16" t="n">
        <x:v>0.21489689154598815</x:v>
      </x:c>
      <x:c r="C5" s="16" t="n">
        <x:f>SQRT(T410)</x:f>
        <x:v>0.011118497815875865</x:v>
      </x:c>
      <x:c r="D5" s="3"/>
      <x:c r="E5" s="3"/>
      <x:c r="F5" s="8" t="str">
        <x:v>MAE, см</x:v>
      </x:c>
      <x:c r="G5" s="8" t="n">
        <x:f>SUMPRODUCT($R$20:$R$384,$O$20:$O$384)/G11</x:f>
        <x:v>140.5840416554198</x:v>
      </x:c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</x:row>
    <x:row r="6" ht="15" customHeight="1">
      <x:c r="A6" s="3"/>
      <x:c r="B6" s="3"/>
      <x:c r="C6" s="3"/>
      <x:c r="D6" s="3"/>
      <x:c r="E6" s="3"/>
      <x:c r="F6" s="8" t="str">
        <x:v>S (RMSE), см</x:v>
      </x:c>
      <x:c r="G6" s="8" t="n">
        <x:f>SQRT(K408/G11)</x:f>
        <x:v>166.0197083779421</x:v>
      </x:c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</x:row>
    <x:row r="7" ht="15" customHeight="1">
      <x:c r="A7" s="3"/>
      <x:c r="B7" s="3"/>
      <x:c r="C7" s="3"/>
      <x:c r="D7" s="3"/>
      <x:c r="E7" s="3"/>
      <x:c r="F7" s="8" t="str">
        <x:v>NSE</x:v>
      </x:c>
      <x:c r="G7" s="12" t="n">
        <x:f>IF(K405=0,"н.д.",1-K408/K405)</x:f>
        <x:v>-0.5588357772247179</x:v>
      </x:c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</x:row>
    <x:row r="8" ht="15" customHeight="1">
      <x:c r="A8" s="3"/>
      <x:c r="B8" s="3"/>
      <x:c r="C8" s="3"/>
      <x:c r="D8" s="3"/>
      <x:c r="E8" s="3"/>
      <x:c r="F8" s="8" t="str">
        <x:v>S/σΔ</x:v>
      </x:c>
      <x:c r="G8" s="12" t="n">
        <x:f>IF(G10=0,"н.д.",G6/G10)</x:f>
        <x:v>15.169008727468242</x:v>
      </x:c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</x:row>
    <x:row r="9" ht="15" customHeight="1">
      <x:c r="A9" s="3"/>
      <x:c r="B9" s="3"/>
      <x:c r="C9" s="3"/>
      <x:c r="D9" s="3"/>
      <x:c r="E9" s="3"/>
      <x:c r="F9" s="8" t="str">
        <x:v>P%</x:v>
      </x:c>
      <x:c r="G9" s="17" t="n">
        <x:f>SUM($S$20:$S$384)/G11</x:f>
        <x:v>0.036619718309859155</x:v>
      </x:c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</x:row>
    <x:row r="10" ht="15" customHeight="1">
      <x:c r="A10" s="3"/>
      <x:c r="B10" s="3"/>
      <x:c r="C10" s="3"/>
      <x:c r="D10" s="3"/>
      <x:c r="E10" s="3"/>
      <x:c r="F10" s="8" t="str">
        <x:v>σΔ, см</x:v>
      </x:c>
      <x:c r="G10" s="8" t="n">
        <x:f>IF(G11&gt;1,SQRT(MAX(0,K407)/(G11-1)),"н.д.")</x:f>
        <x:v>10.944664306067107</x:v>
      </x:c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</x:row>
    <x:row r="11" ht="15" customHeight="1">
      <x:c r="A11" s="3"/>
      <x:c r="B11" s="3"/>
      <x:c r="C11" s="3"/>
      <x:c r="D11" s="3"/>
      <x:c r="E11" s="3"/>
      <x:c r="F11" s="8" t="str">
        <x:v>n проверки</x:v>
      </x:c>
      <x:c r="G11" s="9" t="n">
        <x:f>SUM($R$20:$R$384)</x:f>
        <x:v>355</x:v>
      </x:c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</x:row>
    <x:row r="12" ht="15" customHeight="1">
      <x:c r="A12" s="3"/>
      <x:c r="B12" s="3"/>
      <x:c r="C12" s="3"/>
      <x:c r="D12" s="3"/>
      <x:c r="E12" s="3"/>
      <x:c r="F12" s="8" t="str">
        <x:v>Оценка, суток</x:v>
      </x:c>
      <x:c r="G12" s="9" t="n">
        <x:f>'Сводка'!$B$11</x:f>
        <x:v>1</x:v>
      </x:c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</x:row>
    <x:row r="13" ht="15" customHeight="1">
      <x:c r="A13" s="3"/>
      <x:c r="B13" s="3"/>
      <x:c r="C13" s="3"/>
      <x:c r="D13" s="3"/>
      <x:c r="E13" s="3"/>
      <x:c r="F13" s="8" t="str">
        <x:v>δдоп, см</x:v>
      </x:c>
      <x:c r="G13" s="8" t="n">
        <x:f>'Сводка'!$B$14*G10</x:f>
        <x:v>7.376703742289231</x:v>
      </x:c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</x:row>
    <x:row r="14" ht="15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</x:row>
    <x:row r="15" ht="15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</x:row>
    <x:row r="16" ht="15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</x:row>
    <x:row r="17" ht="15" customHeight="1">
      <x:c r="A17" s="3" t="str">
        <x:v>Прогноз</x:v>
      </x:c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</x:row>
    <x:row r="18" ht="30" customHeight="1">
      <x:c r="A18" s="15" t="str">
        <x:v>Дата</x:v>
      </x:c>
      <x:c r="B18" s="15" t="str">
        <x:v>x</x:v>
      </x:c>
      <x:c r="C18" s="15" t="str">
        <x:v>u</x:v>
      </x:c>
      <x:c r="D18" s="15" t="str">
        <x:v>Прогноз, см</x:v>
      </x:c>
      <x:c r="E18" s="15" t="str">
        <x:v>SE прогноза</x:v>
      </x:c>
      <x:c r="F18" s="15" t="str">
        <x:v>Нижняя 95%</x:v>
      </x:c>
      <x:c r="G18" s="15" t="str">
        <x:v>Верхняя 95%</x:v>
      </x:c>
      <x:c r="H18" s="15" t="str">
        <x:v>SE среднего</x:v>
      </x:c>
      <x:c r="I18" s="3"/>
      <x:c r="J18" s="3" t="str">
        <x:v>Проверочные прогнозы</x:v>
      </x:c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</x:row>
    <x:row r="19" ht="30" customHeight="1">
      <x:c r="A19" s="10" t="n">
        <x:f>IF(1&lt;='Сводка'!$B$3,'Сводка'!$B$4+1,"")</x:f>
        <x:v>46236</x:v>
      </x:c>
      <x:c r="B19" s="18" t="n">
        <x:f>IF($A19="","",(A19-$T$405+1)/1000)</x:f>
        <x:v>8.98</x:v>
      </x:c>
      <x:c r="C19" s="18" t="n">
        <x:f>IF($A19="","",2*(A19-$T$405)/$T$406-1)</x:f>
        <x:v>1.000222766763199</x:v>
      </x:c>
      <x:c r="D19" s="8" t="n">
        <x:f>IF($A19="","",$B$4*EXP($B$5*B19))</x:f>
        <x:v>166.1936879182149</x:v>
      </x:c>
      <x:c r="E19" s="8" t="n">
        <x:f>IF($A19="","",SQRT($T$403^2+H19^2))</x:f>
        <x:v>165.69097133534723</x:v>
      </x:c>
      <x:c r="F19" s="8" t="n">
        <x:f>IF($A19="","",D19-$T$404*E19)</x:f>
        <x:v>-158.60039713630715</x:v>
      </x:c>
      <x:c r="G19" s="8" t="n">
        <x:f>IF($A19="","",D19+$T$404*E19)</x:f>
        <x:v>490.98777297273693</x:v>
      </x:c>
      <x:c r="H19" s="8" t="n">
        <x:f>IF($A19="","",SQRT(MAX(0,(EXP($B$5*B19))*$S$409*(EXP($B$5*B19))+(EXP($B$5*B19))*$T$409*($B$4*EXP($B$5*B19)*B19)+($B$4*EXP($B$5*B19)*B19)*$S$410*(EXP($B$5*B19))+($B$4*EXP($B$5*B19)*B19)*$T$410*($B$4*EXP($B$5*B19)*B19))))</x:f>
        <x:v>5.42389503450369</x:v>
      </x:c>
      <x:c r="I19" s="3"/>
      <x:c r="J19" s="15" t="str">
        <x:v>Дата</x:v>
      </x:c>
      <x:c r="K19" s="15" t="str">
        <x:v>Факт, см</x:v>
      </x:c>
      <x:c r="L19" s="15" t="str">
        <x:v>H начала</x:v>
      </x:c>
      <x:c r="M19" s="15" t="str">
        <x:v>Прогноз, см</x:v>
      </x:c>
      <x:c r="N19" s="15" t="str">
        <x:v>Ошибка</x:v>
      </x:c>
      <x:c r="O19" s="15" t="str">
        <x:v>|Ошибка|</x:v>
      </x:c>
      <x:c r="P19" s="15" t="str">
        <x:v>Ошибка²</x:v>
      </x:c>
      <x:c r="Q19" s="15" t="str">
        <x:v>ΔH</x:v>
      </x:c>
      <x:c r="R19" s="15" t="str">
        <x:v>Вес</x:v>
      </x:c>
      <x:c r="S19" s="15" t="str">
        <x:v>Оправдался</x:v>
      </x:c>
      <x:c r="T19" s="15" t="str">
        <x:v>Обучение до</x:v>
      </x:c>
      <x:c r="U19" s="14" t="str">
        <x:v>i факт</x:v>
      </x:c>
      <x:c r="V19" s="14" t="str">
        <x:v>i начало</x:v>
      </x:c>
      <x:c r="W19" s="14" t="str">
        <x:v>i fit</x:v>
      </x:c>
      <x:c r="X19" s="3"/>
      <x:c r="Y19" s="3"/>
      <x:c r="Z19" s="3"/>
    </x:row>
    <x:row r="20" ht="15" customHeight="1">
      <x:c r="A20" s="10" t="n">
        <x:f>IF(2&lt;='Сводка'!$B$3,'Сводка'!$B$4+2,"")</x:f>
        <x:v>46237</x:v>
      </x:c>
      <x:c r="B20" s="18" t="n">
        <x:f>IF($A20="","",(A20-$T$405+1)/1000)</x:f>
        <x:v>8.981</x:v>
      </x:c>
      <x:c r="C20" s="18" t="n">
        <x:f>IF($A20="","",2*(A20-$T$405)/$T$406-1)</x:f>
        <x:v>1.0004455335263978</x:v>
      </x:c>
      <x:c r="D20" s="8" t="n">
        <x:f>IF($A20="","",$B$4*EXP($B$5*B20))</x:f>
        <x:v>166.22940626288622</x:v>
      </x:c>
      <x:c r="E20" s="8" t="n">
        <x:f>IF($A20="","",SQRT($T$403^2+H20^2))</x:f>
        <x:v>165.6910546866048</x:v>
      </x:c>
      <x:c r="F20" s="8" t="n">
        <x:f>IF($A20="","",D20-$T$404*E20)</x:f>
        <x:v>-158.56484218011266</x:v>
      </x:c>
      <x:c r="G20" s="8" t="n">
        <x:f>IF($A20="","",D20+$T$404*E20)</x:f>
        <x:v>491.02365470588506</x:v>
      </x:c>
      <x:c r="H20" s="8" t="n">
        <x:f>IF($A20="","",SQRT(MAX(0,(EXP($B$5*B20))*$S$409*(EXP($B$5*B20))+(EXP($B$5*B20))*$T$409*($B$4*EXP($B$5*B20)*B20)+($B$4*EXP($B$5*B20)*B20)*$S$410*(EXP($B$5*B20))+($B$4*EXP($B$5*B20)*B20)*$T$410*($B$4*EXP($B$5*B20)*B20))))</x:f>
        <x:v>5.426440680032825</x:v>
      </x:c>
      <x:c r="I20" s="3"/>
      <x:c r="J20" s="10" t="n">
        <x:v>45871</x:v>
      </x:c>
      <x:c r="K20" s="8" t="n">
        <x:f>INDEX('Сводка'!$S$3:$S$397,U20)</x:f>
        <x:v>211</x:v>
      </x:c>
      <x:c r="L20" s="8" t="n">
        <x:f>INDEX('Сводка'!$S$3:$S$397,V20)</x:f>
        <x:v>193</x:v>
      </x:c>
      <x:c r="M20" s="8" t="n">
        <x:f>INDEX($K$388:$N$400,W20,1)*EXP(INDEX($K$388:$N$400,W20,2)*((J20-$T$405+1)/1000))</x:f>
        <x:v>184.35093992196897</x:v>
      </x:c>
      <x:c r="N20" s="8" t="n">
        <x:f>K20-M20</x:f>
        <x:v>26.649060078031027</x:v>
      </x:c>
      <x:c r="O20" s="8" t="n">
        <x:f>ABS(N20)</x:f>
        <x:v>26.649060078031027</x:v>
      </x:c>
      <x:c r="P20" s="8" t="n">
        <x:f>N20^2</x:f>
        <x:v>710.1724030425071</x:v>
      </x:c>
      <x:c r="Q20" s="8" t="n">
        <x:f>K20-L20</x:f>
        <x:v>18</x:v>
      </x:c>
      <x:c r="R20" s="9" t="n">
        <x:f>IF(AND(INDEX('Сводка'!$T$3:$T$397,U20)=0,INDEX('Сводка'!$T$3:$T$397,V20)=0),1,0)</x:f>
        <x:v>1</x:v>
      </x:c>
      <x:c r="S20" s="9" t="n">
        <x:f>IF(AND(R20=1,O20&lt;=$G$13),1,0)</x:f>
        <x:v>0</x:v>
      </x:c>
      <x:c r="T20" s="10" t="n">
        <x:f>EOMONTH(J20-'Сводка'!$B$11,-1)</x:f>
        <x:v>45869</x:v>
      </x:c>
      <x:c r="U20" s="4" t="n">
        <x:f>MATCH(J20,'Сводка'!$R$3:$R$397,0)</x:f>
        <x:v>31</x:v>
      </x:c>
      <x:c r="V20" s="4" t="n">
        <x:f>MATCH(J20-'Сводка'!$B$11,'Сводка'!$R$3:$R$397,0)</x:f>
        <x:v>30</x:v>
      </x:c>
      <x:c r="W20" s="4" t="n">
        <x:f>MATCH(T20,$J$388:$J$400,0)</x:f>
        <x:v>2</x:v>
      </x:c>
      <x:c r="X20" s="3"/>
      <x:c r="Y20" s="3"/>
      <x:c r="Z20" s="3"/>
    </x:row>
    <x:row r="21" ht="15" customHeight="1">
      <x:c r="A21" s="10" t="n">
        <x:f>IF(3&lt;='Сводка'!$B$3,'Сводка'!$B$4+3,"")</x:f>
        <x:v>46238</x:v>
      </x:c>
      <x:c r="B21" s="18" t="n">
        <x:f>IF($A21="","",(A21-$T$405+1)/1000)</x:f>
        <x:v>8.982</x:v>
      </x:c>
      <x:c r="C21" s="18" t="n">
        <x:f>IF($A21="","",2*(A21-$T$405)/$T$406-1)</x:f>
        <x:v>1.0006683002895969</x:v>
      </x:c>
      <x:c r="D21" s="8" t="n">
        <x:f>IF($A21="","",$B$4*EXP($B$5*B21))</x:f>
        <x:v>166.2651322841436</x:v>
      </x:c>
      <x:c r="E21" s="8" t="n">
        <x:f>IF($A21="","",SQRT($T$403^2+H21^2))</x:f>
        <x:v>165.6911381137026</x:v>
      </x:c>
      <x:c r="F21" s="8" t="n">
        <x:f>IF($A21="","",D21-$T$404*E21)</x:f>
        <x:v>-158.52927969599727</x:v>
      </x:c>
      <x:c r="G21" s="8" t="n">
        <x:f>IF($A21="","",D21+$T$404*E21)</x:f>
        <x:v>491.05954426428445</x:v>
      </x:c>
      <x:c r="H21" s="8" t="n">
        <x:f>IF($A21="","",SQRT(MAX(0,(EXP($B$5*B21))*$S$409*(EXP($B$5*B21))+(EXP($B$5*B21))*$T$409*($B$4*EXP($B$5*B21)*B21)+($B$4*EXP($B$5*B21)*B21)*$S$410*(EXP($B$5*B21))+($B$4*EXP($B$5*B21)*B21)*$T$410*($B$4*EXP($B$5*B21)*B21))))</x:f>
        <x:v>5.428987447815237</x:v>
      </x:c>
      <x:c r="I21" s="3"/>
      <x:c r="J21" s="10" t="n">
        <x:v>45872</x:v>
      </x:c>
      <x:c r="K21" s="8" t="n">
        <x:f>INDEX('Сводка'!$S$3:$S$397,U21)</x:f>
        <x:v>229</x:v>
      </x:c>
      <x:c r="L21" s="8" t="n">
        <x:f>INDEX('Сводка'!$S$3:$S$397,V21)</x:f>
        <x:v>211</x:v>
      </x:c>
      <x:c r="M21" s="8" t="n">
        <x:f>INDEX($K$388:$N$400,W21,1)*EXP(INDEX($K$388:$N$400,W21,2)*((J21-$T$405+1)/1000))</x:f>
        <x:v>184.39827812390897</x:v>
      </x:c>
      <x:c r="N21" s="8" t="n">
        <x:f>K21-M21</x:f>
        <x:v>44.601721876091034</x:v>
      </x:c>
      <x:c r="O21" s="8" t="n">
        <x:f>ABS(N21)</x:f>
        <x:v>44.601721876091034</x:v>
      </x:c>
      <x:c r="P21" s="8" t="n">
        <x:f>N21^2</x:f>
        <x:v>1989.3135943121774</x:v>
      </x:c>
      <x:c r="Q21" s="8" t="n">
        <x:f>K21-L21</x:f>
        <x:v>18</x:v>
      </x:c>
      <x:c r="R21" s="9" t="n">
        <x:f>IF(AND(INDEX('Сводка'!$T$3:$T$397,U21)=0,INDEX('Сводка'!$T$3:$T$397,V21)=0),1,0)</x:f>
        <x:v>1</x:v>
      </x:c>
      <x:c r="S21" s="9" t="n">
        <x:f>IF(AND(R21=1,O21&lt;=$G$13),1,0)</x:f>
        <x:v>0</x:v>
      </x:c>
      <x:c r="T21" s="10" t="n">
        <x:f>EOMONTH(J21-'Сводка'!$B$11,-1)</x:f>
        <x:v>45869</x:v>
      </x:c>
      <x:c r="U21" s="4" t="n">
        <x:f>MATCH(J21,'Сводка'!$R$3:$R$397,0)</x:f>
        <x:v>32</x:v>
      </x:c>
      <x:c r="V21" s="4" t="n">
        <x:f>MATCH(J21-'Сводка'!$B$11,'Сводка'!$R$3:$R$397,0)</x:f>
        <x:v>31</x:v>
      </x:c>
      <x:c r="W21" s="4" t="n">
        <x:f>MATCH(T21,$J$388:$J$400,0)</x:f>
        <x:v>2</x:v>
      </x:c>
      <x:c r="X21" s="3"/>
      <x:c r="Y21" s="3"/>
      <x:c r="Z21" s="3"/>
    </x:row>
    <x:row r="22" ht="15" customHeight="1">
      <x:c r="A22" s="10" t="n">
        <x:f>IF(4&lt;='Сводка'!$B$3,'Сводка'!$B$4+4,"")</x:f>
        <x:v>46239</x:v>
      </x:c>
      <x:c r="B22" s="18" t="n">
        <x:f>IF($A22="","",(A22-$T$405+1)/1000)</x:f>
        <x:v>8.983</x:v>
      </x:c>
      <x:c r="C22" s="18" t="n">
        <x:f>IF($A22="","",2*(A22-$T$405)/$T$406-1)</x:f>
        <x:v>1.0008910670527955</x:v>
      </x:c>
      <x:c r="D22" s="8" t="n">
        <x:f>IF($A22="","",$B$4*EXP($B$5*B22))</x:f>
        <x:v>166.30086598363695</x:v>
      </x:c>
      <x:c r="E22" s="8" t="n">
        <x:f>IF($A22="","",SQRT($T$403^2+H22^2))</x:f>
        <x:v>165.69122161669932</x:v>
      </x:c>
      <x:c r="F22" s="8" t="n">
        <x:f>IF($A22="","",D22-$T$404*E22)</x:f>
        <x:v>-158.493709682426</x:v>
      </x:c>
      <x:c r="G22" s="8" t="n">
        <x:f>IF($A22="","",D22+$T$404*E22)</x:f>
        <x:v>491.09544164969986</x:v>
      </x:c>
      <x:c r="H22" s="8" t="n">
        <x:f>IF($A22="","",SQRT(MAX(0,(EXP($B$5*B22))*$S$409*(EXP($B$5*B22))+(EXP($B$5*B22))*$T$409*($B$4*EXP($B$5*B22)*B22)+($B$4*EXP($B$5*B22)*B22)*$S$410*(EXP($B$5*B22))+($B$4*EXP($B$5*B22)*B22)*$T$410*($B$4*EXP($B$5*B22)*B22))))</x:f>
        <x:v>5.431535338063119</x:v>
      </x:c>
      <x:c r="I22" s="3"/>
      <x:c r="J22" s="10" t="n">
        <x:v>45873</x:v>
      </x:c>
      <x:c r="K22" s="8" t="n">
        <x:f>INDEX('Сводка'!$S$3:$S$397,U22)</x:f>
        <x:v>243</x:v>
      </x:c>
      <x:c r="L22" s="8" t="n">
        <x:f>INDEX('Сводка'!$S$3:$S$397,V22)</x:f>
        <x:v>229</x:v>
      </x:c>
      <x:c r="M22" s="8" t="n">
        <x:f>INDEX($K$388:$N$400,W22,1)*EXP(INDEX($K$388:$N$400,W22,2)*((J22-$T$405+1)/1000))</x:f>
        <x:v>184.44562848149815</x:v>
      </x:c>
      <x:c r="N22" s="8" t="n">
        <x:f>K22-M22</x:f>
        <x:v>58.55437151850185</x:v>
      </x:c>
      <x:c r="O22" s="8" t="n">
        <x:f>ABS(N22)</x:f>
        <x:v>58.55437151850185</x:v>
      </x:c>
      <x:c r="P22" s="8" t="n">
        <x:f>N22^2</x:f>
        <x:v>3428.614423926741</x:v>
      </x:c>
      <x:c r="Q22" s="8" t="n">
        <x:f>K22-L22</x:f>
        <x:v>14</x:v>
      </x:c>
      <x:c r="R22" s="9" t="n">
        <x:f>IF(AND(INDEX('Сводка'!$T$3:$T$397,U22)=0,INDEX('Сводка'!$T$3:$T$397,V22)=0),1,0)</x:f>
        <x:v>1</x:v>
      </x:c>
      <x:c r="S22" s="9" t="n">
        <x:f>IF(AND(R22=1,O22&lt;=$G$13),1,0)</x:f>
        <x:v>0</x:v>
      </x:c>
      <x:c r="T22" s="10" t="n">
        <x:f>EOMONTH(J22-'Сводка'!$B$11,-1)</x:f>
        <x:v>45869</x:v>
      </x:c>
      <x:c r="U22" s="4" t="n">
        <x:f>MATCH(J22,'Сводка'!$R$3:$R$397,0)</x:f>
        <x:v>33</x:v>
      </x:c>
      <x:c r="V22" s="4" t="n">
        <x:f>MATCH(J22-'Сводка'!$B$11,'Сводка'!$R$3:$R$397,0)</x:f>
        <x:v>32</x:v>
      </x:c>
      <x:c r="W22" s="4" t="n">
        <x:f>MATCH(T22,$J$388:$J$400,0)</x:f>
        <x:v>2</x:v>
      </x:c>
      <x:c r="X22" s="3"/>
      <x:c r="Y22" s="3"/>
      <x:c r="Z22" s="3"/>
    </x:row>
    <x:row r="23" ht="15" customHeight="1">
      <x:c r="A23" s="10" t="n">
        <x:f>IF(5&lt;='Сводка'!$B$3,'Сводка'!$B$4+5,"")</x:f>
        <x:v>46240</x:v>
      </x:c>
      <x:c r="B23" s="18" t="n">
        <x:f>IF($A23="","",(A23-$T$405+1)/1000)</x:f>
        <x:v>8.984</x:v>
      </x:c>
      <x:c r="C23" s="18" t="n">
        <x:f>IF($A23="","",2*(A23-$T$405)/$T$406-1)</x:f>
        <x:v>1.0011138338159946</x:v>
      </x:c>
      <x:c r="D23" s="8" t="n">
        <x:f>IF($A23="","",$B$4*EXP($B$5*B23))</x:f>
        <x:v>166.33660736301633</x:v>
      </x:c>
      <x:c r="E23" s="8" t="n">
        <x:f>IF($A23="","",SQRT($T$403^2+H23^2))</x:f>
        <x:v>165.6913051956535</x:v>
      </x:c>
      <x:c r="F23" s="8" t="n">
        <x:f>IF($A23="","",D23-$T$404*E23)</x:f>
        <x:v>-158.45813213786354</x:v>
      </x:c>
      <x:c r="G23" s="8" t="n">
        <x:f>IF($A23="","",D23+$T$404*E23)</x:f>
        <x:v>491.13134686389617</x:v>
      </x:c>
      <x:c r="H23" s="8" t="n">
        <x:f>IF($A23="","",SQRT(MAX(0,(EXP($B$5*B23))*$S$409*(EXP($B$5*B23))+(EXP($B$5*B23))*$T$409*($B$4*EXP($B$5*B23)*B23)+($B$4*EXP($B$5*B23)*B23)*$S$410*(EXP($B$5*B23))+($B$4*EXP($B$5*B23)*B23)*$T$410*($B$4*EXP($B$5*B23)*B23))))</x:f>
        <x:v>5.434084350988764</x:v>
      </x:c>
      <x:c r="I23" s="3"/>
      <x:c r="J23" s="10" t="n">
        <x:v>45874</x:v>
      </x:c>
      <x:c r="K23" s="8" t="n">
        <x:f>INDEX('Сводка'!$S$3:$S$397,U23)</x:f>
        <x:v>249</x:v>
      </x:c>
      <x:c r="L23" s="8" t="n">
        <x:f>INDEX('Сводка'!$S$3:$S$397,V23)</x:f>
        <x:v>243</x:v>
      </x:c>
      <x:c r="M23" s="8" t="n">
        <x:f>INDEX($K$388:$N$400,W23,1)*EXP(INDEX($K$388:$N$400,W23,2)*((J23-$T$405+1)/1000))</x:f>
        <x:v>184.492990997858</x:v>
      </x:c>
      <x:c r="N23" s="8" t="n">
        <x:f>K23-M23</x:f>
        <x:v>64.50700900214201</x:v>
      </x:c>
      <x:c r="O23" s="8" t="n">
        <x:f>ABS(N23)</x:f>
        <x:v>64.50700900214201</x:v>
      </x:c>
      <x:c r="P23" s="8" t="n">
        <x:f>N23^2</x:f>
        <x:v>4161.154210402431</x:v>
      </x:c>
      <x:c r="Q23" s="8" t="n">
        <x:f>K23-L23</x:f>
        <x:v>6</x:v>
      </x:c>
      <x:c r="R23" s="9" t="n">
        <x:f>IF(AND(INDEX('Сводка'!$T$3:$T$397,U23)=0,INDEX('Сводка'!$T$3:$T$397,V23)=0),1,0)</x:f>
        <x:v>1</x:v>
      </x:c>
      <x:c r="S23" s="9" t="n">
        <x:f>IF(AND(R23=1,O23&lt;=$G$13),1,0)</x:f>
        <x:v>0</x:v>
      </x:c>
      <x:c r="T23" s="10" t="n">
        <x:f>EOMONTH(J23-'Сводка'!$B$11,-1)</x:f>
        <x:v>45869</x:v>
      </x:c>
      <x:c r="U23" s="4" t="n">
        <x:f>MATCH(J23,'Сводка'!$R$3:$R$397,0)</x:f>
        <x:v>34</x:v>
      </x:c>
      <x:c r="V23" s="4" t="n">
        <x:f>MATCH(J23-'Сводка'!$B$11,'Сводка'!$R$3:$R$397,0)</x:f>
        <x:v>33</x:v>
      </x:c>
      <x:c r="W23" s="4" t="n">
        <x:f>MATCH(T23,$J$388:$J$400,0)</x:f>
        <x:v>2</x:v>
      </x:c>
      <x:c r="X23" s="3"/>
      <x:c r="Y23" s="3"/>
      <x:c r="Z23" s="3"/>
    </x:row>
    <x:row r="24" ht="15" customHeight="1">
      <x:c r="A24" s="10" t="n">
        <x:f>IF(6&lt;='Сводка'!$B$3,'Сводка'!$B$4+6,"")</x:f>
        <x:v>46241</x:v>
      </x:c>
      <x:c r="B24" s="18" t="n">
        <x:f>IF($A24="","",(A24-$T$405+1)/1000)</x:f>
        <x:v>8.985</x:v>
      </x:c>
      <x:c r="C24" s="18" t="n">
        <x:f>IF($A24="","",2*(A24-$T$405)/$T$406-1)</x:f>
        <x:v>1.0013366005791937</x:v>
      </x:c>
      <x:c r="D24" s="8" t="n">
        <x:f>IF($A24="","",$B$4*EXP($B$5*B24))</x:f>
        <x:v>166.3723564239324</x:v>
      </x:c>
      <x:c r="E24" s="8" t="n">
        <x:f>IF($A24="","",SQRT($T$403^2+H24^2))</x:f>
        <x:v>165.6913888506239</x:v>
      </x:c>
      <x:c r="F24" s="8" t="n">
        <x:f>IF($A24="","",D24-$T$404*E24)</x:f>
        <x:v>-158.42254706077438</x:v>
      </x:c>
      <x:c r="G24" s="8" t="n">
        <x:f>IF($A24="","",D24+$T$404*E24)</x:f>
        <x:v>491.16725990863915</x:v>
      </x:c>
      <x:c r="H24" s="8" t="n">
        <x:f>IF($A24="","",SQRT(MAX(0,(EXP($B$5*B24))*$S$409*(EXP($B$5*B24))+(EXP($B$5*B24))*$T$409*($B$4*EXP($B$5*B24)*B24)+($B$4*EXP($B$5*B24)*B24)*$S$410*(EXP($B$5*B24))+($B$4*EXP($B$5*B24)*B24)*$T$410*($B$4*EXP($B$5*B24)*B24))))</x:f>
        <x:v>5.436634486804637</x:v>
      </x:c>
      <x:c r="I24" s="3"/>
      <x:c r="J24" s="10" t="n">
        <x:v>45875</x:v>
      </x:c>
      <x:c r="K24" s="8" t="n">
        <x:f>INDEX('Сводка'!$S$3:$S$397,U24)</x:f>
        <x:v>253</x:v>
      </x:c>
      <x:c r="L24" s="8" t="n">
        <x:f>INDEX('Сводка'!$S$3:$S$397,V24)</x:f>
        <x:v>249</x:v>
      </x:c>
      <x:c r="M24" s="8" t="n">
        <x:f>INDEX($K$388:$N$400,W24,1)*EXP(INDEX($K$388:$N$400,W24,2)*((J24-$T$405+1)/1000))</x:f>
        <x:v>184.5403656761105</x:v>
      </x:c>
      <x:c r="N24" s="8" t="n">
        <x:f>K24-M24</x:f>
        <x:v>68.4596343238895</x:v>
      </x:c>
      <x:c r="O24" s="8" t="n">
        <x:f>ABS(N24)</x:f>
        <x:v>68.4596343238895</x:v>
      </x:c>
      <x:c r="P24" s="8" t="n">
        <x:f>N24^2</x:f>
        <x:v>4686.72153176067</x:v>
      </x:c>
      <x:c r="Q24" s="8" t="n">
        <x:f>K24-L24</x:f>
        <x:v>4</x:v>
      </x:c>
      <x:c r="R24" s="9" t="n">
        <x:f>IF(AND(INDEX('Сводка'!$T$3:$T$397,U24)=0,INDEX('Сводка'!$T$3:$T$397,V24)=0),1,0)</x:f>
        <x:v>1</x:v>
      </x:c>
      <x:c r="S24" s="9" t="n">
        <x:f>IF(AND(R24=1,O24&lt;=$G$13),1,0)</x:f>
        <x:v>0</x:v>
      </x:c>
      <x:c r="T24" s="10" t="n">
        <x:f>EOMONTH(J24-'Сводка'!$B$11,-1)</x:f>
        <x:v>45869</x:v>
      </x:c>
      <x:c r="U24" s="4" t="n">
        <x:f>MATCH(J24,'Сводка'!$R$3:$R$397,0)</x:f>
        <x:v>35</x:v>
      </x:c>
      <x:c r="V24" s="4" t="n">
        <x:f>MATCH(J24-'Сводка'!$B$11,'Сводка'!$R$3:$R$397,0)</x:f>
        <x:v>34</x:v>
      </x:c>
      <x:c r="W24" s="4" t="n">
        <x:f>MATCH(T24,$J$388:$J$400,0)</x:f>
        <x:v>2</x:v>
      </x:c>
      <x:c r="X24" s="3"/>
      <x:c r="Y24" s="3"/>
      <x:c r="Z24" s="3"/>
    </x:row>
    <x:row r="25" ht="15" customHeight="1">
      <x:c r="A25" s="10" t="n">
        <x:f>IF(7&lt;='Сводка'!$B$3,'Сводка'!$B$4+7,"")</x:f>
        <x:v>46242</x:v>
      </x:c>
      <x:c r="B25" s="18" t="n">
        <x:f>IF($A25="","",(A25-$T$405+1)/1000)</x:f>
        <x:v>8.986</x:v>
      </x:c>
      <x:c r="C25" s="18" t="n">
        <x:f>IF($A25="","",2*(A25-$T$405)/$T$406-1)</x:f>
        <x:v>1.0015593673423924</x:v>
      </x:c>
      <x:c r="D25" s="8" t="n">
        <x:f>IF($A25="","",$B$4*EXP($B$5*B25))</x:f>
        <x:v>166.40811316803607</x:v>
      </x:c>
      <x:c r="E25" s="8" t="n">
        <x:f>IF($A25="","",SQRT($T$403^2+H25^2))</x:f>
        <x:v>165.69147258166916</x:v>
      </x:c>
      <x:c r="F25" s="8" t="n">
        <x:f>IF($A25="","",D25-$T$404*E25)</x:f>
        <x:v>-158.38695444962266</x:v>
      </x:c>
      <x:c r="G25" s="8" t="n">
        <x:f>IF($A25="","",D25+$T$404*E25)</x:f>
        <x:v>491.2031807856948</x:v>
      </x:c>
      <x:c r="H25" s="8" t="n">
        <x:f>IF($A25="","",SQRT(MAX(0,(EXP($B$5*B25))*$S$409*(EXP($B$5*B25))+(EXP($B$5*B25))*$T$409*($B$4*EXP($B$5*B25)*B25)+($B$4*EXP($B$5*B25)*B25)*$S$410*(EXP($B$5*B25))+($B$4*EXP($B$5*B25)*B25)*$T$410*($B$4*EXP($B$5*B25)*B25))))</x:f>
        <x:v>5.439185745723308</x:v>
      </x:c>
      <x:c r="I25" s="3"/>
      <x:c r="J25" s="10" t="n">
        <x:v>45876</x:v>
      </x:c>
      <x:c r="K25" s="8" t="n">
        <x:f>INDEX('Сводка'!$S$3:$S$397,U25)</x:f>
        <x:v>259</x:v>
      </x:c>
      <x:c r="L25" s="8" t="n">
        <x:f>INDEX('Сводка'!$S$3:$S$397,V25)</x:f>
        <x:v>253</x:v>
      </x:c>
      <x:c r="M25" s="8" t="n">
        <x:f>INDEX($K$388:$N$400,W25,1)*EXP(INDEX($K$388:$N$400,W25,2)*((J25-$T$405+1)/1000))</x:f>
        <x:v>184.58775251937882</x:v>
      </x:c>
      <x:c r="N25" s="8" t="n">
        <x:f>K25-M25</x:f>
        <x:v>74.41224748062118</x:v>
      </x:c>
      <x:c r="O25" s="8" t="n">
        <x:f>ABS(N25)</x:f>
        <x:v>74.41224748062118</x:v>
      </x:c>
      <x:c r="P25" s="8" t="n">
        <x:f>N25^2</x:f>
        <x:v>5537.182575117213</x:v>
      </x:c>
      <x:c r="Q25" s="8" t="n">
        <x:f>K25-L25</x:f>
        <x:v>6</x:v>
      </x:c>
      <x:c r="R25" s="9" t="n">
        <x:f>IF(AND(INDEX('Сводка'!$T$3:$T$397,U25)=0,INDEX('Сводка'!$T$3:$T$397,V25)=0),1,0)</x:f>
        <x:v>1</x:v>
      </x:c>
      <x:c r="S25" s="9" t="n">
        <x:f>IF(AND(R25=1,O25&lt;=$G$13),1,0)</x:f>
        <x:v>0</x:v>
      </x:c>
      <x:c r="T25" s="10" t="n">
        <x:f>EOMONTH(J25-'Сводка'!$B$11,-1)</x:f>
        <x:v>45869</x:v>
      </x:c>
      <x:c r="U25" s="4" t="n">
        <x:f>MATCH(J25,'Сводка'!$R$3:$R$397,0)</x:f>
        <x:v>36</x:v>
      </x:c>
      <x:c r="V25" s="4" t="n">
        <x:f>MATCH(J25-'Сводка'!$B$11,'Сводка'!$R$3:$R$397,0)</x:f>
        <x:v>35</x:v>
      </x:c>
      <x:c r="W25" s="4" t="n">
        <x:f>MATCH(T25,$J$388:$J$400,0)</x:f>
        <x:v>2</x:v>
      </x:c>
      <x:c r="X25" s="3"/>
      <x:c r="Y25" s="3"/>
      <x:c r="Z25" s="3"/>
    </x:row>
    <x:row r="26" ht="15" customHeight="1">
      <x:c r="A26" s="10" t="n">
        <x:f>IF(8&lt;='Сводка'!$B$3,'Сводка'!$B$4+8,"")</x:f>
        <x:v>46243</x:v>
      </x:c>
      <x:c r="B26" s="18" t="n">
        <x:f>IF($A26="","",(A26-$T$405+1)/1000)</x:f>
        <x:v>8.987</x:v>
      </x:c>
      <x:c r="C26" s="18" t="n">
        <x:f>IF($A26="","",2*(A26-$T$405)/$T$406-1)</x:f>
        <x:v>1.0017821341055915</x:v>
      </x:c>
      <x:c r="D26" s="8" t="n">
        <x:f>IF($A26="","",$B$4*EXP($B$5*B26))</x:f>
        <x:v>166.44387759697858</x:v>
      </x:c>
      <x:c r="E26" s="8" t="n">
        <x:f>IF($A26="","",SQRT($T$403^2+H26^2))</x:f>
        <x:v>165.69155638884803</x:v>
      </x:c>
      <x:c r="F26" s="8" t="n">
        <x:f>IF($A26="","",D26-$T$404*E26)</x:f>
        <x:v>-158.35135430287224</x:v>
      </x:c>
      <x:c r="G26" s="8" t="n">
        <x:f>IF($A26="","",D26+$T$404*E26)</x:f>
        <x:v>491.2391094968294</x:v>
      </x:c>
      <x:c r="H26" s="8" t="n">
        <x:f>IF($A26="","",SQRT(MAX(0,(EXP($B$5*B26))*$S$409*(EXP($B$5*B26))+(EXP($B$5*B26))*$T$409*($B$4*EXP($B$5*B26)*B26)+($B$4*EXP($B$5*B26)*B26)*$S$410*(EXP($B$5*B26))+($B$4*EXP($B$5*B26)*B26)*$T$410*($B$4*EXP($B$5*B26)*B26))))</x:f>
        <x:v>5.441738127957478</x:v>
      </x:c>
      <x:c r="I26" s="3"/>
      <x:c r="J26" s="10" t="n">
        <x:v>45877</x:v>
      </x:c>
      <x:c r="K26" s="8" t="n">
        <x:f>INDEX('Сводка'!$S$3:$S$397,U26)</x:f>
        <x:v>265</x:v>
      </x:c>
      <x:c r="L26" s="8" t="n">
        <x:f>INDEX('Сводка'!$S$3:$S$397,V26)</x:f>
        <x:v>259</x:v>
      </x:c>
      <x:c r="M26" s="8" t="n">
        <x:f>INDEX($K$388:$N$400,W26,1)*EXP(INDEX($K$388:$N$400,W26,2)*((J26-$T$405+1)/1000))</x:f>
        <x:v>184.63515153078666</x:v>
      </x:c>
      <x:c r="N26" s="8" t="n">
        <x:f>K26-M26</x:f>
        <x:v>80.36484846921334</x:v>
      </x:c>
      <x:c r="O26" s="8" t="n">
        <x:f>ABS(N26)</x:f>
        <x:v>80.36484846921334</x:v>
      </x:c>
      <x:c r="P26" s="8" t="n">
        <x:f>N26^2</x:f>
        <x:v>6458.508869479622</x:v>
      </x:c>
      <x:c r="Q26" s="8" t="n">
        <x:f>K26-L26</x:f>
        <x:v>6</x:v>
      </x:c>
      <x:c r="R26" s="9" t="n">
        <x:f>IF(AND(INDEX('Сводка'!$T$3:$T$397,U26)=0,INDEX('Сводка'!$T$3:$T$397,V26)=0),1,0)</x:f>
        <x:v>1</x:v>
      </x:c>
      <x:c r="S26" s="9" t="n">
        <x:f>IF(AND(R26=1,O26&lt;=$G$13),1,0)</x:f>
        <x:v>0</x:v>
      </x:c>
      <x:c r="T26" s="10" t="n">
        <x:f>EOMONTH(J26-'Сводка'!$B$11,-1)</x:f>
        <x:v>45869</x:v>
      </x:c>
      <x:c r="U26" s="4" t="n">
        <x:f>MATCH(J26,'Сводка'!$R$3:$R$397,0)</x:f>
        <x:v>37</x:v>
      </x:c>
      <x:c r="V26" s="4" t="n">
        <x:f>MATCH(J26-'Сводка'!$B$11,'Сводка'!$R$3:$R$397,0)</x:f>
        <x:v>36</x:v>
      </x:c>
      <x:c r="W26" s="4" t="n">
        <x:f>MATCH(T26,$J$388:$J$400,0)</x:f>
        <x:v>2</x:v>
      </x:c>
      <x:c r="X26" s="3"/>
      <x:c r="Y26" s="3"/>
      <x:c r="Z26" s="3"/>
    </x:row>
    <x:row r="27" ht="15" customHeight="1">
      <x:c r="A27" s="10" t="n">
        <x:f>IF(9&lt;='Сводка'!$B$3,'Сводка'!$B$4+9,"")</x:f>
        <x:v>46244</x:v>
      </x:c>
      <x:c r="B27" s="18" t="n">
        <x:f>IF($A27="","",(A27-$T$405+1)/1000)</x:f>
        <x:v>8.988</x:v>
      </x:c>
      <x:c r="C27" s="18" t="n">
        <x:f>IF($A27="","",2*(A27-$T$405)/$T$406-1)</x:f>
        <x:v>1.0020049008687906</x:v>
      </x:c>
      <x:c r="D27" s="8" t="n">
        <x:f>IF($A27="","",$B$4*EXP($B$5*B27))</x:f>
        <x:v>166.47964971241157</x:v>
      </x:c>
      <x:c r="E27" s="8" t="n">
        <x:f>IF($A27="","",SQRT($T$403^2+H27^2))</x:f>
        <x:v>165.69164027221933</x:v>
      </x:c>
      <x:c r="F27" s="8" t="n">
        <x:f>IF($A27="","",D27-$T$404*E27)</x:f>
        <x:v>-158.3157466189868</x:v>
      </x:c>
      <x:c r="G27" s="8" t="n">
        <x:f>IF($A27="","",D27+$T$404*E27)</x:f>
        <x:v>491.27504604380994</x:v>
      </x:c>
      <x:c r="H27" s="8" t="n">
        <x:f>IF($A27="","",SQRT(MAX(0,(EXP($B$5*B27))*$S$409*(EXP($B$5*B27))+(EXP($B$5*B27))*$T$409*($B$4*EXP($B$5*B27)*B27)+($B$4*EXP($B$5*B27)*B27)*$S$410*(EXP($B$5*B27))+($B$4*EXP($B$5*B27)*B27)*$T$410*($B$4*EXP($B$5*B27)*B27))))</x:f>
        <x:v>5.444291633720001</x:v>
      </x:c>
      <x:c r="I27" s="3"/>
      <x:c r="J27" s="10" t="n">
        <x:v>45878</x:v>
      </x:c>
      <x:c r="K27" s="8" t="n">
        <x:f>INDEX('Сводка'!$S$3:$S$397,U27)</x:f>
        <x:v>276</x:v>
      </x:c>
      <x:c r="L27" s="8" t="n">
        <x:f>INDEX('Сводка'!$S$3:$S$397,V27)</x:f>
        <x:v>265</x:v>
      </x:c>
      <x:c r="M27" s="8" t="n">
        <x:f>INDEX($K$388:$N$400,W27,1)*EXP(INDEX($K$388:$N$400,W27,2)*((J27-$T$405+1)/1000))</x:f>
        <x:v>184.68256271345857</x:v>
      </x:c>
      <x:c r="N27" s="8" t="n">
        <x:f>K27-M27</x:f>
        <x:v>91.31743728654143</x:v>
      </x:c>
      <x:c r="O27" s="8" t="n">
        <x:f>ABS(N27)</x:f>
        <x:v>91.31743728654143</x:v>
      </x:c>
      <x:c r="P27" s="8" t="n">
        <x:f>N27^2</x:f>
        <x:v>8338.874352581428</x:v>
      </x:c>
      <x:c r="Q27" s="8" t="n">
        <x:f>K27-L27</x:f>
        <x:v>11</x:v>
      </x:c>
      <x:c r="R27" s="9" t="n">
        <x:f>IF(AND(INDEX('Сводка'!$T$3:$T$397,U27)=0,INDEX('Сводка'!$T$3:$T$397,V27)=0),1,0)</x:f>
        <x:v>1</x:v>
      </x:c>
      <x:c r="S27" s="9" t="n">
        <x:f>IF(AND(R27=1,O27&lt;=$G$13),1,0)</x:f>
        <x:v>0</x:v>
      </x:c>
      <x:c r="T27" s="10" t="n">
        <x:f>EOMONTH(J27-'Сводка'!$B$11,-1)</x:f>
        <x:v>45869</x:v>
      </x:c>
      <x:c r="U27" s="4" t="n">
        <x:f>MATCH(J27,'Сводка'!$R$3:$R$397,0)</x:f>
        <x:v>38</x:v>
      </x:c>
      <x:c r="V27" s="4" t="n">
        <x:f>MATCH(J27-'Сводка'!$B$11,'Сводка'!$R$3:$R$397,0)</x:f>
        <x:v>37</x:v>
      </x:c>
      <x:c r="W27" s="4" t="n">
        <x:f>MATCH(T27,$J$388:$J$400,0)</x:f>
        <x:v>2</x:v>
      </x:c>
      <x:c r="X27" s="3"/>
      <x:c r="Y27" s="3"/>
      <x:c r="Z27" s="3"/>
    </x:row>
    <x:row r="28" ht="15" customHeight="1">
      <x:c r="A28" s="10" t="n">
        <x:f>IF(10&lt;='Сводка'!$B$3,'Сводка'!$B$4+10,"")</x:f>
        <x:v>46245</x:v>
      </x:c>
      <x:c r="B28" s="18" t="n">
        <x:f>IF($A28="","",(A28-$T$405+1)/1000)</x:f>
        <x:v>8.989</x:v>
      </x:c>
      <x:c r="C28" s="18" t="n">
        <x:f>IF($A28="","",2*(A28-$T$405)/$T$406-1)</x:f>
        <x:v>1.0022276676319892</x:v>
      </x:c>
      <x:c r="D28" s="8" t="n">
        <x:f>IF($A28="","",$B$4*EXP($B$5*B28))</x:f>
        <x:v>166.515429515987</x:v>
      </x:c>
      <x:c r="E28" s="8" t="n">
        <x:f>IF($A28="","",SQRT($T$403^2+H28^2))</x:f>
        <x:v>165.69172423184187</x:v>
      </x:c>
      <x:c r="F28" s="8" t="n">
        <x:f>IF($A28="","",D28-$T$404*E28)</x:f>
        <x:v>-158.2801313964297</x:v>
      </x:c>
      <x:c r="G28" s="8" t="n">
        <x:f>IF($A28="","",D28+$T$404*E28)</x:f>
        <x:v>491.31099042840367</x:v>
      </x:c>
      <x:c r="H28" s="8" t="n">
        <x:f>IF($A28="","",SQRT(MAX(0,(EXP($B$5*B28))*$S$409*(EXP($B$5*B28))+(EXP($B$5*B28))*$T$409*($B$4*EXP($B$5*B28)*B28)+($B$4*EXP($B$5*B28)*B28)*$S$410*(EXP($B$5*B28))+($B$4*EXP($B$5*B28)*B28)*$T$410*($B$4*EXP($B$5*B28)*B28))))</x:f>
        <x:v>5.4468462632238595</x:v>
      </x:c>
      <x:c r="I28" s="3"/>
      <x:c r="J28" s="10" t="n">
        <x:v>45879</x:v>
      </x:c>
      <x:c r="K28" s="8" t="n">
        <x:f>INDEX('Сводка'!$S$3:$S$397,U28)</x:f>
        <x:v>290</x:v>
      </x:c>
      <x:c r="L28" s="8" t="n">
        <x:f>INDEX('Сводка'!$S$3:$S$397,V28)</x:f>
        <x:v>276</x:v>
      </x:c>
      <x:c r="M28" s="8" t="n">
        <x:f>INDEX($K$388:$N$400,W28,1)*EXP(INDEX($K$388:$N$400,W28,2)*((J28-$T$405+1)/1000))</x:f>
        <x:v>184.72998607051989</x:v>
      </x:c>
      <x:c r="N28" s="8" t="n">
        <x:f>K28-M28</x:f>
        <x:v>105.27001392948011</x:v>
      </x:c>
      <x:c r="O28" s="8" t="n">
        <x:f>ABS(N28)</x:f>
        <x:v>105.27001392948011</x:v>
      </x:c>
      <x:c r="P28" s="8" t="n">
        <x:f>N28^2</x:f>
        <x:v>11081.775832712938</x:v>
      </x:c>
      <x:c r="Q28" s="8" t="n">
        <x:f>K28-L28</x:f>
        <x:v>14</x:v>
      </x:c>
      <x:c r="R28" s="9" t="n">
        <x:f>IF(AND(INDEX('Сводка'!$T$3:$T$397,U28)=0,INDEX('Сводка'!$T$3:$T$397,V28)=0),1,0)</x:f>
        <x:v>1</x:v>
      </x:c>
      <x:c r="S28" s="9" t="n">
        <x:f>IF(AND(R28=1,O28&lt;=$G$13),1,0)</x:f>
        <x:v>0</x:v>
      </x:c>
      <x:c r="T28" s="10" t="n">
        <x:f>EOMONTH(J28-'Сводка'!$B$11,-1)</x:f>
        <x:v>45869</x:v>
      </x:c>
      <x:c r="U28" s="4" t="n">
        <x:f>MATCH(J28,'Сводка'!$R$3:$R$397,0)</x:f>
        <x:v>39</x:v>
      </x:c>
      <x:c r="V28" s="4" t="n">
        <x:f>MATCH(J28-'Сводка'!$B$11,'Сводка'!$R$3:$R$397,0)</x:f>
        <x:v>38</x:v>
      </x:c>
      <x:c r="W28" s="4" t="n">
        <x:f>MATCH(T28,$J$388:$J$400,0)</x:f>
        <x:v>2</x:v>
      </x:c>
      <x:c r="X28" s="3"/>
      <x:c r="Y28" s="3"/>
      <x:c r="Z28" s="3"/>
    </x:row>
    <x:row r="29" ht="15" customHeight="1">
      <x:c r="A29" s="10" t="n">
        <x:f>IF(11&lt;='Сводка'!$B$3,'Сводка'!$B$4+11,"")</x:f>
        <x:v>46246</x:v>
      </x:c>
      <x:c r="B29" s="18" t="n">
        <x:f>IF($A29="","",(A29-$T$405+1)/1000)</x:f>
        <x:v>8.99</x:v>
      </x:c>
      <x:c r="C29" s="18" t="n">
        <x:f>IF($A29="","",2*(A29-$T$405)/$T$406-1)</x:f>
        <x:v>1.0024504343951883</x:v>
      </x:c>
      <x:c r="D29" s="8" t="n">
        <x:f>IF($A29="","",$B$4*EXP($B$5*B29))</x:f>
        <x:v>166.55121700935726</x:v>
      </x:c>
      <x:c r="E29" s="8" t="n">
        <x:f>IF($A29="","",SQRT($T$403^2+H29^2))</x:f>
        <x:v>165.69180826777455</x:v>
      </x:c>
      <x:c r="F29" s="8" t="n">
        <x:f>IF($A29="","",D29-$T$404*E29)</x:f>
        <x:v>-158.2445086336639</x:v>
      </x:c>
      <x:c r="G29" s="8" t="n">
        <x:f>IF($A29="","",D29+$T$404*E29)</x:f>
        <x:v>491.3469426523784</x:v>
      </x:c>
      <x:c r="H29" s="8" t="n">
        <x:f>IF($A29="","",SQRT(MAX(0,(EXP($B$5*B29))*$S$409*(EXP($B$5*B29))+(EXP($B$5*B29))*$T$409*($B$4*EXP($B$5*B29)*B29)+($B$4*EXP($B$5*B29)*B29)*$S$410*(EXP($B$5*B29))+($B$4*EXP($B$5*B29)*B29)*$T$410*($B$4*EXP($B$5*B29)*B29))))</x:f>
        <x:v>5.449402016682163</x:v>
      </x:c>
      <x:c r="I29" s="3"/>
      <x:c r="J29" s="10" t="n">
        <x:v>45880</x:v>
      </x:c>
      <x:c r="K29" s="8" t="n">
        <x:f>INDEX('Сводка'!$S$3:$S$397,U29)</x:f>
        <x:v>303</x:v>
      </x:c>
      <x:c r="L29" s="8" t="n">
        <x:f>INDEX('Сводка'!$S$3:$S$397,V29)</x:f>
        <x:v>290</x:v>
      </x:c>
      <x:c r="M29" s="8" t="n">
        <x:f>INDEX($K$388:$N$400,W29,1)*EXP(INDEX($K$388:$N$400,W29,2)*((J29-$T$405+1)/1000))</x:f>
        <x:v>184.77742160509695</x:v>
      </x:c>
      <x:c r="N29" s="8" t="n">
        <x:f>K29-M29</x:f>
        <x:v>118.22257839490305</x:v>
      </x:c>
      <x:c r="O29" s="8" t="n">
        <x:f>ABS(N29)</x:f>
        <x:v>118.22257839490305</x:v>
      </x:c>
      <x:c r="P29" s="8" t="n">
        <x:f>N29^2</x:f>
        <x:v>13976.578042338999</x:v>
      </x:c>
      <x:c r="Q29" s="8" t="n">
        <x:f>K29-L29</x:f>
        <x:v>13</x:v>
      </x:c>
      <x:c r="R29" s="9" t="n">
        <x:f>IF(AND(INDEX('Сводка'!$T$3:$T$397,U29)=0,INDEX('Сводка'!$T$3:$T$397,V29)=0),1,0)</x:f>
        <x:v>1</x:v>
      </x:c>
      <x:c r="S29" s="9" t="n">
        <x:f>IF(AND(R29=1,O29&lt;=$G$13),1,0)</x:f>
        <x:v>0</x:v>
      </x:c>
      <x:c r="T29" s="10" t="n">
        <x:f>EOMONTH(J29-'Сводка'!$B$11,-1)</x:f>
        <x:v>45869</x:v>
      </x:c>
      <x:c r="U29" s="4" t="n">
        <x:f>MATCH(J29,'Сводка'!$R$3:$R$397,0)</x:f>
        <x:v>40</x:v>
      </x:c>
      <x:c r="V29" s="4" t="n">
        <x:f>MATCH(J29-'Сводка'!$B$11,'Сводка'!$R$3:$R$397,0)</x:f>
        <x:v>39</x:v>
      </x:c>
      <x:c r="W29" s="4" t="n">
        <x:f>MATCH(T29,$J$388:$J$400,0)</x:f>
        <x:v>2</x:v>
      </x:c>
      <x:c r="X29" s="3"/>
      <x:c r="Y29" s="3"/>
      <x:c r="Z29" s="3"/>
    </x:row>
    <x:row r="30" ht="15" customHeight="1">
      <x:c r="A30" s="10" t="n">
        <x:f>IF(12&lt;='Сводка'!$B$3,'Сводка'!$B$4+12,"")</x:f>
        <x:v>46247</x:v>
      </x:c>
      <x:c r="B30" s="18" t="n">
        <x:f>IF($A30="","",(A30-$T$405+1)/1000)</x:f>
        <x:v>8.991</x:v>
      </x:c>
      <x:c r="C30" s="18" t="n">
        <x:f>IF($A30="","",2*(A30-$T$405)/$T$406-1)</x:f>
        <x:v>1.002673201158387</x:v>
      </x:c>
      <x:c r="D30" s="8" t="n">
        <x:f>IF($A30="","",$B$4*EXP($B$5*B30))</x:f>
        <x:v>166.58701219417495</x:v>
      </x:c>
      <x:c r="E30" s="8" t="n">
        <x:f>IF($A30="","",SQRT($T$403^2+H30^2))</x:f>
        <x:v>165.69189238007624</x:v>
      </x:c>
      <x:c r="F30" s="8" t="n">
        <x:f>IF($A30="","",D30-$T$404*E30)</x:f>
        <x:v>-158.20887832915233</x:v>
      </x:c>
      <x:c r="G30" s="8" t="n">
        <x:f>IF($A30="","",D30+$T$404*E30)</x:f>
        <x:v>491.38290271750225</x:v>
      </x:c>
      <x:c r="H30" s="8" t="n">
        <x:f>IF($A30="","",SQRT(MAX(0,(EXP($B$5*B30))*$S$409*(EXP($B$5*B30))+(EXP($B$5*B30))*$T$409*($B$4*EXP($B$5*B30)*B30)+($B$4*EXP($B$5*B30)*B30)*$S$410*(EXP($B$5*B30))+($B$4*EXP($B$5*B30)*B30)*$T$410*($B$4*EXP($B$5*B30)*B30))))</x:f>
        <x:v>5.451958894308167</x:v>
      </x:c>
      <x:c r="I30" s="3"/>
      <x:c r="J30" s="10" t="n">
        <x:v>45881</x:v>
      </x:c>
      <x:c r="K30" s="8" t="n">
        <x:f>INDEX('Сводка'!$S$3:$S$397,U30)</x:f>
        <x:v>315</x:v>
      </x:c>
      <x:c r="L30" s="8" t="n">
        <x:f>INDEX('Сводка'!$S$3:$S$397,V30)</x:f>
        <x:v>303</x:v>
      </x:c>
      <x:c r="M30" s="8" t="n">
        <x:f>INDEX($K$388:$N$400,W30,1)*EXP(INDEX($K$388:$N$400,W30,2)*((J30-$T$405+1)/1000))</x:f>
        <x:v>184.82486932031654</x:v>
      </x:c>
      <x:c r="N30" s="8" t="n">
        <x:f>K30-M30</x:f>
        <x:v>130.17513067968346</x:v>
      </x:c>
      <x:c r="O30" s="8" t="n">
        <x:f>ABS(N30)</x:f>
        <x:v>130.17513067968346</x:v>
      </x:c>
      <x:c r="P30" s="8" t="n">
        <x:f>N30^2</x:f>
        <x:v>16945.564647472667</x:v>
      </x:c>
      <x:c r="Q30" s="8" t="n">
        <x:f>K30-L30</x:f>
        <x:v>12</x:v>
      </x:c>
      <x:c r="R30" s="9" t="n">
        <x:f>IF(AND(INDEX('Сводка'!$T$3:$T$397,U30)=0,INDEX('Сводка'!$T$3:$T$397,V30)=0),1,0)</x:f>
        <x:v>1</x:v>
      </x:c>
      <x:c r="S30" s="9" t="n">
        <x:f>IF(AND(R30=1,O30&lt;=$G$13),1,0)</x:f>
        <x:v>0</x:v>
      </x:c>
      <x:c r="T30" s="10" t="n">
        <x:f>EOMONTH(J30-'Сводка'!$B$11,-1)</x:f>
        <x:v>45869</x:v>
      </x:c>
      <x:c r="U30" s="4" t="n">
        <x:f>MATCH(J30,'Сводка'!$R$3:$R$397,0)</x:f>
        <x:v>41</x:v>
      </x:c>
      <x:c r="V30" s="4" t="n">
        <x:f>MATCH(J30-'Сводка'!$B$11,'Сводка'!$R$3:$R$397,0)</x:f>
        <x:v>40</x:v>
      </x:c>
      <x:c r="W30" s="4" t="n">
        <x:f>MATCH(T30,$J$388:$J$400,0)</x:f>
        <x:v>2</x:v>
      </x:c>
      <x:c r="X30" s="3"/>
      <x:c r="Y30" s="3"/>
      <x:c r="Z30" s="3"/>
    </x:row>
    <x:row r="31" ht="15" customHeight="1">
      <x:c r="A31" s="10" t="n">
        <x:f>IF(13&lt;='Сводка'!$B$3,'Сводка'!$B$4+13,"")</x:f>
        <x:v>46248</x:v>
      </x:c>
      <x:c r="B31" s="18" t="n">
        <x:f>IF($A31="","",(A31-$T$405+1)/1000)</x:f>
        <x:v>8.992</x:v>
      </x:c>
      <x:c r="C31" s="18" t="n">
        <x:f>IF($A31="","",2*(A31-$T$405)/$T$406-1)</x:f>
        <x:v>1.002895967921586</x:v>
      </x:c>
      <x:c r="D31" s="8" t="n">
        <x:f>IF($A31="","",$B$4*EXP($B$5*B31))</x:f>
        <x:v>166.6228150720933</x:v>
      </x:c>
      <x:c r="E31" s="8" t="n">
        <x:f>IF($A31="","",SQRT($T$403^2+H31^2))</x:f>
        <x:v>165.69197656880593</x:v>
      </x:c>
      <x:c r="F31" s="8" t="n">
        <x:f>IF($A31="","",D31-$T$404*E31)</x:f>
        <x:v>-158.17324048135728</x:v>
      </x:c>
      <x:c r="G31" s="8" t="n">
        <x:f>IF($A31="","",D31+$T$404*E31)</x:f>
        <x:v>491.41887062554383</x:v>
      </x:c>
      <x:c r="H31" s="8" t="n">
        <x:f>IF($A31="","",SQRT(MAX(0,(EXP($B$5*B31))*$S$409*(EXP($B$5*B31))+(EXP($B$5*B31))*$T$409*($B$4*EXP($B$5*B31)*B31)+($B$4*EXP($B$5*B31)*B31)*$S$410*(EXP($B$5*B31))+($B$4*EXP($B$5*B31)*B31)*$T$410*($B$4*EXP($B$5*B31)*B31))))</x:f>
        <x:v>5.454516896315262</x:v>
      </x:c>
      <x:c r="I31" s="3"/>
      <x:c r="J31" s="10" t="n">
        <x:v>45882</x:v>
      </x:c>
      <x:c r="K31" s="8" t="n">
        <x:f>INDEX('Сводка'!$S$3:$S$397,U31)</x:f>
        <x:v>323</x:v>
      </x:c>
      <x:c r="L31" s="8" t="n">
        <x:f>INDEX('Сводка'!$S$3:$S$397,V31)</x:f>
        <x:v>315</x:v>
      </x:c>
      <x:c r="M31" s="8" t="n">
        <x:f>INDEX($K$388:$N$400,W31,1)*EXP(INDEX($K$388:$N$400,W31,2)*((J31-$T$405+1)/1000))</x:f>
        <x:v>184.87232921930658</x:v>
      </x:c>
      <x:c r="N31" s="8" t="n">
        <x:f>K31-M31</x:f>
        <x:v>138.12767078069342</x:v>
      </x:c>
      <x:c r="O31" s="8" t="n">
        <x:f>ABS(N31)</x:f>
        <x:v>138.12767078069342</x:v>
      </x:c>
      <x:c r="P31" s="8" t="n">
        <x:f>N31^2</x:f>
        <x:v>19079.253435299626</x:v>
      </x:c>
      <x:c r="Q31" s="8" t="n">
        <x:f>K31-L31</x:f>
        <x:v>8</x:v>
      </x:c>
      <x:c r="R31" s="9" t="n">
        <x:f>IF(AND(INDEX('Сводка'!$T$3:$T$397,U31)=0,INDEX('Сводка'!$T$3:$T$397,V31)=0),1,0)</x:f>
        <x:v>1</x:v>
      </x:c>
      <x:c r="S31" s="9" t="n">
        <x:f>IF(AND(R31=1,O31&lt;=$G$13),1,0)</x:f>
        <x:v>0</x:v>
      </x:c>
      <x:c r="T31" s="10" t="n">
        <x:f>EOMONTH(J31-'Сводка'!$B$11,-1)</x:f>
        <x:v>45869</x:v>
      </x:c>
      <x:c r="U31" s="4" t="n">
        <x:f>MATCH(J31,'Сводка'!$R$3:$R$397,0)</x:f>
        <x:v>42</x:v>
      </x:c>
      <x:c r="V31" s="4" t="n">
        <x:f>MATCH(J31-'Сводка'!$B$11,'Сводка'!$R$3:$R$397,0)</x:f>
        <x:v>41</x:v>
      </x:c>
      <x:c r="W31" s="4" t="n">
        <x:f>MATCH(T31,$J$388:$J$400,0)</x:f>
        <x:v>2</x:v>
      </x:c>
      <x:c r="X31" s="3"/>
      <x:c r="Y31" s="3"/>
      <x:c r="Z31" s="3"/>
    </x:row>
    <x:row r="32" ht="15" customHeight="1">
      <x:c r="A32" s="10" t="n">
        <x:f>IF(14&lt;='Сводка'!$B$3,'Сводка'!$B$4+14,"")</x:f>
        <x:v>46249</x:v>
      </x:c>
      <x:c r="B32" s="18" t="n">
        <x:f>IF($A32="","",(A32-$T$405+1)/1000)</x:f>
        <x:v>8.993</x:v>
      </x:c>
      <x:c r="C32" s="18" t="n">
        <x:f>IF($A32="","",2*(A32-$T$405)/$T$406-1)</x:f>
        <x:v>1.0031187346847852</x:v>
      </x:c>
      <x:c r="D32" s="8" t="n">
        <x:f>IF($A32="","",$B$4*EXP($B$5*B32))</x:f>
        <x:v>166.65862564476544</x:v>
      </x:c>
      <x:c r="E32" s="8" t="n">
        <x:f>IF($A32="","",SQRT($T$403^2+H32^2))</x:f>
        <x:v>165.69206083402258</x:v>
      </x:c>
      <x:c r="F32" s="8" t="n">
        <x:f>IF($A32="","",D32-$T$404*E32)</x:f>
        <x:v>-158.13759508874125</x:v>
      </x:c>
      <x:c r="G32" s="8" t="n">
        <x:f>IF($A32="","",D32+$T$404*E32)</x:f>
        <x:v>491.4548463782721</x:v>
      </x:c>
      <x:c r="H32" s="8" t="n">
        <x:f>IF($A32="","",SQRT(MAX(0,(EXP($B$5*B32))*$S$409*(EXP($B$5*B32))+(EXP($B$5*B32))*$T$409*($B$4*EXP($B$5*B32)*B32)+($B$4*EXP($B$5*B32)*B32)*$S$410*(EXP($B$5*B32))+($B$4*EXP($B$5*B32)*B32)*$T$410*($B$4*EXP($B$5*B32)*B32))))</x:f>
        <x:v>5.4570760229169535</x:v>
      </x:c>
      <x:c r="I32" s="3"/>
      <x:c r="J32" s="10" t="n">
        <x:v>45883</x:v>
      </x:c>
      <x:c r="K32" s="8" t="n">
        <x:f>INDEX('Сводка'!$S$3:$S$397,U32)</x:f>
        <x:v>327</x:v>
      </x:c>
      <x:c r="L32" s="8" t="n">
        <x:f>INDEX('Сводка'!$S$3:$S$397,V32)</x:f>
        <x:v>323</x:v>
      </x:c>
      <x:c r="M32" s="8" t="n">
        <x:f>INDEX($K$388:$N$400,W32,1)*EXP(INDEX($K$388:$N$400,W32,2)*((J32-$T$405+1)/1000))</x:f>
        <x:v>184.91980130519556</x:v>
      </x:c>
      <x:c r="N32" s="8" t="n">
        <x:f>K32-M32</x:f>
        <x:v>142.08019869480444</x:v>
      </x:c>
      <x:c r="O32" s="8" t="n">
        <x:f>ABS(N32)</x:f>
        <x:v>142.08019869480444</x:v>
      </x:c>
      <x:c r="P32" s="8" t="n">
        <x:f>N32^2</x:f>
        <x:v>20186.78286115511</x:v>
      </x:c>
      <x:c r="Q32" s="8" t="n">
        <x:f>K32-L32</x:f>
        <x:v>4</x:v>
      </x:c>
      <x:c r="R32" s="9" t="n">
        <x:f>IF(AND(INDEX('Сводка'!$T$3:$T$397,U32)=0,INDEX('Сводка'!$T$3:$T$397,V32)=0),1,0)</x:f>
        <x:v>1</x:v>
      </x:c>
      <x:c r="S32" s="9" t="n">
        <x:f>IF(AND(R32=1,O32&lt;=$G$13),1,0)</x:f>
        <x:v>0</x:v>
      </x:c>
      <x:c r="T32" s="10" t="n">
        <x:f>EOMONTH(J32-'Сводка'!$B$11,-1)</x:f>
        <x:v>45869</x:v>
      </x:c>
      <x:c r="U32" s="4" t="n">
        <x:f>MATCH(J32,'Сводка'!$R$3:$R$397,0)</x:f>
        <x:v>43</x:v>
      </x:c>
      <x:c r="V32" s="4" t="n">
        <x:f>MATCH(J32-'Сводка'!$B$11,'Сводка'!$R$3:$R$397,0)</x:f>
        <x:v>42</x:v>
      </x:c>
      <x:c r="W32" s="4" t="n">
        <x:f>MATCH(T32,$J$388:$J$400,0)</x:f>
        <x:v>2</x:v>
      </x:c>
      <x:c r="X32" s="3"/>
      <x:c r="Y32" s="3"/>
      <x:c r="Z32" s="3"/>
    </x:row>
    <x:row r="33" ht="15" customHeight="1">
      <x:c r="A33" s="10" t="n">
        <x:f>IF(15&lt;='Сводка'!$B$3,'Сводка'!$B$4+15,"")</x:f>
        <x:v>46250</x:v>
      </x:c>
      <x:c r="B33" s="18" t="n">
        <x:f>IF($A33="","",(A33-$T$405+1)/1000)</x:f>
        <x:v>8.994</x:v>
      </x:c>
      <x:c r="C33" s="18" t="n">
        <x:f>IF($A33="","",2*(A33-$T$405)/$T$406-1)</x:f>
        <x:v>1.0033415014479838</x:v>
      </x:c>
      <x:c r="D33" s="8" t="n">
        <x:f>IF($A33="","",$B$4*EXP($B$5*B33))</x:f>
        <x:v>166.6944439138453</x:v>
      </x:c>
      <x:c r="E33" s="8" t="n">
        <x:f>IF($A33="","",SQRT($T$403^2+H33^2))</x:f>
        <x:v>165.6921451757852</x:v>
      </x:c>
      <x:c r="F33" s="8" t="n">
        <x:f>IF($A33="","",D33-$T$404*E33)</x:f>
        <x:v>-158.101942149766</x:v>
      </x:c>
      <x:c r="G33" s="8" t="n">
        <x:f>IF($A33="","",D33+$T$404*E33)</x:f>
        <x:v>491.4908299774566</x:v>
      </x:c>
      <x:c r="H33" s="8" t="n">
        <x:f>IF($A33="","",SQRT(MAX(0,(EXP($B$5*B33))*$S$409*(EXP($B$5*B33))+(EXP($B$5*B33))*$T$409*($B$4*EXP($B$5*B33)*B33)+($B$4*EXP($B$5*B33)*B33)*$S$410*(EXP($B$5*B33))+($B$4*EXP($B$5*B33)*B33)*$T$410*($B$4*EXP($B$5*B33)*B33))))</x:f>
        <x:v>5.459636274326896</x:v>
      </x:c>
      <x:c r="I33" s="3"/>
      <x:c r="J33" s="10" t="n">
        <x:v>45884</x:v>
      </x:c>
      <x:c r="K33" s="8" t="n">
        <x:f>INDEX('Сводка'!$S$3:$S$397,U33)</x:f>
        <x:v>329</x:v>
      </x:c>
      <x:c r="L33" s="8" t="n">
        <x:f>INDEX('Сводка'!$S$3:$S$397,V33)</x:f>
        <x:v>327</x:v>
      </x:c>
      <x:c r="M33" s="8" t="n">
        <x:f>INDEX($K$388:$N$400,W33,1)*EXP(INDEX($K$388:$N$400,W33,2)*((J33-$T$405+1)/1000))</x:f>
        <x:v>184.96728558111295</x:v>
      </x:c>
      <x:c r="N33" s="8" t="n">
        <x:f>K33-M33</x:f>
        <x:v>144.03271441888705</x:v>
      </x:c>
      <x:c r="O33" s="8" t="n">
        <x:f>ABS(N33)</x:f>
        <x:v>144.03271441888705</x:v>
      </x:c>
      <x:c r="P33" s="8" t="n">
        <x:f>N33^2</x:f>
        <x:v>20745.422822872675</x:v>
      </x:c>
      <x:c r="Q33" s="8" t="n">
        <x:f>K33-L33</x:f>
        <x:v>2</x:v>
      </x:c>
      <x:c r="R33" s="9" t="n">
        <x:f>IF(AND(INDEX('Сводка'!$T$3:$T$397,U33)=0,INDEX('Сводка'!$T$3:$T$397,V33)=0),1,0)</x:f>
        <x:v>1</x:v>
      </x:c>
      <x:c r="S33" s="9" t="n">
        <x:f>IF(AND(R33=1,O33&lt;=$G$13),1,0)</x:f>
        <x:v>0</x:v>
      </x:c>
      <x:c r="T33" s="10" t="n">
        <x:f>EOMONTH(J33-'Сводка'!$B$11,-1)</x:f>
        <x:v>45869</x:v>
      </x:c>
      <x:c r="U33" s="4" t="n">
        <x:f>MATCH(J33,'Сводка'!$R$3:$R$397,0)</x:f>
        <x:v>44</x:v>
      </x:c>
      <x:c r="V33" s="4" t="n">
        <x:f>MATCH(J33-'Сводка'!$B$11,'Сводка'!$R$3:$R$397,0)</x:f>
        <x:v>43</x:v>
      </x:c>
      <x:c r="W33" s="4" t="n">
        <x:f>MATCH(T33,$J$388:$J$400,0)</x:f>
        <x:v>2</x:v>
      </x:c>
      <x:c r="X33" s="3"/>
      <x:c r="Y33" s="3"/>
      <x:c r="Z33" s="3"/>
    </x:row>
    <x:row r="34" ht="15" customHeight="1">
      <x:c r="A34" s="10" t="n">
        <x:f>IF(16&lt;='Сводка'!$B$3,'Сводка'!$B$4+16,"")</x:f>
        <x:v>46251</x:v>
      </x:c>
      <x:c r="B34" s="18" t="n">
        <x:f>IF($A34="","",(A34-$T$405+1)/1000)</x:f>
        <x:v>8.995</x:v>
      </x:c>
      <x:c r="C34" s="18" t="n">
        <x:f>IF($A34="","",2*(A34-$T$405)/$T$406-1)</x:f>
        <x:v>1.003564268211183</x:v>
      </x:c>
      <x:c r="D34" s="8" t="n">
        <x:f>IF($A34="","",$B$4*EXP($B$5*B34))</x:f>
        <x:v>166.73026988098698</x:v>
      </x:c>
      <x:c r="E34" s="8" t="n">
        <x:f>IF($A34="","",SQRT($T$403^2+H34^2))</x:f>
        <x:v>165.69222959415296</x:v>
      </x:c>
      <x:c r="F34" s="8" t="n">
        <x:f>IF($A34="","",D34-$T$404*E34)</x:f>
        <x:v>-158.06628166289337</x:v>
      </x:c>
      <x:c r="G34" s="8" t="n">
        <x:f>IF($A34="","",D34+$T$404*E34)</x:f>
        <x:v>491.5268214248673</x:v>
      </x:c>
      <x:c r="H34" s="8" t="n">
        <x:f>IF($A34="","",SQRT(MAX(0,(EXP($B$5*B34))*$S$409*(EXP($B$5*B34))+(EXP($B$5*B34))*$T$409*($B$4*EXP($B$5*B34)*B34)+($B$4*EXP($B$5*B34)*B34)*$S$410*(EXP($B$5*B34))+($B$4*EXP($B$5*B34)*B34)*$T$410*($B$4*EXP($B$5*B34)*B34))))</x:f>
        <x:v>5.462197650758884</x:v>
      </x:c>
      <x:c r="I34" s="3"/>
      <x:c r="J34" s="10" t="n">
        <x:v>45885</x:v>
      </x:c>
      <x:c r="K34" s="8" t="n">
        <x:f>INDEX('Сводка'!$S$3:$S$397,U34)</x:f>
        <x:v>329</x:v>
      </x:c>
      <x:c r="L34" s="8" t="n">
        <x:f>INDEX('Сводка'!$S$3:$S$397,V34)</x:f>
        <x:v>329</x:v>
      </x:c>
      <x:c r="M34" s="8" t="n">
        <x:f>INDEX($K$388:$N$400,W34,1)*EXP(INDEX($K$388:$N$400,W34,2)*((J34-$T$405+1)/1000))</x:f>
        <x:v>185.0147820501888</x:v>
      </x:c>
      <x:c r="N34" s="8" t="n">
        <x:f>K34-M34</x:f>
        <x:v>143.9852179498112</x:v>
      </x:c>
      <x:c r="O34" s="8" t="n">
        <x:f>ABS(N34)</x:f>
        <x:v>143.9852179498112</x:v>
      </x:c>
      <x:c r="P34" s="8" t="n">
        <x:f>N34^2</x:f>
        <x:v>20731.74298805463</x:v>
      </x:c>
      <x:c r="Q34" s="8" t="n">
        <x:f>K34-L34</x:f>
        <x:v>0</x:v>
      </x:c>
      <x:c r="R34" s="9" t="n">
        <x:f>IF(AND(INDEX('Сводка'!$T$3:$T$397,U34)=0,INDEX('Сводка'!$T$3:$T$397,V34)=0),1,0)</x:f>
        <x:v>1</x:v>
      </x:c>
      <x:c r="S34" s="9" t="n">
        <x:f>IF(AND(R34=1,O34&lt;=$G$13),1,0)</x:f>
        <x:v>0</x:v>
      </x:c>
      <x:c r="T34" s="10" t="n">
        <x:f>EOMONTH(J34-'Сводка'!$B$11,-1)</x:f>
        <x:v>45869</x:v>
      </x:c>
      <x:c r="U34" s="4" t="n">
        <x:f>MATCH(J34,'Сводка'!$R$3:$R$397,0)</x:f>
        <x:v>45</x:v>
      </x:c>
      <x:c r="V34" s="4" t="n">
        <x:f>MATCH(J34-'Сводка'!$B$11,'Сводка'!$R$3:$R$397,0)</x:f>
        <x:v>44</x:v>
      </x:c>
      <x:c r="W34" s="4" t="n">
        <x:f>MATCH(T34,$J$388:$J$400,0)</x:f>
        <x:v>2</x:v>
      </x:c>
      <x:c r="X34" s="3"/>
      <x:c r="Y34" s="3"/>
      <x:c r="Z34" s="3"/>
    </x:row>
    <x:row r="35" ht="15" customHeight="1">
      <x:c r="A35" s="10" t="n">
        <x:f>IF(17&lt;='Сводка'!$B$3,'Сводка'!$B$4+17,"")</x:f>
        <x:v>46252</x:v>
      </x:c>
      <x:c r="B35" s="18" t="n">
        <x:f>IF($A35="","",(A35-$T$405+1)/1000)</x:f>
        <x:v>8.996</x:v>
      </x:c>
      <x:c r="C35" s="18" t="n">
        <x:f>IF($A35="","",2*(A35-$T$405)/$T$406-1)</x:f>
        <x:v>1.003787034974382</x:v>
      </x:c>
      <x:c r="D35" s="8" t="n">
        <x:f>IF($A35="","",$B$4*EXP($B$5*B35))</x:f>
        <x:v>166.766103547845</x:v>
      </x:c>
      <x:c r="E35" s="8" t="n">
        <x:f>IF($A35="","",SQRT($T$403^2+H35^2))</x:f>
        <x:v>165.69231408918486</x:v>
      </x:c>
      <x:c r="F35" s="8" t="n">
        <x:f>IF($A35="","",D35-$T$404*E35)</x:f>
        <x:v>-158.03061362658454</x:v>
      </x:c>
      <x:c r="G35" s="8" t="n">
        <x:f>IF($A35="","",D35+$T$404*E35)</x:f>
        <x:v>491.5628207222745</x:v>
      </x:c>
      <x:c r="H35" s="8" t="n">
        <x:f>IF($A35="","",SQRT(MAX(0,(EXP($B$5*B35))*$S$409*(EXP($B$5*B35))+(EXP($B$5*B35))*$T$409*($B$4*EXP($B$5*B35)*B35)+($B$4*EXP($B$5*B35)*B35)*$S$410*(EXP($B$5*B35))+($B$4*EXP($B$5*B35)*B35)*$T$410*($B$4*EXP($B$5*B35)*B35))))</x:f>
        <x:v>5.464760152426836</x:v>
      </x:c>
      <x:c r="I35" s="3"/>
      <x:c r="J35" s="10" t="n">
        <x:v>45886</x:v>
      </x:c>
      <x:c r="K35" s="8" t="n">
        <x:f>INDEX('Сводка'!$S$3:$S$397,U35)</x:f>
        <x:v>325</x:v>
      </x:c>
      <x:c r="L35" s="8" t="n">
        <x:f>INDEX('Сводка'!$S$3:$S$397,V35)</x:f>
        <x:v>329</x:v>
      </x:c>
      <x:c r="M35" s="8" t="n">
        <x:f>INDEX($K$388:$N$400,W35,1)*EXP(INDEX($K$388:$N$400,W35,2)*((J35-$T$405+1)/1000))</x:f>
        <x:v>185.06229071555444</x:v>
      </x:c>
      <x:c r="N35" s="8" t="n">
        <x:f>K35-M35</x:f>
        <x:v>139.93770928444556</x:v>
      </x:c>
      <x:c r="O35" s="8" t="n">
        <x:f>ABS(N35)</x:f>
        <x:v>139.93770928444556</x:v>
      </x:c>
      <x:c r="P35" s="8" t="n">
        <x:f>N35^2</x:f>
        <x:v>19582.562479778</x:v>
      </x:c>
      <x:c r="Q35" s="8" t="n">
        <x:f>K35-L35</x:f>
        <x:v>-4</x:v>
      </x:c>
      <x:c r="R35" s="9" t="n">
        <x:f>IF(AND(INDEX('Сводка'!$T$3:$T$397,U35)=0,INDEX('Сводка'!$T$3:$T$397,V35)=0),1,0)</x:f>
        <x:v>1</x:v>
      </x:c>
      <x:c r="S35" s="9" t="n">
        <x:f>IF(AND(R35=1,O35&lt;=$G$13),1,0)</x:f>
        <x:v>0</x:v>
      </x:c>
      <x:c r="T35" s="10" t="n">
        <x:f>EOMONTH(J35-'Сводка'!$B$11,-1)</x:f>
        <x:v>45869</x:v>
      </x:c>
      <x:c r="U35" s="4" t="n">
        <x:f>MATCH(J35,'Сводка'!$R$3:$R$397,0)</x:f>
        <x:v>46</x:v>
      </x:c>
      <x:c r="V35" s="4" t="n">
        <x:f>MATCH(J35-'Сводка'!$B$11,'Сводка'!$R$3:$R$397,0)</x:f>
        <x:v>45</x:v>
      </x:c>
      <x:c r="W35" s="4" t="n">
        <x:f>MATCH(T35,$J$388:$J$400,0)</x:f>
        <x:v>2</x:v>
      </x:c>
      <x:c r="X35" s="3"/>
      <x:c r="Y35" s="3"/>
      <x:c r="Z35" s="3"/>
    </x:row>
    <x:row r="36" ht="15" customHeight="1">
      <x:c r="A36" s="10" t="n">
        <x:f>IF(18&lt;='Сводка'!$B$3,'Сводка'!$B$4+18,"")</x:f>
        <x:v>46253</x:v>
      </x:c>
      <x:c r="B36" s="18" t="n">
        <x:f>IF($A36="","",(A36-$T$405+1)/1000)</x:f>
        <x:v>8.997</x:v>
      </x:c>
      <x:c r="C36" s="18" t="n">
        <x:f>IF($A36="","",2*(A36-$T$405)/$T$406-1)</x:f>
        <x:v>1.0040098017375807</x:v>
      </x:c>
      <x:c r="D36" s="8" t="n">
        <x:f>IF($A36="","",$B$4*EXP($B$5*B36))</x:f>
        <x:v>166.801944916074</x:v>
      </x:c>
      <x:c r="E36" s="8" t="n">
        <x:f>IF($A36="","",SQRT($T$403^2+H36^2))</x:f>
        <x:v>165.69239866094014</x:v>
      </x:c>
      <x:c r="F36" s="8" t="n">
        <x:f>IF($A36="","",D36-$T$404*E36)</x:f>
        <x:v>-157.994938039301</x:v>
      </x:c>
      <x:c r="G36" s="8" t="n">
        <x:f>IF($A36="","",D36+$T$404*E36)</x:f>
        <x:v>491.598827871449</x:v>
      </x:c>
      <x:c r="H36" s="8" t="n">
        <x:f>IF($A36="","",SQRT(MAX(0,(EXP($B$5*B36))*$S$409*(EXP($B$5*B36))+(EXP($B$5*B36))*$T$409*($B$4*EXP($B$5*B36)*B36)+($B$4*EXP($B$5*B36)*B36)*$S$410*(EXP($B$5*B36))+($B$4*EXP($B$5*B36)*B36)*$T$410*($B$4*EXP($B$5*B36)*B36))))</x:f>
        <x:v>5.467323779544808</x:v>
      </x:c>
      <x:c r="I36" s="3"/>
      <x:c r="J36" s="10" t="n">
        <x:v>45887</x:v>
      </x:c>
      <x:c r="K36" s="8" t="n">
        <x:f>INDEX('Сводка'!$S$3:$S$397,U36)</x:f>
        <x:v>320</x:v>
      </x:c>
      <x:c r="L36" s="8" t="n">
        <x:f>INDEX('Сводка'!$S$3:$S$397,V36)</x:f>
        <x:v>325</x:v>
      </x:c>
      <x:c r="M36" s="8" t="n">
        <x:f>INDEX($K$388:$N$400,W36,1)*EXP(INDEX($K$388:$N$400,W36,2)*((J36-$T$405+1)/1000))</x:f>
        <x:v>185.10981158034122</x:v>
      </x:c>
      <x:c r="N36" s="8" t="n">
        <x:f>K36-M36</x:f>
        <x:v>134.89018841965878</x:v>
      </x:c>
      <x:c r="O36" s="8" t="n">
        <x:f>ABS(N36)</x:f>
        <x:v>134.89018841965878</x:v>
      </x:c>
      <x:c r="P36" s="8" t="n">
        <x:f>N36^2</x:f>
        <x:v>18195.36293189105</x:v>
      </x:c>
      <x:c r="Q36" s="8" t="n">
        <x:f>K36-L36</x:f>
        <x:v>-5</x:v>
      </x:c>
      <x:c r="R36" s="9" t="n">
        <x:f>IF(AND(INDEX('Сводка'!$T$3:$T$397,U36)=0,INDEX('Сводка'!$T$3:$T$397,V36)=0),1,0)</x:f>
        <x:v>1</x:v>
      </x:c>
      <x:c r="S36" s="9" t="n">
        <x:f>IF(AND(R36=1,O36&lt;=$G$13),1,0)</x:f>
        <x:v>0</x:v>
      </x:c>
      <x:c r="T36" s="10" t="n">
        <x:f>EOMONTH(J36-'Сводка'!$B$11,-1)</x:f>
        <x:v>45869</x:v>
      </x:c>
      <x:c r="U36" s="4" t="n">
        <x:f>MATCH(J36,'Сводка'!$R$3:$R$397,0)</x:f>
        <x:v>47</x:v>
      </x:c>
      <x:c r="V36" s="4" t="n">
        <x:f>MATCH(J36-'Сводка'!$B$11,'Сводка'!$R$3:$R$397,0)</x:f>
        <x:v>46</x:v>
      </x:c>
      <x:c r="W36" s="4" t="n">
        <x:f>MATCH(T36,$J$388:$J$400,0)</x:f>
        <x:v>2</x:v>
      </x:c>
      <x:c r="X36" s="3"/>
      <x:c r="Y36" s="3"/>
      <x:c r="Z36" s="3"/>
    </x:row>
    <x:row r="37" ht="15" customHeight="1">
      <x:c r="A37" s="10" t="n">
        <x:f>IF(19&lt;='Сводка'!$B$3,'Сводка'!$B$4+19,"")</x:f>
        <x:v>46254</x:v>
      </x:c>
      <x:c r="B37" s="18" t="n">
        <x:f>IF($A37="","",(A37-$T$405+1)/1000)</x:f>
        <x:v>8.998</x:v>
      </x:c>
      <x:c r="C37" s="18" t="n">
        <x:f>IF($A37="","",2*(A37-$T$405)/$T$406-1)</x:f>
        <x:v>1.0042325685007798</x:v>
      </x:c>
      <x:c r="D37" s="8" t="n">
        <x:f>IF($A37="","",$B$4*EXP($B$5*B37))</x:f>
        <x:v>166.8377939873293</x:v>
      </x:c>
      <x:c r="E37" s="8" t="n">
        <x:f>IF($A37="","",SQRT($T$403^2+H37^2))</x:f>
        <x:v>165.69248330947792</x:v>
      </x:c>
      <x:c r="F37" s="8" t="n">
        <x:f>IF($A37="","",D37-$T$404*E37)</x:f>
        <x:v>-157.95925489950326</x:v>
      </x:c>
      <x:c r="G37" s="8" t="n">
        <x:f>IF($A37="","",D37+$T$404*E37)</x:f>
        <x:v>491.63484287416185</x:v>
      </x:c>
      <x:c r="H37" s="8" t="n">
        <x:f>IF($A37="","",SQRT(MAX(0,(EXP($B$5*B37))*$S$409*(EXP($B$5*B37))+(EXP($B$5*B37))*$T$409*($B$4*EXP($B$5*B37)*B37)+($B$4*EXP($B$5*B37)*B37)*$S$410*(EXP($B$5*B37))+($B$4*EXP($B$5*B37)*B37)*$T$410*($B$4*EXP($B$5*B37)*B37))))</x:f>
        <x:v>5.46988853232698</x:v>
      </x:c>
      <x:c r="I37" s="3"/>
      <x:c r="J37" s="10" t="n">
        <x:v>45888</x:v>
      </x:c>
      <x:c r="K37" s="8" t="n">
        <x:f>INDEX('Сводка'!$S$3:$S$397,U37)</x:f>
        <x:v>309</x:v>
      </x:c>
      <x:c r="L37" s="8" t="n">
        <x:f>INDEX('Сводка'!$S$3:$S$397,V37)</x:f>
        <x:v>320</x:v>
      </x:c>
      <x:c r="M37" s="8" t="n">
        <x:f>INDEX($K$388:$N$400,W37,1)*EXP(INDEX($K$388:$N$400,W37,2)*((J37-$T$405+1)/1000))</x:f>
        <x:v>185.15734464768207</x:v>
      </x:c>
      <x:c r="N37" s="8" t="n">
        <x:f>K37-M37</x:f>
        <x:v>123.84265535231793</x:v>
      </x:c>
      <x:c r="O37" s="8" t="n">
        <x:f>ABS(N37)</x:f>
        <x:v>123.84265535231793</x:v>
      </x:c>
      <x:c r="P37" s="8" t="n">
        <x:f>N37^2</x:f>
        <x:v>15337.003284713002</x:v>
      </x:c>
      <x:c r="Q37" s="8" t="n">
        <x:f>K37-L37</x:f>
        <x:v>-11</x:v>
      </x:c>
      <x:c r="R37" s="9" t="n">
        <x:f>IF(AND(INDEX('Сводка'!$T$3:$T$397,U37)=0,INDEX('Сводка'!$T$3:$T$397,V37)=0),1,0)</x:f>
        <x:v>1</x:v>
      </x:c>
      <x:c r="S37" s="9" t="n">
        <x:f>IF(AND(R37=1,O37&lt;=$G$13),1,0)</x:f>
        <x:v>0</x:v>
      </x:c>
      <x:c r="T37" s="10" t="n">
        <x:f>EOMONTH(J37-'Сводка'!$B$11,-1)</x:f>
        <x:v>45869</x:v>
      </x:c>
      <x:c r="U37" s="4" t="n">
        <x:f>MATCH(J37,'Сводка'!$R$3:$R$397,0)</x:f>
        <x:v>48</x:v>
      </x:c>
      <x:c r="V37" s="4" t="n">
        <x:f>MATCH(J37-'Сводка'!$B$11,'Сводка'!$R$3:$R$397,0)</x:f>
        <x:v>47</x:v>
      </x:c>
      <x:c r="W37" s="4" t="n">
        <x:f>MATCH(T37,$J$388:$J$400,0)</x:f>
        <x:v>2</x:v>
      </x:c>
      <x:c r="X37" s="3"/>
      <x:c r="Y37" s="3"/>
      <x:c r="Z37" s="3"/>
    </x:row>
    <x:row r="38" ht="15" customHeight="1">
      <x:c r="A38" s="10" t="n">
        <x:f>IF(20&lt;='Сводка'!$B$3,'Сводка'!$B$4+20,"")</x:f>
        <x:v>46255</x:v>
      </x:c>
      <x:c r="B38" s="18" t="n">
        <x:f>IF($A38="","",(A38-$T$405+1)/1000)</x:f>
        <x:v>8.999</x:v>
      </x:c>
      <x:c r="C38" s="18" t="n">
        <x:f>IF($A38="","",2*(A38-$T$405)/$T$406-1)</x:f>
        <x:v>1.0044553352639785</x:v>
      </x:c>
      <x:c r="D38" s="8" t="n">
        <x:f>IF($A38="","",$B$4*EXP($B$5*B38))</x:f>
        <x:v>166.87365076326648</x:v>
      </x:c>
      <x:c r="E38" s="8" t="n">
        <x:f>IF($A38="","",SQRT($T$403^2+H38^2))</x:f>
        <x:v>165.6925680348575</x:v>
      </x:c>
      <x:c r="F38" s="8" t="n">
        <x:f>IF($A38="","",D38-$T$404*E38)</x:f>
        <x:v>-157.92356420565199</x:v>
      </x:c>
      <x:c r="G38" s="8" t="n">
        <x:f>IF($A38="","",D38+$T$404*E38)</x:f>
        <x:v>491.67086573218495</x:v>
      </x:c>
      <x:c r="H38" s="8" t="n">
        <x:f>IF($A38="","",SQRT(MAX(0,(EXP($B$5*B38))*$S$409*(EXP($B$5*B38))+(EXP($B$5*B38))*$T$409*($B$4*EXP($B$5*B38)*B38)+($B$4*EXP($B$5*B38)*B38)*$S$410*(EXP($B$5*B38))+($B$4*EXP($B$5*B38)*B38)*$T$410*($B$4*EXP($B$5*B38)*B38))))</x:f>
        <x:v>5.472454410987704</x:v>
      </x:c>
      <x:c r="I38" s="3"/>
      <x:c r="J38" s="10" t="n">
        <x:v>45889</x:v>
      </x:c>
      <x:c r="K38" s="8" t="n">
        <x:f>INDEX('Сводка'!$S$3:$S$397,U38)</x:f>
        <x:v>296</x:v>
      </x:c>
      <x:c r="L38" s="8" t="n">
        <x:f>INDEX('Сводка'!$S$3:$S$397,V38)</x:f>
        <x:v>309</x:v>
      </x:c>
      <x:c r="M38" s="8" t="n">
        <x:f>INDEX($K$388:$N$400,W38,1)*EXP(INDEX($K$388:$N$400,W38,2)*((J38-$T$405+1)/1000))</x:f>
        <x:v>185.2048899207102</x:v>
      </x:c>
      <x:c r="N38" s="8" t="n">
        <x:f>K38-M38</x:f>
        <x:v>110.7951100792898</x:v>
      </x:c>
      <x:c r="O38" s="8" t="n">
        <x:f>ABS(N38)</x:f>
        <x:v>110.7951100792898</x:v>
      </x:c>
      <x:c r="P38" s="8" t="n">
        <x:f>N38^2</x:f>
        <x:v>12275.556417481945</x:v>
      </x:c>
      <x:c r="Q38" s="8" t="n">
        <x:f>K38-L38</x:f>
        <x:v>-13</x:v>
      </x:c>
      <x:c r="R38" s="9" t="n">
        <x:f>IF(AND(INDEX('Сводка'!$T$3:$T$397,U38)=0,INDEX('Сводка'!$T$3:$T$397,V38)=0),1,0)</x:f>
        <x:v>1</x:v>
      </x:c>
      <x:c r="S38" s="9" t="n">
        <x:f>IF(AND(R38=1,O38&lt;=$G$13),1,0)</x:f>
        <x:v>0</x:v>
      </x:c>
      <x:c r="T38" s="10" t="n">
        <x:f>EOMONTH(J38-'Сводка'!$B$11,-1)</x:f>
        <x:v>45869</x:v>
      </x:c>
      <x:c r="U38" s="4" t="n">
        <x:f>MATCH(J38,'Сводка'!$R$3:$R$397,0)</x:f>
        <x:v>49</x:v>
      </x:c>
      <x:c r="V38" s="4" t="n">
        <x:f>MATCH(J38-'Сводка'!$B$11,'Сводка'!$R$3:$R$397,0)</x:f>
        <x:v>48</x:v>
      </x:c>
      <x:c r="W38" s="4" t="n">
        <x:f>MATCH(T38,$J$388:$J$400,0)</x:f>
        <x:v>2</x:v>
      </x:c>
      <x:c r="X38" s="3"/>
      <x:c r="Y38" s="3"/>
      <x:c r="Z38" s="3"/>
    </x:row>
    <x:row r="39" ht="15" customHeight="1">
      <x:c r="A39" s="10" t="n">
        <x:f>IF(21&lt;='Сводка'!$B$3,'Сводка'!$B$4+21,"")</x:f>
        <x:v>46256</x:v>
      </x:c>
      <x:c r="B39" s="18" t="n">
        <x:f>IF($A39="","",(A39-$T$405+1)/1000)</x:f>
        <x:v>9</x:v>
      </x:c>
      <x:c r="C39" s="18" t="n">
        <x:f>IF($A39="","",2*(A39-$T$405)/$T$406-1)</x:f>
        <x:v>1.0046781020271776</x:v>
      </x:c>
      <x:c r="D39" s="8" t="n">
        <x:f>IF($A39="","",$B$4*EXP($B$5*B39))</x:f>
        <x:v>166.90951524554126</x:v>
      </x:c>
      <x:c r="E39" s="8" t="n">
        <x:f>IF($A39="","",SQRT($T$403^2+H39^2))</x:f>
        <x:v>165.6926528371381</x:v>
      </x:c>
      <x:c r="F39" s="8" t="n">
        <x:f>IF($A39="","",D39-$T$404*E39)</x:f>
        <x:v>-157.8878659562076</x:v>
      </x:c>
      <x:c r="G39" s="8" t="n">
        <x:f>IF($A39="","",D39+$T$404*E39)</x:f>
        <x:v>491.7068964472901</x:v>
      </x:c>
      <x:c r="H39" s="8" t="n">
        <x:f>IF($A39="","",SQRT(MAX(0,(EXP($B$5*B39))*$S$409*(EXP($B$5*B39))+(EXP($B$5*B39))*$T$409*($B$4*EXP($B$5*B39)*B39)+($B$4*EXP($B$5*B39)*B39)*$S$410*(EXP($B$5*B39))+($B$4*EXP($B$5*B39)*B39)*$T$410*($B$4*EXP($B$5*B39)*B39))))</x:f>
        <x:v>5.475021415741409</x:v>
      </x:c>
      <x:c r="I39" s="3"/>
      <x:c r="J39" s="10" t="n">
        <x:v>45890</x:v>
      </x:c>
      <x:c r="K39" s="8" t="n">
        <x:f>INDEX('Сводка'!$S$3:$S$397,U39)</x:f>
        <x:v>282</x:v>
      </x:c>
      <x:c r="L39" s="8" t="n">
        <x:f>INDEX('Сводка'!$S$3:$S$397,V39)</x:f>
        <x:v>296</x:v>
      </x:c>
      <x:c r="M39" s="8" t="n">
        <x:f>INDEX($K$388:$N$400,W39,1)*EXP(INDEX($K$388:$N$400,W39,2)*((J39-$T$405+1)/1000))</x:f>
        <x:v>185.2524474025601</x:v>
      </x:c>
      <x:c r="N39" s="8" t="n">
        <x:f>K39-M39</x:f>
        <x:v>96.74755259743989</x:v>
      </x:c>
      <x:c r="O39" s="8" t="n">
        <x:f>ABS(N39)</x:f>
        <x:v>96.74755259743989</x:v>
      </x:c>
      <x:c r="P39" s="8" t="n">
        <x:f>N39^2</x:f>
        <x:v>9360.088933594398</x:v>
      </x:c>
      <x:c r="Q39" s="8" t="n">
        <x:f>K39-L39</x:f>
        <x:v>-14</x:v>
      </x:c>
      <x:c r="R39" s="9" t="n">
        <x:f>IF(AND(INDEX('Сводка'!$T$3:$T$397,U39)=0,INDEX('Сводка'!$T$3:$T$397,V39)=0),1,0)</x:f>
        <x:v>1</x:v>
      </x:c>
      <x:c r="S39" s="9" t="n">
        <x:f>IF(AND(R39=1,O39&lt;=$G$13),1,0)</x:f>
        <x:v>0</x:v>
      </x:c>
      <x:c r="T39" s="10" t="n">
        <x:f>EOMONTH(J39-'Сводка'!$B$11,-1)</x:f>
        <x:v>45869</x:v>
      </x:c>
      <x:c r="U39" s="4" t="n">
        <x:f>MATCH(J39,'Сводка'!$R$3:$R$397,0)</x:f>
        <x:v>50</x:v>
      </x:c>
      <x:c r="V39" s="4" t="n">
        <x:f>MATCH(J39-'Сводка'!$B$11,'Сводка'!$R$3:$R$397,0)</x:f>
        <x:v>49</x:v>
      </x:c>
      <x:c r="W39" s="4" t="n">
        <x:f>MATCH(T39,$J$388:$J$400,0)</x:f>
        <x:v>2</x:v>
      </x:c>
      <x:c r="X39" s="3"/>
      <x:c r="Y39" s="3"/>
      <x:c r="Z39" s="3"/>
    </x:row>
    <x:row r="40" ht="15" customHeight="1">
      <x:c r="A40" s="10" t="n">
        <x:f>IF(22&lt;='Сводка'!$B$3,'Сводка'!$B$4+22,"")</x:f>
        <x:v>46257</x:v>
      </x:c>
      <x:c r="B40" s="18" t="n">
        <x:f>IF($A40="","",(A40-$T$405+1)/1000)</x:f>
        <x:v>9.001</x:v>
      </x:c>
      <x:c r="C40" s="18" t="n">
        <x:f>IF($A40="","",2*(A40-$T$405)/$T$406-1)</x:f>
        <x:v>1.0049008687903767</x:v>
      </x:c>
      <x:c r="D40" s="8" t="n">
        <x:f>IF($A40="","",$B$4*EXP($B$5*B40))</x:f>
        <x:v>166.94538743581</x:v>
      </x:c>
      <x:c r="E40" s="8" t="n">
        <x:f>IF($A40="","",SQRT($T$403^2+H40^2))</x:f>
        <x:v>165.69273771637907</x:v>
      </x:c>
      <x:c r="F40" s="8" t="n">
        <x:f>IF($A40="","",D40-$T$404*E40)</x:f>
        <x:v>-157.8521601496301</x:v>
      </x:c>
      <x:c r="G40" s="8" t="n">
        <x:f>IF($A40="","",D40+$T$404*E40)</x:f>
        <x:v>491.7429350212501</x:v>
      </x:c>
      <x:c r="H40" s="8" t="n">
        <x:f>IF($A40="","",SQRT(MAX(0,(EXP($B$5*B40))*$S$409*(EXP($B$5*B40))+(EXP($B$5*B40))*$T$409*($B$4*EXP($B$5*B40)*B40)+($B$4*EXP($B$5*B40)*B40)*$S$410*(EXP($B$5*B40))+($B$4*EXP($B$5*B40)*B40)*$T$410*($B$4*EXP($B$5*B40)*B40))))</x:f>
        <x:v>5.477589546802706</x:v>
      </x:c>
      <x:c r="I40" s="3"/>
      <x:c r="J40" s="10" t="n">
        <x:v>45891</x:v>
      </x:c>
      <x:c r="K40" s="8" t="n">
        <x:f>INDEX('Сводка'!$S$3:$S$397,U40)</x:f>
        <x:v>270</x:v>
      </x:c>
      <x:c r="L40" s="8" t="n">
        <x:f>INDEX('Сводка'!$S$3:$S$397,V40)</x:f>
        <x:v>282</x:v>
      </x:c>
      <x:c r="M40" s="8" t="n">
        <x:f>INDEX($K$388:$N$400,W40,1)*EXP(INDEX($K$388:$N$400,W40,2)*((J40-$T$405+1)/1000))</x:f>
        <x:v>185.30001709636653</x:v>
      </x:c>
      <x:c r="N40" s="8" t="n">
        <x:f>K40-M40</x:f>
        <x:v>84.69998290363347</x:v>
      </x:c>
      <x:c r="O40" s="8" t="n">
        <x:f>ABS(N40)</x:f>
        <x:v>84.69998290363347</x:v>
      </x:c>
      <x:c r="P40" s="8" t="n">
        <x:f>N40^2</x:f>
        <x:v>7174.087103875802</x:v>
      </x:c>
      <x:c r="Q40" s="8" t="n">
        <x:f>K40-L40</x:f>
        <x:v>-12</x:v>
      </x:c>
      <x:c r="R40" s="9" t="n">
        <x:f>IF(AND(INDEX('Сводка'!$T$3:$T$397,U40)=0,INDEX('Сводка'!$T$3:$T$397,V40)=0),1,0)</x:f>
        <x:v>1</x:v>
      </x:c>
      <x:c r="S40" s="9" t="n">
        <x:f>IF(AND(R40=1,O40&lt;=$G$13),1,0)</x:f>
        <x:v>0</x:v>
      </x:c>
      <x:c r="T40" s="10" t="n">
        <x:f>EOMONTH(J40-'Сводка'!$B$11,-1)</x:f>
        <x:v>45869</x:v>
      </x:c>
      <x:c r="U40" s="4" t="n">
        <x:f>MATCH(J40,'Сводка'!$R$3:$R$397,0)</x:f>
        <x:v>51</x:v>
      </x:c>
      <x:c r="V40" s="4" t="n">
        <x:f>MATCH(J40-'Сводка'!$B$11,'Сводка'!$R$3:$R$397,0)</x:f>
        <x:v>50</x:v>
      </x:c>
      <x:c r="W40" s="4" t="n">
        <x:f>MATCH(T40,$J$388:$J$400,0)</x:f>
        <x:v>2</x:v>
      </x:c>
      <x:c r="X40" s="3"/>
      <x:c r="Y40" s="3"/>
      <x:c r="Z40" s="3"/>
    </x:row>
    <x:row r="41" ht="15" customHeight="1">
      <x:c r="A41" s="10" t="n">
        <x:f>IF(23&lt;='Сводка'!$B$3,'Сводка'!$B$4+23,"")</x:f>
        <x:v>46258</x:v>
      </x:c>
      <x:c r="B41" s="18" t="n">
        <x:f>IF($A41="","",(A41-$T$405+1)/1000)</x:f>
        <x:v>9.002</x:v>
      </x:c>
      <x:c r="C41" s="18" t="n">
        <x:f>IF($A41="","",2*(A41-$T$405)/$T$406-1)</x:f>
        <x:v>1.0051236355535753</x:v>
      </x:c>
      <x:c r="D41" s="8" t="n">
        <x:f>IF($A41="","",$B$4*EXP($B$5*B41))</x:f>
        <x:v>166.98126733572934</x:v>
      </x:c>
      <x:c r="E41" s="8" t="n">
        <x:f>IF($A41="","",SQRT($T$403^2+H41^2))</x:f>
        <x:v>165.69282267263972</x:v>
      </x:c>
      <x:c r="F41" s="8" t="n">
        <x:f>IF($A41="","",D41-$T$404*E41)</x:f>
        <x:v>-157.81644678437902</x:v>
      </x:c>
      <x:c r="G41" s="8" t="n">
        <x:f>IF($A41="","",D41+$T$404*E41)</x:f>
        <x:v>491.7789814558377</x:v>
      </x:c>
      <x:c r="H41" s="8" t="n">
        <x:f>IF($A41="","",SQRT(MAX(0,(EXP($B$5*B41))*$S$409*(EXP($B$5*B41))+(EXP($B$5*B41))*$T$409*($B$4*EXP($B$5*B41)*B41)+($B$4*EXP($B$5*B41)*B41)*$S$410*(EXP($B$5*B41))+($B$4*EXP($B$5*B41)*B41)*$T$410*($B$4*EXP($B$5*B41)*B41))))</x:f>
        <x:v>5.480158804386324</x:v>
      </x:c>
      <x:c r="I41" s="3"/>
      <x:c r="J41" s="10" t="n">
        <x:v>45892</x:v>
      </x:c>
      <x:c r="K41" s="8" t="n">
        <x:f>INDEX('Сводка'!$S$3:$S$397,U41)</x:f>
        <x:v>255</x:v>
      </x:c>
      <x:c r="L41" s="8" t="n">
        <x:f>INDEX('Сводка'!$S$3:$S$397,V41)</x:f>
        <x:v>270</x:v>
      </x:c>
      <x:c r="M41" s="8" t="n">
        <x:f>INDEX($K$388:$N$400,W41,1)*EXP(INDEX($K$388:$N$400,W41,2)*((J41-$T$405+1)/1000))</x:f>
        <x:v>185.34759900526532</x:v>
      </x:c>
      <x:c r="N41" s="8" t="n">
        <x:f>K41-M41</x:f>
        <x:v>69.65240099473468</x:v>
      </x:c>
      <x:c r="O41" s="8" t="n">
        <x:f>ABS(N41)</x:f>
        <x:v>69.65240099473468</x:v>
      </x:c>
      <x:c r="P41" s="8" t="n">
        <x:f>N41^2</x:f>
        <x:v>4851.456964331316</x:v>
      </x:c>
      <x:c r="Q41" s="8" t="n">
        <x:f>K41-L41</x:f>
        <x:v>-15</x:v>
      </x:c>
      <x:c r="R41" s="9" t="n">
        <x:f>IF(AND(INDEX('Сводка'!$T$3:$T$397,U41)=0,INDEX('Сводка'!$T$3:$T$397,V41)=0),1,0)</x:f>
        <x:v>1</x:v>
      </x:c>
      <x:c r="S41" s="9" t="n">
        <x:f>IF(AND(R41=1,O41&lt;=$G$13),1,0)</x:f>
        <x:v>0</x:v>
      </x:c>
      <x:c r="T41" s="10" t="n">
        <x:f>EOMONTH(J41-'Сводка'!$B$11,-1)</x:f>
        <x:v>45869</x:v>
      </x:c>
      <x:c r="U41" s="4" t="n">
        <x:f>MATCH(J41,'Сводка'!$R$3:$R$397,0)</x:f>
        <x:v>52</x:v>
      </x:c>
      <x:c r="V41" s="4" t="n">
        <x:f>MATCH(J41-'Сводка'!$B$11,'Сводка'!$R$3:$R$397,0)</x:f>
        <x:v>51</x:v>
      </x:c>
      <x:c r="W41" s="4" t="n">
        <x:f>MATCH(T41,$J$388:$J$400,0)</x:f>
        <x:v>2</x:v>
      </x:c>
      <x:c r="X41" s="3"/>
      <x:c r="Y41" s="3"/>
      <x:c r="Z41" s="3"/>
    </x:row>
    <x:row r="42" ht="15" customHeight="1">
      <x:c r="A42" s="10" t="n">
        <x:f>IF(24&lt;='Сводка'!$B$3,'Сводка'!$B$4+24,"")</x:f>
        <x:v>46259</x:v>
      </x:c>
      <x:c r="B42" s="18" t="n">
        <x:f>IF($A42="","",(A42-$T$405+1)/1000)</x:f>
        <x:v>9.003</x:v>
      </x:c>
      <x:c r="C42" s="18" t="n">
        <x:f>IF($A42="","",2*(A42-$T$405)/$T$406-1)</x:f>
        <x:v>1.0053464023167744</x:v>
      </x:c>
      <x:c r="D42" s="8" t="n">
        <x:f>IF($A42="","",$B$4*EXP($B$5*B42))</x:f>
        <x:v>167.01715494695614</x:v>
      </x:c>
      <x:c r="E42" s="8" t="n">
        <x:f>IF($A42="","",SQRT($T$403^2+H42^2))</x:f>
        <x:v>165.6929077059795</x:v>
      </x:c>
      <x:c r="F42" s="8" t="n">
        <x:f>IF($A42="","",D42-$T$404*E42)</x:f>
        <x:v>-157.7807258589141</x:v>
      </x:c>
      <x:c r="G42" s="8" t="n">
        <x:f>IF($A42="","",D42+$T$404*E42)</x:f>
        <x:v>491.81503575282636</x:v>
      </x:c>
      <x:c r="H42" s="8" t="n">
        <x:f>IF($A42="","",SQRT(MAX(0,(EXP($B$5*B42))*$S$409*(EXP($B$5*B42))+(EXP($B$5*B42))*$T$409*($B$4*EXP($B$5*B42)*B42)+($B$4*EXP($B$5*B42)*B42)*$S$410*(EXP($B$5*B42))+($B$4*EXP($B$5*B42)*B42)*$T$410*($B$4*EXP($B$5*B42)*B42))))</x:f>
        <x:v>5.482729188707112</x:v>
      </x:c>
      <x:c r="I42" s="3"/>
      <x:c r="J42" s="10" t="n">
        <x:v>45893</x:v>
      </x:c>
      <x:c r="K42" s="8" t="n">
        <x:f>INDEX('Сводка'!$S$3:$S$397,U42)</x:f>
        <x:v>245</x:v>
      </x:c>
      <x:c r="L42" s="8" t="n">
        <x:f>INDEX('Сводка'!$S$3:$S$397,V42)</x:f>
        <x:v>255</x:v>
      </x:c>
      <x:c r="M42" s="8" t="n">
        <x:f>INDEX($K$388:$N$400,W42,1)*EXP(INDEX($K$388:$N$400,W42,2)*((J42-$T$405+1)/1000))</x:f>
        <x:v>185.39519313239333</x:v>
      </x:c>
      <x:c r="N42" s="8" t="n">
        <x:f>K42-M42</x:f>
        <x:v>59.60480686760667</x:v>
      </x:c>
      <x:c r="O42" s="8" t="n">
        <x:f>ABS(N42)</x:f>
        <x:v>59.60480686760667</x:v>
      </x:c>
      <x:c r="P42" s="8" t="n">
        <x:f>N42^2</x:f>
        <x:v>3552.7330017246913</x:v>
      </x:c>
      <x:c r="Q42" s="8" t="n">
        <x:f>K42-L42</x:f>
        <x:v>-10</x:v>
      </x:c>
      <x:c r="R42" s="9" t="n">
        <x:f>IF(AND(INDEX('Сводка'!$T$3:$T$397,U42)=0,INDEX('Сводка'!$T$3:$T$397,V42)=0),1,0)</x:f>
        <x:v>1</x:v>
      </x:c>
      <x:c r="S42" s="9" t="n">
        <x:f>IF(AND(R42=1,O42&lt;=$G$13),1,0)</x:f>
        <x:v>0</x:v>
      </x:c>
      <x:c r="T42" s="10" t="n">
        <x:f>EOMONTH(J42-'Сводка'!$B$11,-1)</x:f>
        <x:v>45869</x:v>
      </x:c>
      <x:c r="U42" s="4" t="n">
        <x:f>MATCH(J42,'Сводка'!$R$3:$R$397,0)</x:f>
        <x:v>53</x:v>
      </x:c>
      <x:c r="V42" s="4" t="n">
        <x:f>MATCH(J42-'Сводка'!$B$11,'Сводка'!$R$3:$R$397,0)</x:f>
        <x:v>52</x:v>
      </x:c>
      <x:c r="W42" s="4" t="n">
        <x:f>MATCH(T42,$J$388:$J$400,0)</x:f>
        <x:v>2</x:v>
      </x:c>
      <x:c r="X42" s="3"/>
      <x:c r="Y42" s="3"/>
      <x:c r="Z42" s="3"/>
    </x:row>
    <x:row r="43" ht="15" customHeight="1">
      <x:c r="A43" s="10" t="n">
        <x:f>IF(25&lt;='Сводка'!$B$3,'Сводка'!$B$4+25,"")</x:f>
        <x:v>46260</x:v>
      </x:c>
      <x:c r="B43" s="18" t="n">
        <x:f>IF($A43="","",(A43-$T$405+1)/1000)</x:f>
        <x:v>9.004</x:v>
      </x:c>
      <x:c r="C43" s="18" t="n">
        <x:f>IF($A43="","",2*(A43-$T$405)/$T$406-1)</x:f>
        <x:v>1.005569169079973</x:v>
      </x:c>
      <x:c r="D43" s="8" t="n">
        <x:f>IF($A43="","",$B$4*EXP($B$5*B43))</x:f>
        <x:v>167.05305027114773</x:v>
      </x:c>
      <x:c r="E43" s="8" t="n">
        <x:f>IF($A43="","",SQRT($T$403^2+H43^2))</x:f>
        <x:v>165.69299281645783</x:v>
      </x:c>
      <x:c r="F43" s="8" t="n">
        <x:f>IF($A43="","",D43-$T$404*E43)</x:f>
        <x:v>-157.7449973716945</x:v>
      </x:c>
      <x:c r="G43" s="8" t="n">
        <x:f>IF($A43="","",D43+$T$404*E43)</x:f>
        <x:v>491.85109791399</x:v>
      </x:c>
      <x:c r="H43" s="8" t="n">
        <x:f>IF($A43="","",SQRT(MAX(0,(EXP($B$5*B43))*$S$409*(EXP($B$5*B43))+(EXP($B$5*B43))*$T$409*($B$4*EXP($B$5*B43)*B43)+($B$4*EXP($B$5*B43)*B43)*$S$410*(EXP($B$5*B43))+($B$4*EXP($B$5*B43)*B43)*$T$410*($B$4*EXP($B$5*B43)*B43))))</x:f>
        <x:v>5.485300699980087</x:v>
      </x:c>
      <x:c r="I43" s="3"/>
      <x:c r="J43" s="10" t="n">
        <x:v>45894</x:v>
      </x:c>
      <x:c r="K43" s="8" t="n">
        <x:f>INDEX('Сводка'!$S$3:$S$397,U43)</x:f>
        <x:v>235</x:v>
      </x:c>
      <x:c r="L43" s="8" t="n">
        <x:f>INDEX('Сводка'!$S$3:$S$397,V43)</x:f>
        <x:v>245</x:v>
      </x:c>
      <x:c r="M43" s="8" t="n">
        <x:f>INDEX($K$388:$N$400,W43,1)*EXP(INDEX($K$388:$N$400,W43,2)*((J43-$T$405+1)/1000))</x:f>
        <x:v>185.4427994808877</x:v>
      </x:c>
      <x:c r="N43" s="8" t="n">
        <x:f>K43-M43</x:f>
        <x:v>49.557200519112314</x:v>
      </x:c>
      <x:c r="O43" s="8" t="n">
        <x:f>ABS(N43)</x:f>
        <x:v>49.557200519112314</x:v>
      </x:c>
      <x:c r="P43" s="8" t="n">
        <x:f>N43^2</x:f>
        <x:v>2455.9161232915058</x:v>
      </x:c>
      <x:c r="Q43" s="8" t="n">
        <x:f>K43-L43</x:f>
        <x:v>-10</x:v>
      </x:c>
      <x:c r="R43" s="9" t="n">
        <x:f>IF(AND(INDEX('Сводка'!$T$3:$T$397,U43)=0,INDEX('Сводка'!$T$3:$T$397,V43)=0),1,0)</x:f>
        <x:v>1</x:v>
      </x:c>
      <x:c r="S43" s="9" t="n">
        <x:f>IF(AND(R43=1,O43&lt;=$G$13),1,0)</x:f>
        <x:v>0</x:v>
      </x:c>
      <x:c r="T43" s="10" t="n">
        <x:f>EOMONTH(J43-'Сводка'!$B$11,-1)</x:f>
        <x:v>45869</x:v>
      </x:c>
      <x:c r="U43" s="4" t="n">
        <x:f>MATCH(J43,'Сводка'!$R$3:$R$397,0)</x:f>
        <x:v>54</x:v>
      </x:c>
      <x:c r="V43" s="4" t="n">
        <x:f>MATCH(J43-'Сводка'!$B$11,'Сводка'!$R$3:$R$397,0)</x:f>
        <x:v>53</x:v>
      </x:c>
      <x:c r="W43" s="4" t="n">
        <x:f>MATCH(T43,$J$388:$J$400,0)</x:f>
        <x:v>2</x:v>
      </x:c>
      <x:c r="X43" s="3"/>
      <x:c r="Y43" s="3"/>
      <x:c r="Z43" s="3"/>
    </x:row>
    <x:row r="44" ht="15" customHeight="1">
      <x:c r="A44" s="10" t="n">
        <x:f>IF(26&lt;='Сводка'!$B$3,'Сводка'!$B$4+26,"")</x:f>
        <x:v>46261</x:v>
      </x:c>
      <x:c r="B44" s="18" t="n">
        <x:f>IF($A44="","",(A44-$T$405+1)/1000)</x:f>
        <x:v>9.005</x:v>
      </x:c>
      <x:c r="C44" s="18" t="n">
        <x:f>IF($A44="","",2*(A44-$T$405)/$T$406-1)</x:f>
        <x:v>1.0057919358431722</x:v>
      </x:c>
      <x:c r="D44" s="8" t="n">
        <x:f>IF($A44="","",$B$4*EXP($B$5*B44))</x:f>
        <x:v>167.08895330996185</x:v>
      </x:c>
      <x:c r="E44" s="8" t="n">
        <x:f>IF($A44="","",SQRT($T$403^2+H44^2))</x:f>
        <x:v>165.69307800413415</x:v>
      </x:c>
      <x:c r="F44" s="8" t="n">
        <x:f>IF($A44="","",D44-$T$404*E44)</x:f>
        <x:v>-157.7092613211789</x:v>
      </x:c>
      <x:c r="G44" s="8" t="n">
        <x:f>IF($A44="","",D44+$T$404*E44)</x:f>
        <x:v>491.8871679411026</x:v>
      </x:c>
      <x:c r="H44" s="8" t="n">
        <x:f>IF($A44="","",SQRT(MAX(0,(EXP($B$5*B44))*$S$409*(EXP($B$5*B44))+(EXP($B$5*B44))*$T$409*($B$4*EXP($B$5*B44)*B44)+($B$4*EXP($B$5*B44)*B44)*$S$410*(EXP($B$5*B44))+($B$4*EXP($B$5*B44)*B44)*$T$410*($B$4*EXP($B$5*B44)*B44))))</x:f>
        <x:v>5.4878733384203615</x:v>
      </x:c>
      <x:c r="I44" s="3"/>
      <x:c r="J44" s="10" t="n">
        <x:v>45895</x:v>
      </x:c>
      <x:c r="K44" s="8" t="n">
        <x:f>INDEX('Сводка'!$S$3:$S$397,U44)</x:f>
        <x:v>227</x:v>
      </x:c>
      <x:c r="L44" s="8" t="n">
        <x:f>INDEX('Сводка'!$S$3:$S$397,V44)</x:f>
        <x:v>235</x:v>
      </x:c>
      <x:c r="M44" s="8" t="n">
        <x:f>INDEX($K$388:$N$400,W44,1)*EXP(INDEX($K$388:$N$400,W44,2)*((J44-$T$405+1)/1000))</x:f>
        <x:v>185.49041805388686</x:v>
      </x:c>
      <x:c r="N44" s="8" t="n">
        <x:f>K44-M44</x:f>
        <x:v>41.509581946113144</x:v>
      </x:c>
      <x:c r="O44" s="8" t="n">
        <x:f>ABS(N44)</x:f>
        <x:v>41.509581946113144</x:v>
      </x:c>
      <x:c r="P44" s="8" t="n">
        <x:f>N44^2</x:f>
        <x:v>1723.0453933410822</x:v>
      </x:c>
      <x:c r="Q44" s="8" t="n">
        <x:f>K44-L44</x:f>
        <x:v>-8</x:v>
      </x:c>
      <x:c r="R44" s="9" t="n">
        <x:f>IF(AND(INDEX('Сводка'!$T$3:$T$397,U44)=0,INDEX('Сводка'!$T$3:$T$397,V44)=0),1,0)</x:f>
        <x:v>1</x:v>
      </x:c>
      <x:c r="S44" s="9" t="n">
        <x:f>IF(AND(R44=1,O44&lt;=$G$13),1,0)</x:f>
        <x:v>0</x:v>
      </x:c>
      <x:c r="T44" s="10" t="n">
        <x:f>EOMONTH(J44-'Сводка'!$B$11,-1)</x:f>
        <x:v>45869</x:v>
      </x:c>
      <x:c r="U44" s="4" t="n">
        <x:f>MATCH(J44,'Сводка'!$R$3:$R$397,0)</x:f>
        <x:v>55</x:v>
      </x:c>
      <x:c r="V44" s="4" t="n">
        <x:f>MATCH(J44-'Сводка'!$B$11,'Сводка'!$R$3:$R$397,0)</x:f>
        <x:v>54</x:v>
      </x:c>
      <x:c r="W44" s="4" t="n">
        <x:f>MATCH(T44,$J$388:$J$400,0)</x:f>
        <x:v>2</x:v>
      </x:c>
      <x:c r="X44" s="3"/>
      <x:c r="Y44" s="3"/>
      <x:c r="Z44" s="3"/>
    </x:row>
    <x:row r="45" ht="15" customHeight="1">
      <x:c r="A45" s="10" t="n">
        <x:f>IF(27&lt;='Сводка'!$B$3,'Сводка'!$B$4+27,"")</x:f>
        <x:v>46262</x:v>
      </x:c>
      <x:c r="B45" s="18" t="n">
        <x:f>IF($A45="","",(A45-$T$405+1)/1000)</x:f>
        <x:v>9.006</x:v>
      </x:c>
      <x:c r="C45" s="18" t="n">
        <x:f>IF($A45="","",2*(A45-$T$405)/$T$406-1)</x:f>
        <x:v>1.0060147026063713</x:v>
      </x:c>
      <x:c r="D45" s="8" t="n">
        <x:f>IF($A45="","",$B$4*EXP($B$5*B45))</x:f>
        <x:v>167.12486406505644</x:v>
      </x:c>
      <x:c r="E45" s="8" t="n">
        <x:f>IF($A45="","",SQRT($T$403^2+H45^2))</x:f>
        <x:v>165.693163269068</x:v>
      </x:c>
      <x:c r="F45" s="8" t="n">
        <x:f>IF($A45="","",D45-$T$404*E45)</x:f>
        <x:v>-157.6735177058262</x:v>
      </x:c>
      <x:c r="G45" s="8" t="n">
        <x:f>IF($A45="","",D45+$T$404*E45)</x:f>
        <x:v>491.9232458359391</x:v>
      </x:c>
      <x:c r="H45" s="8" t="n">
        <x:f>IF($A45="","",SQRT(MAX(0,(EXP($B$5*B45))*$S$409*(EXP($B$5*B45))+(EXP($B$5*B45))*$T$409*($B$4*EXP($B$5*B45)*B45)+($B$4*EXP($B$5*B45)*B45)*$S$410*(EXP($B$5*B45))+($B$4*EXP($B$5*B45)*B45)*$T$410*($B$4*EXP($B$5*B45)*B45))))</x:f>
        <x:v>5.490447104243224</x:v>
      </x:c>
      <x:c r="I45" s="3"/>
      <x:c r="J45" s="10" t="n">
        <x:v>45896</x:v>
      </x:c>
      <x:c r="K45" s="8" t="n">
        <x:f>INDEX('Сводка'!$S$3:$S$397,U45)</x:f>
        <x:v>226</x:v>
      </x:c>
      <x:c r="L45" s="8" t="n">
        <x:f>INDEX('Сводка'!$S$3:$S$397,V45)</x:f>
        <x:v>227</x:v>
      </x:c>
      <x:c r="M45" s="8" t="n">
        <x:f>INDEX($K$388:$N$400,W45,1)*EXP(INDEX($K$388:$N$400,W45,2)*((J45-$T$405+1)/1000))</x:f>
        <x:v>185.53804885452982</x:v>
      </x:c>
      <x:c r="N45" s="8" t="n">
        <x:f>K45-M45</x:f>
        <x:v>40.46195114547018</x:v>
      </x:c>
      <x:c r="O45" s="8" t="n">
        <x:f>ABS(N45)</x:f>
        <x:v>40.46195114547018</x:v>
      </x:c>
      <x:c r="P45" s="8" t="n">
        <x:f>N45^2</x:f>
        <x:v>1637.1694904984156</x:v>
      </x:c>
      <x:c r="Q45" s="8" t="n">
        <x:f>K45-L45</x:f>
        <x:v>-1</x:v>
      </x:c>
      <x:c r="R45" s="9" t="n">
        <x:f>IF(AND(INDEX('Сводка'!$T$3:$T$397,U45)=0,INDEX('Сводка'!$T$3:$T$397,V45)=0),1,0)</x:f>
        <x:v>1</x:v>
      </x:c>
      <x:c r="S45" s="9" t="n">
        <x:f>IF(AND(R45=1,O45&lt;=$G$13),1,0)</x:f>
        <x:v>0</x:v>
      </x:c>
      <x:c r="T45" s="10" t="n">
        <x:f>EOMONTH(J45-'Сводка'!$B$11,-1)</x:f>
        <x:v>45869</x:v>
      </x:c>
      <x:c r="U45" s="4" t="n">
        <x:f>MATCH(J45,'Сводка'!$R$3:$R$397,0)</x:f>
        <x:v>56</x:v>
      </x:c>
      <x:c r="V45" s="4" t="n">
        <x:f>MATCH(J45-'Сводка'!$B$11,'Сводка'!$R$3:$R$397,0)</x:f>
        <x:v>55</x:v>
      </x:c>
      <x:c r="W45" s="4" t="n">
        <x:f>MATCH(T45,$J$388:$J$400,0)</x:f>
        <x:v>2</x:v>
      </x:c>
      <x:c r="X45" s="3"/>
      <x:c r="Y45" s="3"/>
      <x:c r="Z45" s="3"/>
    </x:row>
    <x:row r="46" ht="15" customHeight="1">
      <x:c r="A46" s="10" t="n">
        <x:f>IF(28&lt;='Сводка'!$B$3,'Сводка'!$B$4+28,"")</x:f>
        <x:v>46263</x:v>
      </x:c>
      <x:c r="B46" s="18" t="n">
        <x:f>IF($A46="","",(A46-$T$405+1)/1000)</x:f>
        <x:v>9.007</x:v>
      </x:c>
      <x:c r="C46" s="18" t="n">
        <x:f>IF($A46="","",2*(A46-$T$405)/$T$406-1)</x:f>
        <x:v>1.00623746936957</x:v>
      </x:c>
      <x:c r="D46" s="8" t="n">
        <x:f>IF($A46="","",$B$4*EXP($B$5*B46))</x:f>
        <x:v>167.16078253808993</x:v>
      </x:c>
      <x:c r="E46" s="8" t="n">
        <x:f>IF($A46="","",SQRT($T$403^2+H46^2))</x:f>
        <x:v>165.69324861131898</x:v>
      </x:c>
      <x:c r="F46" s="8" t="n">
        <x:f>IF($A46="","",D46-$T$404*E46)</x:f>
        <x:v>-157.6377665240947</x:v>
      </x:c>
      <x:c r="G46" s="8" t="n">
        <x:f>IF($A46="","",D46+$T$404*E46)</x:f>
        <x:v>491.9593316002746</x:v>
      </x:c>
      <x:c r="H46" s="8" t="n">
        <x:f>IF($A46="","",SQRT(MAX(0,(EXP($B$5*B46))*$S$409*(EXP($B$5*B46))+(EXP($B$5*B46))*$T$409*($B$4*EXP($B$5*B46)*B46)+($B$4*EXP($B$5*B46)*B46)*$S$410*(EXP($B$5*B46))+($B$4*EXP($B$5*B46)*B46)*$T$410*($B$4*EXP($B$5*B46)*B46))))</x:f>
        <x:v>5.493021997664058</x:v>
      </x:c>
      <x:c r="I46" s="3"/>
      <x:c r="J46" s="10" t="n">
        <x:v>45897</x:v>
      </x:c>
      <x:c r="K46" s="8" t="n">
        <x:f>INDEX('Сводка'!$S$3:$S$397,U46)</x:f>
        <x:v>229</x:v>
      </x:c>
      <x:c r="L46" s="8" t="n">
        <x:f>INDEX('Сводка'!$S$3:$S$397,V46)</x:f>
        <x:v>226</x:v>
      </x:c>
      <x:c r="M46" s="8" t="n">
        <x:f>INDEX($K$388:$N$400,W46,1)*EXP(INDEX($K$388:$N$400,W46,2)*((J46-$T$405+1)/1000))</x:f>
        <x:v>185.5856918859564</x:v>
      </x:c>
      <x:c r="N46" s="8" t="n">
        <x:f>K46-M46</x:f>
        <x:v>43.41430811404359</x:v>
      </x:c>
      <x:c r="O46" s="8" t="n">
        <x:f>ABS(N46)</x:f>
        <x:v>43.41430811404359</x:v>
      </x:c>
      <x:c r="P46" s="8" t="n">
        <x:f>N46^2</x:f>
        <x:v>1884.8021490211113</x:v>
      </x:c>
      <x:c r="Q46" s="8" t="n">
        <x:f>K46-L46</x:f>
        <x:v>3</x:v>
      </x:c>
      <x:c r="R46" s="9" t="n">
        <x:f>IF(AND(INDEX('Сводка'!$T$3:$T$397,U46)=0,INDEX('Сводка'!$T$3:$T$397,V46)=0),1,0)</x:f>
        <x:v>1</x:v>
      </x:c>
      <x:c r="S46" s="9" t="n">
        <x:f>IF(AND(R46=1,O46&lt;=$G$13),1,0)</x:f>
        <x:v>0</x:v>
      </x:c>
      <x:c r="T46" s="10" t="n">
        <x:f>EOMONTH(J46-'Сводка'!$B$11,-1)</x:f>
        <x:v>45869</x:v>
      </x:c>
      <x:c r="U46" s="4" t="n">
        <x:f>MATCH(J46,'Сводка'!$R$3:$R$397,0)</x:f>
        <x:v>57</x:v>
      </x:c>
      <x:c r="V46" s="4" t="n">
        <x:f>MATCH(J46-'Сводка'!$B$11,'Сводка'!$R$3:$R$397,0)</x:f>
        <x:v>56</x:v>
      </x:c>
      <x:c r="W46" s="4" t="n">
        <x:f>MATCH(T46,$J$388:$J$400,0)</x:f>
        <x:v>2</x:v>
      </x:c>
      <x:c r="X46" s="3"/>
      <x:c r="Y46" s="3"/>
      <x:c r="Z46" s="3"/>
    </x:row>
    <x:row r="47" ht="15" customHeight="1">
      <x:c r="A47" s="10" t="n">
        <x:f>IF(29&lt;='Сводка'!$B$3,'Сводка'!$B$4+29,"")</x:f>
        <x:v>46264</x:v>
      </x:c>
      <x:c r="B47" s="18" t="n">
        <x:f>IF($A47="","",(A47-$T$405+1)/1000)</x:f>
        <x:v>9.008</x:v>
      </x:c>
      <x:c r="C47" s="18" t="n">
        <x:f>IF($A47="","",2*(A47-$T$405)/$T$406-1)</x:f>
        <x:v>1.006460236132769</x:v>
      </x:c>
      <x:c r="D47" s="8" t="n">
        <x:f>IF($A47="","",$B$4*EXP($B$5*B47))</x:f>
        <x:v>167.19670873072104</x:v>
      </x:c>
      <x:c r="E47" s="8" t="n">
        <x:f>IF($A47="","",SQRT($T$403^2+H47^2))</x:f>
        <x:v>165.69333403094663</x:v>
      </x:c>
      <x:c r="F47" s="8" t="n">
        <x:f>IF($A47="","",D47-$T$404*E47)</x:f>
        <x:v>-157.6020077744424</x:v>
      </x:c>
      <x:c r="G47" s="8" t="n">
        <x:f>IF($A47="","",D47+$T$404*E47)</x:f>
        <x:v>491.99542523588445</x:v>
      </x:c>
      <x:c r="H47" s="8" t="n">
        <x:f>IF($A47="","",SQRT(MAX(0,(EXP($B$5*B47))*$S$409*(EXP($B$5*B47))+(EXP($B$5*B47))*$T$409*($B$4*EXP($B$5*B47)*B47)+($B$4*EXP($B$5*B47)*B47)*$S$410*(EXP($B$5*B47))+($B$4*EXP($B$5*B47)*B47)*$T$410*($B$4*EXP($B$5*B47)*B47))))</x:f>
        <x:v>5.495598018898408</x:v>
      </x:c>
      <x:c r="I47" s="3"/>
      <x:c r="J47" s="10" t="n">
        <x:v>45898</x:v>
      </x:c>
      <x:c r="K47" s="8" t="n">
        <x:f>INDEX('Сводка'!$S$3:$S$397,U47)</x:f>
        <x:v>233</x:v>
      </x:c>
      <x:c r="L47" s="8" t="n">
        <x:f>INDEX('Сводка'!$S$3:$S$397,V47)</x:f>
        <x:v>229</x:v>
      </x:c>
      <x:c r="M47" s="8" t="n">
        <x:f>INDEX($K$388:$N$400,W47,1)*EXP(INDEX($K$388:$N$400,W47,2)*((J47-$T$405+1)/1000))</x:f>
        <x:v>185.63334715130722</x:v>
      </x:c>
      <x:c r="N47" s="8" t="n">
        <x:f>K47-M47</x:f>
        <x:v>47.36665284869278</x:v>
      </x:c>
      <x:c r="O47" s="8" t="n">
        <x:f>ABS(N47)</x:f>
        <x:v>47.36665284869278</x:v>
      </x:c>
      <x:c r="P47" s="8" t="n">
        <x:f>N47^2</x:f>
        <x:v>2243.599802088576</x:v>
      </x:c>
      <x:c r="Q47" s="8" t="n">
        <x:f>K47-L47</x:f>
        <x:v>4</x:v>
      </x:c>
      <x:c r="R47" s="9" t="n">
        <x:f>IF(AND(INDEX('Сводка'!$T$3:$T$397,U47)=0,INDEX('Сводка'!$T$3:$T$397,V47)=0),1,0)</x:f>
        <x:v>1</x:v>
      </x:c>
      <x:c r="S47" s="9" t="n">
        <x:f>IF(AND(R47=1,O47&lt;=$G$13),1,0)</x:f>
        <x:v>0</x:v>
      </x:c>
      <x:c r="T47" s="10" t="n">
        <x:f>EOMONTH(J47-'Сводка'!$B$11,-1)</x:f>
        <x:v>45869</x:v>
      </x:c>
      <x:c r="U47" s="4" t="n">
        <x:f>MATCH(J47,'Сводка'!$R$3:$R$397,0)</x:f>
        <x:v>58</x:v>
      </x:c>
      <x:c r="V47" s="4" t="n">
        <x:f>MATCH(J47-'Сводка'!$B$11,'Сводка'!$R$3:$R$397,0)</x:f>
        <x:v>57</x:v>
      </x:c>
      <x:c r="W47" s="4" t="n">
        <x:f>MATCH(T47,$J$388:$J$400,0)</x:f>
        <x:v>2</x:v>
      </x:c>
      <x:c r="X47" s="3"/>
      <x:c r="Y47" s="3"/>
      <x:c r="Z47" s="3"/>
    </x:row>
    <x:row r="48" ht="15" customHeight="1">
      <x:c r="A48" s="10" t="n">
        <x:f>IF(30&lt;='Сводка'!$B$3,'Сводка'!$B$4+30,"")</x:f>
        <x:v>46265</x:v>
      </x:c>
      <x:c r="B48" s="18" t="n">
        <x:f>IF($A48="","",(A48-$T$405+1)/1000)</x:f>
        <x:v>9.009</x:v>
      </x:c>
      <x:c r="C48" s="18" t="n">
        <x:f>IF($A48="","",2*(A48-$T$405)/$T$406-1)</x:f>
        <x:v>1.0066830028959681</x:v>
      </x:c>
      <x:c r="D48" s="8" t="n">
        <x:f>IF($A48="","",$B$4*EXP($B$5*B48))</x:f>
        <x:v>167.23264264460897</x:v>
      </x:c>
      <x:c r="E48" s="8" t="n">
        <x:f>IF($A48="","",SQRT($T$403^2+H48^2))</x:f>
        <x:v>165.69341952801062</x:v>
      </x:c>
      <x:c r="F48" s="8" t="n">
        <x:f>IF($A48="","",D48-$T$404*E48)</x:f>
        <x:v>-157.56624145532714</x:v>
      </x:c>
      <x:c r="G48" s="8" t="n">
        <x:f>IF($A48="","",D48+$T$404*E48)</x:f>
        <x:v>492.0315267445451</x:v>
      </x:c>
      <x:c r="H48" s="8" t="n">
        <x:f>IF($A48="","",SQRT(MAX(0,(EXP($B$5*B48))*$S$409*(EXP($B$5*B48))+(EXP($B$5*B48))*$T$409*($B$4*EXP($B$5*B48)*B48)+($B$4*EXP($B$5*B48)*B48)*$S$410*(EXP($B$5*B48))+($B$4*EXP($B$5*B48)*B48)*$T$410*($B$4*EXP($B$5*B48)*B48))))</x:f>
        <x:v>5.498175168161947</x:v>
      </x:c>
      <x:c r="I48" s="3"/>
      <x:c r="J48" s="10" t="n">
        <x:v>45899</x:v>
      </x:c>
      <x:c r="K48" s="8" t="n">
        <x:f>INDEX('Сводка'!$S$3:$S$397,U48)</x:f>
        <x:v>238</x:v>
      </x:c>
      <x:c r="L48" s="8" t="n">
        <x:f>INDEX('Сводка'!$S$3:$S$397,V48)</x:f>
        <x:v>233</x:v>
      </x:c>
      <x:c r="M48" s="8" t="n">
        <x:f>INDEX($K$388:$N$400,W48,1)*EXP(INDEX($K$388:$N$400,W48,2)*((J48-$T$405+1)/1000))</x:f>
        <x:v>185.6810146537239</x:v>
      </x:c>
      <x:c r="N48" s="8" t="n">
        <x:f>K48-M48</x:f>
        <x:v>52.318985346276094</x:v>
      </x:c>
      <x:c r="O48" s="8" t="n">
        <x:f>ABS(N48)</x:f>
        <x:v>52.318985346276094</x:v>
      </x:c>
      <x:c r="P48" s="8" t="n">
        <x:f>N48^2</x:f>
        <x:v>2737.2762276638528</x:v>
      </x:c>
      <x:c r="Q48" s="8" t="n">
        <x:f>K48-L48</x:f>
        <x:v>5</x:v>
      </x:c>
      <x:c r="R48" s="9" t="n">
        <x:f>IF(AND(INDEX('Сводка'!$T$3:$T$397,U48)=0,INDEX('Сводка'!$T$3:$T$397,V48)=0),1,0)</x:f>
        <x:v>1</x:v>
      </x:c>
      <x:c r="S48" s="9" t="n">
        <x:f>IF(AND(R48=1,O48&lt;=$G$13),1,0)</x:f>
        <x:v>0</x:v>
      </x:c>
      <x:c r="T48" s="10" t="n">
        <x:f>EOMONTH(J48-'Сводка'!$B$11,-1)</x:f>
        <x:v>45869</x:v>
      </x:c>
      <x:c r="U48" s="4" t="n">
        <x:f>MATCH(J48,'Сводка'!$R$3:$R$397,0)</x:f>
        <x:v>59</x:v>
      </x:c>
      <x:c r="V48" s="4" t="n">
        <x:f>MATCH(J48-'Сводка'!$B$11,'Сводка'!$R$3:$R$397,0)</x:f>
        <x:v>58</x:v>
      </x:c>
      <x:c r="W48" s="4" t="n">
        <x:f>MATCH(T48,$J$388:$J$400,0)</x:f>
        <x:v>2</x:v>
      </x:c>
      <x:c r="X48" s="3"/>
      <x:c r="Y48" s="3"/>
      <x:c r="Z48" s="3"/>
    </x:row>
    <x:row r="49" ht="15" customHeight="1">
      <x:c r="A49" s="7" t="str">
        <x:f>IF(31&lt;='Сводка'!$B$3,'Сводка'!$B$4+31,"")</x:f>
      </x:c>
      <x:c r="B49" s="19" t="str">
        <x:f>IF($A49="","",(A49-$T$405+1)/1000)</x:f>
      </x:c>
      <x:c r="C49" s="19" t="str">
        <x:f>IF($A49="","",2*(A49-$T$405)/$T$406-1)</x:f>
      </x:c>
      <x:c r="D49" s="3" t="str">
        <x:f>IF($A49="","",$B$4*EXP($B$5*B49))</x:f>
      </x:c>
      <x:c r="E49" s="3" t="str">
        <x:f>IF($A49="","",SQRT($T$403^2+H49^2))</x:f>
      </x:c>
      <x:c r="F49" s="3" t="str">
        <x:f>IF($A49="","",D49-$T$404*E49)</x:f>
      </x:c>
      <x:c r="G49" s="3" t="str">
        <x:f>IF($A49="","",D49+$T$404*E49)</x:f>
      </x:c>
      <x:c r="H49" s="3" t="str">
        <x:f>IF($A49="","",SQRT(MAX(0,(EXP($B$5*B49))*$S$409*(EXP($B$5*B49))+(EXP($B$5*B49))*$T$409*($B$4*EXP($B$5*B49)*B49)+($B$4*EXP($B$5*B49)*B49)*$S$410*(EXP($B$5*B49))+($B$4*EXP($B$5*B49)*B49)*$T$410*($B$4*EXP($B$5*B49)*B49))))</x:f>
      </x:c>
      <x:c r="I49" s="3"/>
      <x:c r="J49" s="10" t="n">
        <x:v>45900</x:v>
      </x:c>
      <x:c r="K49" s="8" t="n">
        <x:f>INDEX('Сводка'!$S$3:$S$397,U49)</x:f>
        <x:v>238</x:v>
      </x:c>
      <x:c r="L49" s="8" t="n">
        <x:f>INDEX('Сводка'!$S$3:$S$397,V49)</x:f>
        <x:v>238</x:v>
      </x:c>
      <x:c r="M49" s="8" t="n">
        <x:f>INDEX($K$388:$N$400,W49,1)*EXP(INDEX($K$388:$N$400,W49,2)*((J49-$T$405+1)/1000))</x:f>
        <x:v>185.7286943963485</x:v>
      </x:c>
      <x:c r="N49" s="8" t="n">
        <x:f>K49-M49</x:f>
        <x:v>52.27130560365151</x:v>
      </x:c>
      <x:c r="O49" s="8" t="n">
        <x:f>ABS(N49)</x:f>
        <x:v>52.27130560365151</x:v>
      </x:c>
      <x:c r="P49" s="8" t="n">
        <x:f>N49^2</x:f>
        <x:v>2732.2893895103302</x:v>
      </x:c>
      <x:c r="Q49" s="8" t="n">
        <x:f>K49-L49</x:f>
        <x:v>0</x:v>
      </x:c>
      <x:c r="R49" s="9" t="n">
        <x:f>IF(AND(INDEX('Сводка'!$T$3:$T$397,U49)=0,INDEX('Сводка'!$T$3:$T$397,V49)=0),1,0)</x:f>
        <x:v>1</x:v>
      </x:c>
      <x:c r="S49" s="9" t="n">
        <x:f>IF(AND(R49=1,O49&lt;=$G$13),1,0)</x:f>
        <x:v>0</x:v>
      </x:c>
      <x:c r="T49" s="10" t="n">
        <x:f>EOMONTH(J49-'Сводка'!$B$11,-1)</x:f>
        <x:v>45869</x:v>
      </x:c>
      <x:c r="U49" s="4" t="n">
        <x:f>MATCH(J49,'Сводка'!$R$3:$R$397,0)</x:f>
        <x:v>60</x:v>
      </x:c>
      <x:c r="V49" s="4" t="n">
        <x:f>MATCH(J49-'Сводка'!$B$11,'Сводка'!$R$3:$R$397,0)</x:f>
        <x:v>59</x:v>
      </x:c>
      <x:c r="W49" s="4" t="n">
        <x:f>MATCH(T49,$J$388:$J$400,0)</x:f>
        <x:v>2</x:v>
      </x:c>
      <x:c r="X49" s="3"/>
      <x:c r="Y49" s="3"/>
      <x:c r="Z49" s="3"/>
    </x:row>
    <x:row r="50" ht="15" customHeight="1">
      <x:c r="A50" s="7" t="str">
        <x:f>IF(32&lt;='Сводка'!$B$3,'Сводка'!$B$4+32,"")</x:f>
      </x:c>
      <x:c r="B50" s="19" t="str">
        <x:f>IF($A50="","",(A50-$T$405+1)/1000)</x:f>
      </x:c>
      <x:c r="C50" s="19" t="str">
        <x:f>IF($A50="","",2*(A50-$T$405)/$T$406-1)</x:f>
      </x:c>
      <x:c r="D50" s="3" t="str">
        <x:f>IF($A50="","",$B$4*EXP($B$5*B50))</x:f>
      </x:c>
      <x:c r="E50" s="3" t="str">
        <x:f>IF($A50="","",SQRT($T$403^2+H50^2))</x:f>
      </x:c>
      <x:c r="F50" s="3" t="str">
        <x:f>IF($A50="","",D50-$T$404*E50)</x:f>
      </x:c>
      <x:c r="G50" s="3" t="str">
        <x:f>IF($A50="","",D50+$T$404*E50)</x:f>
      </x:c>
      <x:c r="H50" s="3" t="str">
        <x:f>IF($A50="","",SQRT(MAX(0,(EXP($B$5*B50))*$S$409*(EXP($B$5*B50))+(EXP($B$5*B50))*$T$409*($B$4*EXP($B$5*B50)*B50)+($B$4*EXP($B$5*B50)*B50)*$S$410*(EXP($B$5*B50))+($B$4*EXP($B$5*B50)*B50)*$T$410*($B$4*EXP($B$5*B50)*B50))))</x:f>
      </x:c>
      <x:c r="I50" s="3"/>
      <x:c r="J50" s="10" t="n">
        <x:v>45901</x:v>
      </x:c>
      <x:c r="K50" s="8" t="n">
        <x:f>INDEX('Сводка'!$S$3:$S$397,U50)</x:f>
        <x:v>238</x:v>
      </x:c>
      <x:c r="L50" s="8" t="n">
        <x:f>INDEX('Сводка'!$S$3:$S$397,V50)</x:f>
        <x:v>238</x:v>
      </x:c>
      <x:c r="M50" s="8" t="n">
        <x:f>INDEX($K$388:$N$400,W50,1)*EXP(INDEX($K$388:$N$400,W50,2)*((J50-$T$405+1)/1000))</x:f>
        <x:v>185.7763863823243</x:v>
      </x:c>
      <x:c r="N50" s="8" t="n">
        <x:f>K50-M50</x:f>
        <x:v>52.22361361767571</x:v>
      </x:c>
      <x:c r="O50" s="8" t="n">
        <x:f>ABS(N50)</x:f>
        <x:v>52.22361361767571</x:v>
      </x:c>
      <x:c r="P50" s="8" t="n">
        <x:f>N50^2</x:f>
        <x:v>2727.305819288284</x:v>
      </x:c>
      <x:c r="Q50" s="8" t="n">
        <x:f>K50-L50</x:f>
        <x:v>0</x:v>
      </x:c>
      <x:c r="R50" s="9" t="n">
        <x:f>IF(AND(INDEX('Сводка'!$T$3:$T$397,U50)=0,INDEX('Сводка'!$T$3:$T$397,V50)=0),1,0)</x:f>
        <x:v>1</x:v>
      </x:c>
      <x:c r="S50" s="9" t="n">
        <x:f>IF(AND(R50=1,O50&lt;=$G$13),1,0)</x:f>
        <x:v>0</x:v>
      </x:c>
      <x:c r="T50" s="10" t="n">
        <x:f>EOMONTH(J50-'Сводка'!$B$11,-1)</x:f>
        <x:v>45869</x:v>
      </x:c>
      <x:c r="U50" s="4" t="n">
        <x:f>MATCH(J50,'Сводка'!$R$3:$R$397,0)</x:f>
        <x:v>61</x:v>
      </x:c>
      <x:c r="V50" s="4" t="n">
        <x:f>MATCH(J50-'Сводка'!$B$11,'Сводка'!$R$3:$R$397,0)</x:f>
        <x:v>60</x:v>
      </x:c>
      <x:c r="W50" s="4" t="n">
        <x:f>MATCH(T50,$J$388:$J$400,0)</x:f>
        <x:v>2</x:v>
      </x:c>
      <x:c r="X50" s="3"/>
      <x:c r="Y50" s="3"/>
      <x:c r="Z50" s="3"/>
    </x:row>
    <x:row r="51" ht="15" customHeight="1">
      <x:c r="A51" s="7" t="str">
        <x:f>IF(33&lt;='Сводка'!$B$3,'Сводка'!$B$4+33,"")</x:f>
      </x:c>
      <x:c r="B51" s="19" t="str">
        <x:f>IF($A51="","",(A51-$T$405+1)/1000)</x:f>
      </x:c>
      <x:c r="C51" s="19" t="str">
        <x:f>IF($A51="","",2*(A51-$T$405)/$T$406-1)</x:f>
      </x:c>
      <x:c r="D51" s="3" t="str">
        <x:f>IF($A51="","",$B$4*EXP($B$5*B51))</x:f>
      </x:c>
      <x:c r="E51" s="3" t="str">
        <x:f>IF($A51="","",SQRT($T$403^2+H51^2))</x:f>
      </x:c>
      <x:c r="F51" s="3" t="str">
        <x:f>IF($A51="","",D51-$T$404*E51)</x:f>
      </x:c>
      <x:c r="G51" s="3" t="str">
        <x:f>IF($A51="","",D51+$T$404*E51)</x:f>
      </x:c>
      <x:c r="H51" s="3" t="str">
        <x:f>IF($A51="","",SQRT(MAX(0,(EXP($B$5*B51))*$S$409*(EXP($B$5*B51))+(EXP($B$5*B51))*$T$409*($B$4*EXP($B$5*B51)*B51)+($B$4*EXP($B$5*B51)*B51)*$S$410*(EXP($B$5*B51))+($B$4*EXP($B$5*B51)*B51)*$T$410*($B$4*EXP($B$5*B51)*B51))))</x:f>
      </x:c>
      <x:c r="I51" s="3"/>
      <x:c r="J51" s="10" t="n">
        <x:v>45902</x:v>
      </x:c>
      <x:c r="K51" s="8" t="n">
        <x:f>INDEX('Сводка'!$S$3:$S$397,U51)</x:f>
        <x:v>233</x:v>
      </x:c>
      <x:c r="L51" s="8" t="n">
        <x:f>INDEX('Сводка'!$S$3:$S$397,V51)</x:f>
        <x:v>238</x:v>
      </x:c>
      <x:c r="M51" s="8" t="n">
        <x:f>INDEX($K$388:$N$400,W51,1)*EXP(INDEX($K$388:$N$400,W51,2)*((J51-$T$405+1)/1000))</x:f>
        <x:v>188.5391274027586</x:v>
      </x:c>
      <x:c r="N51" s="8" t="n">
        <x:f>K51-M51</x:f>
        <x:v>44.460872597241405</x:v>
      </x:c>
      <x:c r="O51" s="8" t="n">
        <x:f>ABS(N51)</x:f>
        <x:v>44.460872597241405</x:v>
      </x:c>
      <x:c r="P51" s="8" t="n">
        <x:f>N51^2</x:f>
        <x:v>1976.7691921081316</x:v>
      </x:c>
      <x:c r="Q51" s="8" t="n">
        <x:f>K51-L51</x:f>
        <x:v>-5</x:v>
      </x:c>
      <x:c r="R51" s="9" t="n">
        <x:f>IF(AND(INDEX('Сводка'!$T$3:$T$397,U51)=0,INDEX('Сводка'!$T$3:$T$397,V51)=0),1,0)</x:f>
        <x:v>1</x:v>
      </x:c>
      <x:c r="S51" s="9" t="n">
        <x:f>IF(AND(R51=1,O51&lt;=$G$13),1,0)</x:f>
        <x:v>0</x:v>
      </x:c>
      <x:c r="T51" s="10" t="n">
        <x:f>EOMONTH(J51-'Сводка'!$B$11,-1)</x:f>
        <x:v>45900</x:v>
      </x:c>
      <x:c r="U51" s="4" t="n">
        <x:f>MATCH(J51,'Сводка'!$R$3:$R$397,0)</x:f>
        <x:v>62</x:v>
      </x:c>
      <x:c r="V51" s="4" t="n">
        <x:f>MATCH(J51-'Сводка'!$B$11,'Сводка'!$R$3:$R$397,0)</x:f>
        <x:v>61</x:v>
      </x:c>
      <x:c r="W51" s="4" t="n">
        <x:f>MATCH(T51,$J$388:$J$400,0)</x:f>
        <x:v>3</x:v>
      </x:c>
      <x:c r="X51" s="3"/>
      <x:c r="Y51" s="3"/>
      <x:c r="Z51" s="3"/>
    </x:row>
    <x:row r="52" ht="15" customHeight="1">
      <x:c r="A52" s="7" t="str">
        <x:f>IF(34&lt;='Сводка'!$B$3,'Сводка'!$B$4+34,"")</x:f>
      </x:c>
      <x:c r="B52" s="19" t="str">
        <x:f>IF($A52="","",(A52-$T$405+1)/1000)</x:f>
      </x:c>
      <x:c r="C52" s="19" t="str">
        <x:f>IF($A52="","",2*(A52-$T$405)/$T$406-1)</x:f>
      </x:c>
      <x:c r="D52" s="3" t="str">
        <x:f>IF($A52="","",$B$4*EXP($B$5*B52))</x:f>
      </x:c>
      <x:c r="E52" s="3" t="str">
        <x:f>IF($A52="","",SQRT($T$403^2+H52^2))</x:f>
      </x:c>
      <x:c r="F52" s="3" t="str">
        <x:f>IF($A52="","",D52-$T$404*E52)</x:f>
      </x:c>
      <x:c r="G52" s="3" t="str">
        <x:f>IF($A52="","",D52+$T$404*E52)</x:f>
      </x:c>
      <x:c r="H52" s="3" t="str">
        <x:f>IF($A52="","",SQRT(MAX(0,(EXP($B$5*B52))*$S$409*(EXP($B$5*B52))+(EXP($B$5*B52))*$T$409*($B$4*EXP($B$5*B52)*B52)+($B$4*EXP($B$5*B52)*B52)*$S$410*(EXP($B$5*B52))+($B$4*EXP($B$5*B52)*B52)*$T$410*($B$4*EXP($B$5*B52)*B52))))</x:f>
      </x:c>
      <x:c r="I52" s="3"/>
      <x:c r="J52" s="10" t="n">
        <x:v>45903</x:v>
      </x:c>
      <x:c r="K52" s="8" t="n">
        <x:f>INDEX('Сводка'!$S$3:$S$397,U52)</x:f>
        <x:v>228</x:v>
      </x:c>
      <x:c r="L52" s="8" t="n">
        <x:f>INDEX('Сводка'!$S$3:$S$397,V52)</x:f>
        <x:v>233</x:v>
      </x:c>
      <x:c r="M52" s="8" t="n">
        <x:f>INDEX($K$388:$N$400,W52,1)*EXP(INDEX($K$388:$N$400,W52,2)*((J52-$T$405+1)/1000))</x:f>
        <x:v>188.5881900889691</x:v>
      </x:c>
      <x:c r="N52" s="8" t="n">
        <x:f>K52-M52</x:f>
        <x:v>39.4118099110309</x:v>
      </x:c>
      <x:c r="O52" s="8" t="n">
        <x:f>ABS(N52)</x:f>
        <x:v>39.4118099110309</x:v>
      </x:c>
      <x:c r="P52" s="8" t="n">
        <x:f>N52^2</x:f>
        <x:v>1553.2907604632335</x:v>
      </x:c>
      <x:c r="Q52" s="8" t="n">
        <x:f>K52-L52</x:f>
        <x:v>-5</x:v>
      </x:c>
      <x:c r="R52" s="9" t="n">
        <x:f>IF(AND(INDEX('Сводка'!$T$3:$T$397,U52)=0,INDEX('Сводка'!$T$3:$T$397,V52)=0),1,0)</x:f>
        <x:v>1</x:v>
      </x:c>
      <x:c r="S52" s="9" t="n">
        <x:f>IF(AND(R52=1,O52&lt;=$G$13),1,0)</x:f>
        <x:v>0</x:v>
      </x:c>
      <x:c r="T52" s="10" t="n">
        <x:f>EOMONTH(J52-'Сводка'!$B$11,-1)</x:f>
        <x:v>45900</x:v>
      </x:c>
      <x:c r="U52" s="4" t="n">
        <x:f>MATCH(J52,'Сводка'!$R$3:$R$397,0)</x:f>
        <x:v>63</x:v>
      </x:c>
      <x:c r="V52" s="4" t="n">
        <x:f>MATCH(J52-'Сводка'!$B$11,'Сводка'!$R$3:$R$397,0)</x:f>
        <x:v>62</x:v>
      </x:c>
      <x:c r="W52" s="4" t="n">
        <x:f>MATCH(T52,$J$388:$J$400,0)</x:f>
        <x:v>3</x:v>
      </x:c>
      <x:c r="X52" s="3"/>
      <x:c r="Y52" s="3"/>
      <x:c r="Z52" s="3"/>
    </x:row>
    <x:row r="53" ht="15" customHeight="1">
      <x:c r="A53" s="7" t="str">
        <x:f>IF(35&lt;='Сводка'!$B$3,'Сводка'!$B$4+35,"")</x:f>
      </x:c>
      <x:c r="B53" s="19" t="str">
        <x:f>IF($A53="","",(A53-$T$405+1)/1000)</x:f>
      </x:c>
      <x:c r="C53" s="19" t="str">
        <x:f>IF($A53="","",2*(A53-$T$405)/$T$406-1)</x:f>
      </x:c>
      <x:c r="D53" s="3" t="str">
        <x:f>IF($A53="","",$B$4*EXP($B$5*B53))</x:f>
      </x:c>
      <x:c r="E53" s="3" t="str">
        <x:f>IF($A53="","",SQRT($T$403^2+H53^2))</x:f>
      </x:c>
      <x:c r="F53" s="3" t="str">
        <x:f>IF($A53="","",D53-$T$404*E53)</x:f>
      </x:c>
      <x:c r="G53" s="3" t="str">
        <x:f>IF($A53="","",D53+$T$404*E53)</x:f>
      </x:c>
      <x:c r="H53" s="3" t="str">
        <x:f>IF($A53="","",SQRT(MAX(0,(EXP($B$5*B53))*$S$409*(EXP($B$5*B53))+(EXP($B$5*B53))*$T$409*($B$4*EXP($B$5*B53)*B53)+($B$4*EXP($B$5*B53)*B53)*$S$410*(EXP($B$5*B53))+($B$4*EXP($B$5*B53)*B53)*$T$410*($B$4*EXP($B$5*B53)*B53))))</x:f>
      </x:c>
      <x:c r="I53" s="3"/>
      <x:c r="J53" s="10" t="n">
        <x:v>45904</x:v>
      </x:c>
      <x:c r="K53" s="8" t="n">
        <x:f>INDEX('Сводка'!$S$3:$S$397,U53)</x:f>
        <x:v>226</x:v>
      </x:c>
      <x:c r="L53" s="8" t="n">
        <x:f>INDEX('Сводка'!$S$3:$S$397,V53)</x:f>
        <x:v>228</x:v>
      </x:c>
      <x:c r="M53" s="8" t="n">
        <x:f>INDEX($K$388:$N$400,W53,1)*EXP(INDEX($K$388:$N$400,W53,2)*((J53-$T$405+1)/1000))</x:f>
        <x:v>188.63726554254103</x:v>
      </x:c>
      <x:c r="N53" s="8" t="n">
        <x:f>K53-M53</x:f>
        <x:v>37.36273445745897</x:v>
      </x:c>
      <x:c r="O53" s="8" t="n">
        <x:f>ABS(N53)</x:f>
        <x:v>37.36273445745897</x:v>
      </x:c>
      <x:c r="P53" s="8" t="n">
        <x:f>N53^2</x:f>
        <x:v>1395.9739261385919</x:v>
      </x:c>
      <x:c r="Q53" s="8" t="n">
        <x:f>K53-L53</x:f>
        <x:v>-2</x:v>
      </x:c>
      <x:c r="R53" s="9" t="n">
        <x:f>IF(AND(INDEX('Сводка'!$T$3:$T$397,U53)=0,INDEX('Сводка'!$T$3:$T$397,V53)=0),1,0)</x:f>
        <x:v>1</x:v>
      </x:c>
      <x:c r="S53" s="9" t="n">
        <x:f>IF(AND(R53=1,O53&lt;=$G$13),1,0)</x:f>
        <x:v>0</x:v>
      </x:c>
      <x:c r="T53" s="10" t="n">
        <x:f>EOMONTH(J53-'Сводка'!$B$11,-1)</x:f>
        <x:v>45900</x:v>
      </x:c>
      <x:c r="U53" s="4" t="n">
        <x:f>MATCH(J53,'Сводка'!$R$3:$R$397,0)</x:f>
        <x:v>64</x:v>
      </x:c>
      <x:c r="V53" s="4" t="n">
        <x:f>MATCH(J53-'Сводка'!$B$11,'Сводка'!$R$3:$R$397,0)</x:f>
        <x:v>63</x:v>
      </x:c>
      <x:c r="W53" s="4" t="n">
        <x:f>MATCH(T53,$J$388:$J$400,0)</x:f>
        <x:v>3</x:v>
      </x:c>
      <x:c r="X53" s="3"/>
      <x:c r="Y53" s="3"/>
      <x:c r="Z53" s="3"/>
    </x:row>
    <x:row r="54" ht="15" customHeight="1">
      <x:c r="A54" s="7" t="str">
        <x:f>IF(36&lt;='Сводка'!$B$3,'Сводка'!$B$4+36,"")</x:f>
      </x:c>
      <x:c r="B54" s="19" t="str">
        <x:f>IF($A54="","",(A54-$T$405+1)/1000)</x:f>
      </x:c>
      <x:c r="C54" s="19" t="str">
        <x:f>IF($A54="","",2*(A54-$T$405)/$T$406-1)</x:f>
      </x:c>
      <x:c r="D54" s="3" t="str">
        <x:f>IF($A54="","",$B$4*EXP($B$5*B54))</x:f>
      </x:c>
      <x:c r="E54" s="3" t="str">
        <x:f>IF($A54="","",SQRT($T$403^2+H54^2))</x:f>
      </x:c>
      <x:c r="F54" s="3" t="str">
        <x:f>IF($A54="","",D54-$T$404*E54)</x:f>
      </x:c>
      <x:c r="G54" s="3" t="str">
        <x:f>IF($A54="","",D54+$T$404*E54)</x:f>
      </x:c>
      <x:c r="H54" s="3" t="str">
        <x:f>IF($A54="","",SQRT(MAX(0,(EXP($B$5*B54))*$S$409*(EXP($B$5*B54))+(EXP($B$5*B54))*$T$409*($B$4*EXP($B$5*B54)*B54)+($B$4*EXP($B$5*B54)*B54)*$S$410*(EXP($B$5*B54))+($B$4*EXP($B$5*B54)*B54)*$T$410*($B$4*EXP($B$5*B54)*B54))))</x:f>
      </x:c>
      <x:c r="I54" s="3"/>
      <x:c r="J54" s="10" t="n">
        <x:v>45905</x:v>
      </x:c>
      <x:c r="K54" s="8" t="n">
        <x:f>INDEX('Сводка'!$S$3:$S$397,U54)</x:f>
        <x:v>226</x:v>
      </x:c>
      <x:c r="L54" s="8" t="n">
        <x:f>INDEX('Сводка'!$S$3:$S$397,V54)</x:f>
        <x:v>226</x:v>
      </x:c>
      <x:c r="M54" s="8" t="n">
        <x:f>INDEX($K$388:$N$400,W54,1)*EXP(INDEX($K$388:$N$400,W54,2)*((J54-$T$405+1)/1000))</x:f>
        <x:v>188.68635376679677</x:v>
      </x:c>
      <x:c r="N54" s="8" t="n">
        <x:f>K54-M54</x:f>
        <x:v>37.31364623320323</x:v>
      </x:c>
      <x:c r="O54" s="8" t="n">
        <x:f>ABS(N54)</x:f>
        <x:v>37.31364623320323</x:v>
      </x:c>
      <x:c r="P54" s="8" t="n">
        <x:f>N54^2</x:f>
        <x:v>1392.3081952166415</x:v>
      </x:c>
      <x:c r="Q54" s="8" t="n">
        <x:f>K54-L54</x:f>
        <x:v>0</x:v>
      </x:c>
      <x:c r="R54" s="9" t="n">
        <x:f>IF(AND(INDEX('Сводка'!$T$3:$T$397,U54)=0,INDEX('Сводка'!$T$3:$T$397,V54)=0),1,0)</x:f>
        <x:v>1</x:v>
      </x:c>
      <x:c r="S54" s="9" t="n">
        <x:f>IF(AND(R54=1,O54&lt;=$G$13),1,0)</x:f>
        <x:v>0</x:v>
      </x:c>
      <x:c r="T54" s="10" t="n">
        <x:f>EOMONTH(J54-'Сводка'!$B$11,-1)</x:f>
        <x:v>45900</x:v>
      </x:c>
      <x:c r="U54" s="4" t="n">
        <x:f>MATCH(J54,'Сводка'!$R$3:$R$397,0)</x:f>
        <x:v>65</x:v>
      </x:c>
      <x:c r="V54" s="4" t="n">
        <x:f>MATCH(J54-'Сводка'!$B$11,'Сводка'!$R$3:$R$397,0)</x:f>
        <x:v>64</x:v>
      </x:c>
      <x:c r="W54" s="4" t="n">
        <x:f>MATCH(T54,$J$388:$J$400,0)</x:f>
        <x:v>3</x:v>
      </x:c>
      <x:c r="X54" s="3"/>
      <x:c r="Y54" s="3"/>
      <x:c r="Z54" s="3"/>
    </x:row>
    <x:row r="55" ht="15" customHeight="1">
      <x:c r="A55" s="7" t="str">
        <x:f>IF(37&lt;='Сводка'!$B$3,'Сводка'!$B$4+37,"")</x:f>
      </x:c>
      <x:c r="B55" s="19" t="str">
        <x:f>IF($A55="","",(A55-$T$405+1)/1000)</x:f>
      </x:c>
      <x:c r="C55" s="19" t="str">
        <x:f>IF($A55="","",2*(A55-$T$405)/$T$406-1)</x:f>
      </x:c>
      <x:c r="D55" s="3" t="str">
        <x:f>IF($A55="","",$B$4*EXP($B$5*B55))</x:f>
      </x:c>
      <x:c r="E55" s="3" t="str">
        <x:f>IF($A55="","",SQRT($T$403^2+H55^2))</x:f>
      </x:c>
      <x:c r="F55" s="3" t="str">
        <x:f>IF($A55="","",D55-$T$404*E55)</x:f>
      </x:c>
      <x:c r="G55" s="3" t="str">
        <x:f>IF($A55="","",D55+$T$404*E55)</x:f>
      </x:c>
      <x:c r="H55" s="3" t="str">
        <x:f>IF($A55="","",SQRT(MAX(0,(EXP($B$5*B55))*$S$409*(EXP($B$5*B55))+(EXP($B$5*B55))*$T$409*($B$4*EXP($B$5*B55)*B55)+($B$4*EXP($B$5*B55)*B55)*$S$410*(EXP($B$5*B55))+($B$4*EXP($B$5*B55)*B55)*$T$410*($B$4*EXP($B$5*B55)*B55))))</x:f>
      </x:c>
      <x:c r="I55" s="3"/>
      <x:c r="J55" s="10" t="n">
        <x:v>45906</x:v>
      </x:c>
      <x:c r="K55" s="8" t="n">
        <x:f>INDEX('Сводка'!$S$3:$S$397,U55)</x:f>
        <x:v>226</x:v>
      </x:c>
      <x:c r="L55" s="8" t="n">
        <x:f>INDEX('Сводка'!$S$3:$S$397,V55)</x:f>
        <x:v>226</x:v>
      </x:c>
      <x:c r="M55" s="8" t="n">
        <x:f>INDEX($K$388:$N$400,W55,1)*EXP(INDEX($K$388:$N$400,W55,2)*((J55-$T$405+1)/1000))</x:f>
        <x:v>188.73545476505961</x:v>
      </x:c>
      <x:c r="N55" s="8" t="n">
        <x:f>K55-M55</x:f>
        <x:v>37.264545234940385</x:v>
      </x:c>
      <x:c r="O55" s="8" t="n">
        <x:f>ABS(N55)</x:f>
        <x:v>37.264545234940385</x:v>
      </x:c>
      <x:c r="P55" s="8" t="n">
        <x:f>N55^2</x:f>
        <x:v>1388.6463315669182</x:v>
      </x:c>
      <x:c r="Q55" s="8" t="n">
        <x:f>K55-L55</x:f>
        <x:v>0</x:v>
      </x:c>
      <x:c r="R55" s="9" t="n">
        <x:f>IF(AND(INDEX('Сводка'!$T$3:$T$397,U55)=0,INDEX('Сводка'!$T$3:$T$397,V55)=0),1,0)</x:f>
        <x:v>1</x:v>
      </x:c>
      <x:c r="S55" s="9" t="n">
        <x:f>IF(AND(R55=1,O55&lt;=$G$13),1,0)</x:f>
        <x:v>0</x:v>
      </x:c>
      <x:c r="T55" s="10" t="n">
        <x:f>EOMONTH(J55-'Сводка'!$B$11,-1)</x:f>
        <x:v>45900</x:v>
      </x:c>
      <x:c r="U55" s="4" t="n">
        <x:f>MATCH(J55,'Сводка'!$R$3:$R$397,0)</x:f>
        <x:v>66</x:v>
      </x:c>
      <x:c r="V55" s="4" t="n">
        <x:f>MATCH(J55-'Сводка'!$B$11,'Сводка'!$R$3:$R$397,0)</x:f>
        <x:v>65</x:v>
      </x:c>
      <x:c r="W55" s="4" t="n">
        <x:f>MATCH(T55,$J$388:$J$400,0)</x:f>
        <x:v>3</x:v>
      </x:c>
      <x:c r="X55" s="3"/>
      <x:c r="Y55" s="3"/>
      <x:c r="Z55" s="3"/>
    </x:row>
    <x:row r="56" ht="15" customHeight="1">
      <x:c r="A56" s="7" t="str">
        <x:f>IF(38&lt;='Сводка'!$B$3,'Сводка'!$B$4+38,"")</x:f>
      </x:c>
      <x:c r="B56" s="19" t="str">
        <x:f>IF($A56="","",(A56-$T$405+1)/1000)</x:f>
      </x:c>
      <x:c r="C56" s="19" t="str">
        <x:f>IF($A56="","",2*(A56-$T$405)/$T$406-1)</x:f>
      </x:c>
      <x:c r="D56" s="3" t="str">
        <x:f>IF($A56="","",$B$4*EXP($B$5*B56))</x:f>
      </x:c>
      <x:c r="E56" s="3" t="str">
        <x:f>IF($A56="","",SQRT($T$403^2+H56^2))</x:f>
      </x:c>
      <x:c r="F56" s="3" t="str">
        <x:f>IF($A56="","",D56-$T$404*E56)</x:f>
      </x:c>
      <x:c r="G56" s="3" t="str">
        <x:f>IF($A56="","",D56+$T$404*E56)</x:f>
      </x:c>
      <x:c r="H56" s="3" t="str">
        <x:f>IF($A56="","",SQRT(MAX(0,(EXP($B$5*B56))*$S$409*(EXP($B$5*B56))+(EXP($B$5*B56))*$T$409*($B$4*EXP($B$5*B56)*B56)+($B$4*EXP($B$5*B56)*B56)*$S$410*(EXP($B$5*B56))+($B$4*EXP($B$5*B56)*B56)*$T$410*($B$4*EXP($B$5*B56)*B56))))</x:f>
      </x:c>
      <x:c r="I56" s="3"/>
      <x:c r="J56" s="10" t="n">
        <x:v>45907</x:v>
      </x:c>
      <x:c r="K56" s="8" t="n">
        <x:f>INDEX('Сводка'!$S$3:$S$397,U56)</x:f>
        <x:v>226</x:v>
      </x:c>
      <x:c r="L56" s="8" t="n">
        <x:f>INDEX('Сводка'!$S$3:$S$397,V56)</x:f>
        <x:v>226</x:v>
      </x:c>
      <x:c r="M56" s="8" t="n">
        <x:f>INDEX($K$388:$N$400,W56,1)*EXP(INDEX($K$388:$N$400,W56,2)*((J56-$T$405+1)/1000))</x:f>
        <x:v>188.78456854065357</x:v>
      </x:c>
      <x:c r="N56" s="8" t="n">
        <x:f>K56-M56</x:f>
        <x:v>37.21543145934643</x:v>
      </x:c>
      <x:c r="O56" s="8" t="n">
        <x:f>ABS(N56)</x:f>
        <x:v>37.21543145934643</x:v>
      </x:c>
      <x:c r="P56" s="8" t="n">
        <x:f>N56^2</x:f>
        <x:v>1384.9883387053121</x:v>
      </x:c>
      <x:c r="Q56" s="8" t="n">
        <x:f>K56-L56</x:f>
        <x:v>0</x:v>
      </x:c>
      <x:c r="R56" s="9" t="n">
        <x:f>IF(AND(INDEX('Сводка'!$T$3:$T$397,U56)=0,INDEX('Сводка'!$T$3:$T$397,V56)=0),1,0)</x:f>
        <x:v>1</x:v>
      </x:c>
      <x:c r="S56" s="9" t="n">
        <x:f>IF(AND(R56=1,O56&lt;=$G$13),1,0)</x:f>
        <x:v>0</x:v>
      </x:c>
      <x:c r="T56" s="10" t="n">
        <x:f>EOMONTH(J56-'Сводка'!$B$11,-1)</x:f>
        <x:v>45900</x:v>
      </x:c>
      <x:c r="U56" s="4" t="n">
        <x:f>MATCH(J56,'Сводка'!$R$3:$R$397,0)</x:f>
        <x:v>67</x:v>
      </x:c>
      <x:c r="V56" s="4" t="n">
        <x:f>MATCH(J56-'Сводка'!$B$11,'Сводка'!$R$3:$R$397,0)</x:f>
        <x:v>66</x:v>
      </x:c>
      <x:c r="W56" s="4" t="n">
        <x:f>MATCH(T56,$J$388:$J$400,0)</x:f>
        <x:v>3</x:v>
      </x:c>
      <x:c r="X56" s="3"/>
      <x:c r="Y56" s="3"/>
      <x:c r="Z56" s="3"/>
    </x:row>
    <x:row r="57" ht="15" customHeight="1">
      <x:c r="A57" s="7" t="str">
        <x:f>IF(39&lt;='Сводка'!$B$3,'Сводка'!$B$4+39,"")</x:f>
      </x:c>
      <x:c r="B57" s="19" t="str">
        <x:f>IF($A57="","",(A57-$T$405+1)/1000)</x:f>
      </x:c>
      <x:c r="C57" s="19" t="str">
        <x:f>IF($A57="","",2*(A57-$T$405)/$T$406-1)</x:f>
      </x:c>
      <x:c r="D57" s="3" t="str">
        <x:f>IF($A57="","",$B$4*EXP($B$5*B57))</x:f>
      </x:c>
      <x:c r="E57" s="3" t="str">
        <x:f>IF($A57="","",SQRT($T$403^2+H57^2))</x:f>
      </x:c>
      <x:c r="F57" s="3" t="str">
        <x:f>IF($A57="","",D57-$T$404*E57)</x:f>
      </x:c>
      <x:c r="G57" s="3" t="str">
        <x:f>IF($A57="","",D57+$T$404*E57)</x:f>
      </x:c>
      <x:c r="H57" s="3" t="str">
        <x:f>IF($A57="","",SQRT(MAX(0,(EXP($B$5*B57))*$S$409*(EXP($B$5*B57))+(EXP($B$5*B57))*$T$409*($B$4*EXP($B$5*B57)*B57)+($B$4*EXP($B$5*B57)*B57)*$S$410*(EXP($B$5*B57))+($B$4*EXP($B$5*B57)*B57)*$T$410*($B$4*EXP($B$5*B57)*B57))))</x:f>
      </x:c>
      <x:c r="I57" s="3"/>
      <x:c r="J57" s="10" t="n">
        <x:v>45908</x:v>
      </x:c>
      <x:c r="K57" s="8" t="n">
        <x:f>INDEX('Сводка'!$S$3:$S$397,U57)</x:f>
        <x:v>222</x:v>
      </x:c>
      <x:c r="L57" s="8" t="n">
        <x:f>INDEX('Сводка'!$S$3:$S$397,V57)</x:f>
        <x:v>226</x:v>
      </x:c>
      <x:c r="M57" s="8" t="n">
        <x:f>INDEX($K$388:$N$400,W57,1)*EXP(INDEX($K$388:$N$400,W57,2)*((J57-$T$405+1)/1000))</x:f>
        <x:v>188.8336950969037</x:v>
      </x:c>
      <x:c r="N57" s="8" t="n">
        <x:f>K57-M57</x:f>
        <x:v>33.16630490309629</x:v>
      </x:c>
      <x:c r="O57" s="8" t="n">
        <x:f>ABS(N57)</x:f>
        <x:v>33.16630490309629</x:v>
      </x:c>
      <x:c r="P57" s="8" t="n">
        <x:f>N57^2</x:f>
        <x:v>1100.003780925149</x:v>
      </x:c>
      <x:c r="Q57" s="8" t="n">
        <x:f>K57-L57</x:f>
        <x:v>-4</x:v>
      </x:c>
      <x:c r="R57" s="9" t="n">
        <x:f>IF(AND(INDEX('Сводка'!$T$3:$T$397,U57)=0,INDEX('Сводка'!$T$3:$T$397,V57)=0),1,0)</x:f>
        <x:v>1</x:v>
      </x:c>
      <x:c r="S57" s="9" t="n">
        <x:f>IF(AND(R57=1,O57&lt;=$G$13),1,0)</x:f>
        <x:v>0</x:v>
      </x:c>
      <x:c r="T57" s="10" t="n">
        <x:f>EOMONTH(J57-'Сводка'!$B$11,-1)</x:f>
        <x:v>45900</x:v>
      </x:c>
      <x:c r="U57" s="4" t="n">
        <x:f>MATCH(J57,'Сводка'!$R$3:$R$397,0)</x:f>
        <x:v>68</x:v>
      </x:c>
      <x:c r="V57" s="4" t="n">
        <x:f>MATCH(J57-'Сводка'!$B$11,'Сводка'!$R$3:$R$397,0)</x:f>
        <x:v>67</x:v>
      </x:c>
      <x:c r="W57" s="4" t="n">
        <x:f>MATCH(T57,$J$388:$J$400,0)</x:f>
        <x:v>3</x:v>
      </x:c>
      <x:c r="X57" s="3"/>
      <x:c r="Y57" s="3"/>
      <x:c r="Z57" s="3"/>
    </x:row>
    <x:row r="58" ht="15" customHeight="1">
      <x:c r="A58" s="7" t="str">
        <x:f>IF(40&lt;='Сводка'!$B$3,'Сводка'!$B$4+40,"")</x:f>
      </x:c>
      <x:c r="B58" s="19" t="str">
        <x:f>IF($A58="","",(A58-$T$405+1)/1000)</x:f>
      </x:c>
      <x:c r="C58" s="19" t="str">
        <x:f>IF($A58="","",2*(A58-$T$405)/$T$406-1)</x:f>
      </x:c>
      <x:c r="D58" s="3" t="str">
        <x:f>IF($A58="","",$B$4*EXP($B$5*B58))</x:f>
      </x:c>
      <x:c r="E58" s="3" t="str">
        <x:f>IF($A58="","",SQRT($T$403^2+H58^2))</x:f>
      </x:c>
      <x:c r="F58" s="3" t="str">
        <x:f>IF($A58="","",D58-$T$404*E58)</x:f>
      </x:c>
      <x:c r="G58" s="3" t="str">
        <x:f>IF($A58="","",D58+$T$404*E58)</x:f>
      </x:c>
      <x:c r="H58" s="3" t="str">
        <x:f>IF($A58="","",SQRT(MAX(0,(EXP($B$5*B58))*$S$409*(EXP($B$5*B58))+(EXP($B$5*B58))*$T$409*($B$4*EXP($B$5*B58)*B58)+($B$4*EXP($B$5*B58)*B58)*$S$410*(EXP($B$5*B58))+($B$4*EXP($B$5*B58)*B58)*$T$410*($B$4*EXP($B$5*B58)*B58))))</x:f>
      </x:c>
      <x:c r="I58" s="3"/>
      <x:c r="J58" s="10" t="n">
        <x:v>45909</x:v>
      </x:c>
      <x:c r="K58" s="8" t="n">
        <x:f>INDEX('Сводка'!$S$3:$S$397,U58)</x:f>
        <x:v>218</x:v>
      </x:c>
      <x:c r="L58" s="8" t="n">
        <x:f>INDEX('Сводка'!$S$3:$S$397,V58)</x:f>
        <x:v>222</x:v>
      </x:c>
      <x:c r="M58" s="8" t="n">
        <x:f>INDEX($K$388:$N$400,W58,1)*EXP(INDEX($K$388:$N$400,W58,2)*((J58-$T$405+1)/1000))</x:f>
        <x:v>188.88283443713593</x:v>
      </x:c>
      <x:c r="N58" s="8" t="n">
        <x:f>K58-M58</x:f>
        <x:v>29.117165562864074</x:v>
      </x:c>
      <x:c r="O58" s="8" t="n">
        <x:f>ABS(N58)</x:f>
        <x:v>29.117165562864074</x:v>
      </x:c>
      <x:c r="P58" s="8" t="n">
        <x:f>N58^2</x:f>
        <x:v>847.8093304152375</x:v>
      </x:c>
      <x:c r="Q58" s="8" t="n">
        <x:f>K58-L58</x:f>
        <x:v>-4</x:v>
      </x:c>
      <x:c r="R58" s="9" t="n">
        <x:f>IF(AND(INDEX('Сводка'!$T$3:$T$397,U58)=0,INDEX('Сводка'!$T$3:$T$397,V58)=0),1,0)</x:f>
        <x:v>1</x:v>
      </x:c>
      <x:c r="S58" s="9" t="n">
        <x:f>IF(AND(R58=1,O58&lt;=$G$13),1,0)</x:f>
        <x:v>0</x:v>
      </x:c>
      <x:c r="T58" s="10" t="n">
        <x:f>EOMONTH(J58-'Сводка'!$B$11,-1)</x:f>
        <x:v>45900</x:v>
      </x:c>
      <x:c r="U58" s="4" t="n">
        <x:f>MATCH(J58,'Сводка'!$R$3:$R$397,0)</x:f>
        <x:v>69</x:v>
      </x:c>
      <x:c r="V58" s="4" t="n">
        <x:f>MATCH(J58-'Сводка'!$B$11,'Сводка'!$R$3:$R$397,0)</x:f>
        <x:v>68</x:v>
      </x:c>
      <x:c r="W58" s="4" t="n">
        <x:f>MATCH(T58,$J$388:$J$400,0)</x:f>
        <x:v>3</x:v>
      </x:c>
      <x:c r="X58" s="3"/>
      <x:c r="Y58" s="3"/>
      <x:c r="Z58" s="3"/>
    </x:row>
    <x:row r="59" ht="15" customHeight="1">
      <x:c r="A59" s="7" t="str">
        <x:f>IF(41&lt;='Сводка'!$B$3,'Сводка'!$B$4+41,"")</x:f>
      </x:c>
      <x:c r="B59" s="19" t="str">
        <x:f>IF($A59="","",(A59-$T$405+1)/1000)</x:f>
      </x:c>
      <x:c r="C59" s="19" t="str">
        <x:f>IF($A59="","",2*(A59-$T$405)/$T$406-1)</x:f>
      </x:c>
      <x:c r="D59" s="3" t="str">
        <x:f>IF($A59="","",$B$4*EXP($B$5*B59))</x:f>
      </x:c>
      <x:c r="E59" s="3" t="str">
        <x:f>IF($A59="","",SQRT($T$403^2+H59^2))</x:f>
      </x:c>
      <x:c r="F59" s="3" t="str">
        <x:f>IF($A59="","",D59-$T$404*E59)</x:f>
      </x:c>
      <x:c r="G59" s="3" t="str">
        <x:f>IF($A59="","",D59+$T$404*E59)</x:f>
      </x:c>
      <x:c r="H59" s="3" t="str">
        <x:f>IF($A59="","",SQRT(MAX(0,(EXP($B$5*B59))*$S$409*(EXP($B$5*B59))+(EXP($B$5*B59))*$T$409*($B$4*EXP($B$5*B59)*B59)+($B$4*EXP($B$5*B59)*B59)*$S$410*(EXP($B$5*B59))+($B$4*EXP($B$5*B59)*B59)*$T$410*($B$4*EXP($B$5*B59)*B59))))</x:f>
      </x:c>
      <x:c r="I59" s="3"/>
      <x:c r="J59" s="10" t="n">
        <x:v>45910</x:v>
      </x:c>
      <x:c r="K59" s="8" t="n">
        <x:f>INDEX('Сводка'!$S$3:$S$397,U59)</x:f>
        <x:v>209</x:v>
      </x:c>
      <x:c r="L59" s="8" t="n">
        <x:f>INDEX('Сводка'!$S$3:$S$397,V59)</x:f>
        <x:v>218</x:v>
      </x:c>
      <x:c r="M59" s="8" t="n">
        <x:f>INDEX($K$388:$N$400,W59,1)*EXP(INDEX($K$388:$N$400,W59,2)*((J59-$T$405+1)/1000))</x:f>
        <x:v>188.9319865646768</x:v>
      </x:c>
      <x:c r="N59" s="8" t="n">
        <x:f>K59-M59</x:f>
        <x:v>20.068013435323195</x:v>
      </x:c>
      <x:c r="O59" s="8" t="n">
        <x:f>ABS(N59)</x:f>
        <x:v>20.068013435323195</x:v>
      </x:c>
      <x:c r="P59" s="8" t="n">
        <x:f>N59^2</x:f>
        <x:v>402.72516324031227</x:v>
      </x:c>
      <x:c r="Q59" s="8" t="n">
        <x:f>K59-L59</x:f>
        <x:v>-9</x:v>
      </x:c>
      <x:c r="R59" s="9" t="n">
        <x:f>IF(AND(INDEX('Сводка'!$T$3:$T$397,U59)=0,INDEX('Сводка'!$T$3:$T$397,V59)=0),1,0)</x:f>
        <x:v>1</x:v>
      </x:c>
      <x:c r="S59" s="9" t="n">
        <x:f>IF(AND(R59=1,O59&lt;=$G$13),1,0)</x:f>
        <x:v>0</x:v>
      </x:c>
      <x:c r="T59" s="10" t="n">
        <x:f>EOMONTH(J59-'Сводка'!$B$11,-1)</x:f>
        <x:v>45900</x:v>
      </x:c>
      <x:c r="U59" s="4" t="n">
        <x:f>MATCH(J59,'Сводка'!$R$3:$R$397,0)</x:f>
        <x:v>70</x:v>
      </x:c>
      <x:c r="V59" s="4" t="n">
        <x:f>MATCH(J59-'Сводка'!$B$11,'Сводка'!$R$3:$R$397,0)</x:f>
        <x:v>69</x:v>
      </x:c>
      <x:c r="W59" s="4" t="n">
        <x:f>MATCH(T59,$J$388:$J$400,0)</x:f>
        <x:v>3</x:v>
      </x:c>
      <x:c r="X59" s="3"/>
      <x:c r="Y59" s="3"/>
      <x:c r="Z59" s="3"/>
    </x:row>
    <x:row r="60" ht="15" customHeight="1">
      <x:c r="A60" s="7" t="str">
        <x:f>IF(42&lt;='Сводка'!$B$3,'Сводка'!$B$4+42,"")</x:f>
      </x:c>
      <x:c r="B60" s="19" t="str">
        <x:f>IF($A60="","",(A60-$T$405+1)/1000)</x:f>
      </x:c>
      <x:c r="C60" s="19" t="str">
        <x:f>IF($A60="","",2*(A60-$T$405)/$T$406-1)</x:f>
      </x:c>
      <x:c r="D60" s="3" t="str">
        <x:f>IF($A60="","",$B$4*EXP($B$5*B60))</x:f>
      </x:c>
      <x:c r="E60" s="3" t="str">
        <x:f>IF($A60="","",SQRT($T$403^2+H60^2))</x:f>
      </x:c>
      <x:c r="F60" s="3" t="str">
        <x:f>IF($A60="","",D60-$T$404*E60)</x:f>
      </x:c>
      <x:c r="G60" s="3" t="str">
        <x:f>IF($A60="","",D60+$T$404*E60)</x:f>
      </x:c>
      <x:c r="H60" s="3" t="str">
        <x:f>IF($A60="","",SQRT(MAX(0,(EXP($B$5*B60))*$S$409*(EXP($B$5*B60))+(EXP($B$5*B60))*$T$409*($B$4*EXP($B$5*B60)*B60)+($B$4*EXP($B$5*B60)*B60)*$S$410*(EXP($B$5*B60))+($B$4*EXP($B$5*B60)*B60)*$T$410*($B$4*EXP($B$5*B60)*B60))))</x:f>
      </x:c>
      <x:c r="I60" s="3"/>
      <x:c r="J60" s="10" t="n">
        <x:v>45911</x:v>
      </x:c>
      <x:c r="K60" s="8" t="n">
        <x:f>INDEX('Сводка'!$S$3:$S$397,U60)</x:f>
        <x:v>207</x:v>
      </x:c>
      <x:c r="L60" s="8" t="n">
        <x:f>INDEX('Сводка'!$S$3:$S$397,V60)</x:f>
        <x:v>209</x:v>
      </x:c>
      <x:c r="M60" s="8" t="n">
        <x:f>INDEX($K$388:$N$400,W60,1)*EXP(INDEX($K$388:$N$400,W60,2)*((J60-$T$405+1)/1000))</x:f>
        <x:v>188.98115148285402</x:v>
      </x:c>
      <x:c r="N60" s="8" t="n">
        <x:f>K60-M60</x:f>
        <x:v>18.018848517145983</x:v>
      </x:c>
      <x:c r="O60" s="8" t="n">
        <x:f>ABS(N60)</x:f>
        <x:v>18.018848517145983</x:v>
      </x:c>
      <x:c r="P60" s="8" t="n">
        <x:f>N60^2</x:f>
        <x:v>324.678901883854</x:v>
      </x:c>
      <x:c r="Q60" s="8" t="n">
        <x:f>K60-L60</x:f>
        <x:v>-2</x:v>
      </x:c>
      <x:c r="R60" s="9" t="n">
        <x:f>IF(AND(INDEX('Сводка'!$T$3:$T$397,U60)=0,INDEX('Сводка'!$T$3:$T$397,V60)=0),1,0)</x:f>
        <x:v>1</x:v>
      </x:c>
      <x:c r="S60" s="9" t="n">
        <x:f>IF(AND(R60=1,O60&lt;=$G$13),1,0)</x:f>
        <x:v>0</x:v>
      </x:c>
      <x:c r="T60" s="10" t="n">
        <x:f>EOMONTH(J60-'Сводка'!$B$11,-1)</x:f>
        <x:v>45900</x:v>
      </x:c>
      <x:c r="U60" s="4" t="n">
        <x:f>MATCH(J60,'Сводка'!$R$3:$R$397,0)</x:f>
        <x:v>71</x:v>
      </x:c>
      <x:c r="V60" s="4" t="n">
        <x:f>MATCH(J60-'Сводка'!$B$11,'Сводка'!$R$3:$R$397,0)</x:f>
        <x:v>70</x:v>
      </x:c>
      <x:c r="W60" s="4" t="n">
        <x:f>MATCH(T60,$J$388:$J$400,0)</x:f>
        <x:v>3</x:v>
      </x:c>
      <x:c r="X60" s="3"/>
      <x:c r="Y60" s="3"/>
      <x:c r="Z60" s="3"/>
    </x:row>
    <x:row r="61" ht="15" customHeight="1">
      <x:c r="A61" s="7" t="str">
        <x:f>IF(43&lt;='Сводка'!$B$3,'Сводка'!$B$4+43,"")</x:f>
      </x:c>
      <x:c r="B61" s="19" t="str">
        <x:f>IF($A61="","",(A61-$T$405+1)/1000)</x:f>
      </x:c>
      <x:c r="C61" s="19" t="str">
        <x:f>IF($A61="","",2*(A61-$T$405)/$T$406-1)</x:f>
      </x:c>
      <x:c r="D61" s="3" t="str">
        <x:f>IF($A61="","",$B$4*EXP($B$5*B61))</x:f>
      </x:c>
      <x:c r="E61" s="3" t="str">
        <x:f>IF($A61="","",SQRT($T$403^2+H61^2))</x:f>
      </x:c>
      <x:c r="F61" s="3" t="str">
        <x:f>IF($A61="","",D61-$T$404*E61)</x:f>
      </x:c>
      <x:c r="G61" s="3" t="str">
        <x:f>IF($A61="","",D61+$T$404*E61)</x:f>
      </x:c>
      <x:c r="H61" s="3" t="str">
        <x:f>IF($A61="","",SQRT(MAX(0,(EXP($B$5*B61))*$S$409*(EXP($B$5*B61))+(EXP($B$5*B61))*$T$409*($B$4*EXP($B$5*B61)*B61)+($B$4*EXP($B$5*B61)*B61)*$S$410*(EXP($B$5*B61))+($B$4*EXP($B$5*B61)*B61)*$T$410*($B$4*EXP($B$5*B61)*B61))))</x:f>
      </x:c>
      <x:c r="I61" s="3"/>
      <x:c r="J61" s="10" t="n">
        <x:v>45912</x:v>
      </x:c>
      <x:c r="K61" s="8" t="n">
        <x:f>INDEX('Сводка'!$S$3:$S$397,U61)</x:f>
        <x:v>204</x:v>
      </x:c>
      <x:c r="L61" s="8" t="n">
        <x:f>INDEX('Сводка'!$S$3:$S$397,V61)</x:f>
        <x:v>207</x:v>
      </x:c>
      <x:c r="M61" s="8" t="n">
        <x:f>INDEX($K$388:$N$400,W61,1)*EXP(INDEX($K$388:$N$400,W61,2)*((J61-$T$405+1)/1000))</x:f>
        <x:v>189.03032919499603</x:v>
      </x:c>
      <x:c r="N61" s="8" t="n">
        <x:f>K61-M61</x:f>
        <x:v>14.969670805003972</x:v>
      </x:c>
      <x:c r="O61" s="8" t="n">
        <x:f>ABS(N61)</x:f>
        <x:v>14.969670805003972</x:v>
      </x:c>
      <x:c r="P61" s="8" t="n">
        <x:f>N61^2</x:f>
        <x:v>224.09104401018826</x:v>
      </x:c>
      <x:c r="Q61" s="8" t="n">
        <x:f>K61-L61</x:f>
        <x:v>-3</x:v>
      </x:c>
      <x:c r="R61" s="9" t="n">
        <x:f>IF(AND(INDEX('Сводка'!$T$3:$T$397,U61)=0,INDEX('Сводка'!$T$3:$T$397,V61)=0),1,0)</x:f>
        <x:v>1</x:v>
      </x:c>
      <x:c r="S61" s="9" t="n">
        <x:f>IF(AND(R61=1,O61&lt;=$G$13),1,0)</x:f>
        <x:v>0</x:v>
      </x:c>
      <x:c r="T61" s="10" t="n">
        <x:f>EOMONTH(J61-'Сводка'!$B$11,-1)</x:f>
        <x:v>45900</x:v>
      </x:c>
      <x:c r="U61" s="4" t="n">
        <x:f>MATCH(J61,'Сводка'!$R$3:$R$397,0)</x:f>
        <x:v>72</x:v>
      </x:c>
      <x:c r="V61" s="4" t="n">
        <x:f>MATCH(J61-'Сводка'!$B$11,'Сводка'!$R$3:$R$397,0)</x:f>
        <x:v>71</x:v>
      </x:c>
      <x:c r="W61" s="4" t="n">
        <x:f>MATCH(T61,$J$388:$J$400,0)</x:f>
        <x:v>3</x:v>
      </x:c>
      <x:c r="X61" s="3"/>
      <x:c r="Y61" s="3"/>
      <x:c r="Z61" s="3"/>
    </x:row>
    <x:row r="62" ht="15" customHeight="1">
      <x:c r="A62" s="7" t="str">
        <x:f>IF(44&lt;='Сводка'!$B$3,'Сводка'!$B$4+44,"")</x:f>
      </x:c>
      <x:c r="B62" s="19" t="str">
        <x:f>IF($A62="","",(A62-$T$405+1)/1000)</x:f>
      </x:c>
      <x:c r="C62" s="19" t="str">
        <x:f>IF($A62="","",2*(A62-$T$405)/$T$406-1)</x:f>
      </x:c>
      <x:c r="D62" s="3" t="str">
        <x:f>IF($A62="","",$B$4*EXP($B$5*B62))</x:f>
      </x:c>
      <x:c r="E62" s="3" t="str">
        <x:f>IF($A62="","",SQRT($T$403^2+H62^2))</x:f>
      </x:c>
      <x:c r="F62" s="3" t="str">
        <x:f>IF($A62="","",D62-$T$404*E62)</x:f>
      </x:c>
      <x:c r="G62" s="3" t="str">
        <x:f>IF($A62="","",D62+$T$404*E62)</x:f>
      </x:c>
      <x:c r="H62" s="3" t="str">
        <x:f>IF($A62="","",SQRT(MAX(0,(EXP($B$5*B62))*$S$409*(EXP($B$5*B62))+(EXP($B$5*B62))*$T$409*($B$4*EXP($B$5*B62)*B62)+($B$4*EXP($B$5*B62)*B62)*$S$410*(EXP($B$5*B62))+($B$4*EXP($B$5*B62)*B62)*$T$410*($B$4*EXP($B$5*B62)*B62))))</x:f>
      </x:c>
      <x:c r="I62" s="3"/>
      <x:c r="J62" s="10" t="n">
        <x:v>45913</x:v>
      </x:c>
      <x:c r="K62" s="8" t="n">
        <x:f>INDEX('Сводка'!$S$3:$S$397,U62)</x:f>
        <x:v>201</x:v>
      </x:c>
      <x:c r="L62" s="8" t="n">
        <x:f>INDEX('Сводка'!$S$3:$S$397,V62)</x:f>
        <x:v>204</x:v>
      </x:c>
      <x:c r="M62" s="8" t="n">
        <x:f>INDEX($K$388:$N$400,W62,1)*EXP(INDEX($K$388:$N$400,W62,2)*((J62-$T$405+1)/1000))</x:f>
        <x:v>189.07951970443207</x:v>
      </x:c>
      <x:c r="N62" s="8" t="n">
        <x:f>K62-M62</x:f>
        <x:v>11.920480295567927</x:v>
      </x:c>
      <x:c r="O62" s="8" t="n">
        <x:f>ABS(N62)</x:f>
        <x:v>11.920480295567927</x:v>
      </x:c>
      <x:c r="P62" s="8" t="n">
        <x:f>N62^2</x:f>
        <x:v>142.0978504770232</x:v>
      </x:c>
      <x:c r="Q62" s="8" t="n">
        <x:f>K62-L62</x:f>
        <x:v>-3</x:v>
      </x:c>
      <x:c r="R62" s="9" t="n">
        <x:f>IF(AND(INDEX('Сводка'!$T$3:$T$397,U62)=0,INDEX('Сводка'!$T$3:$T$397,V62)=0),1,0)</x:f>
        <x:v>1</x:v>
      </x:c>
      <x:c r="S62" s="9" t="n">
        <x:f>IF(AND(R62=1,O62&lt;=$G$13),1,0)</x:f>
        <x:v>0</x:v>
      </x:c>
      <x:c r="T62" s="10" t="n">
        <x:f>EOMONTH(J62-'Сводка'!$B$11,-1)</x:f>
        <x:v>45900</x:v>
      </x:c>
      <x:c r="U62" s="4" t="n">
        <x:f>MATCH(J62,'Сводка'!$R$3:$R$397,0)</x:f>
        <x:v>73</x:v>
      </x:c>
      <x:c r="V62" s="4" t="n">
        <x:f>MATCH(J62-'Сводка'!$B$11,'Сводка'!$R$3:$R$397,0)</x:f>
        <x:v>72</x:v>
      </x:c>
      <x:c r="W62" s="4" t="n">
        <x:f>MATCH(T62,$J$388:$J$400,0)</x:f>
        <x:v>3</x:v>
      </x:c>
      <x:c r="X62" s="3"/>
      <x:c r="Y62" s="3"/>
      <x:c r="Z62" s="3"/>
    </x:row>
    <x:row r="63" ht="15" customHeight="1">
      <x:c r="A63" s="7" t="str">
        <x:f>IF(45&lt;='Сводка'!$B$3,'Сводка'!$B$4+45,"")</x:f>
      </x:c>
      <x:c r="B63" s="19" t="str">
        <x:f>IF($A63="","",(A63-$T$405+1)/1000)</x:f>
      </x:c>
      <x:c r="C63" s="19" t="str">
        <x:f>IF($A63="","",2*(A63-$T$405)/$T$406-1)</x:f>
      </x:c>
      <x:c r="D63" s="3" t="str">
        <x:f>IF($A63="","",$B$4*EXP($B$5*B63))</x:f>
      </x:c>
      <x:c r="E63" s="3" t="str">
        <x:f>IF($A63="","",SQRT($T$403^2+H63^2))</x:f>
      </x:c>
      <x:c r="F63" s="3" t="str">
        <x:f>IF($A63="","",D63-$T$404*E63)</x:f>
      </x:c>
      <x:c r="G63" s="3" t="str">
        <x:f>IF($A63="","",D63+$T$404*E63)</x:f>
      </x:c>
      <x:c r="H63" s="3" t="str">
        <x:f>IF($A63="","",SQRT(MAX(0,(EXP($B$5*B63))*$S$409*(EXP($B$5*B63))+(EXP($B$5*B63))*$T$409*($B$4*EXP($B$5*B63)*B63)+($B$4*EXP($B$5*B63)*B63)*$S$410*(EXP($B$5*B63))+($B$4*EXP($B$5*B63)*B63)*$T$410*($B$4*EXP($B$5*B63)*B63))))</x:f>
      </x:c>
      <x:c r="I63" s="3"/>
      <x:c r="J63" s="10" t="n">
        <x:v>45914</x:v>
      </x:c>
      <x:c r="K63" s="8" t="n">
        <x:f>INDEX('Сводка'!$S$3:$S$397,U63)</x:f>
        <x:v>202</x:v>
      </x:c>
      <x:c r="L63" s="8" t="n">
        <x:f>INDEX('Сводка'!$S$3:$S$397,V63)</x:f>
        <x:v>201</x:v>
      </x:c>
      <x:c r="M63" s="8" t="n">
        <x:f>INDEX($K$388:$N$400,W63,1)*EXP(INDEX($K$388:$N$400,W63,2)*((J63-$T$405+1)/1000))</x:f>
        <x:v>189.12872301449238</x:v>
      </x:c>
      <x:c r="N63" s="8" t="n">
        <x:f>K63-M63</x:f>
        <x:v>12.87127698550762</x:v>
      </x:c>
      <x:c r="O63" s="8" t="n">
        <x:f>ABS(N63)</x:f>
        <x:v>12.87127698550762</x:v>
      </x:c>
      <x:c r="P63" s="8" t="n">
        <x:f>N63^2</x:f>
        <x:v>165.66977123765813</x:v>
      </x:c>
      <x:c r="Q63" s="8" t="n">
        <x:f>K63-L63</x:f>
        <x:v>1</x:v>
      </x:c>
      <x:c r="R63" s="9" t="n">
        <x:f>IF(AND(INDEX('Сводка'!$T$3:$T$397,U63)=0,INDEX('Сводка'!$T$3:$T$397,V63)=0),1,0)</x:f>
        <x:v>1</x:v>
      </x:c>
      <x:c r="S63" s="9" t="n">
        <x:f>IF(AND(R63=1,O63&lt;=$G$13),1,0)</x:f>
        <x:v>0</x:v>
      </x:c>
      <x:c r="T63" s="10" t="n">
        <x:f>EOMONTH(J63-'Сводка'!$B$11,-1)</x:f>
        <x:v>45900</x:v>
      </x:c>
      <x:c r="U63" s="4" t="n">
        <x:f>MATCH(J63,'Сводка'!$R$3:$R$397,0)</x:f>
        <x:v>74</x:v>
      </x:c>
      <x:c r="V63" s="4" t="n">
        <x:f>MATCH(J63-'Сводка'!$B$11,'Сводка'!$R$3:$R$397,0)</x:f>
        <x:v>73</x:v>
      </x:c>
      <x:c r="W63" s="4" t="n">
        <x:f>MATCH(T63,$J$388:$J$400,0)</x:f>
        <x:v>3</x:v>
      </x:c>
      <x:c r="X63" s="3"/>
      <x:c r="Y63" s="3"/>
      <x:c r="Z63" s="3"/>
    </x:row>
    <x:row r="64" ht="15" customHeight="1">
      <x:c r="A64" s="7" t="str">
        <x:f>IF(46&lt;='Сводка'!$B$3,'Сводка'!$B$4+46,"")</x:f>
      </x:c>
      <x:c r="B64" s="19" t="str">
        <x:f>IF($A64="","",(A64-$T$405+1)/1000)</x:f>
      </x:c>
      <x:c r="C64" s="19" t="str">
        <x:f>IF($A64="","",2*(A64-$T$405)/$T$406-1)</x:f>
      </x:c>
      <x:c r="D64" s="3" t="str">
        <x:f>IF($A64="","",$B$4*EXP($B$5*B64))</x:f>
      </x:c>
      <x:c r="E64" s="3" t="str">
        <x:f>IF($A64="","",SQRT($T$403^2+H64^2))</x:f>
      </x:c>
      <x:c r="F64" s="3" t="str">
        <x:f>IF($A64="","",D64-$T$404*E64)</x:f>
      </x:c>
      <x:c r="G64" s="3" t="str">
        <x:f>IF($A64="","",D64+$T$404*E64)</x:f>
      </x:c>
      <x:c r="H64" s="3" t="str">
        <x:f>IF($A64="","",SQRT(MAX(0,(EXP($B$5*B64))*$S$409*(EXP($B$5*B64))+(EXP($B$5*B64))*$T$409*($B$4*EXP($B$5*B64)*B64)+($B$4*EXP($B$5*B64)*B64)*$S$410*(EXP($B$5*B64))+($B$4*EXP($B$5*B64)*B64)*$T$410*($B$4*EXP($B$5*B64)*B64))))</x:f>
      </x:c>
      <x:c r="I64" s="3"/>
      <x:c r="J64" s="10" t="n">
        <x:v>45915</x:v>
      </x:c>
      <x:c r="K64" s="8" t="n">
        <x:f>INDEX('Сводка'!$S$3:$S$397,U64)</x:f>
        <x:v>204</x:v>
      </x:c>
      <x:c r="L64" s="8" t="n">
        <x:f>INDEX('Сводка'!$S$3:$S$397,V64)</x:f>
        <x:v>202</x:v>
      </x:c>
      <x:c r="M64" s="8" t="n">
        <x:f>INDEX($K$388:$N$400,W64,1)*EXP(INDEX($K$388:$N$400,W64,2)*((J64-$T$405+1)/1000))</x:f>
        <x:v>189.1779391285081</x:v>
      </x:c>
      <x:c r="N64" s="8" t="n">
        <x:f>K64-M64</x:f>
        <x:v>14.822060871491914</x:v>
      </x:c>
      <x:c r="O64" s="8" t="n">
        <x:f>ABS(N64)</x:f>
        <x:v>14.822060871491914</x:v>
      </x:c>
      <x:c r="P64" s="8" t="n">
        <x:f>N64^2</x:f>
        <x:v>219.69348847821163</x:v>
      </x:c>
      <x:c r="Q64" s="8" t="n">
        <x:f>K64-L64</x:f>
        <x:v>2</x:v>
      </x:c>
      <x:c r="R64" s="9" t="n">
        <x:f>IF(AND(INDEX('Сводка'!$T$3:$T$397,U64)=0,INDEX('Сводка'!$T$3:$T$397,V64)=0),1,0)</x:f>
        <x:v>1</x:v>
      </x:c>
      <x:c r="S64" s="9" t="n">
        <x:f>IF(AND(R64=1,O64&lt;=$G$13),1,0)</x:f>
        <x:v>0</x:v>
      </x:c>
      <x:c r="T64" s="10" t="n">
        <x:f>EOMONTH(J64-'Сводка'!$B$11,-1)</x:f>
        <x:v>45900</x:v>
      </x:c>
      <x:c r="U64" s="4" t="n">
        <x:f>MATCH(J64,'Сводка'!$R$3:$R$397,0)</x:f>
        <x:v>75</x:v>
      </x:c>
      <x:c r="V64" s="4" t="n">
        <x:f>MATCH(J64-'Сводка'!$B$11,'Сводка'!$R$3:$R$397,0)</x:f>
        <x:v>74</x:v>
      </x:c>
      <x:c r="W64" s="4" t="n">
        <x:f>MATCH(T64,$J$388:$J$400,0)</x:f>
        <x:v>3</x:v>
      </x:c>
      <x:c r="X64" s="3"/>
      <x:c r="Y64" s="3"/>
      <x:c r="Z64" s="3"/>
    </x:row>
    <x:row r="65" ht="15" customHeight="1">
      <x:c r="A65" s="7" t="str">
        <x:f>IF(47&lt;='Сводка'!$B$3,'Сводка'!$B$4+47,"")</x:f>
      </x:c>
      <x:c r="B65" s="19" t="str">
        <x:f>IF($A65="","",(A65-$T$405+1)/1000)</x:f>
      </x:c>
      <x:c r="C65" s="19" t="str">
        <x:f>IF($A65="","",2*(A65-$T$405)/$T$406-1)</x:f>
      </x:c>
      <x:c r="D65" s="3" t="str">
        <x:f>IF($A65="","",$B$4*EXP($B$5*B65))</x:f>
      </x:c>
      <x:c r="E65" s="3" t="str">
        <x:f>IF($A65="","",SQRT($T$403^2+H65^2))</x:f>
      </x:c>
      <x:c r="F65" s="3" t="str">
        <x:f>IF($A65="","",D65-$T$404*E65)</x:f>
      </x:c>
      <x:c r="G65" s="3" t="str">
        <x:f>IF($A65="","",D65+$T$404*E65)</x:f>
      </x:c>
      <x:c r="H65" s="3" t="str">
        <x:f>IF($A65="","",SQRT(MAX(0,(EXP($B$5*B65))*$S$409*(EXP($B$5*B65))+(EXP($B$5*B65))*$T$409*($B$4*EXP($B$5*B65)*B65)+($B$4*EXP($B$5*B65)*B65)*$S$410*(EXP($B$5*B65))+($B$4*EXP($B$5*B65)*B65)*$T$410*($B$4*EXP($B$5*B65)*B65))))</x:f>
      </x:c>
      <x:c r="I65" s="3"/>
      <x:c r="J65" s="10" t="n">
        <x:v>45916</x:v>
      </x:c>
      <x:c r="K65" s="8" t="n">
        <x:f>INDEX('Сводка'!$S$3:$S$397,U65)</x:f>
        <x:v>213</x:v>
      </x:c>
      <x:c r="L65" s="8" t="n">
        <x:f>INDEX('Сводка'!$S$3:$S$397,V65)</x:f>
        <x:v>204</x:v>
      </x:c>
      <x:c r="M65" s="8" t="n">
        <x:f>INDEX($K$388:$N$400,W65,1)*EXP(INDEX($K$388:$N$400,W65,2)*((J65-$T$405+1)/1000))</x:f>
        <x:v>189.2271680498109</x:v>
      </x:c>
      <x:c r="N65" s="8" t="n">
        <x:f>K65-M65</x:f>
        <x:v>23.7728319501891</x:v>
      </x:c>
      <x:c r="O65" s="8" t="n">
        <x:f>ABS(N65)</x:f>
        <x:v>23.7728319501891</x:v>
      </x:c>
      <x:c r="P65" s="8" t="n">
        <x:f>N65^2</x:f>
        <x:v>565.1475389319318</x:v>
      </x:c>
      <x:c r="Q65" s="8" t="n">
        <x:f>K65-L65</x:f>
        <x:v>9</x:v>
      </x:c>
      <x:c r="R65" s="9" t="n">
        <x:f>IF(AND(INDEX('Сводка'!$T$3:$T$397,U65)=0,INDEX('Сводка'!$T$3:$T$397,V65)=0),1,0)</x:f>
        <x:v>1</x:v>
      </x:c>
      <x:c r="S65" s="9" t="n">
        <x:f>IF(AND(R65=1,O65&lt;=$G$13),1,0)</x:f>
        <x:v>0</x:v>
      </x:c>
      <x:c r="T65" s="10" t="n">
        <x:f>EOMONTH(J65-'Сводка'!$B$11,-1)</x:f>
        <x:v>45900</x:v>
      </x:c>
      <x:c r="U65" s="4" t="n">
        <x:f>MATCH(J65,'Сводка'!$R$3:$R$397,0)</x:f>
        <x:v>76</x:v>
      </x:c>
      <x:c r="V65" s="4" t="n">
        <x:f>MATCH(J65-'Сводка'!$B$11,'Сводка'!$R$3:$R$397,0)</x:f>
        <x:v>75</x:v>
      </x:c>
      <x:c r="W65" s="4" t="n">
        <x:f>MATCH(T65,$J$388:$J$400,0)</x:f>
        <x:v>3</x:v>
      </x:c>
      <x:c r="X65" s="3"/>
      <x:c r="Y65" s="3"/>
      <x:c r="Z65" s="3"/>
    </x:row>
    <x:row r="66" ht="15" customHeight="1">
      <x:c r="A66" s="7" t="str">
        <x:f>IF(48&lt;='Сводка'!$B$3,'Сводка'!$B$4+48,"")</x:f>
      </x:c>
      <x:c r="B66" s="19" t="str">
        <x:f>IF($A66="","",(A66-$T$405+1)/1000)</x:f>
      </x:c>
      <x:c r="C66" s="19" t="str">
        <x:f>IF($A66="","",2*(A66-$T$405)/$T$406-1)</x:f>
      </x:c>
      <x:c r="D66" s="3" t="str">
        <x:f>IF($A66="","",$B$4*EXP($B$5*B66))</x:f>
      </x:c>
      <x:c r="E66" s="3" t="str">
        <x:f>IF($A66="","",SQRT($T$403^2+H66^2))</x:f>
      </x:c>
      <x:c r="F66" s="3" t="str">
        <x:f>IF($A66="","",D66-$T$404*E66)</x:f>
      </x:c>
      <x:c r="G66" s="3" t="str">
        <x:f>IF($A66="","",D66+$T$404*E66)</x:f>
      </x:c>
      <x:c r="H66" s="3" t="str">
        <x:f>IF($A66="","",SQRT(MAX(0,(EXP($B$5*B66))*$S$409*(EXP($B$5*B66))+(EXP($B$5*B66))*$T$409*($B$4*EXP($B$5*B66)*B66)+($B$4*EXP($B$5*B66)*B66)*$S$410*(EXP($B$5*B66))+($B$4*EXP($B$5*B66)*B66)*$T$410*($B$4*EXP($B$5*B66)*B66))))</x:f>
      </x:c>
      <x:c r="I66" s="3"/>
      <x:c r="J66" s="10" t="n">
        <x:v>45917</x:v>
      </x:c>
      <x:c r="K66" s="8" t="n">
        <x:f>INDEX('Сводка'!$S$3:$S$397,U66)</x:f>
        <x:v>219</x:v>
      </x:c>
      <x:c r="L66" s="8" t="n">
        <x:f>INDEX('Сводка'!$S$3:$S$397,V66)</x:f>
        <x:v>213</x:v>
      </x:c>
      <x:c r="M66" s="8" t="n">
        <x:f>INDEX($K$388:$N$400,W66,1)*EXP(INDEX($K$388:$N$400,W66,2)*((J66-$T$405+1)/1000))</x:f>
        <x:v>189.27640978173375</x:v>
      </x:c>
      <x:c r="N66" s="8" t="n">
        <x:f>K66-M66</x:f>
        <x:v>29.723590218266253</x:v>
      </x:c>
      <x:c r="O66" s="8" t="n">
        <x:f>ABS(N66)</x:f>
        <x:v>29.723590218266253</x:v>
      </x:c>
      <x:c r="P66" s="8" t="n">
        <x:f>N66^2</x:f>
        <x:v>883.4918154634132</x:v>
      </x:c>
      <x:c r="Q66" s="8" t="n">
        <x:f>K66-L66</x:f>
        <x:v>6</x:v>
      </x:c>
      <x:c r="R66" s="9" t="n">
        <x:f>IF(AND(INDEX('Сводка'!$T$3:$T$397,U66)=0,INDEX('Сводка'!$T$3:$T$397,V66)=0),1,0)</x:f>
        <x:v>1</x:v>
      </x:c>
      <x:c r="S66" s="9" t="n">
        <x:f>IF(AND(R66=1,O66&lt;=$G$13),1,0)</x:f>
        <x:v>0</x:v>
      </x:c>
      <x:c r="T66" s="10" t="n">
        <x:f>EOMONTH(J66-'Сводка'!$B$11,-1)</x:f>
        <x:v>45900</x:v>
      </x:c>
      <x:c r="U66" s="4" t="n">
        <x:f>MATCH(J66,'Сводка'!$R$3:$R$397,0)</x:f>
        <x:v>77</x:v>
      </x:c>
      <x:c r="V66" s="4" t="n">
        <x:f>MATCH(J66-'Сводка'!$B$11,'Сводка'!$R$3:$R$397,0)</x:f>
        <x:v>76</x:v>
      </x:c>
      <x:c r="W66" s="4" t="n">
        <x:f>MATCH(T66,$J$388:$J$400,0)</x:f>
        <x:v>3</x:v>
      </x:c>
      <x:c r="X66" s="3"/>
      <x:c r="Y66" s="3"/>
      <x:c r="Z66" s="3"/>
    </x:row>
    <x:row r="67" ht="15" customHeight="1">
      <x:c r="A67" s="7" t="str">
        <x:f>IF(49&lt;='Сводка'!$B$3,'Сводка'!$B$4+49,"")</x:f>
      </x:c>
      <x:c r="B67" s="19" t="str">
        <x:f>IF($A67="","",(A67-$T$405+1)/1000)</x:f>
      </x:c>
      <x:c r="C67" s="19" t="str">
        <x:f>IF($A67="","",2*(A67-$T$405)/$T$406-1)</x:f>
      </x:c>
      <x:c r="D67" s="3" t="str">
        <x:f>IF($A67="","",$B$4*EXP($B$5*B67))</x:f>
      </x:c>
      <x:c r="E67" s="3" t="str">
        <x:f>IF($A67="","",SQRT($T$403^2+H67^2))</x:f>
      </x:c>
      <x:c r="F67" s="3" t="str">
        <x:f>IF($A67="","",D67-$T$404*E67)</x:f>
      </x:c>
      <x:c r="G67" s="3" t="str">
        <x:f>IF($A67="","",D67+$T$404*E67)</x:f>
      </x:c>
      <x:c r="H67" s="3" t="str">
        <x:f>IF($A67="","",SQRT(MAX(0,(EXP($B$5*B67))*$S$409*(EXP($B$5*B67))+(EXP($B$5*B67))*$T$409*($B$4*EXP($B$5*B67)*B67)+($B$4*EXP($B$5*B67)*B67)*$S$410*(EXP($B$5*B67))+($B$4*EXP($B$5*B67)*B67)*$T$410*($B$4*EXP($B$5*B67)*B67))))</x:f>
      </x:c>
      <x:c r="I67" s="3"/>
      <x:c r="J67" s="10" t="n">
        <x:v>45918</x:v>
      </x:c>
      <x:c r="K67" s="8" t="n">
        <x:f>INDEX('Сводка'!$S$3:$S$397,U67)</x:f>
        <x:v>227</x:v>
      </x:c>
      <x:c r="L67" s="8" t="n">
        <x:f>INDEX('Сводка'!$S$3:$S$397,V67)</x:f>
        <x:v>219</x:v>
      </x:c>
      <x:c r="M67" s="8" t="n">
        <x:f>INDEX($K$388:$N$400,W67,1)*EXP(INDEX($K$388:$N$400,W67,2)*((J67-$T$405+1)/1000))</x:f>
        <x:v>189.32566432761033</x:v>
      </x:c>
      <x:c r="N67" s="8" t="n">
        <x:f>K67-M67</x:f>
        <x:v>37.674335672389674</x:v>
      </x:c>
      <x:c r="O67" s="8" t="n">
        <x:f>ABS(N67)</x:f>
        <x:v>37.674335672389674</x:v>
      </x:c>
      <x:c r="P67" s="8" t="n">
        <x:f>N67^2</x:f>
        <x:v>1419.3555683558932</x:v>
      </x:c>
      <x:c r="Q67" s="8" t="n">
        <x:f>K67-L67</x:f>
        <x:v>8</x:v>
      </x:c>
      <x:c r="R67" s="9" t="n">
        <x:f>IF(AND(INDEX('Сводка'!$T$3:$T$397,U67)=0,INDEX('Сводка'!$T$3:$T$397,V67)=0),1,0)</x:f>
        <x:v>1</x:v>
      </x:c>
      <x:c r="S67" s="9" t="n">
        <x:f>IF(AND(R67=1,O67&lt;=$G$13),1,0)</x:f>
        <x:v>0</x:v>
      </x:c>
      <x:c r="T67" s="10" t="n">
        <x:f>EOMONTH(J67-'Сводка'!$B$11,-1)</x:f>
        <x:v>45900</x:v>
      </x:c>
      <x:c r="U67" s="4" t="n">
        <x:f>MATCH(J67,'Сводка'!$R$3:$R$397,0)</x:f>
        <x:v>78</x:v>
      </x:c>
      <x:c r="V67" s="4" t="n">
        <x:f>MATCH(J67-'Сводка'!$B$11,'Сводка'!$R$3:$R$397,0)</x:f>
        <x:v>77</x:v>
      </x:c>
      <x:c r="W67" s="4" t="n">
        <x:f>MATCH(T67,$J$388:$J$400,0)</x:f>
        <x:v>3</x:v>
      </x:c>
      <x:c r="X67" s="3"/>
      <x:c r="Y67" s="3"/>
      <x:c r="Z67" s="3"/>
    </x:row>
    <x:row r="68" ht="15" customHeight="1">
      <x:c r="A68" s="7" t="str">
        <x:f>IF(50&lt;='Сводка'!$B$3,'Сводка'!$B$4+50,"")</x:f>
      </x:c>
      <x:c r="B68" s="19" t="str">
        <x:f>IF($A68="","",(A68-$T$405+1)/1000)</x:f>
      </x:c>
      <x:c r="C68" s="19" t="str">
        <x:f>IF($A68="","",2*(A68-$T$405)/$T$406-1)</x:f>
      </x:c>
      <x:c r="D68" s="3" t="str">
        <x:f>IF($A68="","",$B$4*EXP($B$5*B68))</x:f>
      </x:c>
      <x:c r="E68" s="3" t="str">
        <x:f>IF($A68="","",SQRT($T$403^2+H68^2))</x:f>
      </x:c>
      <x:c r="F68" s="3" t="str">
        <x:f>IF($A68="","",D68-$T$404*E68)</x:f>
      </x:c>
      <x:c r="G68" s="3" t="str">
        <x:f>IF($A68="","",D68+$T$404*E68)</x:f>
      </x:c>
      <x:c r="H68" s="3" t="str">
        <x:f>IF($A68="","",SQRT(MAX(0,(EXP($B$5*B68))*$S$409*(EXP($B$5*B68))+(EXP($B$5*B68))*$T$409*($B$4*EXP($B$5*B68)*B68)+($B$4*EXP($B$5*B68)*B68)*$S$410*(EXP($B$5*B68))+($B$4*EXP($B$5*B68)*B68)*$T$410*($B$4*EXP($B$5*B68)*B68))))</x:f>
      </x:c>
      <x:c r="I68" s="3"/>
      <x:c r="J68" s="10" t="n">
        <x:v>45919</x:v>
      </x:c>
      <x:c r="K68" s="8" t="n">
        <x:f>INDEX('Сводка'!$S$3:$S$397,U68)</x:f>
        <x:v>241</x:v>
      </x:c>
      <x:c r="L68" s="8" t="n">
        <x:f>INDEX('Сводка'!$S$3:$S$397,V68)</x:f>
        <x:v>227</x:v>
      </x:c>
      <x:c r="M68" s="8" t="n">
        <x:f>INDEX($K$388:$N$400,W68,1)*EXP(INDEX($K$388:$N$400,W68,2)*((J68-$T$405+1)/1000))</x:f>
        <x:v>189.37493169077504</x:v>
      </x:c>
      <x:c r="N68" s="8" t="n">
        <x:f>K68-M68</x:f>
        <x:v>51.62506830922496</x:v>
      </x:c>
      <x:c r="O68" s="8" t="n">
        <x:f>ABS(N68)</x:f>
        <x:v>51.62506830922496</x:v>
      </x:c>
      <x:c r="P68" s="8" t="n">
        <x:f>N68^2</x:f>
        <x:v>2665.147677932143</x:v>
      </x:c>
      <x:c r="Q68" s="8" t="n">
        <x:f>K68-L68</x:f>
        <x:v>14</x:v>
      </x:c>
      <x:c r="R68" s="9" t="n">
        <x:f>IF(AND(INDEX('Сводка'!$T$3:$T$397,U68)=0,INDEX('Сводка'!$T$3:$T$397,V68)=0),1,0)</x:f>
        <x:v>1</x:v>
      </x:c>
      <x:c r="S68" s="9" t="n">
        <x:f>IF(AND(R68=1,O68&lt;=$G$13),1,0)</x:f>
        <x:v>0</x:v>
      </x:c>
      <x:c r="T68" s="10" t="n">
        <x:f>EOMONTH(J68-'Сводка'!$B$11,-1)</x:f>
        <x:v>45900</x:v>
      </x:c>
      <x:c r="U68" s="4" t="n">
        <x:f>MATCH(J68,'Сводка'!$R$3:$R$397,0)</x:f>
        <x:v>79</x:v>
      </x:c>
      <x:c r="V68" s="4" t="n">
        <x:f>MATCH(J68-'Сводка'!$B$11,'Сводка'!$R$3:$R$397,0)</x:f>
        <x:v>78</x:v>
      </x:c>
      <x:c r="W68" s="4" t="n">
        <x:f>MATCH(T68,$J$388:$J$400,0)</x:f>
        <x:v>3</x:v>
      </x:c>
      <x:c r="X68" s="3"/>
      <x:c r="Y68" s="3"/>
      <x:c r="Z68" s="3"/>
    </x:row>
    <x:row r="69" ht="15" customHeight="1">
      <x:c r="A69" s="7" t="str">
        <x:f>IF(51&lt;='Сводка'!$B$3,'Сводка'!$B$4+51,"")</x:f>
      </x:c>
      <x:c r="B69" s="19" t="str">
        <x:f>IF($A69="","",(A69-$T$405+1)/1000)</x:f>
      </x:c>
      <x:c r="C69" s="19" t="str">
        <x:f>IF($A69="","",2*(A69-$T$405)/$T$406-1)</x:f>
      </x:c>
      <x:c r="D69" s="3" t="str">
        <x:f>IF($A69="","",$B$4*EXP($B$5*B69))</x:f>
      </x:c>
      <x:c r="E69" s="3" t="str">
        <x:f>IF($A69="","",SQRT($T$403^2+H69^2))</x:f>
      </x:c>
      <x:c r="F69" s="3" t="str">
        <x:f>IF($A69="","",D69-$T$404*E69)</x:f>
      </x:c>
      <x:c r="G69" s="3" t="str">
        <x:f>IF($A69="","",D69+$T$404*E69)</x:f>
      </x:c>
      <x:c r="H69" s="3" t="str">
        <x:f>IF($A69="","",SQRT(MAX(0,(EXP($B$5*B69))*$S$409*(EXP($B$5*B69))+(EXP($B$5*B69))*$T$409*($B$4*EXP($B$5*B69)*B69)+($B$4*EXP($B$5*B69)*B69)*$S$410*(EXP($B$5*B69))+($B$4*EXP($B$5*B69)*B69)*$T$410*($B$4*EXP($B$5*B69)*B69))))</x:f>
      </x:c>
      <x:c r="I69" s="3"/>
      <x:c r="J69" s="10" t="n">
        <x:v>45920</x:v>
      </x:c>
      <x:c r="K69" s="8" t="n">
        <x:f>INDEX('Сводка'!$S$3:$S$397,U69)</x:f>
        <x:v>249</x:v>
      </x:c>
      <x:c r="L69" s="8" t="n">
        <x:f>INDEX('Сводка'!$S$3:$S$397,V69)</x:f>
        <x:v>241</x:v>
      </x:c>
      <x:c r="M69" s="8" t="n">
        <x:f>INDEX($K$388:$N$400,W69,1)*EXP(INDEX($K$388:$N$400,W69,2)*((J69-$T$405+1)/1000))</x:f>
        <x:v>189.42421187456338</x:v>
      </x:c>
      <x:c r="N69" s="8" t="n">
        <x:f>K69-M69</x:f>
        <x:v>59.57578812543662</x:v>
      </x:c>
      <x:c r="O69" s="8" t="n">
        <x:f>ABS(N69)</x:f>
        <x:v>59.57578812543662</x:v>
      </x:c>
      <x:c r="P69" s="8" t="n">
        <x:f>N69^2</x:f>
        <x:v>3549.2745307669147</x:v>
      </x:c>
      <x:c r="Q69" s="8" t="n">
        <x:f>K69-L69</x:f>
        <x:v>8</x:v>
      </x:c>
      <x:c r="R69" s="9" t="n">
        <x:f>IF(AND(INDEX('Сводка'!$T$3:$T$397,U69)=0,INDEX('Сводка'!$T$3:$T$397,V69)=0),1,0)</x:f>
        <x:v>1</x:v>
      </x:c>
      <x:c r="S69" s="9" t="n">
        <x:f>IF(AND(R69=1,O69&lt;=$G$13),1,0)</x:f>
        <x:v>0</x:v>
      </x:c>
      <x:c r="T69" s="10" t="n">
        <x:f>EOMONTH(J69-'Сводка'!$B$11,-1)</x:f>
        <x:v>45900</x:v>
      </x:c>
      <x:c r="U69" s="4" t="n">
        <x:f>MATCH(J69,'Сводка'!$R$3:$R$397,0)</x:f>
        <x:v>80</x:v>
      </x:c>
      <x:c r="V69" s="4" t="n">
        <x:f>MATCH(J69-'Сводка'!$B$11,'Сводка'!$R$3:$R$397,0)</x:f>
        <x:v>79</x:v>
      </x:c>
      <x:c r="W69" s="4" t="n">
        <x:f>MATCH(T69,$J$388:$J$400,0)</x:f>
        <x:v>3</x:v>
      </x:c>
      <x:c r="X69" s="3"/>
      <x:c r="Y69" s="3"/>
      <x:c r="Z69" s="3"/>
    </x:row>
    <x:row r="70" ht="15" customHeight="1">
      <x:c r="A70" s="7" t="str">
        <x:f>IF(52&lt;='Сводка'!$B$3,'Сводка'!$B$4+52,"")</x:f>
      </x:c>
      <x:c r="B70" s="19" t="str">
        <x:f>IF($A70="","",(A70-$T$405+1)/1000)</x:f>
      </x:c>
      <x:c r="C70" s="19" t="str">
        <x:f>IF($A70="","",2*(A70-$T$405)/$T$406-1)</x:f>
      </x:c>
      <x:c r="D70" s="3" t="str">
        <x:f>IF($A70="","",$B$4*EXP($B$5*B70))</x:f>
      </x:c>
      <x:c r="E70" s="3" t="str">
        <x:f>IF($A70="","",SQRT($T$403^2+H70^2))</x:f>
      </x:c>
      <x:c r="F70" s="3" t="str">
        <x:f>IF($A70="","",D70-$T$404*E70)</x:f>
      </x:c>
      <x:c r="G70" s="3" t="str">
        <x:f>IF($A70="","",D70+$T$404*E70)</x:f>
      </x:c>
      <x:c r="H70" s="3" t="str">
        <x:f>IF($A70="","",SQRT(MAX(0,(EXP($B$5*B70))*$S$409*(EXP($B$5*B70))+(EXP($B$5*B70))*$T$409*($B$4*EXP($B$5*B70)*B70)+($B$4*EXP($B$5*B70)*B70)*$S$410*(EXP($B$5*B70))+($B$4*EXP($B$5*B70)*B70)*$T$410*($B$4*EXP($B$5*B70)*B70))))</x:f>
      </x:c>
      <x:c r="I70" s="3"/>
      <x:c r="J70" s="10" t="n">
        <x:v>45921</x:v>
      </x:c>
      <x:c r="K70" s="8" t="n">
        <x:f>INDEX('Сводка'!$S$3:$S$397,U70)</x:f>
        <x:v>260</x:v>
      </x:c>
      <x:c r="L70" s="8" t="n">
        <x:f>INDEX('Сводка'!$S$3:$S$397,V70)</x:f>
        <x:v>249</x:v>
      </x:c>
      <x:c r="M70" s="8" t="n">
        <x:f>INDEX($K$388:$N$400,W70,1)*EXP(INDEX($K$388:$N$400,W70,2)*((J70-$T$405+1)/1000))</x:f>
        <x:v>189.47350488231146</x:v>
      </x:c>
      <x:c r="N70" s="8" t="n">
        <x:f>K70-M70</x:f>
        <x:v>70.52649511768854</x:v>
      </x:c>
      <x:c r="O70" s="8" t="n">
        <x:f>ABS(N70)</x:f>
        <x:v>70.52649511768854</x:v>
      </x:c>
      <x:c r="P70" s="8" t="n">
        <x:f>N70^2</x:f>
        <x:v>4973.986513585345</x:v>
      </x:c>
      <x:c r="Q70" s="8" t="n">
        <x:f>K70-L70</x:f>
        <x:v>11</x:v>
      </x:c>
      <x:c r="R70" s="9" t="n">
        <x:f>IF(AND(INDEX('Сводка'!$T$3:$T$397,U70)=0,INDEX('Сводка'!$T$3:$T$397,V70)=0),1,0)</x:f>
        <x:v>1</x:v>
      </x:c>
      <x:c r="S70" s="9" t="n">
        <x:f>IF(AND(R70=1,O70&lt;=$G$13),1,0)</x:f>
        <x:v>0</x:v>
      </x:c>
      <x:c r="T70" s="10" t="n">
        <x:f>EOMONTH(J70-'Сводка'!$B$11,-1)</x:f>
        <x:v>45900</x:v>
      </x:c>
      <x:c r="U70" s="4" t="n">
        <x:f>MATCH(J70,'Сводка'!$R$3:$R$397,0)</x:f>
        <x:v>81</x:v>
      </x:c>
      <x:c r="V70" s="4" t="n">
        <x:f>MATCH(J70-'Сводка'!$B$11,'Сводка'!$R$3:$R$397,0)</x:f>
        <x:v>80</x:v>
      </x:c>
      <x:c r="W70" s="4" t="n">
        <x:f>MATCH(T70,$J$388:$J$400,0)</x:f>
        <x:v>3</x:v>
      </x:c>
      <x:c r="X70" s="3"/>
      <x:c r="Y70" s="3"/>
      <x:c r="Z70" s="3"/>
    </x:row>
    <x:row r="71" ht="15" customHeight="1">
      <x:c r="A71" s="7" t="str">
        <x:f>IF(53&lt;='Сводка'!$B$3,'Сводка'!$B$4+53,"")</x:f>
      </x:c>
      <x:c r="B71" s="19" t="str">
        <x:f>IF($A71="","",(A71-$T$405+1)/1000)</x:f>
      </x:c>
      <x:c r="C71" s="19" t="str">
        <x:f>IF($A71="","",2*(A71-$T$405)/$T$406-1)</x:f>
      </x:c>
      <x:c r="D71" s="3" t="str">
        <x:f>IF($A71="","",$B$4*EXP($B$5*B71))</x:f>
      </x:c>
      <x:c r="E71" s="3" t="str">
        <x:f>IF($A71="","",SQRT($T$403^2+H71^2))</x:f>
      </x:c>
      <x:c r="F71" s="3" t="str">
        <x:f>IF($A71="","",D71-$T$404*E71)</x:f>
      </x:c>
      <x:c r="G71" s="3" t="str">
        <x:f>IF($A71="","",D71+$T$404*E71)</x:f>
      </x:c>
      <x:c r="H71" s="3" t="str">
        <x:f>IF($A71="","",SQRT(MAX(0,(EXP($B$5*B71))*$S$409*(EXP($B$5*B71))+(EXP($B$5*B71))*$T$409*($B$4*EXP($B$5*B71)*B71)+($B$4*EXP($B$5*B71)*B71)*$S$410*(EXP($B$5*B71))+($B$4*EXP($B$5*B71)*B71)*$T$410*($B$4*EXP($B$5*B71)*B71))))</x:f>
      </x:c>
      <x:c r="I71" s="3"/>
      <x:c r="J71" s="10" t="n">
        <x:v>45922</x:v>
      </x:c>
      <x:c r="K71" s="8" t="n">
        <x:f>INDEX('Сводка'!$S$3:$S$397,U71)</x:f>
        <x:v>272</x:v>
      </x:c>
      <x:c r="L71" s="8" t="n">
        <x:f>INDEX('Сводка'!$S$3:$S$397,V71)</x:f>
        <x:v>260</x:v>
      </x:c>
      <x:c r="M71" s="8" t="n">
        <x:f>INDEX($K$388:$N$400,W71,1)*EXP(INDEX($K$388:$N$400,W71,2)*((J71-$T$405+1)/1000))</x:f>
        <x:v>189.52281071735655</x:v>
      </x:c>
      <x:c r="N71" s="8" t="n">
        <x:f>K71-M71</x:f>
        <x:v>82.47718928264345</x:v>
      </x:c>
      <x:c r="O71" s="8" t="n">
        <x:f>ABS(N71)</x:f>
        <x:v>82.47718928264345</x:v>
      </x:c>
      <x:c r="P71" s="8" t="n">
        <x:f>N71^2</x:f>
        <x:v>6802.486751964996</x:v>
      </x:c>
      <x:c r="Q71" s="8" t="n">
        <x:f>K71-L71</x:f>
        <x:v>12</x:v>
      </x:c>
      <x:c r="R71" s="9" t="n">
        <x:f>IF(AND(INDEX('Сводка'!$T$3:$T$397,U71)=0,INDEX('Сводка'!$T$3:$T$397,V71)=0),1,0)</x:f>
        <x:v>1</x:v>
      </x:c>
      <x:c r="S71" s="9" t="n">
        <x:f>IF(AND(R71=1,O71&lt;=$G$13),1,0)</x:f>
        <x:v>0</x:v>
      </x:c>
      <x:c r="T71" s="10" t="n">
        <x:f>EOMONTH(J71-'Сводка'!$B$11,-1)</x:f>
        <x:v>45900</x:v>
      </x:c>
      <x:c r="U71" s="4" t="n">
        <x:f>MATCH(J71,'Сводка'!$R$3:$R$397,0)</x:f>
        <x:v>82</x:v>
      </x:c>
      <x:c r="V71" s="4" t="n">
        <x:f>MATCH(J71-'Сводка'!$B$11,'Сводка'!$R$3:$R$397,0)</x:f>
        <x:v>81</x:v>
      </x:c>
      <x:c r="W71" s="4" t="n">
        <x:f>MATCH(T71,$J$388:$J$400,0)</x:f>
        <x:v>3</x:v>
      </x:c>
      <x:c r="X71" s="3"/>
      <x:c r="Y71" s="3"/>
      <x:c r="Z71" s="3"/>
    </x:row>
    <x:row r="72" ht="15" customHeight="1">
      <x:c r="A72" s="7" t="str">
        <x:f>IF(54&lt;='Сводка'!$B$3,'Сводка'!$B$4+54,"")</x:f>
      </x:c>
      <x:c r="B72" s="19" t="str">
        <x:f>IF($A72="","",(A72-$T$405+1)/1000)</x:f>
      </x:c>
      <x:c r="C72" s="19" t="str">
        <x:f>IF($A72="","",2*(A72-$T$405)/$T$406-1)</x:f>
      </x:c>
      <x:c r="D72" s="3" t="str">
        <x:f>IF($A72="","",$B$4*EXP($B$5*B72))</x:f>
      </x:c>
      <x:c r="E72" s="3" t="str">
        <x:f>IF($A72="","",SQRT($T$403^2+H72^2))</x:f>
      </x:c>
      <x:c r="F72" s="3" t="str">
        <x:f>IF($A72="","",D72-$T$404*E72)</x:f>
      </x:c>
      <x:c r="G72" s="3" t="str">
        <x:f>IF($A72="","",D72+$T$404*E72)</x:f>
      </x:c>
      <x:c r="H72" s="3" t="str">
        <x:f>IF($A72="","",SQRT(MAX(0,(EXP($B$5*B72))*$S$409*(EXP($B$5*B72))+(EXP($B$5*B72))*$T$409*($B$4*EXP($B$5*B72)*B72)+($B$4*EXP($B$5*B72)*B72)*$S$410*(EXP($B$5*B72))+($B$4*EXP($B$5*B72)*B72)*$T$410*($B$4*EXP($B$5*B72)*B72))))</x:f>
      </x:c>
      <x:c r="I72" s="3"/>
      <x:c r="J72" s="10" t="n">
        <x:v>45923</x:v>
      </x:c>
      <x:c r="K72" s="8" t="n">
        <x:f>INDEX('Сводка'!$S$3:$S$397,U72)</x:f>
        <x:v>279</x:v>
      </x:c>
      <x:c r="L72" s="8" t="n">
        <x:f>INDEX('Сводка'!$S$3:$S$397,V72)</x:f>
        <x:v>272</x:v>
      </x:c>
      <x:c r="M72" s="8" t="n">
        <x:f>INDEX($K$388:$N$400,W72,1)*EXP(INDEX($K$388:$N$400,W72,2)*((J72-$T$405+1)/1000))</x:f>
        <x:v>189.5721293830365</x:v>
      </x:c>
      <x:c r="N72" s="8" t="n">
        <x:f>K72-M72</x:f>
        <x:v>89.4278706169635</x:v>
      </x:c>
      <x:c r="O72" s="8" t="n">
        <x:f>ABS(N72)</x:f>
        <x:v>89.4278706169635</x:v>
      </x:c>
      <x:c r="P72" s="8" t="n">
        <x:f>N72^2</x:f>
        <x:v>7997.344043084364</x:v>
      </x:c>
      <x:c r="Q72" s="8" t="n">
        <x:f>K72-L72</x:f>
        <x:v>7</x:v>
      </x:c>
      <x:c r="R72" s="9" t="n">
        <x:f>IF(AND(INDEX('Сводка'!$T$3:$T$397,U72)=0,INDEX('Сводка'!$T$3:$T$397,V72)=0),1,0)</x:f>
        <x:v>1</x:v>
      </x:c>
      <x:c r="S72" s="9" t="n">
        <x:f>IF(AND(R72=1,O72&lt;=$G$13),1,0)</x:f>
        <x:v>0</x:v>
      </x:c>
      <x:c r="T72" s="10" t="n">
        <x:f>EOMONTH(J72-'Сводка'!$B$11,-1)</x:f>
        <x:v>45900</x:v>
      </x:c>
      <x:c r="U72" s="4" t="n">
        <x:f>MATCH(J72,'Сводка'!$R$3:$R$397,0)</x:f>
        <x:v>83</x:v>
      </x:c>
      <x:c r="V72" s="4" t="n">
        <x:f>MATCH(J72-'Сводка'!$B$11,'Сводка'!$R$3:$R$397,0)</x:f>
        <x:v>82</x:v>
      </x:c>
      <x:c r="W72" s="4" t="n">
        <x:f>MATCH(T72,$J$388:$J$400,0)</x:f>
        <x:v>3</x:v>
      </x:c>
      <x:c r="X72" s="3"/>
      <x:c r="Y72" s="3"/>
      <x:c r="Z72" s="3"/>
    </x:row>
    <x:row r="73" ht="15" customHeight="1">
      <x:c r="A73" s="7" t="str">
        <x:f>IF(55&lt;='Сводка'!$B$3,'Сводка'!$B$4+55,"")</x:f>
      </x:c>
      <x:c r="B73" s="19" t="str">
        <x:f>IF($A73="","",(A73-$T$405+1)/1000)</x:f>
      </x:c>
      <x:c r="C73" s="19" t="str">
        <x:f>IF($A73="","",2*(A73-$T$405)/$T$406-1)</x:f>
      </x:c>
      <x:c r="D73" s="3" t="str">
        <x:f>IF($A73="","",$B$4*EXP($B$5*B73))</x:f>
      </x:c>
      <x:c r="E73" s="3" t="str">
        <x:f>IF($A73="","",SQRT($T$403^2+H73^2))</x:f>
      </x:c>
      <x:c r="F73" s="3" t="str">
        <x:f>IF($A73="","",D73-$T$404*E73)</x:f>
      </x:c>
      <x:c r="G73" s="3" t="str">
        <x:f>IF($A73="","",D73+$T$404*E73)</x:f>
      </x:c>
      <x:c r="H73" s="3" t="str">
        <x:f>IF($A73="","",SQRT(MAX(0,(EXP($B$5*B73))*$S$409*(EXP($B$5*B73))+(EXP($B$5*B73))*$T$409*($B$4*EXP($B$5*B73)*B73)+($B$4*EXP($B$5*B73)*B73)*$S$410*(EXP($B$5*B73))+($B$4*EXP($B$5*B73)*B73)*$T$410*($B$4*EXP($B$5*B73)*B73))))</x:f>
      </x:c>
      <x:c r="I73" s="3"/>
      <x:c r="J73" s="10" t="n">
        <x:v>45924</x:v>
      </x:c>
      <x:c r="K73" s="8" t="n">
        <x:f>INDEX('Сводка'!$S$3:$S$397,U73)</x:f>
        <x:v>284</x:v>
      </x:c>
      <x:c r="L73" s="8" t="n">
        <x:f>INDEX('Сводка'!$S$3:$S$397,V73)</x:f>
        <x:v>279</x:v>
      </x:c>
      <x:c r="M73" s="8" t="n">
        <x:f>INDEX($K$388:$N$400,W73,1)*EXP(INDEX($K$388:$N$400,W73,2)*((J73-$T$405+1)/1000))</x:f>
        <x:v>189.62146088269023</x:v>
      </x:c>
      <x:c r="N73" s="8" t="n">
        <x:f>K73-M73</x:f>
        <x:v>94.37853911730977</x:v>
      </x:c>
      <x:c r="O73" s="8" t="n">
        <x:f>ABS(N73)</x:f>
        <x:v>94.37853911730977</x:v>
      </x:c>
      <x:c r="P73" s="8" t="n">
        <x:f>N73^2</x:f>
        <x:v>8907.30864591757</x:v>
      </x:c>
      <x:c r="Q73" s="8" t="n">
        <x:f>K73-L73</x:f>
        <x:v>5</x:v>
      </x:c>
      <x:c r="R73" s="9" t="n">
        <x:f>IF(AND(INDEX('Сводка'!$T$3:$T$397,U73)=0,INDEX('Сводка'!$T$3:$T$397,V73)=0),1,0)</x:f>
        <x:v>1</x:v>
      </x:c>
      <x:c r="S73" s="9" t="n">
        <x:f>IF(AND(R73=1,O73&lt;=$G$13),1,0)</x:f>
        <x:v>0</x:v>
      </x:c>
      <x:c r="T73" s="10" t="n">
        <x:f>EOMONTH(J73-'Сводка'!$B$11,-1)</x:f>
        <x:v>45900</x:v>
      </x:c>
      <x:c r="U73" s="4" t="n">
        <x:f>MATCH(J73,'Сводка'!$R$3:$R$397,0)</x:f>
        <x:v>84</x:v>
      </x:c>
      <x:c r="V73" s="4" t="n">
        <x:f>MATCH(J73-'Сводка'!$B$11,'Сводка'!$R$3:$R$397,0)</x:f>
        <x:v>83</x:v>
      </x:c>
      <x:c r="W73" s="4" t="n">
        <x:f>MATCH(T73,$J$388:$J$400,0)</x:f>
        <x:v>3</x:v>
      </x:c>
      <x:c r="X73" s="3"/>
      <x:c r="Y73" s="3"/>
      <x:c r="Z73" s="3"/>
    </x:row>
    <x:row r="74" ht="15" customHeight="1">
      <x:c r="A74" s="7" t="str">
        <x:f>IF(56&lt;='Сводка'!$B$3,'Сводка'!$B$4+56,"")</x:f>
      </x:c>
      <x:c r="B74" s="19" t="str">
        <x:f>IF($A74="","",(A74-$T$405+1)/1000)</x:f>
      </x:c>
      <x:c r="C74" s="19" t="str">
        <x:f>IF($A74="","",2*(A74-$T$405)/$T$406-1)</x:f>
      </x:c>
      <x:c r="D74" s="3" t="str">
        <x:f>IF($A74="","",$B$4*EXP($B$5*B74))</x:f>
      </x:c>
      <x:c r="E74" s="3" t="str">
        <x:f>IF($A74="","",SQRT($T$403^2+H74^2))</x:f>
      </x:c>
      <x:c r="F74" s="3" t="str">
        <x:f>IF($A74="","",D74-$T$404*E74)</x:f>
      </x:c>
      <x:c r="G74" s="3" t="str">
        <x:f>IF($A74="","",D74+$T$404*E74)</x:f>
      </x:c>
      <x:c r="H74" s="3" t="str">
        <x:f>IF($A74="","",SQRT(MAX(0,(EXP($B$5*B74))*$S$409*(EXP($B$5*B74))+(EXP($B$5*B74))*$T$409*($B$4*EXP($B$5*B74)*B74)+($B$4*EXP($B$5*B74)*B74)*$S$410*(EXP($B$5*B74))+($B$4*EXP($B$5*B74)*B74)*$T$410*($B$4*EXP($B$5*B74)*B74))))</x:f>
      </x:c>
      <x:c r="I74" s="3"/>
      <x:c r="J74" s="10" t="n">
        <x:v>45925</x:v>
      </x:c>
      <x:c r="K74" s="8" t="n">
        <x:f>INDEX('Сводка'!$S$3:$S$397,U74)</x:f>
        <x:v>288</x:v>
      </x:c>
      <x:c r="L74" s="8" t="n">
        <x:f>INDEX('Сводка'!$S$3:$S$397,V74)</x:f>
        <x:v>284</x:v>
      </x:c>
      <x:c r="M74" s="8" t="n">
        <x:f>INDEX($K$388:$N$400,W74,1)*EXP(INDEX($K$388:$N$400,W74,2)*((J74-$T$405+1)/1000))</x:f>
        <x:v>189.67080521965752</x:v>
      </x:c>
      <x:c r="N74" s="8" t="n">
        <x:f>K74-M74</x:f>
        <x:v>98.32919478034248</x:v>
      </x:c>
      <x:c r="O74" s="8" t="n">
        <x:f>ABS(N74)</x:f>
        <x:v>98.32919478034248</x:v>
      </x:c>
      <x:c r="P74" s="8" t="n">
        <x:f>N74^2</x:f>
        <x:v>9668.63054615053</x:v>
      </x:c>
      <x:c r="Q74" s="8" t="n">
        <x:f>K74-L74</x:f>
        <x:v>4</x:v>
      </x:c>
      <x:c r="R74" s="9" t="n">
        <x:f>IF(AND(INDEX('Сводка'!$T$3:$T$397,U74)=0,INDEX('Сводка'!$T$3:$T$397,V74)=0),1,0)</x:f>
        <x:v>1</x:v>
      </x:c>
      <x:c r="S74" s="9" t="n">
        <x:f>IF(AND(R74=1,O74&lt;=$G$13),1,0)</x:f>
        <x:v>0</x:v>
      </x:c>
      <x:c r="T74" s="10" t="n">
        <x:f>EOMONTH(J74-'Сводка'!$B$11,-1)</x:f>
        <x:v>45900</x:v>
      </x:c>
      <x:c r="U74" s="4" t="n">
        <x:f>MATCH(J74,'Сводка'!$R$3:$R$397,0)</x:f>
        <x:v>85</x:v>
      </x:c>
      <x:c r="V74" s="4" t="n">
        <x:f>MATCH(J74-'Сводка'!$B$11,'Сводка'!$R$3:$R$397,0)</x:f>
        <x:v>84</x:v>
      </x:c>
      <x:c r="W74" s="4" t="n">
        <x:f>MATCH(T74,$J$388:$J$400,0)</x:f>
        <x:v>3</x:v>
      </x:c>
      <x:c r="X74" s="3"/>
      <x:c r="Y74" s="3"/>
      <x:c r="Z74" s="3"/>
    </x:row>
    <x:row r="75" ht="15" customHeight="1">
      <x:c r="A75" s="7" t="str">
        <x:f>IF(57&lt;='Сводка'!$B$3,'Сводка'!$B$4+57,"")</x:f>
      </x:c>
      <x:c r="B75" s="19" t="str">
        <x:f>IF($A75="","",(A75-$T$405+1)/1000)</x:f>
      </x:c>
      <x:c r="C75" s="19" t="str">
        <x:f>IF($A75="","",2*(A75-$T$405)/$T$406-1)</x:f>
      </x:c>
      <x:c r="D75" s="3" t="str">
        <x:f>IF($A75="","",$B$4*EXP($B$5*B75))</x:f>
      </x:c>
      <x:c r="E75" s="3" t="str">
        <x:f>IF($A75="","",SQRT($T$403^2+H75^2))</x:f>
      </x:c>
      <x:c r="F75" s="3" t="str">
        <x:f>IF($A75="","",D75-$T$404*E75)</x:f>
      </x:c>
      <x:c r="G75" s="3" t="str">
        <x:f>IF($A75="","",D75+$T$404*E75)</x:f>
      </x:c>
      <x:c r="H75" s="3" t="str">
        <x:f>IF($A75="","",SQRT(MAX(0,(EXP($B$5*B75))*$S$409*(EXP($B$5*B75))+(EXP($B$5*B75))*$T$409*($B$4*EXP($B$5*B75)*B75)+($B$4*EXP($B$5*B75)*B75)*$S$410*(EXP($B$5*B75))+($B$4*EXP($B$5*B75)*B75)*$T$410*($B$4*EXP($B$5*B75)*B75))))</x:f>
      </x:c>
      <x:c r="I75" s="3"/>
      <x:c r="J75" s="10" t="n">
        <x:v>45926</x:v>
      </x:c>
      <x:c r="K75" s="8" t="n">
        <x:f>INDEX('Сводка'!$S$3:$S$397,U75)</x:f>
        <x:v>290</x:v>
      </x:c>
      <x:c r="L75" s="8" t="n">
        <x:f>INDEX('Сводка'!$S$3:$S$397,V75)</x:f>
        <x:v>288</x:v>
      </x:c>
      <x:c r="M75" s="8" t="n">
        <x:f>INDEX($K$388:$N$400,W75,1)*EXP(INDEX($K$388:$N$400,W75,2)*((J75-$T$405+1)/1000))</x:f>
        <x:v>189.72016239727887</x:v>
      </x:c>
      <x:c r="N75" s="8" t="n">
        <x:f>K75-M75</x:f>
        <x:v>100.27983760272113</x:v>
      </x:c>
      <x:c r="O75" s="8" t="n">
        <x:f>ABS(N75)</x:f>
        <x:v>100.27983760272113</x:v>
      </x:c>
      <x:c r="P75" s="8" t="n">
        <x:f>N75^2</x:f>
        <x:v>10056.045829628123</x:v>
      </x:c>
      <x:c r="Q75" s="8" t="n">
        <x:f>K75-L75</x:f>
        <x:v>2</x:v>
      </x:c>
      <x:c r="R75" s="9" t="n">
        <x:f>IF(AND(INDEX('Сводка'!$T$3:$T$397,U75)=0,INDEX('Сводка'!$T$3:$T$397,V75)=0),1,0)</x:f>
        <x:v>1</x:v>
      </x:c>
      <x:c r="S75" s="9" t="n">
        <x:f>IF(AND(R75=1,O75&lt;=$G$13),1,0)</x:f>
        <x:v>0</x:v>
      </x:c>
      <x:c r="T75" s="10" t="n">
        <x:f>EOMONTH(J75-'Сводка'!$B$11,-1)</x:f>
        <x:v>45900</x:v>
      </x:c>
      <x:c r="U75" s="4" t="n">
        <x:f>MATCH(J75,'Сводка'!$R$3:$R$397,0)</x:f>
        <x:v>86</x:v>
      </x:c>
      <x:c r="V75" s="4" t="n">
        <x:f>MATCH(J75-'Сводка'!$B$11,'Сводка'!$R$3:$R$397,0)</x:f>
        <x:v>85</x:v>
      </x:c>
      <x:c r="W75" s="4" t="n">
        <x:f>MATCH(T75,$J$388:$J$400,0)</x:f>
        <x:v>3</x:v>
      </x:c>
      <x:c r="X75" s="3"/>
      <x:c r="Y75" s="3"/>
      <x:c r="Z75" s="3"/>
    </x:row>
    <x:row r="76" ht="15" customHeight="1">
      <x:c r="A76" s="7" t="str">
        <x:f>IF(58&lt;='Сводка'!$B$3,'Сводка'!$B$4+58,"")</x:f>
      </x:c>
      <x:c r="B76" s="19" t="str">
        <x:f>IF($A76="","",(A76-$T$405+1)/1000)</x:f>
      </x:c>
      <x:c r="C76" s="19" t="str">
        <x:f>IF($A76="","",2*(A76-$T$405)/$T$406-1)</x:f>
      </x:c>
      <x:c r="D76" s="3" t="str">
        <x:f>IF($A76="","",$B$4*EXP($B$5*B76))</x:f>
      </x:c>
      <x:c r="E76" s="3" t="str">
        <x:f>IF($A76="","",SQRT($T$403^2+H76^2))</x:f>
      </x:c>
      <x:c r="F76" s="3" t="str">
        <x:f>IF($A76="","",D76-$T$404*E76)</x:f>
      </x:c>
      <x:c r="G76" s="3" t="str">
        <x:f>IF($A76="","",D76+$T$404*E76)</x:f>
      </x:c>
      <x:c r="H76" s="3" t="str">
        <x:f>IF($A76="","",SQRT(MAX(0,(EXP($B$5*B76))*$S$409*(EXP($B$5*B76))+(EXP($B$5*B76))*$T$409*($B$4*EXP($B$5*B76)*B76)+($B$4*EXP($B$5*B76)*B76)*$S$410*(EXP($B$5*B76))+($B$4*EXP($B$5*B76)*B76)*$T$410*($B$4*EXP($B$5*B76)*B76))))</x:f>
      </x:c>
      <x:c r="I76" s="3"/>
      <x:c r="J76" s="10" t="n">
        <x:v>45927</x:v>
      </x:c>
      <x:c r="K76" s="8" t="n">
        <x:f>INDEX('Сводка'!$S$3:$S$397,U76)</x:f>
        <x:v>291</x:v>
      </x:c>
      <x:c r="L76" s="8" t="n">
        <x:f>INDEX('Сводка'!$S$3:$S$397,V76)</x:f>
        <x:v>290</x:v>
      </x:c>
      <x:c r="M76" s="8" t="n">
        <x:f>INDEX($K$388:$N$400,W76,1)*EXP(INDEX($K$388:$N$400,W76,2)*((J76-$T$405+1)/1000))</x:f>
        <x:v>189.76953241889578</x:v>
      </x:c>
      <x:c r="N76" s="8" t="n">
        <x:f>K76-M76</x:f>
        <x:v>101.23046758110422</x:v>
      </x:c>
      <x:c r="O76" s="8" t="n">
        <x:f>ABS(N76)</x:f>
        <x:v>101.23046758110422</x:v>
      </x:c>
      <x:c r="P76" s="8" t="n">
        <x:f>N76^2</x:f>
        <x:v>10247.607566688992</x:v>
      </x:c>
      <x:c r="Q76" s="8" t="n">
        <x:f>K76-L76</x:f>
        <x:v>1</x:v>
      </x:c>
      <x:c r="R76" s="9" t="n">
        <x:f>IF(AND(INDEX('Сводка'!$T$3:$T$397,U76)=0,INDEX('Сводка'!$T$3:$T$397,V76)=0),1,0)</x:f>
        <x:v>1</x:v>
      </x:c>
      <x:c r="S76" s="9" t="n">
        <x:f>IF(AND(R76=1,O76&lt;=$G$13),1,0)</x:f>
        <x:v>0</x:v>
      </x:c>
      <x:c r="T76" s="10" t="n">
        <x:f>EOMONTH(J76-'Сводка'!$B$11,-1)</x:f>
        <x:v>45900</x:v>
      </x:c>
      <x:c r="U76" s="4" t="n">
        <x:f>MATCH(J76,'Сводка'!$R$3:$R$397,0)</x:f>
        <x:v>87</x:v>
      </x:c>
      <x:c r="V76" s="4" t="n">
        <x:f>MATCH(J76-'Сводка'!$B$11,'Сводка'!$R$3:$R$397,0)</x:f>
        <x:v>86</x:v>
      </x:c>
      <x:c r="W76" s="4" t="n">
        <x:f>MATCH(T76,$J$388:$J$400,0)</x:f>
        <x:v>3</x:v>
      </x:c>
      <x:c r="X76" s="3"/>
      <x:c r="Y76" s="3"/>
      <x:c r="Z76" s="3"/>
    </x:row>
    <x:row r="77" ht="15" customHeight="1">
      <x:c r="A77" s="7" t="str">
        <x:f>IF(59&lt;='Сводка'!$B$3,'Сводка'!$B$4+59,"")</x:f>
      </x:c>
      <x:c r="B77" s="19" t="str">
        <x:f>IF($A77="","",(A77-$T$405+1)/1000)</x:f>
      </x:c>
      <x:c r="C77" s="19" t="str">
        <x:f>IF($A77="","",2*(A77-$T$405)/$T$406-1)</x:f>
      </x:c>
      <x:c r="D77" s="3" t="str">
        <x:f>IF($A77="","",$B$4*EXP($B$5*B77))</x:f>
      </x:c>
      <x:c r="E77" s="3" t="str">
        <x:f>IF($A77="","",SQRT($T$403^2+H77^2))</x:f>
      </x:c>
      <x:c r="F77" s="3" t="str">
        <x:f>IF($A77="","",D77-$T$404*E77)</x:f>
      </x:c>
      <x:c r="G77" s="3" t="str">
        <x:f>IF($A77="","",D77+$T$404*E77)</x:f>
      </x:c>
      <x:c r="H77" s="3" t="str">
        <x:f>IF($A77="","",SQRT(MAX(0,(EXP($B$5*B77))*$S$409*(EXP($B$5*B77))+(EXP($B$5*B77))*$T$409*($B$4*EXP($B$5*B77)*B77)+($B$4*EXP($B$5*B77)*B77)*$S$410*(EXP($B$5*B77))+($B$4*EXP($B$5*B77)*B77)*$T$410*($B$4*EXP($B$5*B77)*B77))))</x:f>
      </x:c>
      <x:c r="I77" s="3"/>
      <x:c r="J77" s="10" t="n">
        <x:v>45928</x:v>
      </x:c>
      <x:c r="K77" s="8" t="n">
        <x:f>INDEX('Сводка'!$S$3:$S$397,U77)</x:f>
        <x:v>290</x:v>
      </x:c>
      <x:c r="L77" s="8" t="n">
        <x:f>INDEX('Сводка'!$S$3:$S$397,V77)</x:f>
        <x:v>291</x:v>
      </x:c>
      <x:c r="M77" s="8" t="n">
        <x:f>INDEX($K$388:$N$400,W77,1)*EXP(INDEX($K$388:$N$400,W77,2)*((J77-$T$405+1)/1000))</x:f>
        <x:v>189.81891528785067</x:v>
      </x:c>
      <x:c r="N77" s="8" t="n">
        <x:f>K77-M77</x:f>
        <x:v>100.18108471214933</x:v>
      </x:c>
      <x:c r="O77" s="8" t="n">
        <x:f>ABS(N77)</x:f>
        <x:v>100.18108471214933</x:v>
      </x:c>
      <x:c r="P77" s="8" t="n">
        <x:f>N77^2</x:f>
        <x:v>10036.24973410284</x:v>
      </x:c>
      <x:c r="Q77" s="8" t="n">
        <x:f>K77-L77</x:f>
        <x:v>-1</x:v>
      </x:c>
      <x:c r="R77" s="9" t="n">
        <x:f>IF(AND(INDEX('Сводка'!$T$3:$T$397,U77)=0,INDEX('Сводка'!$T$3:$T$397,V77)=0),1,0)</x:f>
        <x:v>1</x:v>
      </x:c>
      <x:c r="S77" s="9" t="n">
        <x:f>IF(AND(R77=1,O77&lt;=$G$13),1,0)</x:f>
        <x:v>0</x:v>
      </x:c>
      <x:c r="T77" s="10" t="n">
        <x:f>EOMONTH(J77-'Сводка'!$B$11,-1)</x:f>
        <x:v>45900</x:v>
      </x:c>
      <x:c r="U77" s="4" t="n">
        <x:f>MATCH(J77,'Сводка'!$R$3:$R$397,0)</x:f>
        <x:v>88</x:v>
      </x:c>
      <x:c r="V77" s="4" t="n">
        <x:f>MATCH(J77-'Сводка'!$B$11,'Сводка'!$R$3:$R$397,0)</x:f>
        <x:v>87</x:v>
      </x:c>
      <x:c r="W77" s="4" t="n">
        <x:f>MATCH(T77,$J$388:$J$400,0)</x:f>
        <x:v>3</x:v>
      </x:c>
      <x:c r="X77" s="3"/>
      <x:c r="Y77" s="3"/>
      <x:c r="Z77" s="3"/>
    </x:row>
    <x:row r="78" ht="15" customHeight="1">
      <x:c r="A78" s="7" t="str">
        <x:f>IF(60&lt;='Сводка'!$B$3,'Сводка'!$B$4+60,"")</x:f>
      </x:c>
      <x:c r="B78" s="19" t="str">
        <x:f>IF($A78="","",(A78-$T$405+1)/1000)</x:f>
      </x:c>
      <x:c r="C78" s="19" t="str">
        <x:f>IF($A78="","",2*(A78-$T$405)/$T$406-1)</x:f>
      </x:c>
      <x:c r="D78" s="3" t="str">
        <x:f>IF($A78="","",$B$4*EXP($B$5*B78))</x:f>
      </x:c>
      <x:c r="E78" s="3" t="str">
        <x:f>IF($A78="","",SQRT($T$403^2+H78^2))</x:f>
      </x:c>
      <x:c r="F78" s="3" t="str">
        <x:f>IF($A78="","",D78-$T$404*E78)</x:f>
      </x:c>
      <x:c r="G78" s="3" t="str">
        <x:f>IF($A78="","",D78+$T$404*E78)</x:f>
      </x:c>
      <x:c r="H78" s="3" t="str">
        <x:f>IF($A78="","",SQRT(MAX(0,(EXP($B$5*B78))*$S$409*(EXP($B$5*B78))+(EXP($B$5*B78))*$T$409*($B$4*EXP($B$5*B78)*B78)+($B$4*EXP($B$5*B78)*B78)*$S$410*(EXP($B$5*B78))+($B$4*EXP($B$5*B78)*B78)*$T$410*($B$4*EXP($B$5*B78)*B78))))</x:f>
      </x:c>
      <x:c r="I78" s="3"/>
      <x:c r="J78" s="10" t="n">
        <x:v>45929</x:v>
      </x:c>
      <x:c r="K78" s="8" t="n">
        <x:f>INDEX('Сводка'!$S$3:$S$397,U78)</x:f>
        <x:v>290</x:v>
      </x:c>
      <x:c r="L78" s="8" t="n">
        <x:f>INDEX('Сводка'!$S$3:$S$397,V78)</x:f>
        <x:v>290</x:v>
      </x:c>
      <x:c r="M78" s="8" t="n">
        <x:f>INDEX($K$388:$N$400,W78,1)*EXP(INDEX($K$388:$N$400,W78,2)*((J78-$T$405+1)/1000))</x:f>
        <x:v>189.86831100748665</x:v>
      </x:c>
      <x:c r="N78" s="8" t="n">
        <x:f>K78-M78</x:f>
        <x:v>100.13168899251335</x:v>
      </x:c>
      <x:c r="O78" s="8" t="n">
        <x:f>ABS(N78)</x:f>
        <x:v>100.13168899251335</x:v>
      </x:c>
      <x:c r="P78" s="8" t="n">
        <x:f>N78^2</x:f>
        <x:v>10026.355140493419</x:v>
      </x:c>
      <x:c r="Q78" s="8" t="n">
        <x:f>K78-L78</x:f>
        <x:v>0</x:v>
      </x:c>
      <x:c r="R78" s="9" t="n">
        <x:f>IF(AND(INDEX('Сводка'!$T$3:$T$397,U78)=0,INDEX('Сводка'!$T$3:$T$397,V78)=0),1,0)</x:f>
        <x:v>1</x:v>
      </x:c>
      <x:c r="S78" s="9" t="n">
        <x:f>IF(AND(R78=1,O78&lt;=$G$13),1,0)</x:f>
        <x:v>0</x:v>
      </x:c>
      <x:c r="T78" s="10" t="n">
        <x:f>EOMONTH(J78-'Сводка'!$B$11,-1)</x:f>
        <x:v>45900</x:v>
      </x:c>
      <x:c r="U78" s="4" t="n">
        <x:f>MATCH(J78,'Сводка'!$R$3:$R$397,0)</x:f>
        <x:v>89</x:v>
      </x:c>
      <x:c r="V78" s="4" t="n">
        <x:f>MATCH(J78-'Сводка'!$B$11,'Сводка'!$R$3:$R$397,0)</x:f>
        <x:v>88</x:v>
      </x:c>
      <x:c r="W78" s="4" t="n">
        <x:f>MATCH(T78,$J$388:$J$400,0)</x:f>
        <x:v>3</x:v>
      </x:c>
      <x:c r="X78" s="3"/>
      <x:c r="Y78" s="3"/>
      <x:c r="Z78" s="3"/>
    </x:row>
    <x:row r="79" ht="15" customHeight="1">
      <x:c r="A79" s="7" t="str">
        <x:f>IF(61&lt;='Сводка'!$B$3,'Сводка'!$B$4+61,"")</x:f>
      </x:c>
      <x:c r="B79" s="19" t="str">
        <x:f>IF($A79="","",(A79-$T$405+1)/1000)</x:f>
      </x:c>
      <x:c r="C79" s="19" t="str">
        <x:f>IF($A79="","",2*(A79-$T$405)/$T$406-1)</x:f>
      </x:c>
      <x:c r="D79" s="3" t="str">
        <x:f>IF($A79="","",$B$4*EXP($B$5*B79))</x:f>
      </x:c>
      <x:c r="E79" s="3" t="str">
        <x:f>IF($A79="","",SQRT($T$403^2+H79^2))</x:f>
      </x:c>
      <x:c r="F79" s="3" t="str">
        <x:f>IF($A79="","",D79-$T$404*E79)</x:f>
      </x:c>
      <x:c r="G79" s="3" t="str">
        <x:f>IF($A79="","",D79+$T$404*E79)</x:f>
      </x:c>
      <x:c r="H79" s="3" t="str">
        <x:f>IF($A79="","",SQRT(MAX(0,(EXP($B$5*B79))*$S$409*(EXP($B$5*B79))+(EXP($B$5*B79))*$T$409*($B$4*EXP($B$5*B79)*B79)+($B$4*EXP($B$5*B79)*B79)*$S$410*(EXP($B$5*B79))+($B$4*EXP($B$5*B79)*B79)*$T$410*($B$4*EXP($B$5*B79)*B79))))</x:f>
      </x:c>
      <x:c r="I79" s="3"/>
      <x:c r="J79" s="10" t="n">
        <x:v>45930</x:v>
      </x:c>
      <x:c r="K79" s="8" t="n">
        <x:f>INDEX('Сводка'!$S$3:$S$397,U79)</x:f>
        <x:v>293</x:v>
      </x:c>
      <x:c r="L79" s="8" t="n">
        <x:f>INDEX('Сводка'!$S$3:$S$397,V79)</x:f>
        <x:v>290</x:v>
      </x:c>
      <x:c r="M79" s="8" t="n">
        <x:f>INDEX($K$388:$N$400,W79,1)*EXP(INDEX($K$388:$N$400,W79,2)*((J79-$T$405+1)/1000))</x:f>
        <x:v>189.91771958114776</x:v>
      </x:c>
      <x:c r="N79" s="8" t="n">
        <x:f>K79-M79</x:f>
        <x:v>103.08228041885224</x:v>
      </x:c>
      <x:c r="O79" s="8" t="n">
        <x:f>ABS(N79)</x:f>
        <x:v>103.08228041885224</x:v>
      </x:c>
      <x:c r="P79" s="8" t="n">
        <x:f>N79^2</x:f>
        <x:v>10625.956536350886</x:v>
      </x:c>
      <x:c r="Q79" s="8" t="n">
        <x:f>K79-L79</x:f>
        <x:v>3</x:v>
      </x:c>
      <x:c r="R79" s="9" t="n">
        <x:f>IF(AND(INDEX('Сводка'!$T$3:$T$397,U79)=0,INDEX('Сводка'!$T$3:$T$397,V79)=0),1,0)</x:f>
        <x:v>1</x:v>
      </x:c>
      <x:c r="S79" s="9" t="n">
        <x:f>IF(AND(R79=1,O79&lt;=$G$13),1,0)</x:f>
        <x:v>0</x:v>
      </x:c>
      <x:c r="T79" s="10" t="n">
        <x:f>EOMONTH(J79-'Сводка'!$B$11,-1)</x:f>
        <x:v>45900</x:v>
      </x:c>
      <x:c r="U79" s="4" t="n">
        <x:f>MATCH(J79,'Сводка'!$R$3:$R$397,0)</x:f>
        <x:v>90</x:v>
      </x:c>
      <x:c r="V79" s="4" t="n">
        <x:f>MATCH(J79-'Сводка'!$B$11,'Сводка'!$R$3:$R$397,0)</x:f>
        <x:v>89</x:v>
      </x:c>
      <x:c r="W79" s="4" t="n">
        <x:f>MATCH(T79,$J$388:$J$400,0)</x:f>
        <x:v>3</x:v>
      </x:c>
      <x:c r="X79" s="3"/>
      <x:c r="Y79" s="3"/>
      <x:c r="Z79" s="3"/>
    </x:row>
    <x:row r="80" ht="15" customHeight="1">
      <x:c r="A80" s="7" t="str">
        <x:f>IF(62&lt;='Сводка'!$B$3,'Сводка'!$B$4+62,"")</x:f>
      </x:c>
      <x:c r="B80" s="19" t="str">
        <x:f>IF($A80="","",(A80-$T$405+1)/1000)</x:f>
      </x:c>
      <x:c r="C80" s="19" t="str">
        <x:f>IF($A80="","",2*(A80-$T$405)/$T$406-1)</x:f>
      </x:c>
      <x:c r="D80" s="3" t="str">
        <x:f>IF($A80="","",$B$4*EXP($B$5*B80))</x:f>
      </x:c>
      <x:c r="E80" s="3" t="str">
        <x:f>IF($A80="","",SQRT($T$403^2+H80^2))</x:f>
      </x:c>
      <x:c r="F80" s="3" t="str">
        <x:f>IF($A80="","",D80-$T$404*E80)</x:f>
      </x:c>
      <x:c r="G80" s="3" t="str">
        <x:f>IF($A80="","",D80+$T$404*E80)</x:f>
      </x:c>
      <x:c r="H80" s="3" t="str">
        <x:f>IF($A80="","",SQRT(MAX(0,(EXP($B$5*B80))*$S$409*(EXP($B$5*B80))+(EXP($B$5*B80))*$T$409*($B$4*EXP($B$5*B80)*B80)+($B$4*EXP($B$5*B80)*B80)*$S$410*(EXP($B$5*B80))+($B$4*EXP($B$5*B80)*B80)*$T$410*($B$4*EXP($B$5*B80)*B80))))</x:f>
      </x:c>
      <x:c r="I80" s="3"/>
      <x:c r="J80" s="10" t="n">
        <x:v>45931</x:v>
      </x:c>
      <x:c r="K80" s="8" t="n">
        <x:f>INDEX('Сводка'!$S$3:$S$397,U80)</x:f>
        <x:v>292</x:v>
      </x:c>
      <x:c r="L80" s="8" t="n">
        <x:f>INDEX('Сводка'!$S$3:$S$397,V80)</x:f>
        <x:v>293</x:v>
      </x:c>
      <x:c r="M80" s="8" t="n">
        <x:f>INDEX($K$388:$N$400,W80,1)*EXP(INDEX($K$388:$N$400,W80,2)*((J80-$T$405+1)/1000))</x:f>
        <x:v>189.96714101217913</x:v>
      </x:c>
      <x:c r="N80" s="8" t="n">
        <x:f>K80-M80</x:f>
        <x:v>102.03285898782087</x:v>
      </x:c>
      <x:c r="O80" s="8" t="n">
        <x:f>ABS(N80)</x:f>
        <x:v>102.03285898782087</x:v>
      </x:c>
      <x:c r="P80" s="8" t="n">
        <x:f>N80^2</x:f>
        <x:v>10410.704313228538</x:v>
      </x:c>
      <x:c r="Q80" s="8" t="n">
        <x:f>K80-L80</x:f>
        <x:v>-1</x:v>
      </x:c>
      <x:c r="R80" s="9" t="n">
        <x:f>IF(AND(INDEX('Сводка'!$T$3:$T$397,U80)=0,INDEX('Сводка'!$T$3:$T$397,V80)=0),1,0)</x:f>
        <x:v>1</x:v>
      </x:c>
      <x:c r="S80" s="9" t="n">
        <x:f>IF(AND(R80=1,O80&lt;=$G$13),1,0)</x:f>
        <x:v>0</x:v>
      </x:c>
      <x:c r="T80" s="10" t="n">
        <x:f>EOMONTH(J80-'Сводка'!$B$11,-1)</x:f>
        <x:v>45900</x:v>
      </x:c>
      <x:c r="U80" s="4" t="n">
        <x:f>MATCH(J80,'Сводка'!$R$3:$R$397,0)</x:f>
        <x:v>91</x:v>
      </x:c>
      <x:c r="V80" s="4" t="n">
        <x:f>MATCH(J80-'Сводка'!$B$11,'Сводка'!$R$3:$R$397,0)</x:f>
        <x:v>90</x:v>
      </x:c>
      <x:c r="W80" s="4" t="n">
        <x:f>MATCH(T80,$J$388:$J$400,0)</x:f>
        <x:v>3</x:v>
      </x:c>
      <x:c r="X80" s="3"/>
      <x:c r="Y80" s="3"/>
      <x:c r="Z80" s="3"/>
    </x:row>
    <x:row r="81" ht="15" customHeight="1">
      <x:c r="A81" s="7" t="str">
        <x:f>IF(63&lt;='Сводка'!$B$3,'Сводка'!$B$4+63,"")</x:f>
      </x:c>
      <x:c r="B81" s="19" t="str">
        <x:f>IF($A81="","",(A81-$T$405+1)/1000)</x:f>
      </x:c>
      <x:c r="C81" s="19" t="str">
        <x:f>IF($A81="","",2*(A81-$T$405)/$T$406-1)</x:f>
      </x:c>
      <x:c r="D81" s="3" t="str">
        <x:f>IF($A81="","",$B$4*EXP($B$5*B81))</x:f>
      </x:c>
      <x:c r="E81" s="3" t="str">
        <x:f>IF($A81="","",SQRT($T$403^2+H81^2))</x:f>
      </x:c>
      <x:c r="F81" s="3" t="str">
        <x:f>IF($A81="","",D81-$T$404*E81)</x:f>
      </x:c>
      <x:c r="G81" s="3" t="str">
        <x:f>IF($A81="","",D81+$T$404*E81)</x:f>
      </x:c>
      <x:c r="H81" s="3" t="str">
        <x:f>IF($A81="","",SQRT(MAX(0,(EXP($B$5*B81))*$S$409*(EXP($B$5*B81))+(EXP($B$5*B81))*$T$409*($B$4*EXP($B$5*B81)*B81)+($B$4*EXP($B$5*B81)*B81)*$S$410*(EXP($B$5*B81))+($B$4*EXP($B$5*B81)*B81)*$T$410*($B$4*EXP($B$5*B81)*B81))))</x:f>
      </x:c>
      <x:c r="I81" s="3"/>
      <x:c r="J81" s="10" t="n">
        <x:v>45932</x:v>
      </x:c>
      <x:c r="K81" s="8" t="n">
        <x:f>INDEX('Сводка'!$S$3:$S$397,U81)</x:f>
        <x:v>284</x:v>
      </x:c>
      <x:c r="L81" s="8" t="n">
        <x:f>INDEX('Сводка'!$S$3:$S$397,V81)</x:f>
        <x:v>292</x:v>
      </x:c>
      <x:c r="M81" s="8" t="n">
        <x:f>INDEX($K$388:$N$400,W81,1)*EXP(INDEX($K$388:$N$400,W81,2)*((J81-$T$405+1)/1000))</x:f>
        <x:v>191.69512657089274</x:v>
      </x:c>
      <x:c r="N81" s="8" t="n">
        <x:f>K81-M81</x:f>
        <x:v>92.30487342910726</x:v>
      </x:c>
      <x:c r="O81" s="8" t="n">
        <x:f>ABS(N81)</x:f>
        <x:v>92.30487342910726</x:v>
      </x:c>
      <x:c r="P81" s="8" t="n">
        <x:f>N81^2</x:f>
        <x:v>8520.189658763511</x:v>
      </x:c>
      <x:c r="Q81" s="8" t="n">
        <x:f>K81-L81</x:f>
        <x:v>-8</x:v>
      </x:c>
      <x:c r="R81" s="9" t="n">
        <x:f>IF(AND(INDEX('Сводка'!$T$3:$T$397,U81)=0,INDEX('Сводка'!$T$3:$T$397,V81)=0),1,0)</x:f>
        <x:v>1</x:v>
      </x:c>
      <x:c r="S81" s="9" t="n">
        <x:f>IF(AND(R81=1,O81&lt;=$G$13),1,0)</x:f>
        <x:v>0</x:v>
      </x:c>
      <x:c r="T81" s="10" t="n">
        <x:f>EOMONTH(J81-'Сводка'!$B$11,-1)</x:f>
        <x:v>45930</x:v>
      </x:c>
      <x:c r="U81" s="4" t="n">
        <x:f>MATCH(J81,'Сводка'!$R$3:$R$397,0)</x:f>
        <x:v>92</x:v>
      </x:c>
      <x:c r="V81" s="4" t="n">
        <x:f>MATCH(J81-'Сводка'!$B$11,'Сводка'!$R$3:$R$397,0)</x:f>
        <x:v>91</x:v>
      </x:c>
      <x:c r="W81" s="4" t="n">
        <x:f>MATCH(T81,$J$388:$J$400,0)</x:f>
        <x:v>4</x:v>
      </x:c>
      <x:c r="X81" s="3"/>
      <x:c r="Y81" s="3"/>
      <x:c r="Z81" s="3"/>
    </x:row>
    <x:row r="82" ht="15" customHeight="1">
      <x:c r="A82" s="7" t="str">
        <x:f>IF(64&lt;='Сводка'!$B$3,'Сводка'!$B$4+64,"")</x:f>
      </x:c>
      <x:c r="B82" s="19" t="str">
        <x:f>IF($A82="","",(A82-$T$405+1)/1000)</x:f>
      </x:c>
      <x:c r="C82" s="19" t="str">
        <x:f>IF($A82="","",2*(A82-$T$405)/$T$406-1)</x:f>
      </x:c>
      <x:c r="D82" s="3" t="str">
        <x:f>IF($A82="","",$B$4*EXP($B$5*B82))</x:f>
      </x:c>
      <x:c r="E82" s="3" t="str">
        <x:f>IF($A82="","",SQRT($T$403^2+H82^2))</x:f>
      </x:c>
      <x:c r="F82" s="3" t="str">
        <x:f>IF($A82="","",D82-$T$404*E82)</x:f>
      </x:c>
      <x:c r="G82" s="3" t="str">
        <x:f>IF($A82="","",D82+$T$404*E82)</x:f>
      </x:c>
      <x:c r="H82" s="3" t="str">
        <x:f>IF($A82="","",SQRT(MAX(0,(EXP($B$5*B82))*$S$409*(EXP($B$5*B82))+(EXP($B$5*B82))*$T$409*($B$4*EXP($B$5*B82)*B82)+($B$4*EXP($B$5*B82)*B82)*$S$410*(EXP($B$5*B82))+($B$4*EXP($B$5*B82)*B82)*$T$410*($B$4*EXP($B$5*B82)*B82))))</x:f>
      </x:c>
      <x:c r="I82" s="3"/>
      <x:c r="J82" s="10" t="n">
        <x:v>45933</x:v>
      </x:c>
      <x:c r="K82" s="8" t="n">
        <x:f>INDEX('Сводка'!$S$3:$S$397,U82)</x:f>
        <x:v>274</x:v>
      </x:c>
      <x:c r="L82" s="8" t="n">
        <x:f>INDEX('Сводка'!$S$3:$S$397,V82)</x:f>
        <x:v>284</x:v>
      </x:c>
      <x:c r="M82" s="8" t="n">
        <x:f>INDEX($K$388:$N$400,W82,1)*EXP(INDEX($K$388:$N$400,W82,2)*((J82-$T$405+1)/1000))</x:f>
        <x:v>191.7454158102927</x:v>
      </x:c>
      <x:c r="N82" s="8" t="n">
        <x:f>K82-M82</x:f>
        <x:v>82.25458418970729</x:v>
      </x:c>
      <x:c r="O82" s="8" t="n">
        <x:f>ABS(N82)</x:f>
        <x:v>82.25458418970729</x:v>
      </x:c>
      <x:c r="P82" s="8" t="n">
        <x:f>N82^2</x:f>
        <x:v>6765.816620221644</x:v>
      </x:c>
      <x:c r="Q82" s="8" t="n">
        <x:f>K82-L82</x:f>
        <x:v>-10</x:v>
      </x:c>
      <x:c r="R82" s="9" t="n">
        <x:f>IF(AND(INDEX('Сводка'!$T$3:$T$397,U82)=0,INDEX('Сводка'!$T$3:$T$397,V82)=0),1,0)</x:f>
        <x:v>1</x:v>
      </x:c>
      <x:c r="S82" s="9" t="n">
        <x:f>IF(AND(R82=1,O82&lt;=$G$13),1,0)</x:f>
        <x:v>0</x:v>
      </x:c>
      <x:c r="T82" s="10" t="n">
        <x:f>EOMONTH(J82-'Сводка'!$B$11,-1)</x:f>
        <x:v>45930</x:v>
      </x:c>
      <x:c r="U82" s="4" t="n">
        <x:f>MATCH(J82,'Сводка'!$R$3:$R$397,0)</x:f>
        <x:v>93</x:v>
      </x:c>
      <x:c r="V82" s="4" t="n">
        <x:f>MATCH(J82-'Сводка'!$B$11,'Сводка'!$R$3:$R$397,0)</x:f>
        <x:v>92</x:v>
      </x:c>
      <x:c r="W82" s="4" t="n">
        <x:f>MATCH(T82,$J$388:$J$400,0)</x:f>
        <x:v>4</x:v>
      </x:c>
      <x:c r="X82" s="3"/>
      <x:c r="Y82" s="3"/>
      <x:c r="Z82" s="3"/>
    </x:row>
    <x:row r="83" ht="15" customHeight="1">
      <x:c r="A83" s="7" t="str">
        <x:f>IF(65&lt;='Сводка'!$B$3,'Сводка'!$B$4+65,"")</x:f>
      </x:c>
      <x:c r="B83" s="19" t="str">
        <x:f>IF($A83="","",(A83-$T$405+1)/1000)</x:f>
      </x:c>
      <x:c r="C83" s="19" t="str">
        <x:f>IF($A83="","",2*(A83-$T$405)/$T$406-1)</x:f>
      </x:c>
      <x:c r="D83" s="3" t="str">
        <x:f>IF($A83="","",$B$4*EXP($B$5*B83))</x:f>
      </x:c>
      <x:c r="E83" s="3" t="str">
        <x:f>IF($A83="","",SQRT($T$403^2+H83^2))</x:f>
      </x:c>
      <x:c r="F83" s="3" t="str">
        <x:f>IF($A83="","",D83-$T$404*E83)</x:f>
      </x:c>
      <x:c r="G83" s="3" t="str">
        <x:f>IF($A83="","",D83+$T$404*E83)</x:f>
      </x:c>
      <x:c r="H83" s="3" t="str">
        <x:f>IF($A83="","",SQRT(MAX(0,(EXP($B$5*B83))*$S$409*(EXP($B$5*B83))+(EXP($B$5*B83))*$T$409*($B$4*EXP($B$5*B83)*B83)+($B$4*EXP($B$5*B83)*B83)*$S$410*(EXP($B$5*B83))+($B$4*EXP($B$5*B83)*B83)*$T$410*($B$4*EXP($B$5*B83)*B83))))</x:f>
      </x:c>
      <x:c r="I83" s="3"/>
      <x:c r="J83" s="10" t="n">
        <x:v>45934</x:v>
      </x:c>
      <x:c r="K83" s="8" t="n">
        <x:f>INDEX('Сводка'!$S$3:$S$397,U83)</x:f>
        <x:v>258</x:v>
      </x:c>
      <x:c r="L83" s="8" t="n">
        <x:f>INDEX('Сводка'!$S$3:$S$397,V83)</x:f>
        <x:v>274</x:v>
      </x:c>
      <x:c r="M83" s="8" t="n">
        <x:f>INDEX($K$388:$N$400,W83,1)*EXP(INDEX($K$388:$N$400,W83,2)*((J83-$T$405+1)/1000))</x:f>
        <x:v>191.79571824255612</x:v>
      </x:c>
      <x:c r="N83" s="8" t="n">
        <x:f>K83-M83</x:f>
        <x:v>66.20428175744388</x:v>
      </x:c>
      <x:c r="O83" s="8" t="n">
        <x:f>ABS(N83)</x:f>
        <x:v>66.20428175744388</x:v>
      </x:c>
      <x:c r="P83" s="8" t="n">
        <x:f>N83^2</x:f>
        <x:v>4383.0069230190165</x:v>
      </x:c>
      <x:c r="Q83" s="8" t="n">
        <x:f>K83-L83</x:f>
        <x:v>-16</x:v>
      </x:c>
      <x:c r="R83" s="9" t="n">
        <x:f>IF(AND(INDEX('Сводка'!$T$3:$T$397,U83)=0,INDEX('Сводка'!$T$3:$T$397,V83)=0),1,0)</x:f>
        <x:v>1</x:v>
      </x:c>
      <x:c r="S83" s="9" t="n">
        <x:f>IF(AND(R83=1,O83&lt;=$G$13),1,0)</x:f>
        <x:v>0</x:v>
      </x:c>
      <x:c r="T83" s="10" t="n">
        <x:f>EOMONTH(J83-'Сводка'!$B$11,-1)</x:f>
        <x:v>45930</x:v>
      </x:c>
      <x:c r="U83" s="4" t="n">
        <x:f>MATCH(J83,'Сводка'!$R$3:$R$397,0)</x:f>
        <x:v>94</x:v>
      </x:c>
      <x:c r="V83" s="4" t="n">
        <x:f>MATCH(J83-'Сводка'!$B$11,'Сводка'!$R$3:$R$397,0)</x:f>
        <x:v>93</x:v>
      </x:c>
      <x:c r="W83" s="4" t="n">
        <x:f>MATCH(T83,$J$388:$J$400,0)</x:f>
        <x:v>4</x:v>
      </x:c>
      <x:c r="X83" s="3"/>
      <x:c r="Y83" s="3"/>
      <x:c r="Z83" s="3"/>
    </x:row>
    <x:row r="84" ht="15" customHeight="1">
      <x:c r="A84" s="7" t="str">
        <x:f>IF(66&lt;='Сводка'!$B$3,'Сводка'!$B$4+66,"")</x:f>
      </x:c>
      <x:c r="B84" s="19" t="str">
        <x:f>IF($A84="","",(A84-$T$405+1)/1000)</x:f>
      </x:c>
      <x:c r="C84" s="19" t="str">
        <x:f>IF($A84="","",2*(A84-$T$405)/$T$406-1)</x:f>
      </x:c>
      <x:c r="D84" s="3" t="str">
        <x:f>IF($A84="","",$B$4*EXP($B$5*B84))</x:f>
      </x:c>
      <x:c r="E84" s="3" t="str">
        <x:f>IF($A84="","",SQRT($T$403^2+H84^2))</x:f>
      </x:c>
      <x:c r="F84" s="3" t="str">
        <x:f>IF($A84="","",D84-$T$404*E84)</x:f>
      </x:c>
      <x:c r="G84" s="3" t="str">
        <x:f>IF($A84="","",D84+$T$404*E84)</x:f>
      </x:c>
      <x:c r="H84" s="3" t="str">
        <x:f>IF($A84="","",SQRT(MAX(0,(EXP($B$5*B84))*$S$409*(EXP($B$5*B84))+(EXP($B$5*B84))*$T$409*($B$4*EXP($B$5*B84)*B84)+($B$4*EXP($B$5*B84)*B84)*$S$410*(EXP($B$5*B84))+($B$4*EXP($B$5*B84)*B84)*$T$410*($B$4*EXP($B$5*B84)*B84))))</x:f>
      </x:c>
      <x:c r="I84" s="3"/>
      <x:c r="J84" s="10" t="n">
        <x:v>45935</x:v>
      </x:c>
      <x:c r="K84" s="8" t="n">
        <x:f>INDEX('Сводка'!$S$3:$S$397,U84)</x:f>
        <x:v>240</x:v>
      </x:c>
      <x:c r="L84" s="8" t="n">
        <x:f>INDEX('Сводка'!$S$3:$S$397,V84)</x:f>
        <x:v>258</x:v>
      </x:c>
      <x:c r="M84" s="8" t="n">
        <x:f>INDEX($K$388:$N$400,W84,1)*EXP(INDEX($K$388:$N$400,W84,2)*((J84-$T$405+1)/1000))</x:f>
        <x:v>191.84603387114376</x:v>
      </x:c>
      <x:c r="N84" s="8" t="n">
        <x:f>K84-M84</x:f>
        <x:v>48.15396612885624</x:v>
      </x:c>
      <x:c r="O84" s="8" t="n">
        <x:f>ABS(N84)</x:f>
        <x:v>48.15396612885624</x:v>
      </x:c>
      <x:c r="P84" s="8" t="n">
        <x:f>N84^2</x:f>
        <x:v>2318.804453939034</x:v>
      </x:c>
      <x:c r="Q84" s="8" t="n">
        <x:f>K84-L84</x:f>
        <x:v>-18</x:v>
      </x:c>
      <x:c r="R84" s="9" t="n">
        <x:f>IF(AND(INDEX('Сводка'!$T$3:$T$397,U84)=0,INDEX('Сводка'!$T$3:$T$397,V84)=0),1,0)</x:f>
        <x:v>1</x:v>
      </x:c>
      <x:c r="S84" s="9" t="n">
        <x:f>IF(AND(R84=1,O84&lt;=$G$13),1,0)</x:f>
        <x:v>0</x:v>
      </x:c>
      <x:c r="T84" s="10" t="n">
        <x:f>EOMONTH(J84-'Сводка'!$B$11,-1)</x:f>
        <x:v>45930</x:v>
      </x:c>
      <x:c r="U84" s="4" t="n">
        <x:f>MATCH(J84,'Сводка'!$R$3:$R$397,0)</x:f>
        <x:v>95</x:v>
      </x:c>
      <x:c r="V84" s="4" t="n">
        <x:f>MATCH(J84-'Сводка'!$B$11,'Сводка'!$R$3:$R$397,0)</x:f>
        <x:v>94</x:v>
      </x:c>
      <x:c r="W84" s="4" t="n">
        <x:f>MATCH(T84,$J$388:$J$400,0)</x:f>
        <x:v>4</x:v>
      </x:c>
      <x:c r="X84" s="3"/>
      <x:c r="Y84" s="3"/>
      <x:c r="Z84" s="3"/>
    </x:row>
    <x:row r="85" ht="15" customHeight="1">
      <x:c r="A85" s="7" t="str">
        <x:f>IF(67&lt;='Сводка'!$B$3,'Сводка'!$B$4+67,"")</x:f>
      </x:c>
      <x:c r="B85" s="19" t="str">
        <x:f>IF($A85="","",(A85-$T$405+1)/1000)</x:f>
      </x:c>
      <x:c r="C85" s="19" t="str">
        <x:f>IF($A85="","",2*(A85-$T$405)/$T$406-1)</x:f>
      </x:c>
      <x:c r="D85" s="3" t="str">
        <x:f>IF($A85="","",$B$4*EXP($B$5*B85))</x:f>
      </x:c>
      <x:c r="E85" s="3" t="str">
        <x:f>IF($A85="","",SQRT($T$403^2+H85^2))</x:f>
      </x:c>
      <x:c r="F85" s="3" t="str">
        <x:f>IF($A85="","",D85-$T$404*E85)</x:f>
      </x:c>
      <x:c r="G85" s="3" t="str">
        <x:f>IF($A85="","",D85+$T$404*E85)</x:f>
      </x:c>
      <x:c r="H85" s="3" t="str">
        <x:f>IF($A85="","",SQRT(MAX(0,(EXP($B$5*B85))*$S$409*(EXP($B$5*B85))+(EXP($B$5*B85))*$T$409*($B$4*EXP($B$5*B85)*B85)+($B$4*EXP($B$5*B85)*B85)*$S$410*(EXP($B$5*B85))+($B$4*EXP($B$5*B85)*B85)*$T$410*($B$4*EXP($B$5*B85)*B85))))</x:f>
      </x:c>
      <x:c r="I85" s="3"/>
      <x:c r="J85" s="10" t="n">
        <x:v>45936</x:v>
      </x:c>
      <x:c r="K85" s="8" t="n">
        <x:f>INDEX('Сводка'!$S$3:$S$397,U85)</x:f>
        <x:v>224</x:v>
      </x:c>
      <x:c r="L85" s="8" t="n">
        <x:f>INDEX('Сводка'!$S$3:$S$397,V85)</x:f>
        <x:v>240</x:v>
      </x:c>
      <x:c r="M85" s="8" t="n">
        <x:f>INDEX($K$388:$N$400,W85,1)*EXP(INDEX($K$388:$N$400,W85,2)*((J85-$T$405+1)/1000))</x:f>
        <x:v>191.89636269951765</x:v>
      </x:c>
      <x:c r="N85" s="8" t="n">
        <x:f>K85-M85</x:f>
        <x:v>32.10363730048235</x:v>
      </x:c>
      <x:c r="O85" s="8" t="n">
        <x:f>ABS(N85)</x:f>
        <x:v>32.10363730048235</x:v>
      </x:c>
      <x:c r="P85" s="8" t="n">
        <x:f>N85^2</x:f>
        <x:v>1030.6435279209215</x:v>
      </x:c>
      <x:c r="Q85" s="8" t="n">
        <x:f>K85-L85</x:f>
        <x:v>-16</x:v>
      </x:c>
      <x:c r="R85" s="9" t="n">
        <x:f>IF(AND(INDEX('Сводка'!$T$3:$T$397,U85)=0,INDEX('Сводка'!$T$3:$T$397,V85)=0),1,0)</x:f>
        <x:v>1</x:v>
      </x:c>
      <x:c r="S85" s="9" t="n">
        <x:f>IF(AND(R85=1,O85&lt;=$G$13),1,0)</x:f>
        <x:v>0</x:v>
      </x:c>
      <x:c r="T85" s="10" t="n">
        <x:f>EOMONTH(J85-'Сводка'!$B$11,-1)</x:f>
        <x:v>45930</x:v>
      </x:c>
      <x:c r="U85" s="4" t="n">
        <x:f>MATCH(J85,'Сводка'!$R$3:$R$397,0)</x:f>
        <x:v>96</x:v>
      </x:c>
      <x:c r="V85" s="4" t="n">
        <x:f>MATCH(J85-'Сводка'!$B$11,'Сводка'!$R$3:$R$397,0)</x:f>
        <x:v>95</x:v>
      </x:c>
      <x:c r="W85" s="4" t="n">
        <x:f>MATCH(T85,$J$388:$J$400,0)</x:f>
        <x:v>4</x:v>
      </x:c>
      <x:c r="X85" s="3"/>
      <x:c r="Y85" s="3"/>
      <x:c r="Z85" s="3"/>
    </x:row>
    <x:row r="86" ht="15" customHeight="1">
      <x:c r="A86" s="7" t="str">
        <x:f>IF(68&lt;='Сводка'!$B$3,'Сводка'!$B$4+68,"")</x:f>
      </x:c>
      <x:c r="B86" s="19" t="str">
        <x:f>IF($A86="","",(A86-$T$405+1)/1000)</x:f>
      </x:c>
      <x:c r="C86" s="19" t="str">
        <x:f>IF($A86="","",2*(A86-$T$405)/$T$406-1)</x:f>
      </x:c>
      <x:c r="D86" s="3" t="str">
        <x:f>IF($A86="","",$B$4*EXP($B$5*B86))</x:f>
      </x:c>
      <x:c r="E86" s="3" t="str">
        <x:f>IF($A86="","",SQRT($T$403^2+H86^2))</x:f>
      </x:c>
      <x:c r="F86" s="3" t="str">
        <x:f>IF($A86="","",D86-$T$404*E86)</x:f>
      </x:c>
      <x:c r="G86" s="3" t="str">
        <x:f>IF($A86="","",D86+$T$404*E86)</x:f>
      </x:c>
      <x:c r="H86" s="3" t="str">
        <x:f>IF($A86="","",SQRT(MAX(0,(EXP($B$5*B86))*$S$409*(EXP($B$5*B86))+(EXP($B$5*B86))*$T$409*($B$4*EXP($B$5*B86)*B86)+($B$4*EXP($B$5*B86)*B86)*$S$410*(EXP($B$5*B86))+($B$4*EXP($B$5*B86)*B86)*$T$410*($B$4*EXP($B$5*B86)*B86))))</x:f>
      </x:c>
      <x:c r="I86" s="3"/>
      <x:c r="J86" s="10" t="n">
        <x:v>45937</x:v>
      </x:c>
      <x:c r="K86" s="8" t="n">
        <x:f>INDEX('Сводка'!$S$3:$S$397,U86)</x:f>
        <x:v>210</x:v>
      </x:c>
      <x:c r="L86" s="8" t="n">
        <x:f>INDEX('Сводка'!$S$3:$S$397,V86)</x:f>
        <x:v>224</x:v>
      </x:c>
      <x:c r="M86" s="8" t="n">
        <x:f>INDEX($K$388:$N$400,W86,1)*EXP(INDEX($K$388:$N$400,W86,2)*((J86-$T$405+1)/1000))</x:f>
        <x:v>191.94670473114047</x:v>
      </x:c>
      <x:c r="N86" s="8" t="n">
        <x:f>K86-M86</x:f>
        <x:v>18.05329526885953</x:v>
      </x:c>
      <x:c r="O86" s="8" t="n">
        <x:f>ABS(N86)</x:f>
        <x:v>18.05329526885953</x:v>
      </x:c>
      <x:c r="P86" s="8" t="n">
        <x:f>N86^2</x:f>
        <x:v>325.92147006462585</x:v>
      </x:c>
      <x:c r="Q86" s="8" t="n">
        <x:f>K86-L86</x:f>
        <x:v>-14</x:v>
      </x:c>
      <x:c r="R86" s="9" t="n">
        <x:f>IF(AND(INDEX('Сводка'!$T$3:$T$397,U86)=0,INDEX('Сводка'!$T$3:$T$397,V86)=0),1,0)</x:f>
        <x:v>1</x:v>
      </x:c>
      <x:c r="S86" s="9" t="n">
        <x:f>IF(AND(R86=1,O86&lt;=$G$13),1,0)</x:f>
        <x:v>0</x:v>
      </x:c>
      <x:c r="T86" s="10" t="n">
        <x:f>EOMONTH(J86-'Сводка'!$B$11,-1)</x:f>
        <x:v>45930</x:v>
      </x:c>
      <x:c r="U86" s="4" t="n">
        <x:f>MATCH(J86,'Сводка'!$R$3:$R$397,0)</x:f>
        <x:v>97</x:v>
      </x:c>
      <x:c r="V86" s="4" t="n">
        <x:f>MATCH(J86-'Сводка'!$B$11,'Сводка'!$R$3:$R$397,0)</x:f>
        <x:v>96</x:v>
      </x:c>
      <x:c r="W86" s="4" t="n">
        <x:f>MATCH(T86,$J$388:$J$400,0)</x:f>
        <x:v>4</x:v>
      </x:c>
      <x:c r="X86" s="3"/>
      <x:c r="Y86" s="3"/>
      <x:c r="Z86" s="3"/>
    </x:row>
    <x:row r="87" ht="15" customHeight="1">
      <x:c r="A87" s="7" t="str">
        <x:f>IF(69&lt;='Сводка'!$B$3,'Сводка'!$B$4+69,"")</x:f>
      </x:c>
      <x:c r="B87" s="19" t="str">
        <x:f>IF($A87="","",(A87-$T$405+1)/1000)</x:f>
      </x:c>
      <x:c r="C87" s="19" t="str">
        <x:f>IF($A87="","",2*(A87-$T$405)/$T$406-1)</x:f>
      </x:c>
      <x:c r="D87" s="3" t="str">
        <x:f>IF($A87="","",$B$4*EXP($B$5*B87))</x:f>
      </x:c>
      <x:c r="E87" s="3" t="str">
        <x:f>IF($A87="","",SQRT($T$403^2+H87^2))</x:f>
      </x:c>
      <x:c r="F87" s="3" t="str">
        <x:f>IF($A87="","",D87-$T$404*E87)</x:f>
      </x:c>
      <x:c r="G87" s="3" t="str">
        <x:f>IF($A87="","",D87+$T$404*E87)</x:f>
      </x:c>
      <x:c r="H87" s="3" t="str">
        <x:f>IF($A87="","",SQRT(MAX(0,(EXP($B$5*B87))*$S$409*(EXP($B$5*B87))+(EXP($B$5*B87))*$T$409*($B$4*EXP($B$5*B87)*B87)+($B$4*EXP($B$5*B87)*B87)*$S$410*(EXP($B$5*B87))+($B$4*EXP($B$5*B87)*B87)*$T$410*($B$4*EXP($B$5*B87)*B87))))</x:f>
      </x:c>
      <x:c r="I87" s="3"/>
      <x:c r="J87" s="10" t="n">
        <x:v>45938</x:v>
      </x:c>
      <x:c r="K87" s="8" t="n">
        <x:f>INDEX('Сводка'!$S$3:$S$397,U87)</x:f>
        <x:v>198</x:v>
      </x:c>
      <x:c r="L87" s="8" t="n">
        <x:f>INDEX('Сводка'!$S$3:$S$397,V87)</x:f>
        <x:v>210</x:v>
      </x:c>
      <x:c r="M87" s="8" t="n">
        <x:f>INDEX($K$388:$N$400,W87,1)*EXP(INDEX($K$388:$N$400,W87,2)*((J87-$T$405+1)/1000))</x:f>
        <x:v>191.99705996947628</x:v>
      </x:c>
      <x:c r="N87" s="8" t="n">
        <x:f>K87-M87</x:f>
        <x:v>6.0029400305237175</x:v>
      </x:c>
      <x:c r="O87" s="8" t="n">
        <x:f>ABS(N87)</x:f>
        <x:v>6.0029400305237175</x:v>
      </x:c>
      <x:c r="P87" s="8" t="n">
        <x:f>N87^2</x:f>
        <x:v>36.03528901006409</x:v>
      </x:c>
      <x:c r="Q87" s="8" t="n">
        <x:f>K87-L87</x:f>
        <x:v>-12</x:v>
      </x:c>
      <x:c r="R87" s="9" t="n">
        <x:f>IF(AND(INDEX('Сводка'!$T$3:$T$397,U87)=0,INDEX('Сводка'!$T$3:$T$397,V87)=0),1,0)</x:f>
        <x:v>1</x:v>
      </x:c>
      <x:c r="S87" s="9" t="n">
        <x:f>IF(AND(R87=1,O87&lt;=$G$13),1,0)</x:f>
        <x:v>1</x:v>
      </x:c>
      <x:c r="T87" s="10" t="n">
        <x:f>EOMONTH(J87-'Сводка'!$B$11,-1)</x:f>
        <x:v>45930</x:v>
      </x:c>
      <x:c r="U87" s="4" t="n">
        <x:f>MATCH(J87,'Сводка'!$R$3:$R$397,0)</x:f>
        <x:v>98</x:v>
      </x:c>
      <x:c r="V87" s="4" t="n">
        <x:f>MATCH(J87-'Сводка'!$B$11,'Сводка'!$R$3:$R$397,0)</x:f>
        <x:v>97</x:v>
      </x:c>
      <x:c r="W87" s="4" t="n">
        <x:f>MATCH(T87,$J$388:$J$400,0)</x:f>
        <x:v>4</x:v>
      </x:c>
      <x:c r="X87" s="3"/>
      <x:c r="Y87" s="3"/>
      <x:c r="Z87" s="3"/>
    </x:row>
    <x:row r="88" ht="15" customHeight="1">
      <x:c r="A88" s="7" t="str">
        <x:f>IF(70&lt;='Сводка'!$B$3,'Сводка'!$B$4+70,"")</x:f>
      </x:c>
      <x:c r="B88" s="19" t="str">
        <x:f>IF($A88="","",(A88-$T$405+1)/1000)</x:f>
      </x:c>
      <x:c r="C88" s="19" t="str">
        <x:f>IF($A88="","",2*(A88-$T$405)/$T$406-1)</x:f>
      </x:c>
      <x:c r="D88" s="3" t="str">
        <x:f>IF($A88="","",$B$4*EXP($B$5*B88))</x:f>
      </x:c>
      <x:c r="E88" s="3" t="str">
        <x:f>IF($A88="","",SQRT($T$403^2+H88^2))</x:f>
      </x:c>
      <x:c r="F88" s="3" t="str">
        <x:f>IF($A88="","",D88-$T$404*E88)</x:f>
      </x:c>
      <x:c r="G88" s="3" t="str">
        <x:f>IF($A88="","",D88+$T$404*E88)</x:f>
      </x:c>
      <x:c r="H88" s="3" t="str">
        <x:f>IF($A88="","",SQRT(MAX(0,(EXP($B$5*B88))*$S$409*(EXP($B$5*B88))+(EXP($B$5*B88))*$T$409*($B$4*EXP($B$5*B88)*B88)+($B$4*EXP($B$5*B88)*B88)*$S$410*(EXP($B$5*B88))+($B$4*EXP($B$5*B88)*B88)*$T$410*($B$4*EXP($B$5*B88)*B88))))</x:f>
      </x:c>
      <x:c r="I88" s="3"/>
      <x:c r="J88" s="10" t="n">
        <x:v>45939</x:v>
      </x:c>
      <x:c r="K88" s="8" t="n">
        <x:f>INDEX('Сводка'!$S$3:$S$397,U88)</x:f>
        <x:v>178</x:v>
      </x:c>
      <x:c r="L88" s="8" t="n">
        <x:f>INDEX('Сводка'!$S$3:$S$397,V88)</x:f>
        <x:v>198</x:v>
      </x:c>
      <x:c r="M88" s="8" t="n">
        <x:f>INDEX($K$388:$N$400,W88,1)*EXP(INDEX($K$388:$N$400,W88,2)*((J88-$T$405+1)/1000))</x:f>
        <x:v>192.04742841798944</x:v>
      </x:c>
      <x:c r="N88" s="8" t="n">
        <x:f>K88-M88</x:f>
        <x:v>-14.047428417989437</x:v>
      </x:c>
      <x:c r="O88" s="8" t="n">
        <x:f>ABS(N88)</x:f>
        <x:v>14.047428417989437</x:v>
      </x:c>
      <x:c r="P88" s="8" t="n">
        <x:f>N88^2</x:f>
        <x:v>197.33024515853722</x:v>
      </x:c>
      <x:c r="Q88" s="8" t="n">
        <x:f>K88-L88</x:f>
        <x:v>-20</x:v>
      </x:c>
      <x:c r="R88" s="9" t="n">
        <x:f>IF(AND(INDEX('Сводка'!$T$3:$T$397,U88)=0,INDEX('Сводка'!$T$3:$T$397,V88)=0),1,0)</x:f>
        <x:v>1</x:v>
      </x:c>
      <x:c r="S88" s="9" t="n">
        <x:f>IF(AND(R88=1,O88&lt;=$G$13),1,0)</x:f>
        <x:v>0</x:v>
      </x:c>
      <x:c r="T88" s="10" t="n">
        <x:f>EOMONTH(J88-'Сводка'!$B$11,-1)</x:f>
        <x:v>45930</x:v>
      </x:c>
      <x:c r="U88" s="4" t="n">
        <x:f>MATCH(J88,'Сводка'!$R$3:$R$397,0)</x:f>
        <x:v>99</x:v>
      </x:c>
      <x:c r="V88" s="4" t="n">
        <x:f>MATCH(J88-'Сводка'!$B$11,'Сводка'!$R$3:$R$397,0)</x:f>
        <x:v>98</x:v>
      </x:c>
      <x:c r="W88" s="4" t="n">
        <x:f>MATCH(T88,$J$388:$J$400,0)</x:f>
        <x:v>4</x:v>
      </x:c>
      <x:c r="X88" s="3"/>
      <x:c r="Y88" s="3"/>
      <x:c r="Z88" s="3"/>
    </x:row>
    <x:row r="89" ht="15" customHeight="1">
      <x:c r="A89" s="7" t="str">
        <x:f>IF(71&lt;='Сводка'!$B$3,'Сводка'!$B$4+71,"")</x:f>
      </x:c>
      <x:c r="B89" s="19" t="str">
        <x:f>IF($A89="","",(A89-$T$405+1)/1000)</x:f>
      </x:c>
      <x:c r="C89" s="19" t="str">
        <x:f>IF($A89="","",2*(A89-$T$405)/$T$406-1)</x:f>
      </x:c>
      <x:c r="D89" s="3" t="str">
        <x:f>IF($A89="","",$B$4*EXP($B$5*B89))</x:f>
      </x:c>
      <x:c r="E89" s="3" t="str">
        <x:f>IF($A89="","",SQRT($T$403^2+H89^2))</x:f>
      </x:c>
      <x:c r="F89" s="3" t="str">
        <x:f>IF($A89="","",D89-$T$404*E89)</x:f>
      </x:c>
      <x:c r="G89" s="3" t="str">
        <x:f>IF($A89="","",D89+$T$404*E89)</x:f>
      </x:c>
      <x:c r="H89" s="3" t="str">
        <x:f>IF($A89="","",SQRT(MAX(0,(EXP($B$5*B89))*$S$409*(EXP($B$5*B89))+(EXP($B$5*B89))*$T$409*($B$4*EXP($B$5*B89)*B89)+($B$4*EXP($B$5*B89)*B89)*$S$410*(EXP($B$5*B89))+($B$4*EXP($B$5*B89)*B89)*$T$410*($B$4*EXP($B$5*B89)*B89))))</x:f>
      </x:c>
      <x:c r="I89" s="3"/>
      <x:c r="J89" s="10" t="n">
        <x:v>45940</x:v>
      </x:c>
      <x:c r="K89" s="8" t="n">
        <x:f>INDEX('Сводка'!$S$3:$S$397,U89)</x:f>
        <x:v>163</x:v>
      </x:c>
      <x:c r="L89" s="8" t="n">
        <x:f>INDEX('Сводка'!$S$3:$S$397,V89)</x:f>
        <x:v>178</x:v>
      </x:c>
      <x:c r="M89" s="8" t="n">
        <x:f>INDEX($K$388:$N$400,W89,1)*EXP(INDEX($K$388:$N$400,W89,2)*((J89-$T$405+1)/1000))</x:f>
        <x:v>192.09781008014548</x:v>
      </x:c>
      <x:c r="N89" s="8" t="n">
        <x:f>K89-M89</x:f>
        <x:v>-29.09781008014548</x:v>
      </x:c>
      <x:c r="O89" s="8" t="n">
        <x:f>ABS(N89)</x:f>
        <x:v>29.09781008014548</x:v>
      </x:c>
      <x:c r="P89" s="8" t="n">
        <x:f>N89^2</x:f>
        <x:v>846.6825514602158</x:v>
      </x:c>
      <x:c r="Q89" s="8" t="n">
        <x:f>K89-L89</x:f>
        <x:v>-15</x:v>
      </x:c>
      <x:c r="R89" s="9" t="n">
        <x:f>IF(AND(INDEX('Сводка'!$T$3:$T$397,U89)=0,INDEX('Сводка'!$T$3:$T$397,V89)=0),1,0)</x:f>
        <x:v>1</x:v>
      </x:c>
      <x:c r="S89" s="9" t="n">
        <x:f>IF(AND(R89=1,O89&lt;=$G$13),1,0)</x:f>
        <x:v>0</x:v>
      </x:c>
      <x:c r="T89" s="10" t="n">
        <x:f>EOMONTH(J89-'Сводка'!$B$11,-1)</x:f>
        <x:v>45930</x:v>
      </x:c>
      <x:c r="U89" s="4" t="n">
        <x:f>MATCH(J89,'Сводка'!$R$3:$R$397,0)</x:f>
        <x:v>100</x:v>
      </x:c>
      <x:c r="V89" s="4" t="n">
        <x:f>MATCH(J89-'Сводка'!$B$11,'Сводка'!$R$3:$R$397,0)</x:f>
        <x:v>99</x:v>
      </x:c>
      <x:c r="W89" s="4" t="n">
        <x:f>MATCH(T89,$J$388:$J$400,0)</x:f>
        <x:v>4</x:v>
      </x:c>
      <x:c r="X89" s="3"/>
      <x:c r="Y89" s="3"/>
      <x:c r="Z89" s="3"/>
    </x:row>
    <x:row r="90" ht="15" customHeight="1">
      <x:c r="A90" s="7" t="str">
        <x:f>IF(72&lt;='Сводка'!$B$3,'Сводка'!$B$4+72,"")</x:f>
      </x:c>
      <x:c r="B90" s="19" t="str">
        <x:f>IF($A90="","",(A90-$T$405+1)/1000)</x:f>
      </x:c>
      <x:c r="C90" s="19" t="str">
        <x:f>IF($A90="","",2*(A90-$T$405)/$T$406-1)</x:f>
      </x:c>
      <x:c r="D90" s="3" t="str">
        <x:f>IF($A90="","",$B$4*EXP($B$5*B90))</x:f>
      </x:c>
      <x:c r="E90" s="3" t="str">
        <x:f>IF($A90="","",SQRT($T$403^2+H90^2))</x:f>
      </x:c>
      <x:c r="F90" s="3" t="str">
        <x:f>IF($A90="","",D90-$T$404*E90)</x:f>
      </x:c>
      <x:c r="G90" s="3" t="str">
        <x:f>IF($A90="","",D90+$T$404*E90)</x:f>
      </x:c>
      <x:c r="H90" s="3" t="str">
        <x:f>IF($A90="","",SQRT(MAX(0,(EXP($B$5*B90))*$S$409*(EXP($B$5*B90))+(EXP($B$5*B90))*$T$409*($B$4*EXP($B$5*B90)*B90)+($B$4*EXP($B$5*B90)*B90)*$S$410*(EXP($B$5*B90))+($B$4*EXP($B$5*B90)*B90)*$T$410*($B$4*EXP($B$5*B90)*B90))))</x:f>
      </x:c>
      <x:c r="I90" s="3"/>
      <x:c r="J90" s="10" t="n">
        <x:v>45941</x:v>
      </x:c>
      <x:c r="K90" s="8" t="n">
        <x:f>INDEX('Сводка'!$S$3:$S$397,U90)</x:f>
        <x:v>152</x:v>
      </x:c>
      <x:c r="L90" s="8" t="n">
        <x:f>INDEX('Сводка'!$S$3:$S$397,V90)</x:f>
        <x:v>163</x:v>
      </x:c>
      <x:c r="M90" s="8" t="n">
        <x:f>INDEX($K$388:$N$400,W90,1)*EXP(INDEX($K$388:$N$400,W90,2)*((J90-$T$405+1)/1000))</x:f>
        <x:v>192.14820495941117</x:v>
      </x:c>
      <x:c r="N90" s="8" t="n">
        <x:f>K90-M90</x:f>
        <x:v>-40.148204959411174</x:v>
      </x:c>
      <x:c r="O90" s="8" t="n">
        <x:f>ABS(N90)</x:f>
        <x:v>40.148204959411174</x:v>
      </x:c>
      <x:c r="P90" s="8" t="n">
        <x:f>N90^2</x:f>
        <x:v>1611.878361462888</x:v>
      </x:c>
      <x:c r="Q90" s="8" t="n">
        <x:f>K90-L90</x:f>
        <x:v>-11</x:v>
      </x:c>
      <x:c r="R90" s="9" t="n">
        <x:f>IF(AND(INDEX('Сводка'!$T$3:$T$397,U90)=0,INDEX('Сводка'!$T$3:$T$397,V90)=0),1,0)</x:f>
        <x:v>1</x:v>
      </x:c>
      <x:c r="S90" s="9" t="n">
        <x:f>IF(AND(R90=1,O90&lt;=$G$13),1,0)</x:f>
        <x:v>0</x:v>
      </x:c>
      <x:c r="T90" s="10" t="n">
        <x:f>EOMONTH(J90-'Сводка'!$B$11,-1)</x:f>
        <x:v>45930</x:v>
      </x:c>
      <x:c r="U90" s="4" t="n">
        <x:f>MATCH(J90,'Сводка'!$R$3:$R$397,0)</x:f>
        <x:v>101</x:v>
      </x:c>
      <x:c r="V90" s="4" t="n">
        <x:f>MATCH(J90-'Сводка'!$B$11,'Сводка'!$R$3:$R$397,0)</x:f>
        <x:v>100</x:v>
      </x:c>
      <x:c r="W90" s="4" t="n">
        <x:f>MATCH(T90,$J$388:$J$400,0)</x:f>
        <x:v>4</x:v>
      </x:c>
      <x:c r="X90" s="3"/>
      <x:c r="Y90" s="3"/>
      <x:c r="Z90" s="3"/>
    </x:row>
    <x:row r="91" ht="15" customHeight="1">
      <x:c r="A91" s="7" t="str">
        <x:f>IF(73&lt;='Сводка'!$B$3,'Сводка'!$B$4+73,"")</x:f>
      </x:c>
      <x:c r="B91" s="19" t="str">
        <x:f>IF($A91="","",(A91-$T$405+1)/1000)</x:f>
      </x:c>
      <x:c r="C91" s="19" t="str">
        <x:f>IF($A91="","",2*(A91-$T$405)/$T$406-1)</x:f>
      </x:c>
      <x:c r="D91" s="3" t="str">
        <x:f>IF($A91="","",$B$4*EXP($B$5*B91))</x:f>
      </x:c>
      <x:c r="E91" s="3" t="str">
        <x:f>IF($A91="","",SQRT($T$403^2+H91^2))</x:f>
      </x:c>
      <x:c r="F91" s="3" t="str">
        <x:f>IF($A91="","",D91-$T$404*E91)</x:f>
      </x:c>
      <x:c r="G91" s="3" t="str">
        <x:f>IF($A91="","",D91+$T$404*E91)</x:f>
      </x:c>
      <x:c r="H91" s="3" t="str">
        <x:f>IF($A91="","",SQRT(MAX(0,(EXP($B$5*B91))*$S$409*(EXP($B$5*B91))+(EXP($B$5*B91))*$T$409*($B$4*EXP($B$5*B91)*B91)+($B$4*EXP($B$5*B91)*B91)*$S$410*(EXP($B$5*B91))+($B$4*EXP($B$5*B91)*B91)*$T$410*($B$4*EXP($B$5*B91)*B91))))</x:f>
      </x:c>
      <x:c r="I91" s="3"/>
      <x:c r="J91" s="10" t="n">
        <x:v>45942</x:v>
      </x:c>
      <x:c r="K91" s="8" t="n">
        <x:f>INDEX('Сводка'!$S$3:$S$397,U91)</x:f>
        <x:v>138</x:v>
      </x:c>
      <x:c r="L91" s="8" t="n">
        <x:f>INDEX('Сводка'!$S$3:$S$397,V91)</x:f>
        <x:v>152</x:v>
      </x:c>
      <x:c r="M91" s="8" t="n">
        <x:f>INDEX($K$388:$N$400,W91,1)*EXP(INDEX($K$388:$N$400,W91,2)*((J91-$T$405+1)/1000))</x:f>
        <x:v>192.19861305925357</x:v>
      </x:c>
      <x:c r="N91" s="8" t="n">
        <x:f>K91-M91</x:f>
        <x:v>-54.198613059253574</x:v>
      </x:c>
      <x:c r="O91" s="8" t="n">
        <x:f>ABS(N91)</x:f>
        <x:v>54.198613059253574</x:v>
      </x:c>
      <x:c r="P91" s="8" t="n">
        <x:f>N91^2</x:f>
        <x:v>2937.489657546692</x:v>
      </x:c>
      <x:c r="Q91" s="8" t="n">
        <x:f>K91-L91</x:f>
        <x:v>-14</x:v>
      </x:c>
      <x:c r="R91" s="9" t="n">
        <x:f>IF(AND(INDEX('Сводка'!$T$3:$T$397,U91)=0,INDEX('Сводка'!$T$3:$T$397,V91)=0),1,0)</x:f>
        <x:v>1</x:v>
      </x:c>
      <x:c r="S91" s="9" t="n">
        <x:f>IF(AND(R91=1,O91&lt;=$G$13),1,0)</x:f>
        <x:v>0</x:v>
      </x:c>
      <x:c r="T91" s="10" t="n">
        <x:f>EOMONTH(J91-'Сводка'!$B$11,-1)</x:f>
        <x:v>45930</x:v>
      </x:c>
      <x:c r="U91" s="4" t="n">
        <x:f>MATCH(J91,'Сводка'!$R$3:$R$397,0)</x:f>
        <x:v>102</x:v>
      </x:c>
      <x:c r="V91" s="4" t="n">
        <x:f>MATCH(J91-'Сводка'!$B$11,'Сводка'!$R$3:$R$397,0)</x:f>
        <x:v>101</x:v>
      </x:c>
      <x:c r="W91" s="4" t="n">
        <x:f>MATCH(T91,$J$388:$J$400,0)</x:f>
        <x:v>4</x:v>
      </x:c>
      <x:c r="X91" s="3"/>
      <x:c r="Y91" s="3"/>
      <x:c r="Z91" s="3"/>
    </x:row>
    <x:row r="92" ht="15" customHeight="1">
      <x:c r="A92" s="7" t="str">
        <x:f>IF(74&lt;='Сводка'!$B$3,'Сводка'!$B$4+74,"")</x:f>
      </x:c>
      <x:c r="B92" s="19" t="str">
        <x:f>IF($A92="","",(A92-$T$405+1)/1000)</x:f>
      </x:c>
      <x:c r="C92" s="19" t="str">
        <x:f>IF($A92="","",2*(A92-$T$405)/$T$406-1)</x:f>
      </x:c>
      <x:c r="D92" s="3" t="str">
        <x:f>IF($A92="","",$B$4*EXP($B$5*B92))</x:f>
      </x:c>
      <x:c r="E92" s="3" t="str">
        <x:f>IF($A92="","",SQRT($T$403^2+H92^2))</x:f>
      </x:c>
      <x:c r="F92" s="3" t="str">
        <x:f>IF($A92="","",D92-$T$404*E92)</x:f>
      </x:c>
      <x:c r="G92" s="3" t="str">
        <x:f>IF($A92="","",D92+$T$404*E92)</x:f>
      </x:c>
      <x:c r="H92" s="3" t="str">
        <x:f>IF($A92="","",SQRT(MAX(0,(EXP($B$5*B92))*$S$409*(EXP($B$5*B92))+(EXP($B$5*B92))*$T$409*($B$4*EXP($B$5*B92)*B92)+($B$4*EXP($B$5*B92)*B92)*$S$410*(EXP($B$5*B92))+($B$4*EXP($B$5*B92)*B92)*$T$410*($B$4*EXP($B$5*B92)*B92))))</x:f>
      </x:c>
      <x:c r="I92" s="3"/>
      <x:c r="J92" s="10" t="n">
        <x:v>45943</x:v>
      </x:c>
      <x:c r="K92" s="8" t="n">
        <x:f>INDEX('Сводка'!$S$3:$S$397,U92)</x:f>
        <x:v>123</x:v>
      </x:c>
      <x:c r="L92" s="8" t="n">
        <x:f>INDEX('Сводка'!$S$3:$S$397,V92)</x:f>
        <x:v>138</x:v>
      </x:c>
      <x:c r="M92" s="8" t="n">
        <x:f>INDEX($K$388:$N$400,W92,1)*EXP(INDEX($K$388:$N$400,W92,2)*((J92-$T$405+1)/1000))</x:f>
        <x:v>192.24903438314112</x:v>
      </x:c>
      <x:c r="N92" s="8" t="n">
        <x:f>K92-M92</x:f>
        <x:v>-69.24903438314112</x:v>
      </x:c>
      <x:c r="O92" s="8" t="n">
        <x:f>ABS(N92)</x:f>
        <x:v>69.24903438314112</x:v>
      </x:c>
      <x:c r="P92" s="8" t="n">
        <x:f>N92^2</x:f>
        <x:v>4795.4287629974615</x:v>
      </x:c>
      <x:c r="Q92" s="8" t="n">
        <x:f>K92-L92</x:f>
        <x:v>-15</x:v>
      </x:c>
      <x:c r="R92" s="9" t="n">
        <x:f>IF(AND(INDEX('Сводка'!$T$3:$T$397,U92)=0,INDEX('Сводка'!$T$3:$T$397,V92)=0),1,0)</x:f>
        <x:v>1</x:v>
      </x:c>
      <x:c r="S92" s="9" t="n">
        <x:f>IF(AND(R92=1,O92&lt;=$G$13),1,0)</x:f>
        <x:v>0</x:v>
      </x:c>
      <x:c r="T92" s="10" t="n">
        <x:f>EOMONTH(J92-'Сводка'!$B$11,-1)</x:f>
        <x:v>45930</x:v>
      </x:c>
      <x:c r="U92" s="4" t="n">
        <x:f>MATCH(J92,'Сводка'!$R$3:$R$397,0)</x:f>
        <x:v>103</x:v>
      </x:c>
      <x:c r="V92" s="4" t="n">
        <x:f>MATCH(J92-'Сводка'!$B$11,'Сводка'!$R$3:$R$397,0)</x:f>
        <x:v>102</x:v>
      </x:c>
      <x:c r="W92" s="4" t="n">
        <x:f>MATCH(T92,$J$388:$J$400,0)</x:f>
        <x:v>4</x:v>
      </x:c>
      <x:c r="X92" s="3"/>
      <x:c r="Y92" s="3"/>
      <x:c r="Z92" s="3"/>
    </x:row>
    <x:row r="93" ht="15" customHeight="1">
      <x:c r="A93" s="7" t="str">
        <x:f>IF(75&lt;='Сводка'!$B$3,'Сводка'!$B$4+75,"")</x:f>
      </x:c>
      <x:c r="B93" s="19" t="str">
        <x:f>IF($A93="","",(A93-$T$405+1)/1000)</x:f>
      </x:c>
      <x:c r="C93" s="19" t="str">
        <x:f>IF($A93="","",2*(A93-$T$405)/$T$406-1)</x:f>
      </x:c>
      <x:c r="D93" s="3" t="str">
        <x:f>IF($A93="","",$B$4*EXP($B$5*B93))</x:f>
      </x:c>
      <x:c r="E93" s="3" t="str">
        <x:f>IF($A93="","",SQRT($T$403^2+H93^2))</x:f>
      </x:c>
      <x:c r="F93" s="3" t="str">
        <x:f>IF($A93="","",D93-$T$404*E93)</x:f>
      </x:c>
      <x:c r="G93" s="3" t="str">
        <x:f>IF($A93="","",D93+$T$404*E93)</x:f>
      </x:c>
      <x:c r="H93" s="3" t="str">
        <x:f>IF($A93="","",SQRT(MAX(0,(EXP($B$5*B93))*$S$409*(EXP($B$5*B93))+(EXP($B$5*B93))*$T$409*($B$4*EXP($B$5*B93)*B93)+($B$4*EXP($B$5*B93)*B93)*$S$410*(EXP($B$5*B93))+($B$4*EXP($B$5*B93)*B93)*$T$410*($B$4*EXP($B$5*B93)*B93))))</x:f>
      </x:c>
      <x:c r="I93" s="3"/>
      <x:c r="J93" s="10" t="n">
        <x:v>45944</x:v>
      </x:c>
      <x:c r="K93" s="8" t="n">
        <x:f>INDEX('Сводка'!$S$3:$S$397,U93)</x:f>
        <x:v>111</x:v>
      </x:c>
      <x:c r="L93" s="8" t="n">
        <x:f>INDEX('Сводка'!$S$3:$S$397,V93)</x:f>
        <x:v>123</x:v>
      </x:c>
      <x:c r="M93" s="8" t="n">
        <x:f>INDEX($K$388:$N$400,W93,1)*EXP(INDEX($K$388:$N$400,W93,2)*((J93-$T$405+1)/1000))</x:f>
        <x:v>192.29946893454294</x:v>
      </x:c>
      <x:c r="N93" s="8" t="n">
        <x:f>K93-M93</x:f>
        <x:v>-81.29946893454294</x:v>
      </x:c>
      <x:c r="O93" s="8" t="n">
        <x:f>ABS(N93)</x:f>
        <x:v>81.29946893454294</x:v>
      </x:c>
      <x:c r="P93" s="8" t="n">
        <x:f>N93^2</x:f>
        <x:v>6609.603649038713</x:v>
      </x:c>
      <x:c r="Q93" s="8" t="n">
        <x:f>K93-L93</x:f>
        <x:v>-12</x:v>
      </x:c>
      <x:c r="R93" s="9" t="n">
        <x:f>IF(AND(INDEX('Сводка'!$T$3:$T$397,U93)=0,INDEX('Сводка'!$T$3:$T$397,V93)=0),1,0)</x:f>
        <x:v>1</x:v>
      </x:c>
      <x:c r="S93" s="9" t="n">
        <x:f>IF(AND(R93=1,O93&lt;=$G$13),1,0)</x:f>
        <x:v>0</x:v>
      </x:c>
      <x:c r="T93" s="10" t="n">
        <x:f>EOMONTH(J93-'Сводка'!$B$11,-1)</x:f>
        <x:v>45930</x:v>
      </x:c>
      <x:c r="U93" s="4" t="n">
        <x:f>MATCH(J93,'Сводка'!$R$3:$R$397,0)</x:f>
        <x:v>104</x:v>
      </x:c>
      <x:c r="V93" s="4" t="n">
        <x:f>MATCH(J93-'Сводка'!$B$11,'Сводка'!$R$3:$R$397,0)</x:f>
        <x:v>103</x:v>
      </x:c>
      <x:c r="W93" s="4" t="n">
        <x:f>MATCH(T93,$J$388:$J$400,0)</x:f>
        <x:v>4</x:v>
      </x:c>
      <x:c r="X93" s="3"/>
      <x:c r="Y93" s="3"/>
      <x:c r="Z93" s="3"/>
    </x:row>
    <x:row r="94" ht="15" customHeight="1">
      <x:c r="A94" s="7" t="str">
        <x:f>IF(76&lt;='Сводка'!$B$3,'Сводка'!$B$4+76,"")</x:f>
      </x:c>
      <x:c r="B94" s="19" t="str">
        <x:f>IF($A94="","",(A94-$T$405+1)/1000)</x:f>
      </x:c>
      <x:c r="C94" s="19" t="str">
        <x:f>IF($A94="","",2*(A94-$T$405)/$T$406-1)</x:f>
      </x:c>
      <x:c r="D94" s="3" t="str">
        <x:f>IF($A94="","",$B$4*EXP($B$5*B94))</x:f>
      </x:c>
      <x:c r="E94" s="3" t="str">
        <x:f>IF($A94="","",SQRT($T$403^2+H94^2))</x:f>
      </x:c>
      <x:c r="F94" s="3" t="str">
        <x:f>IF($A94="","",D94-$T$404*E94)</x:f>
      </x:c>
      <x:c r="G94" s="3" t="str">
        <x:f>IF($A94="","",D94+$T$404*E94)</x:f>
      </x:c>
      <x:c r="H94" s="3" t="str">
        <x:f>IF($A94="","",SQRT(MAX(0,(EXP($B$5*B94))*$S$409*(EXP($B$5*B94))+(EXP($B$5*B94))*$T$409*($B$4*EXP($B$5*B94)*B94)+($B$4*EXP($B$5*B94)*B94)*$S$410*(EXP($B$5*B94))+($B$4*EXP($B$5*B94)*B94)*$T$410*($B$4*EXP($B$5*B94)*B94))))</x:f>
      </x:c>
      <x:c r="I94" s="3"/>
      <x:c r="J94" s="10" t="n">
        <x:v>45945</x:v>
      </x:c>
      <x:c r="K94" s="8" t="n">
        <x:f>INDEX('Сводка'!$S$3:$S$397,U94)</x:f>
        <x:v>100</x:v>
      </x:c>
      <x:c r="L94" s="8" t="n">
        <x:f>INDEX('Сводка'!$S$3:$S$397,V94)</x:f>
        <x:v>111</x:v>
      </x:c>
      <x:c r="M94" s="8" t="n">
        <x:f>INDEX($K$388:$N$400,W94,1)*EXP(INDEX($K$388:$N$400,W94,2)*((J94-$T$405+1)/1000))</x:f>
        <x:v>192.3499167169292</x:v>
      </x:c>
      <x:c r="N94" s="8" t="n">
        <x:f>K94-M94</x:f>
        <x:v>-92.34991671692919</x:v>
      </x:c>
      <x:c r="O94" s="8" t="n">
        <x:f>ABS(N94)</x:f>
        <x:v>92.34991671692919</x:v>
      </x:c>
      <x:c r="P94" s="8" t="n">
        <x:f>N94^2</x:f>
        <x:v>8528.507117623756</x:v>
      </x:c>
      <x:c r="Q94" s="8" t="n">
        <x:f>K94-L94</x:f>
        <x:v>-11</x:v>
      </x:c>
      <x:c r="R94" s="9" t="n">
        <x:f>IF(AND(INDEX('Сводка'!$T$3:$T$397,U94)=0,INDEX('Сводка'!$T$3:$T$397,V94)=0),1,0)</x:f>
        <x:v>1</x:v>
      </x:c>
      <x:c r="S94" s="9" t="n">
        <x:f>IF(AND(R94=1,O94&lt;=$G$13),1,0)</x:f>
        <x:v>0</x:v>
      </x:c>
      <x:c r="T94" s="10" t="n">
        <x:f>EOMONTH(J94-'Сводка'!$B$11,-1)</x:f>
        <x:v>45930</x:v>
      </x:c>
      <x:c r="U94" s="4" t="n">
        <x:f>MATCH(J94,'Сводка'!$R$3:$R$397,0)</x:f>
        <x:v>105</x:v>
      </x:c>
      <x:c r="V94" s="4" t="n">
        <x:f>MATCH(J94-'Сводка'!$B$11,'Сводка'!$R$3:$R$397,0)</x:f>
        <x:v>104</x:v>
      </x:c>
      <x:c r="W94" s="4" t="n">
        <x:f>MATCH(T94,$J$388:$J$400,0)</x:f>
        <x:v>4</x:v>
      </x:c>
      <x:c r="X94" s="3"/>
      <x:c r="Y94" s="3"/>
      <x:c r="Z94" s="3"/>
    </x:row>
    <x:row r="95" ht="15" customHeight="1">
      <x:c r="A95" s="7" t="str">
        <x:f>IF(77&lt;='Сводка'!$B$3,'Сводка'!$B$4+77,"")</x:f>
      </x:c>
      <x:c r="B95" s="19" t="str">
        <x:f>IF($A95="","",(A95-$T$405+1)/1000)</x:f>
      </x:c>
      <x:c r="C95" s="19" t="str">
        <x:f>IF($A95="","",2*(A95-$T$405)/$T$406-1)</x:f>
      </x:c>
      <x:c r="D95" s="3" t="str">
        <x:f>IF($A95="","",$B$4*EXP($B$5*B95))</x:f>
      </x:c>
      <x:c r="E95" s="3" t="str">
        <x:f>IF($A95="","",SQRT($T$403^2+H95^2))</x:f>
      </x:c>
      <x:c r="F95" s="3" t="str">
        <x:f>IF($A95="","",D95-$T$404*E95)</x:f>
      </x:c>
      <x:c r="G95" s="3" t="str">
        <x:f>IF($A95="","",D95+$T$404*E95)</x:f>
      </x:c>
      <x:c r="H95" s="3" t="str">
        <x:f>IF($A95="","",SQRT(MAX(0,(EXP($B$5*B95))*$S$409*(EXP($B$5*B95))+(EXP($B$5*B95))*$T$409*($B$4*EXP($B$5*B95)*B95)+($B$4*EXP($B$5*B95)*B95)*$S$410*(EXP($B$5*B95))+($B$4*EXP($B$5*B95)*B95)*$T$410*($B$4*EXP($B$5*B95)*B95))))</x:f>
      </x:c>
      <x:c r="I95" s="3"/>
      <x:c r="J95" s="10" t="n">
        <x:v>45946</x:v>
      </x:c>
      <x:c r="K95" s="8" t="n">
        <x:f>INDEX('Сводка'!$S$3:$S$397,U95)</x:f>
        <x:v>89</x:v>
      </x:c>
      <x:c r="L95" s="8" t="n">
        <x:f>INDEX('Сводка'!$S$3:$S$397,V95)</x:f>
        <x:v>100</x:v>
      </x:c>
      <x:c r="M95" s="8" t="n">
        <x:f>INDEX($K$388:$N$400,W95,1)*EXP(INDEX($K$388:$N$400,W95,2)*((J95-$T$405+1)/1000))</x:f>
        <x:v>192.40037773377082</x:v>
      </x:c>
      <x:c r="N95" s="8" t="n">
        <x:f>K95-M95</x:f>
        <x:v>-103.40037773377082</x:v>
      </x:c>
      <x:c r="O95" s="8" t="n">
        <x:f>ABS(N95)</x:f>
        <x:v>103.40037773377082</x:v>
      </x:c>
      <x:c r="P95" s="8" t="n">
        <x:f>N95^2</x:f>
        <x:v>10691.638115486488</x:v>
      </x:c>
      <x:c r="Q95" s="8" t="n">
        <x:f>K95-L95</x:f>
        <x:v>-11</x:v>
      </x:c>
      <x:c r="R95" s="9" t="n">
        <x:f>IF(AND(INDEX('Сводка'!$T$3:$T$397,U95)=0,INDEX('Сводка'!$T$3:$T$397,V95)=0),1,0)</x:f>
        <x:v>1</x:v>
      </x:c>
      <x:c r="S95" s="9" t="n">
        <x:f>IF(AND(R95=1,O95&lt;=$G$13),1,0)</x:f>
        <x:v>0</x:v>
      </x:c>
      <x:c r="T95" s="10" t="n">
        <x:f>EOMONTH(J95-'Сводка'!$B$11,-1)</x:f>
        <x:v>45930</x:v>
      </x:c>
      <x:c r="U95" s="4" t="n">
        <x:f>MATCH(J95,'Сводка'!$R$3:$R$397,0)</x:f>
        <x:v>106</x:v>
      </x:c>
      <x:c r="V95" s="4" t="n">
        <x:f>MATCH(J95-'Сводка'!$B$11,'Сводка'!$R$3:$R$397,0)</x:f>
        <x:v>105</x:v>
      </x:c>
      <x:c r="W95" s="4" t="n">
        <x:f>MATCH(T95,$J$388:$J$400,0)</x:f>
        <x:v>4</x:v>
      </x:c>
      <x:c r="X95" s="3"/>
      <x:c r="Y95" s="3"/>
      <x:c r="Z95" s="3"/>
    </x:row>
    <x:row r="96" ht="15" customHeight="1">
      <x:c r="A96" s="7" t="str">
        <x:f>IF(78&lt;='Сводка'!$B$3,'Сводка'!$B$4+78,"")</x:f>
      </x:c>
      <x:c r="B96" s="19" t="str">
        <x:f>IF($A96="","",(A96-$T$405+1)/1000)</x:f>
      </x:c>
      <x:c r="C96" s="19" t="str">
        <x:f>IF($A96="","",2*(A96-$T$405)/$T$406-1)</x:f>
      </x:c>
      <x:c r="D96" s="3" t="str">
        <x:f>IF($A96="","",$B$4*EXP($B$5*B96))</x:f>
      </x:c>
      <x:c r="E96" s="3" t="str">
        <x:f>IF($A96="","",SQRT($T$403^2+H96^2))</x:f>
      </x:c>
      <x:c r="F96" s="3" t="str">
        <x:f>IF($A96="","",D96-$T$404*E96)</x:f>
      </x:c>
      <x:c r="G96" s="3" t="str">
        <x:f>IF($A96="","",D96+$T$404*E96)</x:f>
      </x:c>
      <x:c r="H96" s="3" t="str">
        <x:f>IF($A96="","",SQRT(MAX(0,(EXP($B$5*B96))*$S$409*(EXP($B$5*B96))+(EXP($B$5*B96))*$T$409*($B$4*EXP($B$5*B96)*B96)+($B$4*EXP($B$5*B96)*B96)*$S$410*(EXP($B$5*B96))+($B$4*EXP($B$5*B96)*B96)*$T$410*($B$4*EXP($B$5*B96)*B96))))</x:f>
      </x:c>
      <x:c r="I96" s="3"/>
      <x:c r="J96" s="10" t="n">
        <x:v>45947</x:v>
      </x:c>
      <x:c r="K96" s="8" t="n">
        <x:f>INDEX('Сводка'!$S$3:$S$397,U96)</x:f>
        <x:v>79</x:v>
      </x:c>
      <x:c r="L96" s="8" t="n">
        <x:f>INDEX('Сводка'!$S$3:$S$397,V96)</x:f>
        <x:v>89</x:v>
      </x:c>
      <x:c r="M96" s="8" t="n">
        <x:f>INDEX($K$388:$N$400,W96,1)*EXP(INDEX($K$388:$N$400,W96,2)*((J96-$T$405+1)/1000))</x:f>
        <x:v>192.45085198853988</x:v>
      </x:c>
      <x:c r="N96" s="8" t="n">
        <x:f>K96-M96</x:f>
        <x:v>-113.45085198853988</x:v>
      </x:c>
      <x:c r="O96" s="8" t="n">
        <x:f>ABS(N96)</x:f>
        <x:v>113.45085198853988</x:v>
      </x:c>
      <x:c r="P96" s="8" t="n">
        <x:f>N96^2</x:f>
        <x:v>12871.095816925583</x:v>
      </x:c>
      <x:c r="Q96" s="8" t="n">
        <x:f>K96-L96</x:f>
        <x:v>-10</x:v>
      </x:c>
      <x:c r="R96" s="9" t="n">
        <x:f>IF(AND(INDEX('Сводка'!$T$3:$T$397,U96)=0,INDEX('Сводка'!$T$3:$T$397,V96)=0),1,0)</x:f>
        <x:v>1</x:v>
      </x:c>
      <x:c r="S96" s="9" t="n">
        <x:f>IF(AND(R96=1,O96&lt;=$G$13),1,0)</x:f>
        <x:v>0</x:v>
      </x:c>
      <x:c r="T96" s="10" t="n">
        <x:f>EOMONTH(J96-'Сводка'!$B$11,-1)</x:f>
        <x:v>45930</x:v>
      </x:c>
      <x:c r="U96" s="4" t="n">
        <x:f>MATCH(J96,'Сводка'!$R$3:$R$397,0)</x:f>
        <x:v>107</x:v>
      </x:c>
      <x:c r="V96" s="4" t="n">
        <x:f>MATCH(J96-'Сводка'!$B$11,'Сводка'!$R$3:$R$397,0)</x:f>
        <x:v>106</x:v>
      </x:c>
      <x:c r="W96" s="4" t="n">
        <x:f>MATCH(T96,$J$388:$J$400,0)</x:f>
        <x:v>4</x:v>
      </x:c>
      <x:c r="X96" s="3"/>
      <x:c r="Y96" s="3"/>
      <x:c r="Z96" s="3"/>
    </x:row>
    <x:row r="97" ht="15" customHeight="1">
      <x:c r="A97" s="7" t="str">
        <x:f>IF(79&lt;='Сводка'!$B$3,'Сводка'!$B$4+79,"")</x:f>
      </x:c>
      <x:c r="B97" s="19" t="str">
        <x:f>IF($A97="","",(A97-$T$405+1)/1000)</x:f>
      </x:c>
      <x:c r="C97" s="19" t="str">
        <x:f>IF($A97="","",2*(A97-$T$405)/$T$406-1)</x:f>
      </x:c>
      <x:c r="D97" s="3" t="str">
        <x:f>IF($A97="","",$B$4*EXP($B$5*B97))</x:f>
      </x:c>
      <x:c r="E97" s="3" t="str">
        <x:f>IF($A97="","",SQRT($T$403^2+H97^2))</x:f>
      </x:c>
      <x:c r="F97" s="3" t="str">
        <x:f>IF($A97="","",D97-$T$404*E97)</x:f>
      </x:c>
      <x:c r="G97" s="3" t="str">
        <x:f>IF($A97="","",D97+$T$404*E97)</x:f>
      </x:c>
      <x:c r="H97" s="3" t="str">
        <x:f>IF($A97="","",SQRT(MAX(0,(EXP($B$5*B97))*$S$409*(EXP($B$5*B97))+(EXP($B$5*B97))*$T$409*($B$4*EXP($B$5*B97)*B97)+($B$4*EXP($B$5*B97)*B97)*$S$410*(EXP($B$5*B97))+($B$4*EXP($B$5*B97)*B97)*$T$410*($B$4*EXP($B$5*B97)*B97))))</x:f>
      </x:c>
      <x:c r="I97" s="3"/>
      <x:c r="J97" s="10" t="n">
        <x:v>45948</x:v>
      </x:c>
      <x:c r="K97" s="8" t="n">
        <x:f>INDEX('Сводка'!$S$3:$S$397,U97)</x:f>
        <x:v>66</x:v>
      </x:c>
      <x:c r="L97" s="8" t="n">
        <x:f>INDEX('Сводка'!$S$3:$S$397,V97)</x:f>
        <x:v>79</x:v>
      </x:c>
      <x:c r="M97" s="8" t="n">
        <x:f>INDEX($K$388:$N$400,W97,1)*EXP(INDEX($K$388:$N$400,W97,2)*((J97-$T$405+1)/1000))</x:f>
        <x:v>192.50133948470895</x:v>
      </x:c>
      <x:c r="N97" s="8" t="n">
        <x:f>K97-M97</x:f>
        <x:v>-126.50133948470895</x:v>
      </x:c>
      <x:c r="O97" s="8" t="n">
        <x:f>ABS(N97)</x:f>
        <x:v>126.50133948470895</x:v>
      </x:c>
      <x:c r="P97" s="8" t="n">
        <x:f>N97^2</x:f>
        <x:v>16002.588891425583</x:v>
      </x:c>
      <x:c r="Q97" s="8" t="n">
        <x:f>K97-L97</x:f>
        <x:v>-13</x:v>
      </x:c>
      <x:c r="R97" s="9" t="n">
        <x:f>IF(AND(INDEX('Сводка'!$T$3:$T$397,U97)=0,INDEX('Сводка'!$T$3:$T$397,V97)=0),1,0)</x:f>
        <x:v>1</x:v>
      </x:c>
      <x:c r="S97" s="9" t="n">
        <x:f>IF(AND(R97=1,O97&lt;=$G$13),1,0)</x:f>
        <x:v>0</x:v>
      </x:c>
      <x:c r="T97" s="10" t="n">
        <x:f>EOMONTH(J97-'Сводка'!$B$11,-1)</x:f>
        <x:v>45930</x:v>
      </x:c>
      <x:c r="U97" s="4" t="n">
        <x:f>MATCH(J97,'Сводка'!$R$3:$R$397,0)</x:f>
        <x:v>108</x:v>
      </x:c>
      <x:c r="V97" s="4" t="n">
        <x:f>MATCH(J97-'Сводка'!$B$11,'Сводка'!$R$3:$R$397,0)</x:f>
        <x:v>107</x:v>
      </x:c>
      <x:c r="W97" s="4" t="n">
        <x:f>MATCH(T97,$J$388:$J$400,0)</x:f>
        <x:v>4</x:v>
      </x:c>
      <x:c r="X97" s="3"/>
      <x:c r="Y97" s="3"/>
      <x:c r="Z97" s="3"/>
    </x:row>
    <x:row r="98" ht="15" customHeight="1">
      <x:c r="A98" s="7" t="str">
        <x:f>IF(80&lt;='Сводка'!$B$3,'Сводка'!$B$4+80,"")</x:f>
      </x:c>
      <x:c r="B98" s="19" t="str">
        <x:f>IF($A98="","",(A98-$T$405+1)/1000)</x:f>
      </x:c>
      <x:c r="C98" s="19" t="str">
        <x:f>IF($A98="","",2*(A98-$T$405)/$T$406-1)</x:f>
      </x:c>
      <x:c r="D98" s="3" t="str">
        <x:f>IF($A98="","",$B$4*EXP($B$5*B98))</x:f>
      </x:c>
      <x:c r="E98" s="3" t="str">
        <x:f>IF($A98="","",SQRT($T$403^2+H98^2))</x:f>
      </x:c>
      <x:c r="F98" s="3" t="str">
        <x:f>IF($A98="","",D98-$T$404*E98)</x:f>
      </x:c>
      <x:c r="G98" s="3" t="str">
        <x:f>IF($A98="","",D98+$T$404*E98)</x:f>
      </x:c>
      <x:c r="H98" s="3" t="str">
        <x:f>IF($A98="","",SQRT(MAX(0,(EXP($B$5*B98))*$S$409*(EXP($B$5*B98))+(EXP($B$5*B98))*$T$409*($B$4*EXP($B$5*B98)*B98)+($B$4*EXP($B$5*B98)*B98)*$S$410*(EXP($B$5*B98))+($B$4*EXP($B$5*B98)*B98)*$T$410*($B$4*EXP($B$5*B98)*B98))))</x:f>
      </x:c>
      <x:c r="I98" s="3"/>
      <x:c r="J98" s="10" t="n">
        <x:v>45949</x:v>
      </x:c>
      <x:c r="K98" s="8" t="n">
        <x:f>INDEX('Сводка'!$S$3:$S$397,U98)</x:f>
        <x:v>56</x:v>
      </x:c>
      <x:c r="L98" s="8" t="n">
        <x:f>INDEX('Сводка'!$S$3:$S$397,V98)</x:f>
        <x:v>66</x:v>
      </x:c>
      <x:c r="M98" s="8" t="n">
        <x:f>INDEX($K$388:$N$400,W98,1)*EXP(INDEX($K$388:$N$400,W98,2)*((J98-$T$405+1)/1000))</x:f>
        <x:v>192.551840225752</x:v>
      </x:c>
      <x:c r="N98" s="8" t="n">
        <x:f>K98-M98</x:f>
        <x:v>-136.551840225752</x:v>
      </x:c>
      <x:c r="O98" s="8" t="n">
        <x:f>ABS(N98)</x:f>
        <x:v>136.551840225752</x:v>
      </x:c>
      <x:c r="P98" s="8" t="n">
        <x:f>N98^2</x:f>
        <x:v>18646.405069039298</x:v>
      </x:c>
      <x:c r="Q98" s="8" t="n">
        <x:f>K98-L98</x:f>
        <x:v>-10</x:v>
      </x:c>
      <x:c r="R98" s="9" t="n">
        <x:f>IF(AND(INDEX('Сводка'!$T$3:$T$397,U98)=0,INDEX('Сводка'!$T$3:$T$397,V98)=0),1,0)</x:f>
        <x:v>1</x:v>
      </x:c>
      <x:c r="S98" s="9" t="n">
        <x:f>IF(AND(R98=1,O98&lt;=$G$13),1,0)</x:f>
        <x:v>0</x:v>
      </x:c>
      <x:c r="T98" s="10" t="n">
        <x:f>EOMONTH(J98-'Сводка'!$B$11,-1)</x:f>
        <x:v>45930</x:v>
      </x:c>
      <x:c r="U98" s="4" t="n">
        <x:f>MATCH(J98,'Сводка'!$R$3:$R$397,0)</x:f>
        <x:v>109</x:v>
      </x:c>
      <x:c r="V98" s="4" t="n">
        <x:f>MATCH(J98-'Сводка'!$B$11,'Сводка'!$R$3:$R$397,0)</x:f>
        <x:v>108</x:v>
      </x:c>
      <x:c r="W98" s="4" t="n">
        <x:f>MATCH(T98,$J$388:$J$400,0)</x:f>
        <x:v>4</x:v>
      </x:c>
      <x:c r="X98" s="3"/>
      <x:c r="Y98" s="3"/>
      <x:c r="Z98" s="3"/>
    </x:row>
    <x:row r="99" ht="15" customHeight="1">
      <x:c r="A99" s="7" t="str">
        <x:f>IF(81&lt;='Сводка'!$B$3,'Сводка'!$B$4+81,"")</x:f>
      </x:c>
      <x:c r="B99" s="19" t="str">
        <x:f>IF($A99="","",(A99-$T$405+1)/1000)</x:f>
      </x:c>
      <x:c r="C99" s="19" t="str">
        <x:f>IF($A99="","",2*(A99-$T$405)/$T$406-1)</x:f>
      </x:c>
      <x:c r="D99" s="3" t="str">
        <x:f>IF($A99="","",$B$4*EXP($B$5*B99))</x:f>
      </x:c>
      <x:c r="E99" s="3" t="str">
        <x:f>IF($A99="","",SQRT($T$403^2+H99^2))</x:f>
      </x:c>
      <x:c r="F99" s="3" t="str">
        <x:f>IF($A99="","",D99-$T$404*E99)</x:f>
      </x:c>
      <x:c r="G99" s="3" t="str">
        <x:f>IF($A99="","",D99+$T$404*E99)</x:f>
      </x:c>
      <x:c r="H99" s="3" t="str">
        <x:f>IF($A99="","",SQRT(MAX(0,(EXP($B$5*B99))*$S$409*(EXP($B$5*B99))+(EXP($B$5*B99))*$T$409*($B$4*EXP($B$5*B99)*B99)+($B$4*EXP($B$5*B99)*B99)*$S$410*(EXP($B$5*B99))+($B$4*EXP($B$5*B99)*B99)*$T$410*($B$4*EXP($B$5*B99)*B99))))</x:f>
      </x:c>
      <x:c r="I99" s="3"/>
      <x:c r="J99" s="10" t="n">
        <x:v>45950</x:v>
      </x:c>
      <x:c r="K99" s="8" t="n">
        <x:f>INDEX('Сводка'!$S$3:$S$397,U99)</x:f>
        <x:v>46</x:v>
      </x:c>
      <x:c r="L99" s="8" t="n">
        <x:f>INDEX('Сводка'!$S$3:$S$397,V99)</x:f>
        <x:v>56</x:v>
      </x:c>
      <x:c r="M99" s="8" t="n">
        <x:f>INDEX($K$388:$N$400,W99,1)*EXP(INDEX($K$388:$N$400,W99,2)*((J99-$T$405+1)/1000))</x:f>
        <x:v>192.60235421514375</x:v>
      </x:c>
      <x:c r="N99" s="8" t="n">
        <x:f>K99-M99</x:f>
        <x:v>-146.60235421514375</x:v>
      </x:c>
      <x:c r="O99" s="8" t="n">
        <x:f>ABS(N99)</x:f>
        <x:v>146.60235421514375</x:v>
      </x:c>
      <x:c r="P99" s="8" t="n">
        <x:f>N99^2</x:f>
        <x:v>21492.250261422476</x:v>
      </x:c>
      <x:c r="Q99" s="8" t="n">
        <x:f>K99-L99</x:f>
        <x:v>-10</x:v>
      </x:c>
      <x:c r="R99" s="9" t="n">
        <x:f>IF(AND(INDEX('Сводка'!$T$3:$T$397,U99)=0,INDEX('Сводка'!$T$3:$T$397,V99)=0),1,0)</x:f>
        <x:v>1</x:v>
      </x:c>
      <x:c r="S99" s="9" t="n">
        <x:f>IF(AND(R99=1,O99&lt;=$G$13),1,0)</x:f>
        <x:v>0</x:v>
      </x:c>
      <x:c r="T99" s="10" t="n">
        <x:f>EOMONTH(J99-'Сводка'!$B$11,-1)</x:f>
        <x:v>45930</x:v>
      </x:c>
      <x:c r="U99" s="4" t="n">
        <x:f>MATCH(J99,'Сводка'!$R$3:$R$397,0)</x:f>
        <x:v>110</x:v>
      </x:c>
      <x:c r="V99" s="4" t="n">
        <x:f>MATCH(J99-'Сводка'!$B$11,'Сводка'!$R$3:$R$397,0)</x:f>
        <x:v>109</x:v>
      </x:c>
      <x:c r="W99" s="4" t="n">
        <x:f>MATCH(T99,$J$388:$J$400,0)</x:f>
        <x:v>4</x:v>
      </x:c>
      <x:c r="X99" s="3"/>
      <x:c r="Y99" s="3"/>
      <x:c r="Z99" s="3"/>
    </x:row>
    <x:row r="100" ht="15" customHeight="1">
      <x:c r="A100" s="7" t="str">
        <x:f>IF(82&lt;='Сводка'!$B$3,'Сводка'!$B$4+82,"")</x:f>
      </x:c>
      <x:c r="B100" s="19" t="str">
        <x:f>IF($A100="","",(A100-$T$405+1)/1000)</x:f>
      </x:c>
      <x:c r="C100" s="19" t="str">
        <x:f>IF($A100="","",2*(A100-$T$405)/$T$406-1)</x:f>
      </x:c>
      <x:c r="D100" s="3" t="str">
        <x:f>IF($A100="","",$B$4*EXP($B$5*B100))</x:f>
      </x:c>
      <x:c r="E100" s="3" t="str">
        <x:f>IF($A100="","",SQRT($T$403^2+H100^2))</x:f>
      </x:c>
      <x:c r="F100" s="3" t="str">
        <x:f>IF($A100="","",D100-$T$404*E100)</x:f>
      </x:c>
      <x:c r="G100" s="3" t="str">
        <x:f>IF($A100="","",D100+$T$404*E100)</x:f>
      </x:c>
      <x:c r="H100" s="3" t="str">
        <x:f>IF($A100="","",SQRT(MAX(0,(EXP($B$5*B100))*$S$409*(EXP($B$5*B100))+(EXP($B$5*B100))*$T$409*($B$4*EXP($B$5*B100)*B100)+($B$4*EXP($B$5*B100)*B100)*$S$410*(EXP($B$5*B100))+($B$4*EXP($B$5*B100)*B100)*$T$410*($B$4*EXP($B$5*B100)*B100))))</x:f>
      </x:c>
      <x:c r="I100" s="3"/>
      <x:c r="J100" s="10" t="n">
        <x:v>45951</x:v>
      </x:c>
      <x:c r="K100" s="8" t="n">
        <x:f>INDEX('Сводка'!$S$3:$S$397,U100)</x:f>
        <x:v>36</x:v>
      </x:c>
      <x:c r="L100" s="8" t="n">
        <x:f>INDEX('Сводка'!$S$3:$S$397,V100)</x:f>
        <x:v>46</x:v>
      </x:c>
      <x:c r="M100" s="8" t="n">
        <x:f>INDEX($K$388:$N$400,W100,1)*EXP(INDEX($K$388:$N$400,W100,2)*((J100-$T$405+1)/1000))</x:f>
        <x:v>192.6528814563595</x:v>
      </x:c>
      <x:c r="N100" s="8" t="n">
        <x:f>K100-M100</x:f>
        <x:v>-156.6528814563595</x:v>
      </x:c>
      <x:c r="O100" s="8" t="n">
        <x:f>ABS(N100)</x:f>
        <x:v>156.6528814563595</x:v>
      </x:c>
      <x:c r="P100" s="8" t="n">
        <x:f>N100^2</x:f>
        <x:v>24540.12526858022</x:v>
      </x:c>
      <x:c r="Q100" s="8" t="n">
        <x:f>K100-L100</x:f>
        <x:v>-10</x:v>
      </x:c>
      <x:c r="R100" s="9" t="n">
        <x:f>IF(AND(INDEX('Сводка'!$T$3:$T$397,U100)=0,INDEX('Сводка'!$T$3:$T$397,V100)=0),1,0)</x:f>
        <x:v>1</x:v>
      </x:c>
      <x:c r="S100" s="9" t="n">
        <x:f>IF(AND(R100=1,O100&lt;=$G$13),1,0)</x:f>
        <x:v>0</x:v>
      </x:c>
      <x:c r="T100" s="10" t="n">
        <x:f>EOMONTH(J100-'Сводка'!$B$11,-1)</x:f>
        <x:v>45930</x:v>
      </x:c>
      <x:c r="U100" s="4" t="n">
        <x:f>MATCH(J100,'Сводка'!$R$3:$R$397,0)</x:f>
        <x:v>111</x:v>
      </x:c>
      <x:c r="V100" s="4" t="n">
        <x:f>MATCH(J100-'Сводка'!$B$11,'Сводка'!$R$3:$R$397,0)</x:f>
        <x:v>110</x:v>
      </x:c>
      <x:c r="W100" s="4" t="n">
        <x:f>MATCH(T100,$J$388:$J$400,0)</x:f>
        <x:v>4</x:v>
      </x:c>
      <x:c r="X100" s="3"/>
      <x:c r="Y100" s="3"/>
      <x:c r="Z100" s="3"/>
    </x:row>
    <x:row r="101" ht="15" customHeight="1">
      <x:c r="A101" s="7" t="str">
        <x:f>IF(83&lt;='Сводка'!$B$3,'Сводка'!$B$4+83,"")</x:f>
      </x:c>
      <x:c r="B101" s="19" t="str">
        <x:f>IF($A101="","",(A101-$T$405+1)/1000)</x:f>
      </x:c>
      <x:c r="C101" s="19" t="str">
        <x:f>IF($A101="","",2*(A101-$T$405)/$T$406-1)</x:f>
      </x:c>
      <x:c r="D101" s="3" t="str">
        <x:f>IF($A101="","",$B$4*EXP($B$5*B101))</x:f>
      </x:c>
      <x:c r="E101" s="3" t="str">
        <x:f>IF($A101="","",SQRT($T$403^2+H101^2))</x:f>
      </x:c>
      <x:c r="F101" s="3" t="str">
        <x:f>IF($A101="","",D101-$T$404*E101)</x:f>
      </x:c>
      <x:c r="G101" s="3" t="str">
        <x:f>IF($A101="","",D101+$T$404*E101)</x:f>
      </x:c>
      <x:c r="H101" s="3" t="str">
        <x:f>IF($A101="","",SQRT(MAX(0,(EXP($B$5*B101))*$S$409*(EXP($B$5*B101))+(EXP($B$5*B101))*$T$409*($B$4*EXP($B$5*B101)*B101)+($B$4*EXP($B$5*B101)*B101)*$S$410*(EXP($B$5*B101))+($B$4*EXP($B$5*B101)*B101)*$T$410*($B$4*EXP($B$5*B101)*B101))))</x:f>
      </x:c>
      <x:c r="I101" s="3"/>
      <x:c r="J101" s="10" t="n">
        <x:v>45952</x:v>
      </x:c>
      <x:c r="K101" s="8" t="n">
        <x:f>INDEX('Сводка'!$S$3:$S$397,U101)</x:f>
        <x:v>30</x:v>
      </x:c>
      <x:c r="L101" s="8" t="n">
        <x:f>INDEX('Сводка'!$S$3:$S$397,V101)</x:f>
        <x:v>36</x:v>
      </x:c>
      <x:c r="M101" s="8" t="n">
        <x:f>INDEX($K$388:$N$400,W101,1)*EXP(INDEX($K$388:$N$400,W101,2)*((J101-$T$405+1)/1000))</x:f>
        <x:v>192.70342195287583</x:v>
      </x:c>
      <x:c r="N101" s="8" t="n">
        <x:f>K101-M101</x:f>
        <x:v>-162.70342195287583</x:v>
      </x:c>
      <x:c r="O101" s="8" t="n">
        <x:f>ABS(N101)</x:f>
        <x:v>162.70342195287583</x:v>
      </x:c>
      <x:c r="P101" s="8" t="n">
        <x:f>N101^2</x:f>
        <x:v>26472.403515175556</x:v>
      </x:c>
      <x:c r="Q101" s="8" t="n">
        <x:f>K101-L101</x:f>
        <x:v>-6</x:v>
      </x:c>
      <x:c r="R101" s="9" t="n">
        <x:f>IF(AND(INDEX('Сводка'!$T$3:$T$397,U101)=0,INDEX('Сводка'!$T$3:$T$397,V101)=0),1,0)</x:f>
        <x:v>1</x:v>
      </x:c>
      <x:c r="S101" s="9" t="n">
        <x:f>IF(AND(R101=1,O101&lt;=$G$13),1,0)</x:f>
        <x:v>0</x:v>
      </x:c>
      <x:c r="T101" s="10" t="n">
        <x:f>EOMONTH(J101-'Сводка'!$B$11,-1)</x:f>
        <x:v>45930</x:v>
      </x:c>
      <x:c r="U101" s="4" t="n">
        <x:f>MATCH(J101,'Сводка'!$R$3:$R$397,0)</x:f>
        <x:v>112</x:v>
      </x:c>
      <x:c r="V101" s="4" t="n">
        <x:f>MATCH(J101-'Сводка'!$B$11,'Сводка'!$R$3:$R$397,0)</x:f>
        <x:v>111</x:v>
      </x:c>
      <x:c r="W101" s="4" t="n">
        <x:f>MATCH(T101,$J$388:$J$400,0)</x:f>
        <x:v>4</x:v>
      </x:c>
      <x:c r="X101" s="3"/>
      <x:c r="Y101" s="3"/>
      <x:c r="Z101" s="3"/>
    </x:row>
    <x:row r="102" ht="15" customHeight="1">
      <x:c r="A102" s="7" t="str">
        <x:f>IF(84&lt;='Сводка'!$B$3,'Сводка'!$B$4+84,"")</x:f>
      </x:c>
      <x:c r="B102" s="19" t="str">
        <x:f>IF($A102="","",(A102-$T$405+1)/1000)</x:f>
      </x:c>
      <x:c r="C102" s="19" t="str">
        <x:f>IF($A102="","",2*(A102-$T$405)/$T$406-1)</x:f>
      </x:c>
      <x:c r="D102" s="3" t="str">
        <x:f>IF($A102="","",$B$4*EXP($B$5*B102))</x:f>
      </x:c>
      <x:c r="E102" s="3" t="str">
        <x:f>IF($A102="","",SQRT($T$403^2+H102^2))</x:f>
      </x:c>
      <x:c r="F102" s="3" t="str">
        <x:f>IF($A102="","",D102-$T$404*E102)</x:f>
      </x:c>
      <x:c r="G102" s="3" t="str">
        <x:f>IF($A102="","",D102+$T$404*E102)</x:f>
      </x:c>
      <x:c r="H102" s="3" t="str">
        <x:f>IF($A102="","",SQRT(MAX(0,(EXP($B$5*B102))*$S$409*(EXP($B$5*B102))+(EXP($B$5*B102))*$T$409*($B$4*EXP($B$5*B102)*B102)+($B$4*EXP($B$5*B102)*B102)*$S$410*(EXP($B$5*B102))+($B$4*EXP($B$5*B102)*B102)*$T$410*($B$4*EXP($B$5*B102)*B102))))</x:f>
      </x:c>
      <x:c r="I102" s="3"/>
      <x:c r="J102" s="10" t="n">
        <x:v>45953</x:v>
      </x:c>
      <x:c r="K102" s="8" t="n">
        <x:f>INDEX('Сводка'!$S$3:$S$397,U102)</x:f>
        <x:v>19</x:v>
      </x:c>
      <x:c r="L102" s="8" t="n">
        <x:f>INDEX('Сводка'!$S$3:$S$397,V102)</x:f>
        <x:v>30</x:v>
      </x:c>
      <x:c r="M102" s="8" t="n">
        <x:f>INDEX($K$388:$N$400,W102,1)*EXP(INDEX($K$388:$N$400,W102,2)*((J102-$T$405+1)/1000))</x:f>
        <x:v>192.7539757081702</x:v>
      </x:c>
      <x:c r="N102" s="8" t="n">
        <x:f>K102-M102</x:f>
        <x:v>-173.7539757081702</x:v>
      </x:c>
      <x:c r="O102" s="8" t="n">
        <x:f>ABS(N102)</x:f>
        <x:v>173.7539757081702</x:v>
      </x:c>
      <x:c r="P102" s="8" t="n">
        <x:f>N102^2</x:f>
        <x:v>30190.4440743954</x:v>
      </x:c>
      <x:c r="Q102" s="8" t="n">
        <x:f>K102-L102</x:f>
        <x:v>-11</x:v>
      </x:c>
      <x:c r="R102" s="9" t="n">
        <x:f>IF(AND(INDEX('Сводка'!$T$3:$T$397,U102)=0,INDEX('Сводка'!$T$3:$T$397,V102)=0),1,0)</x:f>
        <x:v>1</x:v>
      </x:c>
      <x:c r="S102" s="9" t="n">
        <x:f>IF(AND(R102=1,O102&lt;=$G$13),1,0)</x:f>
        <x:v>0</x:v>
      </x:c>
      <x:c r="T102" s="10" t="n">
        <x:f>EOMONTH(J102-'Сводка'!$B$11,-1)</x:f>
        <x:v>45930</x:v>
      </x:c>
      <x:c r="U102" s="4" t="n">
        <x:f>MATCH(J102,'Сводка'!$R$3:$R$397,0)</x:f>
        <x:v>113</x:v>
      </x:c>
      <x:c r="V102" s="4" t="n">
        <x:f>MATCH(J102-'Сводка'!$B$11,'Сводка'!$R$3:$R$397,0)</x:f>
        <x:v>112</x:v>
      </x:c>
      <x:c r="W102" s="4" t="n">
        <x:f>MATCH(T102,$J$388:$J$400,0)</x:f>
        <x:v>4</x:v>
      </x:c>
      <x:c r="X102" s="3"/>
      <x:c r="Y102" s="3"/>
      <x:c r="Z102" s="3"/>
    </x:row>
    <x:row r="103" ht="15" customHeight="1">
      <x:c r="A103" s="7" t="str">
        <x:f>IF(85&lt;='Сводка'!$B$3,'Сводка'!$B$4+85,"")</x:f>
      </x:c>
      <x:c r="B103" s="19" t="str">
        <x:f>IF($A103="","",(A103-$T$405+1)/1000)</x:f>
      </x:c>
      <x:c r="C103" s="19" t="str">
        <x:f>IF($A103="","",2*(A103-$T$405)/$T$406-1)</x:f>
      </x:c>
      <x:c r="D103" s="3" t="str">
        <x:f>IF($A103="","",$B$4*EXP($B$5*B103))</x:f>
      </x:c>
      <x:c r="E103" s="3" t="str">
        <x:f>IF($A103="","",SQRT($T$403^2+H103^2))</x:f>
      </x:c>
      <x:c r="F103" s="3" t="str">
        <x:f>IF($A103="","",D103-$T$404*E103)</x:f>
      </x:c>
      <x:c r="G103" s="3" t="str">
        <x:f>IF($A103="","",D103+$T$404*E103)</x:f>
      </x:c>
      <x:c r="H103" s="3" t="str">
        <x:f>IF($A103="","",SQRT(MAX(0,(EXP($B$5*B103))*$S$409*(EXP($B$5*B103))+(EXP($B$5*B103))*$T$409*($B$4*EXP($B$5*B103)*B103)+($B$4*EXP($B$5*B103)*B103)*$S$410*(EXP($B$5*B103))+($B$4*EXP($B$5*B103)*B103)*$T$410*($B$4*EXP($B$5*B103)*B103))))</x:f>
      </x:c>
      <x:c r="I103" s="3"/>
      <x:c r="J103" s="10" t="n">
        <x:v>45954</x:v>
      </x:c>
      <x:c r="K103" s="8" t="n">
        <x:f>INDEX('Сводка'!$S$3:$S$397,U103)</x:f>
        <x:v>12</x:v>
      </x:c>
      <x:c r="L103" s="8" t="n">
        <x:f>INDEX('Сводка'!$S$3:$S$397,V103)</x:f>
        <x:v>19</x:v>
      </x:c>
      <x:c r="M103" s="8" t="n">
        <x:f>INDEX($K$388:$N$400,W103,1)*EXP(INDEX($K$388:$N$400,W103,2)*((J103-$T$405+1)/1000))</x:f>
        <x:v>192.80454272572103</x:v>
      </x:c>
      <x:c r="N103" s="8" t="n">
        <x:f>K103-M103</x:f>
        <x:v>-180.80454272572103</x:v>
      </x:c>
      <x:c r="O103" s="8" t="n">
        <x:f>ABS(N103)</x:f>
        <x:v>180.80454272572103</x:v>
      </x:c>
      <x:c r="P103" s="8" t="n">
        <x:f>N103^2</x:f>
        <x:v>32690.282670257082</x:v>
      </x:c>
      <x:c r="Q103" s="8" t="n">
        <x:f>K103-L103</x:f>
        <x:v>-7</x:v>
      </x:c>
      <x:c r="R103" s="9" t="n">
        <x:f>IF(AND(INDEX('Сводка'!$T$3:$T$397,U103)=0,INDEX('Сводка'!$T$3:$T$397,V103)=0),1,0)</x:f>
        <x:v>1</x:v>
      </x:c>
      <x:c r="S103" s="9" t="n">
        <x:f>IF(AND(R103=1,O103&lt;=$G$13),1,0)</x:f>
        <x:v>0</x:v>
      </x:c>
      <x:c r="T103" s="10" t="n">
        <x:f>EOMONTH(J103-'Сводка'!$B$11,-1)</x:f>
        <x:v>45930</x:v>
      </x:c>
      <x:c r="U103" s="4" t="n">
        <x:f>MATCH(J103,'Сводка'!$R$3:$R$397,0)</x:f>
        <x:v>114</x:v>
      </x:c>
      <x:c r="V103" s="4" t="n">
        <x:f>MATCH(J103-'Сводка'!$B$11,'Сводка'!$R$3:$R$397,0)</x:f>
        <x:v>113</x:v>
      </x:c>
      <x:c r="W103" s="4" t="n">
        <x:f>MATCH(T103,$J$388:$J$400,0)</x:f>
        <x:v>4</x:v>
      </x:c>
      <x:c r="X103" s="3"/>
      <x:c r="Y103" s="3"/>
      <x:c r="Z103" s="3"/>
    </x:row>
    <x:row r="104" ht="15" customHeight="1">
      <x:c r="A104" s="7" t="str">
        <x:f>IF(86&lt;='Сводка'!$B$3,'Сводка'!$B$4+86,"")</x:f>
      </x:c>
      <x:c r="B104" s="19" t="str">
        <x:f>IF($A104="","",(A104-$T$405+1)/1000)</x:f>
      </x:c>
      <x:c r="C104" s="19" t="str">
        <x:f>IF($A104="","",2*(A104-$T$405)/$T$406-1)</x:f>
      </x:c>
      <x:c r="D104" s="3" t="str">
        <x:f>IF($A104="","",$B$4*EXP($B$5*B104))</x:f>
      </x:c>
      <x:c r="E104" s="3" t="str">
        <x:f>IF($A104="","",SQRT($T$403^2+H104^2))</x:f>
      </x:c>
      <x:c r="F104" s="3" t="str">
        <x:f>IF($A104="","",D104-$T$404*E104)</x:f>
      </x:c>
      <x:c r="G104" s="3" t="str">
        <x:f>IF($A104="","",D104+$T$404*E104)</x:f>
      </x:c>
      <x:c r="H104" s="3" t="str">
        <x:f>IF($A104="","",SQRT(MAX(0,(EXP($B$5*B104))*$S$409*(EXP($B$5*B104))+(EXP($B$5*B104))*$T$409*($B$4*EXP($B$5*B104)*B104)+($B$4*EXP($B$5*B104)*B104)*$S$410*(EXP($B$5*B104))+($B$4*EXP($B$5*B104)*B104)*$T$410*($B$4*EXP($B$5*B104)*B104))))</x:f>
      </x:c>
      <x:c r="I104" s="3"/>
      <x:c r="J104" s="10" t="n">
        <x:v>45955</x:v>
      </x:c>
      <x:c r="K104" s="8" t="n">
        <x:f>INDEX('Сводка'!$S$3:$S$397,U104)</x:f>
        <x:v>5</x:v>
      </x:c>
      <x:c r="L104" s="8" t="n">
        <x:f>INDEX('Сводка'!$S$3:$S$397,V104)</x:f>
        <x:v>12</x:v>
      </x:c>
      <x:c r="M104" s="8" t="n">
        <x:f>INDEX($K$388:$N$400,W104,1)*EXP(INDEX($K$388:$N$400,W104,2)*((J104-$T$405+1)/1000))</x:f>
        <x:v>192.85512300900726</x:v>
      </x:c>
      <x:c r="N104" s="8" t="n">
        <x:f>K104-M104</x:f>
        <x:v>-187.85512300900726</x:v>
      </x:c>
      <x:c r="O104" s="8" t="n">
        <x:f>ABS(N104)</x:f>
        <x:v>187.85512300900726</x:v>
      </x:c>
      <x:c r="P104" s="8" t="n">
        <x:f>N104^2</x:f>
        <x:v>35289.54724072925</x:v>
      </x:c>
      <x:c r="Q104" s="8" t="n">
        <x:f>K104-L104</x:f>
        <x:v>-7</x:v>
      </x:c>
      <x:c r="R104" s="9" t="n">
        <x:f>IF(AND(INDEX('Сводка'!$T$3:$T$397,U104)=0,INDEX('Сводка'!$T$3:$T$397,V104)=0),1,0)</x:f>
        <x:v>1</x:v>
      </x:c>
      <x:c r="S104" s="9" t="n">
        <x:f>IF(AND(R104=1,O104&lt;=$G$13),1,0)</x:f>
        <x:v>0</x:v>
      </x:c>
      <x:c r="T104" s="10" t="n">
        <x:f>EOMONTH(J104-'Сводка'!$B$11,-1)</x:f>
        <x:v>45930</x:v>
      </x:c>
      <x:c r="U104" s="4" t="n">
        <x:f>MATCH(J104,'Сводка'!$R$3:$R$397,0)</x:f>
        <x:v>115</x:v>
      </x:c>
      <x:c r="V104" s="4" t="n">
        <x:f>MATCH(J104-'Сводка'!$B$11,'Сводка'!$R$3:$R$397,0)</x:f>
        <x:v>114</x:v>
      </x:c>
      <x:c r="W104" s="4" t="n">
        <x:f>MATCH(T104,$J$388:$J$400,0)</x:f>
        <x:v>4</x:v>
      </x:c>
      <x:c r="X104" s="3"/>
      <x:c r="Y104" s="3"/>
      <x:c r="Z104" s="3"/>
    </x:row>
    <x:row r="105" ht="15" customHeight="1">
      <x:c r="A105" s="7" t="str">
        <x:f>IF(87&lt;='Сводка'!$B$3,'Сводка'!$B$4+87,"")</x:f>
      </x:c>
      <x:c r="B105" s="19" t="str">
        <x:f>IF($A105="","",(A105-$T$405+1)/1000)</x:f>
      </x:c>
      <x:c r="C105" s="19" t="str">
        <x:f>IF($A105="","",2*(A105-$T$405)/$T$406-1)</x:f>
      </x:c>
      <x:c r="D105" s="3" t="str">
        <x:f>IF($A105="","",$B$4*EXP($B$5*B105))</x:f>
      </x:c>
      <x:c r="E105" s="3" t="str">
        <x:f>IF($A105="","",SQRT($T$403^2+H105^2))</x:f>
      </x:c>
      <x:c r="F105" s="3" t="str">
        <x:f>IF($A105="","",D105-$T$404*E105)</x:f>
      </x:c>
      <x:c r="G105" s="3" t="str">
        <x:f>IF($A105="","",D105+$T$404*E105)</x:f>
      </x:c>
      <x:c r="H105" s="3" t="str">
        <x:f>IF($A105="","",SQRT(MAX(0,(EXP($B$5*B105))*$S$409*(EXP($B$5*B105))+(EXP($B$5*B105))*$T$409*($B$4*EXP($B$5*B105)*B105)+($B$4*EXP($B$5*B105)*B105)*$S$410*(EXP($B$5*B105))+($B$4*EXP($B$5*B105)*B105)*$T$410*($B$4*EXP($B$5*B105)*B105))))</x:f>
      </x:c>
      <x:c r="I105" s="3"/>
      <x:c r="J105" s="10" t="n">
        <x:v>45956</x:v>
      </x:c>
      <x:c r="K105" s="8" t="n">
        <x:f>INDEX('Сводка'!$S$3:$S$397,U105)</x:f>
        <x:v>-1</x:v>
      </x:c>
      <x:c r="L105" s="8" t="n">
        <x:f>INDEX('Сводка'!$S$3:$S$397,V105)</x:f>
        <x:v>5</x:v>
      </x:c>
      <x:c r="M105" s="8" t="n">
        <x:f>INDEX($K$388:$N$400,W105,1)*EXP(INDEX($K$388:$N$400,W105,2)*((J105-$T$405+1)/1000))</x:f>
        <x:v>192.90571656150908</x:v>
      </x:c>
      <x:c r="N105" s="8" t="n">
        <x:f>K105-M105</x:f>
        <x:v>-193.90571656150908</x:v>
      </x:c>
      <x:c r="O105" s="8" t="n">
        <x:f>ABS(N105)</x:f>
        <x:v>193.90571656150908</x:v>
      </x:c>
      <x:c r="P105" s="8" t="n">
        <x:f>N105^2</x:f>
        <x:v>37599.426915232296</x:v>
      </x:c>
      <x:c r="Q105" s="8" t="n">
        <x:f>K105-L105</x:f>
        <x:v>-6</x:v>
      </x:c>
      <x:c r="R105" s="9" t="n">
        <x:f>IF(AND(INDEX('Сводка'!$T$3:$T$397,U105)=0,INDEX('Сводка'!$T$3:$T$397,V105)=0),1,0)</x:f>
        <x:v>1</x:v>
      </x:c>
      <x:c r="S105" s="9" t="n">
        <x:f>IF(AND(R105=1,O105&lt;=$G$13),1,0)</x:f>
        <x:v>0</x:v>
      </x:c>
      <x:c r="T105" s="10" t="n">
        <x:f>EOMONTH(J105-'Сводка'!$B$11,-1)</x:f>
        <x:v>45930</x:v>
      </x:c>
      <x:c r="U105" s="4" t="n">
        <x:f>MATCH(J105,'Сводка'!$R$3:$R$397,0)</x:f>
        <x:v>116</x:v>
      </x:c>
      <x:c r="V105" s="4" t="n">
        <x:f>MATCH(J105-'Сводка'!$B$11,'Сводка'!$R$3:$R$397,0)</x:f>
        <x:v>115</x:v>
      </x:c>
      <x:c r="W105" s="4" t="n">
        <x:f>MATCH(T105,$J$388:$J$400,0)</x:f>
        <x:v>4</x:v>
      </x:c>
      <x:c r="X105" s="3"/>
      <x:c r="Y105" s="3"/>
      <x:c r="Z105" s="3"/>
    </x:row>
    <x:row r="106" ht="15" customHeight="1">
      <x:c r="A106" s="7" t="str">
        <x:f>IF(88&lt;='Сводка'!$B$3,'Сводка'!$B$4+88,"")</x:f>
      </x:c>
      <x:c r="B106" s="19" t="str">
        <x:f>IF($A106="","",(A106-$T$405+1)/1000)</x:f>
      </x:c>
      <x:c r="C106" s="19" t="str">
        <x:f>IF($A106="","",2*(A106-$T$405)/$T$406-1)</x:f>
      </x:c>
      <x:c r="D106" s="3" t="str">
        <x:f>IF($A106="","",$B$4*EXP($B$5*B106))</x:f>
      </x:c>
      <x:c r="E106" s="3" t="str">
        <x:f>IF($A106="","",SQRT($T$403^2+H106^2))</x:f>
      </x:c>
      <x:c r="F106" s="3" t="str">
        <x:f>IF($A106="","",D106-$T$404*E106)</x:f>
      </x:c>
      <x:c r="G106" s="3" t="str">
        <x:f>IF($A106="","",D106+$T$404*E106)</x:f>
      </x:c>
      <x:c r="H106" s="3" t="str">
        <x:f>IF($A106="","",SQRT(MAX(0,(EXP($B$5*B106))*$S$409*(EXP($B$5*B106))+(EXP($B$5*B106))*$T$409*($B$4*EXP($B$5*B106)*B106)+($B$4*EXP($B$5*B106)*B106)*$S$410*(EXP($B$5*B106))+($B$4*EXP($B$5*B106)*B106)*$T$410*($B$4*EXP($B$5*B106)*B106))))</x:f>
      </x:c>
      <x:c r="I106" s="3"/>
      <x:c r="J106" s="10" t="n">
        <x:v>45957</x:v>
      </x:c>
      <x:c r="K106" s="8" t="n">
        <x:f>INDEX('Сводка'!$S$3:$S$397,U106)</x:f>
        <x:v>-11</x:v>
      </x:c>
      <x:c r="L106" s="8" t="n">
        <x:f>INDEX('Сводка'!$S$3:$S$397,V106)</x:f>
        <x:v>-1</x:v>
      </x:c>
      <x:c r="M106" s="8" t="n">
        <x:f>INDEX($K$388:$N$400,W106,1)*EXP(INDEX($K$388:$N$400,W106,2)*((J106-$T$405+1)/1000))</x:f>
        <x:v>192.95632338670777</x:v>
      </x:c>
      <x:c r="N106" s="8" t="n">
        <x:f>K106-M106</x:f>
        <x:v>-203.95632338670777</x:v>
      </x:c>
      <x:c r="O106" s="8" t="n">
        <x:f>ABS(N106)</x:f>
        <x:v>203.95632338670777</x:v>
      </x:c>
      <x:c r="P106" s="8" t="n">
        <x:f>N106^2</x:f>
        <x:v>41598.181849423316</x:v>
      </x:c>
      <x:c r="Q106" s="8" t="n">
        <x:f>K106-L106</x:f>
        <x:v>-10</x:v>
      </x:c>
      <x:c r="R106" s="9" t="n">
        <x:f>IF(AND(INDEX('Сводка'!$T$3:$T$397,U106)=0,INDEX('Сводка'!$T$3:$T$397,V106)=0),1,0)</x:f>
        <x:v>1</x:v>
      </x:c>
      <x:c r="S106" s="9" t="n">
        <x:f>IF(AND(R106=1,O106&lt;=$G$13),1,0)</x:f>
        <x:v>0</x:v>
      </x:c>
      <x:c r="T106" s="10" t="n">
        <x:f>EOMONTH(J106-'Сводка'!$B$11,-1)</x:f>
        <x:v>45930</x:v>
      </x:c>
      <x:c r="U106" s="4" t="n">
        <x:f>MATCH(J106,'Сводка'!$R$3:$R$397,0)</x:f>
        <x:v>117</x:v>
      </x:c>
      <x:c r="V106" s="4" t="n">
        <x:f>MATCH(J106-'Сводка'!$B$11,'Сводка'!$R$3:$R$397,0)</x:f>
        <x:v>116</x:v>
      </x:c>
      <x:c r="W106" s="4" t="n">
        <x:f>MATCH(T106,$J$388:$J$400,0)</x:f>
        <x:v>4</x:v>
      </x:c>
      <x:c r="X106" s="3"/>
      <x:c r="Y106" s="3"/>
      <x:c r="Z106" s="3"/>
    </x:row>
    <x:row r="107" ht="15" customHeight="1">
      <x:c r="A107" s="7" t="str">
        <x:f>IF(89&lt;='Сводка'!$B$3,'Сводка'!$B$4+89,"")</x:f>
      </x:c>
      <x:c r="B107" s="19" t="str">
        <x:f>IF($A107="","",(A107-$T$405+1)/1000)</x:f>
      </x:c>
      <x:c r="C107" s="19" t="str">
        <x:f>IF($A107="","",2*(A107-$T$405)/$T$406-1)</x:f>
      </x:c>
      <x:c r="D107" s="3" t="str">
        <x:f>IF($A107="","",$B$4*EXP($B$5*B107))</x:f>
      </x:c>
      <x:c r="E107" s="3" t="str">
        <x:f>IF($A107="","",SQRT($T$403^2+H107^2))</x:f>
      </x:c>
      <x:c r="F107" s="3" t="str">
        <x:f>IF($A107="","",D107-$T$404*E107)</x:f>
      </x:c>
      <x:c r="G107" s="3" t="str">
        <x:f>IF($A107="","",D107+$T$404*E107)</x:f>
      </x:c>
      <x:c r="H107" s="3" t="str">
        <x:f>IF($A107="","",SQRT(MAX(0,(EXP($B$5*B107))*$S$409*(EXP($B$5*B107))+(EXP($B$5*B107))*$T$409*($B$4*EXP($B$5*B107)*B107)+($B$4*EXP($B$5*B107)*B107)*$S$410*(EXP($B$5*B107))+($B$4*EXP($B$5*B107)*B107)*$T$410*($B$4*EXP($B$5*B107)*B107))))</x:f>
      </x:c>
      <x:c r="I107" s="3"/>
      <x:c r="J107" s="10" t="n">
        <x:v>45958</x:v>
      </x:c>
      <x:c r="K107" s="8" t="n">
        <x:f>INDEX('Сводка'!$S$3:$S$397,U107)</x:f>
        <x:v>-20</x:v>
      </x:c>
      <x:c r="L107" s="8" t="n">
        <x:f>INDEX('Сводка'!$S$3:$S$397,V107)</x:f>
        <x:v>-11</x:v>
      </x:c>
      <x:c r="M107" s="8" t="n">
        <x:f>INDEX($K$388:$N$400,W107,1)*EXP(INDEX($K$388:$N$400,W107,2)*((J107-$T$405+1)/1000))</x:f>
        <x:v>193.00694348808506</x:v>
      </x:c>
      <x:c r="N107" s="8" t="n">
        <x:f>K107-M107</x:f>
        <x:v>-213.00694348808506</x:v>
      </x:c>
      <x:c r="O107" s="8" t="n">
        <x:f>ABS(N107)</x:f>
        <x:v>213.00694348808506</x:v>
      </x:c>
      <x:c r="P107" s="8" t="n">
        <x:f>N107^2</x:f>
        <x:v>45371.95797413626</x:v>
      </x:c>
      <x:c r="Q107" s="8" t="n">
        <x:f>K107-L107</x:f>
        <x:v>-9</x:v>
      </x:c>
      <x:c r="R107" s="9" t="n">
        <x:f>IF(AND(INDEX('Сводка'!$T$3:$T$397,U107)=0,INDEX('Сводка'!$T$3:$T$397,V107)=0),1,0)</x:f>
        <x:v>1</x:v>
      </x:c>
      <x:c r="S107" s="9" t="n">
        <x:f>IF(AND(R107=1,O107&lt;=$G$13),1,0)</x:f>
        <x:v>0</x:v>
      </x:c>
      <x:c r="T107" s="10" t="n">
        <x:f>EOMONTH(J107-'Сводка'!$B$11,-1)</x:f>
        <x:v>45930</x:v>
      </x:c>
      <x:c r="U107" s="4" t="n">
        <x:f>MATCH(J107,'Сводка'!$R$3:$R$397,0)</x:f>
        <x:v>118</x:v>
      </x:c>
      <x:c r="V107" s="4" t="n">
        <x:f>MATCH(J107-'Сводка'!$B$11,'Сводка'!$R$3:$R$397,0)</x:f>
        <x:v>117</x:v>
      </x:c>
      <x:c r="W107" s="4" t="n">
        <x:f>MATCH(T107,$J$388:$J$400,0)</x:f>
        <x:v>4</x:v>
      </x:c>
      <x:c r="X107" s="3"/>
      <x:c r="Y107" s="3"/>
      <x:c r="Z107" s="3"/>
    </x:row>
    <x:row r="108" ht="15" customHeight="1">
      <x:c r="A108" s="7" t="str">
        <x:f>IF(90&lt;='Сводка'!$B$3,'Сводка'!$B$4+90,"")</x:f>
      </x:c>
      <x:c r="B108" s="19" t="str">
        <x:f>IF($A108="","",(A108-$T$405+1)/1000)</x:f>
      </x:c>
      <x:c r="C108" s="19" t="str">
        <x:f>IF($A108="","",2*(A108-$T$405)/$T$406-1)</x:f>
      </x:c>
      <x:c r="D108" s="3" t="str">
        <x:f>IF($A108="","",$B$4*EXP($B$5*B108))</x:f>
      </x:c>
      <x:c r="E108" s="3" t="str">
        <x:f>IF($A108="","",SQRT($T$403^2+H108^2))</x:f>
      </x:c>
      <x:c r="F108" s="3" t="str">
        <x:f>IF($A108="","",D108-$T$404*E108)</x:f>
      </x:c>
      <x:c r="G108" s="3" t="str">
        <x:f>IF($A108="","",D108+$T$404*E108)</x:f>
      </x:c>
      <x:c r="H108" s="3" t="str">
        <x:f>IF($A108="","",SQRT(MAX(0,(EXP($B$5*B108))*$S$409*(EXP($B$5*B108))+(EXP($B$5*B108))*$T$409*($B$4*EXP($B$5*B108)*B108)+($B$4*EXP($B$5*B108)*B108)*$S$410*(EXP($B$5*B108))+($B$4*EXP($B$5*B108)*B108)*$T$410*($B$4*EXP($B$5*B108)*B108))))</x:f>
      </x:c>
      <x:c r="I108" s="3"/>
      <x:c r="J108" s="10" t="n">
        <x:v>45959</x:v>
      </x:c>
      <x:c r="K108" s="8" t="n">
        <x:f>INDEX('Сводка'!$S$3:$S$397,U108)</x:f>
        <x:v>-27</x:v>
      </x:c>
      <x:c r="L108" s="8" t="n">
        <x:f>INDEX('Сводка'!$S$3:$S$397,V108)</x:f>
        <x:v>-20</x:v>
      </x:c>
      <x:c r="M108" s="8" t="n">
        <x:f>INDEX($K$388:$N$400,W108,1)*EXP(INDEX($K$388:$N$400,W108,2)*((J108-$T$405+1)/1000))</x:f>
        <x:v>193.05757686912372</x:v>
      </x:c>
      <x:c r="N108" s="8" t="n">
        <x:f>K108-M108</x:f>
        <x:v>-220.05757686912372</x:v>
      </x:c>
      <x:c r="O108" s="8" t="n">
        <x:f>ABS(N108)</x:f>
        <x:v>220.05757686912372</x:v>
      </x:c>
      <x:c r="P108" s="8" t="n">
        <x:f>N108^2</x:f>
        <x:v>48425.337137510294</x:v>
      </x:c>
      <x:c r="Q108" s="8" t="n">
        <x:f>K108-L108</x:f>
        <x:v>-7</x:v>
      </x:c>
      <x:c r="R108" s="9" t="n">
        <x:f>IF(AND(INDEX('Сводка'!$T$3:$T$397,U108)=0,INDEX('Сводка'!$T$3:$T$397,V108)=0),1,0)</x:f>
        <x:v>1</x:v>
      </x:c>
      <x:c r="S108" s="9" t="n">
        <x:f>IF(AND(R108=1,O108&lt;=$G$13),1,0)</x:f>
        <x:v>0</x:v>
      </x:c>
      <x:c r="T108" s="10" t="n">
        <x:f>EOMONTH(J108-'Сводка'!$B$11,-1)</x:f>
        <x:v>45930</x:v>
      </x:c>
      <x:c r="U108" s="4" t="n">
        <x:f>MATCH(J108,'Сводка'!$R$3:$R$397,0)</x:f>
        <x:v>119</x:v>
      </x:c>
      <x:c r="V108" s="4" t="n">
        <x:f>MATCH(J108-'Сводка'!$B$11,'Сводка'!$R$3:$R$397,0)</x:f>
        <x:v>118</x:v>
      </x:c>
      <x:c r="W108" s="4" t="n">
        <x:f>MATCH(T108,$J$388:$J$400,0)</x:f>
        <x:v>4</x:v>
      </x:c>
      <x:c r="X108" s="3"/>
      <x:c r="Y108" s="3"/>
      <x:c r="Z108" s="3"/>
    </x:row>
    <x:row r="109" ht="15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10" t="n">
        <x:v>45960</x:v>
      </x:c>
      <x:c r="K109" s="8" t="n">
        <x:f>INDEX('Сводка'!$S$3:$S$397,U109)</x:f>
        <x:v>-33</x:v>
      </x:c>
      <x:c r="L109" s="8" t="n">
        <x:f>INDEX('Сводка'!$S$3:$S$397,V109)</x:f>
        <x:v>-27</x:v>
      </x:c>
      <x:c r="M109" s="8" t="n">
        <x:f>INDEX($K$388:$N$400,W109,1)*EXP(INDEX($K$388:$N$400,W109,2)*((J109-$T$405+1)/1000))</x:f>
        <x:v>193.1082235333079</x:v>
      </x:c>
      <x:c r="N109" s="8" t="n">
        <x:f>K109-M109</x:f>
        <x:v>-226.1082235333079</x:v>
      </x:c>
      <x:c r="O109" s="8" t="n">
        <x:f>ABS(N109)</x:f>
        <x:v>226.1082235333079</x:v>
      </x:c>
      <x:c r="P109" s="8" t="n">
        <x:f>N109^2</x:f>
        <x:v>51124.92874938833</x:v>
      </x:c>
      <x:c r="Q109" s="8" t="n">
        <x:f>K109-L109</x:f>
        <x:v>-6</x:v>
      </x:c>
      <x:c r="R109" s="9" t="n">
        <x:f>IF(AND(INDEX('Сводка'!$T$3:$T$397,U109)=0,INDEX('Сводка'!$T$3:$T$397,V109)=0),1,0)</x:f>
        <x:v>1</x:v>
      </x:c>
      <x:c r="S109" s="9" t="n">
        <x:f>IF(AND(R109=1,O109&lt;=$G$13),1,0)</x:f>
        <x:v>0</x:v>
      </x:c>
      <x:c r="T109" s="10" t="n">
        <x:f>EOMONTH(J109-'Сводка'!$B$11,-1)</x:f>
        <x:v>45930</x:v>
      </x:c>
      <x:c r="U109" s="4" t="n">
        <x:f>MATCH(J109,'Сводка'!$R$3:$R$397,0)</x:f>
        <x:v>120</x:v>
      </x:c>
      <x:c r="V109" s="4" t="n">
        <x:f>MATCH(J109-'Сводка'!$B$11,'Сводка'!$R$3:$R$397,0)</x:f>
        <x:v>119</x:v>
      </x:c>
      <x:c r="W109" s="4" t="n">
        <x:f>MATCH(T109,$J$388:$J$400,0)</x:f>
        <x:v>4</x:v>
      </x:c>
      <x:c r="X109" s="3"/>
      <x:c r="Y109" s="3"/>
      <x:c r="Z109" s="3"/>
    </x:row>
    <x:row r="110" ht="15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10" t="n">
        <x:v>45961</x:v>
      </x:c>
      <x:c r="K110" s="8" t="n">
        <x:f>INDEX('Сводка'!$S$3:$S$397,U110)</x:f>
        <x:v>-36</x:v>
      </x:c>
      <x:c r="L110" s="8" t="n">
        <x:f>INDEX('Сводка'!$S$3:$S$397,V110)</x:f>
        <x:v>-33</x:v>
      </x:c>
      <x:c r="M110" s="8" t="n">
        <x:f>INDEX($K$388:$N$400,W110,1)*EXP(INDEX($K$388:$N$400,W110,2)*((J110-$T$405+1)/1000))</x:f>
        <x:v>193.158883484122</x:v>
      </x:c>
      <x:c r="N110" s="8" t="n">
        <x:f>K110-M110</x:f>
        <x:v>-229.158883484122</x:v>
      </x:c>
      <x:c r="O110" s="8" t="n">
        <x:f>ABS(N110)</x:f>
        <x:v>229.158883484122</x:v>
      </x:c>
      <x:c r="P110" s="8" t="n">
        <x:f>N110^2</x:f>
        <x:v>52513.793879689394</x:v>
      </x:c>
      <x:c r="Q110" s="8" t="n">
        <x:f>K110-L110</x:f>
        <x:v>-3</x:v>
      </x:c>
      <x:c r="R110" s="9" t="n">
        <x:f>IF(AND(INDEX('Сводка'!$T$3:$T$397,U110)=0,INDEX('Сводка'!$T$3:$T$397,V110)=0),1,0)</x:f>
        <x:v>1</x:v>
      </x:c>
      <x:c r="S110" s="9" t="n">
        <x:f>IF(AND(R110=1,O110&lt;=$G$13),1,0)</x:f>
        <x:v>0</x:v>
      </x:c>
      <x:c r="T110" s="10" t="n">
        <x:f>EOMONTH(J110-'Сводка'!$B$11,-1)</x:f>
        <x:v>45930</x:v>
      </x:c>
      <x:c r="U110" s="4" t="n">
        <x:f>MATCH(J110,'Сводка'!$R$3:$R$397,0)</x:f>
        <x:v>121</x:v>
      </x:c>
      <x:c r="V110" s="4" t="n">
        <x:f>MATCH(J110-'Сводка'!$B$11,'Сводка'!$R$3:$R$397,0)</x:f>
        <x:v>120</x:v>
      </x:c>
      <x:c r="W110" s="4" t="n">
        <x:f>MATCH(T110,$J$388:$J$400,0)</x:f>
        <x:v>4</x:v>
      </x:c>
      <x:c r="X110" s="3"/>
      <x:c r="Y110" s="3"/>
      <x:c r="Z110" s="3"/>
    </x:row>
    <x:row r="111" ht="15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10" t="n">
        <x:v>45962</x:v>
      </x:c>
      <x:c r="K111" s="8" t="n">
        <x:f>INDEX('Сводка'!$S$3:$S$397,U111)</x:f>
        <x:v>-37</x:v>
      </x:c>
      <x:c r="L111" s="8" t="n">
        <x:f>INDEX('Сводка'!$S$3:$S$397,V111)</x:f>
        <x:v>-36</x:v>
      </x:c>
      <x:c r="M111" s="8" t="n">
        <x:f>INDEX($K$388:$N$400,W111,1)*EXP(INDEX($K$388:$N$400,W111,2)*((J111-$T$405+1)/1000))</x:f>
        <x:v>193.2095567250517</x:v>
      </x:c>
      <x:c r="N111" s="8" t="n">
        <x:f>K111-M111</x:f>
        <x:v>-230.2095567250517</x:v>
      </x:c>
      <x:c r="O111" s="8" t="n">
        <x:f>ABS(N111)</x:f>
        <x:v>230.2095567250517</x:v>
      </x:c>
      <x:c r="P111" s="8" t="n">
        <x:f>N111^2</x:f>
        <x:v>52996.44000754479</x:v>
      </x:c>
      <x:c r="Q111" s="8" t="n">
        <x:f>K111-L111</x:f>
        <x:v>-1</x:v>
      </x:c>
      <x:c r="R111" s="9" t="n">
        <x:f>IF(AND(INDEX('Сводка'!$T$3:$T$397,U111)=0,INDEX('Сводка'!$T$3:$T$397,V111)=0),1,0)</x:f>
        <x:v>1</x:v>
      </x:c>
      <x:c r="S111" s="9" t="n">
        <x:f>IF(AND(R111=1,O111&lt;=$G$13),1,0)</x:f>
        <x:v>0</x:v>
      </x:c>
      <x:c r="T111" s="10" t="n">
        <x:f>EOMONTH(J111-'Сводка'!$B$11,-1)</x:f>
        <x:v>45930</x:v>
      </x:c>
      <x:c r="U111" s="4" t="n">
        <x:f>MATCH(J111,'Сводка'!$R$3:$R$397,0)</x:f>
        <x:v>122</x:v>
      </x:c>
      <x:c r="V111" s="4" t="n">
        <x:f>MATCH(J111-'Сводка'!$B$11,'Сводка'!$R$3:$R$397,0)</x:f>
        <x:v>121</x:v>
      </x:c>
      <x:c r="W111" s="4" t="n">
        <x:f>MATCH(T111,$J$388:$J$400,0)</x:f>
        <x:v>4</x:v>
      </x:c>
      <x:c r="X111" s="3"/>
      <x:c r="Y111" s="3"/>
      <x:c r="Z111" s="3"/>
    </x:row>
    <x:row r="112" ht="15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10" t="n">
        <x:v>45963</x:v>
      </x:c>
      <x:c r="K112" s="8" t="n">
        <x:f>INDEX('Сводка'!$S$3:$S$397,U112)</x:f>
        <x:v>-40</x:v>
      </x:c>
      <x:c r="L112" s="8" t="n">
        <x:f>INDEX('Сводка'!$S$3:$S$397,V112)</x:f>
        <x:v>-37</x:v>
      </x:c>
      <x:c r="M112" s="8" t="n">
        <x:f>INDEX($K$388:$N$400,W112,1)*EXP(INDEX($K$388:$N$400,W112,2)*((J112-$T$405+1)/1000))</x:f>
        <x:v>190.38756285550326</x:v>
      </x:c>
      <x:c r="N112" s="8" t="n">
        <x:f>K112-M112</x:f>
        <x:v>-230.38756285550326</x:v>
      </x:c>
      <x:c r="O112" s="8" t="n">
        <x:f>ABS(N112)</x:f>
        <x:v>230.38756285550326</x:v>
      </x:c>
      <x:c r="P112" s="8" t="n">
        <x:f>N112^2</x:f>
        <x:v>53078.42911849847</x:v>
      </x:c>
      <x:c r="Q112" s="8" t="n">
        <x:f>K112-L112</x:f>
        <x:v>-3</x:v>
      </x:c>
      <x:c r="R112" s="9" t="n">
        <x:f>IF(AND(INDEX('Сводка'!$T$3:$T$397,U112)=0,INDEX('Сводка'!$T$3:$T$397,V112)=0),1,0)</x:f>
        <x:v>1</x:v>
      </x:c>
      <x:c r="S112" s="9" t="n">
        <x:f>IF(AND(R112=1,O112&lt;=$G$13),1,0)</x:f>
        <x:v>0</x:v>
      </x:c>
      <x:c r="T112" s="10" t="n">
        <x:f>EOMONTH(J112-'Сводка'!$B$11,-1)</x:f>
        <x:v>45961</x:v>
      </x:c>
      <x:c r="U112" s="4" t="n">
        <x:f>MATCH(J112,'Сводка'!$R$3:$R$397,0)</x:f>
        <x:v>123</x:v>
      </x:c>
      <x:c r="V112" s="4" t="n">
        <x:f>MATCH(J112-'Сводка'!$B$11,'Сводка'!$R$3:$R$397,0)</x:f>
        <x:v>122</x:v>
      </x:c>
      <x:c r="W112" s="4" t="n">
        <x:f>MATCH(T112,$J$388:$J$400,0)</x:f>
        <x:v>5</x:v>
      </x:c>
      <x:c r="X112" s="3"/>
      <x:c r="Y112" s="3"/>
      <x:c r="Z112" s="3"/>
    </x:row>
    <x:row r="113" ht="15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10" t="n">
        <x:v>45964</x:v>
      </x:c>
      <x:c r="K113" s="8" t="n">
        <x:f>INDEX('Сводка'!$S$3:$S$397,U113)</x:f>
        <x:v>-46</x:v>
      </x:c>
      <x:c r="L113" s="8" t="n">
        <x:f>INDEX('Сводка'!$S$3:$S$397,V113)</x:f>
        <x:v>-40</x:v>
      </x:c>
      <x:c r="M113" s="8" t="n">
        <x:f>INDEX($K$388:$N$400,W113,1)*EXP(INDEX($K$388:$N$400,W113,2)*((J113-$T$405+1)/1000))</x:f>
        <x:v>190.43682340827456</x:v>
      </x:c>
      <x:c r="N113" s="8" t="n">
        <x:f>K113-M113</x:f>
        <x:v>-236.43682340827456</x:v>
      </x:c>
      <x:c r="O113" s="8" t="n">
        <x:f>ABS(N113)</x:f>
        <x:v>236.43682340827456</x:v>
      </x:c>
      <x:c r="P113" s="8" t="n">
        <x:f>N113^2</x:f>
        <x:v>55902.37146339561</x:v>
      </x:c>
      <x:c r="Q113" s="8" t="n">
        <x:f>K113-L113</x:f>
        <x:v>-6</x:v>
      </x:c>
      <x:c r="R113" s="9" t="n">
        <x:f>IF(AND(INDEX('Сводка'!$T$3:$T$397,U113)=0,INDEX('Сводка'!$T$3:$T$397,V113)=0),1,0)</x:f>
        <x:v>1</x:v>
      </x:c>
      <x:c r="S113" s="9" t="n">
        <x:f>IF(AND(R113=1,O113&lt;=$G$13),1,0)</x:f>
        <x:v>0</x:v>
      </x:c>
      <x:c r="T113" s="10" t="n">
        <x:f>EOMONTH(J113-'Сводка'!$B$11,-1)</x:f>
        <x:v>45961</x:v>
      </x:c>
      <x:c r="U113" s="4" t="n">
        <x:f>MATCH(J113,'Сводка'!$R$3:$R$397,0)</x:f>
        <x:v>124</x:v>
      </x:c>
      <x:c r="V113" s="4" t="n">
        <x:f>MATCH(J113-'Сводка'!$B$11,'Сводка'!$R$3:$R$397,0)</x:f>
        <x:v>123</x:v>
      </x:c>
      <x:c r="W113" s="4" t="n">
        <x:f>MATCH(T113,$J$388:$J$400,0)</x:f>
        <x:v>5</x:v>
      </x:c>
      <x:c r="X113" s="3"/>
      <x:c r="Y113" s="3"/>
      <x:c r="Z113" s="3"/>
    </x:row>
    <x:row r="114" ht="15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10" t="n">
        <x:v>45965</x:v>
      </x:c>
      <x:c r="K114" s="8" t="n">
        <x:f>INDEX('Сводка'!$S$3:$S$397,U114)</x:f>
        <x:v>-49</x:v>
      </x:c>
      <x:c r="L114" s="8" t="n">
        <x:f>INDEX('Сводка'!$S$3:$S$397,V114)</x:f>
        <x:v>-46</x:v>
      </x:c>
      <x:c r="M114" s="8" t="n">
        <x:f>INDEX($K$388:$N$400,W114,1)*EXP(INDEX($K$388:$N$400,W114,2)*((J114-$T$405+1)/1000))</x:f>
        <x:v>190.4860967066371</x:v>
      </x:c>
      <x:c r="N114" s="8" t="n">
        <x:f>K114-M114</x:f>
        <x:v>-239.4860967066371</x:v>
      </x:c>
      <x:c r="O114" s="8" t="n">
        <x:f>ABS(N114)</x:f>
        <x:v>239.4860967066371</x:v>
      </x:c>
      <x:c r="P114" s="8" t="n">
        <x:f>N114^2</x:f>
        <x:v>57353.59051578074</x:v>
      </x:c>
      <x:c r="Q114" s="8" t="n">
        <x:f>K114-L114</x:f>
        <x:v>-3</x:v>
      </x:c>
      <x:c r="R114" s="9" t="n">
        <x:f>IF(AND(INDEX('Сводка'!$T$3:$T$397,U114)=0,INDEX('Сводка'!$T$3:$T$397,V114)=0),1,0)</x:f>
        <x:v>1</x:v>
      </x:c>
      <x:c r="S114" s="9" t="n">
        <x:f>IF(AND(R114=1,O114&lt;=$G$13),1,0)</x:f>
        <x:v>0</x:v>
      </x:c>
      <x:c r="T114" s="10" t="n">
        <x:f>EOMONTH(J114-'Сводка'!$B$11,-1)</x:f>
        <x:v>45961</x:v>
      </x:c>
      <x:c r="U114" s="4" t="n">
        <x:f>MATCH(J114,'Сводка'!$R$3:$R$397,0)</x:f>
        <x:v>125</x:v>
      </x:c>
      <x:c r="V114" s="4" t="n">
        <x:f>MATCH(J114-'Сводка'!$B$11,'Сводка'!$R$3:$R$397,0)</x:f>
        <x:v>124</x:v>
      </x:c>
      <x:c r="W114" s="4" t="n">
        <x:f>MATCH(T114,$J$388:$J$400,0)</x:f>
        <x:v>5</x:v>
      </x:c>
      <x:c r="X114" s="3"/>
      <x:c r="Y114" s="3"/>
      <x:c r="Z114" s="3"/>
    </x:row>
    <x:row r="115" ht="15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10" t="n">
        <x:v>45966</x:v>
      </x:c>
      <x:c r="K115" s="8" t="n">
        <x:f>INDEX('Сводка'!$S$3:$S$397,U115)</x:f>
        <x:v>-56</x:v>
      </x:c>
      <x:c r="L115" s="8" t="n">
        <x:f>INDEX('Сводка'!$S$3:$S$397,V115)</x:f>
        <x:v>-49</x:v>
      </x:c>
      <x:c r="M115" s="8" t="n">
        <x:f>INDEX($K$388:$N$400,W115,1)*EXP(INDEX($K$388:$N$400,W115,2)*((J115-$T$405+1)/1000))</x:f>
        <x:v>190.53538275388888</x:v>
      </x:c>
      <x:c r="N115" s="8" t="n">
        <x:f>K115-M115</x:f>
        <x:v>-246.53538275388888</x:v>
      </x:c>
      <x:c r="O115" s="8" t="n">
        <x:f>ABS(N115)</x:f>
        <x:v>246.53538275388888</x:v>
      </x:c>
      <x:c r="P115" s="8" t="n">
        <x:f>N115^2</x:f>
        <x:v>60779.69494960649</x:v>
      </x:c>
      <x:c r="Q115" s="8" t="n">
        <x:f>K115-L115</x:f>
        <x:v>-7</x:v>
      </x:c>
      <x:c r="R115" s="9" t="n">
        <x:f>IF(AND(INDEX('Сводка'!$T$3:$T$397,U115)=0,INDEX('Сводка'!$T$3:$T$397,V115)=0),1,0)</x:f>
        <x:v>1</x:v>
      </x:c>
      <x:c r="S115" s="9" t="n">
        <x:f>IF(AND(R115=1,O115&lt;=$G$13),1,0)</x:f>
        <x:v>0</x:v>
      </x:c>
      <x:c r="T115" s="10" t="n">
        <x:f>EOMONTH(J115-'Сводка'!$B$11,-1)</x:f>
        <x:v>45961</x:v>
      </x:c>
      <x:c r="U115" s="4" t="n">
        <x:f>MATCH(J115,'Сводка'!$R$3:$R$397,0)</x:f>
        <x:v>126</x:v>
      </x:c>
      <x:c r="V115" s="4" t="n">
        <x:f>MATCH(J115-'Сводка'!$B$11,'Сводка'!$R$3:$R$397,0)</x:f>
        <x:v>125</x:v>
      </x:c>
      <x:c r="W115" s="4" t="n">
        <x:f>MATCH(T115,$J$388:$J$400,0)</x:f>
        <x:v>5</x:v>
      </x:c>
      <x:c r="X115" s="3"/>
      <x:c r="Y115" s="3"/>
      <x:c r="Z115" s="3"/>
    </x:row>
    <x:row r="116" ht="15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10" t="n">
        <x:v>45967</x:v>
      </x:c>
      <x:c r="K116" s="8" t="n">
        <x:f>INDEX('Сводка'!$S$3:$S$397,U116)</x:f>
        <x:v>-61</x:v>
      </x:c>
      <x:c r="L116" s="8" t="n">
        <x:f>INDEX('Сводка'!$S$3:$S$397,V116)</x:f>
        <x:v>-56</x:v>
      </x:c>
      <x:c r="M116" s="8" t="n">
        <x:f>INDEX($K$388:$N$400,W116,1)*EXP(INDEX($K$388:$N$400,W116,2)*((J116-$T$405+1)/1000))</x:f>
        <x:v>190.58468155332815</x:v>
      </x:c>
      <x:c r="N116" s="8" t="n">
        <x:f>K116-M116</x:f>
        <x:v>-251.58468155332815</x:v>
      </x:c>
      <x:c r="O116" s="8" t="n">
        <x:f>ABS(N116)</x:f>
        <x:v>251.58468155332815</x:v>
      </x:c>
      <x:c r="P116" s="8" t="n">
        <x:f>N116^2</x:f>
        <x:v>63294.851992289536</x:v>
      </x:c>
      <x:c r="Q116" s="8" t="n">
        <x:f>K116-L116</x:f>
        <x:v>-5</x:v>
      </x:c>
      <x:c r="R116" s="9" t="n">
        <x:f>IF(AND(INDEX('Сводка'!$T$3:$T$397,U116)=0,INDEX('Сводка'!$T$3:$T$397,V116)=0),1,0)</x:f>
        <x:v>1</x:v>
      </x:c>
      <x:c r="S116" s="9" t="n">
        <x:f>IF(AND(R116=1,O116&lt;=$G$13),1,0)</x:f>
        <x:v>0</x:v>
      </x:c>
      <x:c r="T116" s="10" t="n">
        <x:f>EOMONTH(J116-'Сводка'!$B$11,-1)</x:f>
        <x:v>45961</x:v>
      </x:c>
      <x:c r="U116" s="4" t="n">
        <x:f>MATCH(J116,'Сводка'!$R$3:$R$397,0)</x:f>
        <x:v>127</x:v>
      </x:c>
      <x:c r="V116" s="4" t="n">
        <x:f>MATCH(J116-'Сводка'!$B$11,'Сводка'!$R$3:$R$397,0)</x:f>
        <x:v>126</x:v>
      </x:c>
      <x:c r="W116" s="4" t="n">
        <x:f>MATCH(T116,$J$388:$J$400,0)</x:f>
        <x:v>5</x:v>
      </x:c>
      <x:c r="X116" s="3"/>
      <x:c r="Y116" s="3"/>
      <x:c r="Z116" s="3"/>
    </x:row>
    <x:row r="117" ht="15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10" t="n">
        <x:v>45968</x:v>
      </x:c>
      <x:c r="K117" s="8" t="n">
        <x:f>INDEX('Сводка'!$S$3:$S$397,U117)</x:f>
        <x:v>-69</x:v>
      </x:c>
      <x:c r="L117" s="8" t="n">
        <x:f>INDEX('Сводка'!$S$3:$S$397,V117)</x:f>
        <x:v>-61</x:v>
      </x:c>
      <x:c r="M117" s="8" t="n">
        <x:f>INDEX($K$388:$N$400,W117,1)*EXP(INDEX($K$388:$N$400,W117,2)*((J117-$T$405+1)/1000))</x:f>
        <x:v>190.6339931082546</x:v>
      </x:c>
      <x:c r="N117" s="8" t="n">
        <x:f>K117-M117</x:f>
        <x:v>-259.6339931082546</x:v>
      </x:c>
      <x:c r="O117" s="8" t="n">
        <x:f>ABS(N117)</x:f>
        <x:v>259.6339931082546</x:v>
      </x:c>
      <x:c r="P117" s="8" t="n">
        <x:f>N117^2</x:f>
        <x:v>67409.81037733718</x:v>
      </x:c>
      <x:c r="Q117" s="8" t="n">
        <x:f>K117-L117</x:f>
        <x:v>-8</x:v>
      </x:c>
      <x:c r="R117" s="9" t="n">
        <x:f>IF(AND(INDEX('Сводка'!$T$3:$T$397,U117)=0,INDEX('Сводка'!$T$3:$T$397,V117)=0),1,0)</x:f>
        <x:v>1</x:v>
      </x:c>
      <x:c r="S117" s="9" t="n">
        <x:f>IF(AND(R117=1,O117&lt;=$G$13),1,0)</x:f>
        <x:v>0</x:v>
      </x:c>
      <x:c r="T117" s="10" t="n">
        <x:f>EOMONTH(J117-'Сводка'!$B$11,-1)</x:f>
        <x:v>45961</x:v>
      </x:c>
      <x:c r="U117" s="4" t="n">
        <x:f>MATCH(J117,'Сводка'!$R$3:$R$397,0)</x:f>
        <x:v>128</x:v>
      </x:c>
      <x:c r="V117" s="4" t="n">
        <x:f>MATCH(J117-'Сводка'!$B$11,'Сводка'!$R$3:$R$397,0)</x:f>
        <x:v>127</x:v>
      </x:c>
      <x:c r="W117" s="4" t="n">
        <x:f>MATCH(T117,$J$388:$J$400,0)</x:f>
        <x:v>5</x:v>
      </x:c>
      <x:c r="X117" s="3"/>
      <x:c r="Y117" s="3"/>
      <x:c r="Z117" s="3"/>
    </x:row>
    <x:row r="118" ht="15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10" t="n">
        <x:v>45969</x:v>
      </x:c>
      <x:c r="K118" s="8" t="n">
        <x:f>INDEX('Сводка'!$S$3:$S$397,U118)</x:f>
        <x:v>-74</x:v>
      </x:c>
      <x:c r="L118" s="8" t="n">
        <x:f>INDEX('Сводка'!$S$3:$S$397,V118)</x:f>
        <x:v>-69</x:v>
      </x:c>
      <x:c r="M118" s="8" t="n">
        <x:f>INDEX($K$388:$N$400,W118,1)*EXP(INDEX($K$388:$N$400,W118,2)*((J118-$T$405+1)/1000))</x:f>
        <x:v>190.6833174219685</x:v>
      </x:c>
      <x:c r="N118" s="8" t="n">
        <x:f>K118-M118</x:f>
        <x:v>-264.68331742196847</x:v>
      </x:c>
      <x:c r="O118" s="8" t="n">
        <x:f>ABS(N118)</x:f>
        <x:v>264.68331742196847</x:v>
      </x:c>
      <x:c r="P118" s="8" t="n">
        <x:f>N118^2</x:f>
        <x:v>70057.25852149852</x:v>
      </x:c>
      <x:c r="Q118" s="8" t="n">
        <x:f>K118-L118</x:f>
        <x:v>-5</x:v>
      </x:c>
      <x:c r="R118" s="9" t="n">
        <x:f>IF(AND(INDEX('Сводка'!$T$3:$T$397,U118)=0,INDEX('Сводка'!$T$3:$T$397,V118)=0),1,0)</x:f>
        <x:v>1</x:v>
      </x:c>
      <x:c r="S118" s="9" t="n">
        <x:f>IF(AND(R118=1,O118&lt;=$G$13),1,0)</x:f>
        <x:v>0</x:v>
      </x:c>
      <x:c r="T118" s="10" t="n">
        <x:f>EOMONTH(J118-'Сводка'!$B$11,-1)</x:f>
        <x:v>45961</x:v>
      </x:c>
      <x:c r="U118" s="4" t="n">
        <x:f>MATCH(J118,'Сводка'!$R$3:$R$397,0)</x:f>
        <x:v>129</x:v>
      </x:c>
      <x:c r="V118" s="4" t="n">
        <x:f>MATCH(J118-'Сводка'!$B$11,'Сводка'!$R$3:$R$397,0)</x:f>
        <x:v>128</x:v>
      </x:c>
      <x:c r="W118" s="4" t="n">
        <x:f>MATCH(T118,$J$388:$J$400,0)</x:f>
        <x:v>5</x:v>
      </x:c>
      <x:c r="X118" s="3"/>
      <x:c r="Y118" s="3"/>
      <x:c r="Z118" s="3"/>
    </x:row>
    <x:row r="119" ht="15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10" t="n">
        <x:v>45970</x:v>
      </x:c>
      <x:c r="K119" s="8" t="n">
        <x:f>INDEX('Сводка'!$S$3:$S$397,U119)</x:f>
        <x:v>-80</x:v>
      </x:c>
      <x:c r="L119" s="8" t="n">
        <x:f>INDEX('Сводка'!$S$3:$S$397,V119)</x:f>
        <x:v>-74</x:v>
      </x:c>
      <x:c r="M119" s="8" t="n">
        <x:f>INDEX($K$388:$N$400,W119,1)*EXP(INDEX($K$388:$N$400,W119,2)*((J119-$T$405+1)/1000))</x:f>
        <x:v>190.73265449777122</x:v>
      </x:c>
      <x:c r="N119" s="8" t="n">
        <x:f>K119-M119</x:f>
        <x:v>-270.73265449777125</x:v>
      </x:c>
      <x:c r="O119" s="8" t="n">
        <x:f>ABS(N119)</x:f>
        <x:v>270.73265449777125</x:v>
      </x:c>
      <x:c r="P119" s="8" t="n">
        <x:f>N119^2</x:f>
        <x:v>73296.17021140958</x:v>
      </x:c>
      <x:c r="Q119" s="8" t="n">
        <x:f>K119-L119</x:f>
        <x:v>-6</x:v>
      </x:c>
      <x:c r="R119" s="9" t="n">
        <x:f>IF(AND(INDEX('Сводка'!$T$3:$T$397,U119)=0,INDEX('Сводка'!$T$3:$T$397,V119)=0),1,0)</x:f>
        <x:v>1</x:v>
      </x:c>
      <x:c r="S119" s="9" t="n">
        <x:f>IF(AND(R119=1,O119&lt;=$G$13),1,0)</x:f>
        <x:v>0</x:v>
      </x:c>
      <x:c r="T119" s="10" t="n">
        <x:f>EOMONTH(J119-'Сводка'!$B$11,-1)</x:f>
        <x:v>45961</x:v>
      </x:c>
      <x:c r="U119" s="4" t="n">
        <x:f>MATCH(J119,'Сводка'!$R$3:$R$397,0)</x:f>
        <x:v>130</x:v>
      </x:c>
      <x:c r="V119" s="4" t="n">
        <x:f>MATCH(J119-'Сводка'!$B$11,'Сводка'!$R$3:$R$397,0)</x:f>
        <x:v>129</x:v>
      </x:c>
      <x:c r="W119" s="4" t="n">
        <x:f>MATCH(T119,$J$388:$J$400,0)</x:f>
        <x:v>5</x:v>
      </x:c>
      <x:c r="X119" s="3"/>
      <x:c r="Y119" s="3"/>
      <x:c r="Z119" s="3"/>
    </x:row>
    <x:row r="120" ht="15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10" t="n">
        <x:v>45971</x:v>
      </x:c>
      <x:c r="K120" s="8" t="n">
        <x:f>INDEX('Сводка'!$S$3:$S$397,U120)</x:f>
        <x:v>-83</x:v>
      </x:c>
      <x:c r="L120" s="8" t="n">
        <x:f>INDEX('Сводка'!$S$3:$S$397,V120)</x:f>
        <x:v>-80</x:v>
      </x:c>
      <x:c r="M120" s="8" t="n">
        <x:f>INDEX($K$388:$N$400,W120,1)*EXP(INDEX($K$388:$N$400,W120,2)*((J120-$T$405+1)/1000))</x:f>
        <x:v>190.78200433896453</x:v>
      </x:c>
      <x:c r="N120" s="8" t="n">
        <x:f>K120-M120</x:f>
        <x:v>-273.7820043389645</x:v>
      </x:c>
      <x:c r="O120" s="8" t="n">
        <x:f>ABS(N120)</x:f>
        <x:v>273.7820043389645</x:v>
      </x:c>
      <x:c r="P120" s="8" t="n">
        <x:f>N120^2</x:f>
        <x:v>74956.58589986077</x:v>
      </x:c>
      <x:c r="Q120" s="8" t="n">
        <x:f>K120-L120</x:f>
        <x:v>-3</x:v>
      </x:c>
      <x:c r="R120" s="9" t="n">
        <x:f>IF(AND(INDEX('Сводка'!$T$3:$T$397,U120)=0,INDEX('Сводка'!$T$3:$T$397,V120)=0),1,0)</x:f>
        <x:v>1</x:v>
      </x:c>
      <x:c r="S120" s="9" t="n">
        <x:f>IF(AND(R120=1,O120&lt;=$G$13),1,0)</x:f>
        <x:v>0</x:v>
      </x:c>
      <x:c r="T120" s="10" t="n">
        <x:f>EOMONTH(J120-'Сводка'!$B$11,-1)</x:f>
        <x:v>45961</x:v>
      </x:c>
      <x:c r="U120" s="4" t="n">
        <x:f>MATCH(J120,'Сводка'!$R$3:$R$397,0)</x:f>
        <x:v>131</x:v>
      </x:c>
      <x:c r="V120" s="4" t="n">
        <x:f>MATCH(J120-'Сводка'!$B$11,'Сводка'!$R$3:$R$397,0)</x:f>
        <x:v>130</x:v>
      </x:c>
      <x:c r="W120" s="4" t="n">
        <x:f>MATCH(T120,$J$388:$J$400,0)</x:f>
        <x:v>5</x:v>
      </x:c>
      <x:c r="X120" s="3"/>
      <x:c r="Y120" s="3"/>
      <x:c r="Z120" s="3"/>
    </x:row>
    <x:row r="121" ht="15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10" t="n">
        <x:v>45972</x:v>
      </x:c>
      <x:c r="K121" s="8" t="n">
        <x:f>INDEX('Сводка'!$S$3:$S$397,U121)</x:f>
        <x:v>-89</x:v>
      </x:c>
      <x:c r="L121" s="8" t="n">
        <x:f>INDEX('Сводка'!$S$3:$S$397,V121)</x:f>
        <x:v>-83</x:v>
      </x:c>
      <x:c r="M121" s="8" t="n">
        <x:f>INDEX($K$388:$N$400,W121,1)*EXP(INDEX($K$388:$N$400,W121,2)*((J121-$T$405+1)/1000))</x:f>
        <x:v>190.8313669488514</x:v>
      </x:c>
      <x:c r="N121" s="8" t="n">
        <x:f>K121-M121</x:f>
        <x:v>-279.8313669488514</x:v>
      </x:c>
      <x:c r="O121" s="8" t="n">
        <x:f>ABS(N121)</x:f>
        <x:v>279.8313669488514</x:v>
      </x:c>
      <x:c r="P121" s="8" t="n">
        <x:f>N121^2</x:f>
        <x:v>78305.59392846271</x:v>
      </x:c>
      <x:c r="Q121" s="8" t="n">
        <x:f>K121-L121</x:f>
        <x:v>-6</x:v>
      </x:c>
      <x:c r="R121" s="9" t="n">
        <x:f>IF(AND(INDEX('Сводка'!$T$3:$T$397,U121)=0,INDEX('Сводка'!$T$3:$T$397,V121)=0),1,0)</x:f>
        <x:v>1</x:v>
      </x:c>
      <x:c r="S121" s="9" t="n">
        <x:f>IF(AND(R121=1,O121&lt;=$G$13),1,0)</x:f>
        <x:v>0</x:v>
      </x:c>
      <x:c r="T121" s="10" t="n">
        <x:f>EOMONTH(J121-'Сводка'!$B$11,-1)</x:f>
        <x:v>45961</x:v>
      </x:c>
      <x:c r="U121" s="4" t="n">
        <x:f>MATCH(J121,'Сводка'!$R$3:$R$397,0)</x:f>
        <x:v>132</x:v>
      </x:c>
      <x:c r="V121" s="4" t="n">
        <x:f>MATCH(J121-'Сводка'!$B$11,'Сводка'!$R$3:$R$397,0)</x:f>
        <x:v>131</x:v>
      </x:c>
      <x:c r="W121" s="4" t="n">
        <x:f>MATCH(T121,$J$388:$J$400,0)</x:f>
        <x:v>5</x:v>
      </x:c>
      <x:c r="X121" s="3"/>
      <x:c r="Y121" s="3"/>
      <x:c r="Z121" s="3"/>
    </x:row>
    <x:row r="122" ht="15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10" t="n">
        <x:v>45973</x:v>
      </x:c>
      <x:c r="K122" s="8" t="n">
        <x:f>INDEX('Сводка'!$S$3:$S$397,U122)</x:f>
        <x:v>-88</x:v>
      </x:c>
      <x:c r="L122" s="8" t="n">
        <x:f>INDEX('Сводка'!$S$3:$S$397,V122)</x:f>
        <x:v>-89</x:v>
      </x:c>
      <x:c r="M122" s="8" t="n">
        <x:f>INDEX($K$388:$N$400,W122,1)*EXP(INDEX($K$388:$N$400,W122,2)*((J122-$T$405+1)/1000))</x:f>
        <x:v>190.88074233073584</x:v>
      </x:c>
      <x:c r="N122" s="8" t="n">
        <x:f>K122-M122</x:f>
        <x:v>-278.88074233073587</x:v>
      </x:c>
      <x:c r="O122" s="8" t="n">
        <x:f>ABS(N122)</x:f>
        <x:v>278.88074233073587</x:v>
      </x:c>
      <x:c r="P122" s="8" t="n">
        <x:f>N122^2</x:f>
        <x:v>77774.46844294229</x:v>
      </x:c>
      <x:c r="Q122" s="8" t="n">
        <x:f>K122-L122</x:f>
        <x:v>1</x:v>
      </x:c>
      <x:c r="R122" s="9" t="n">
        <x:f>IF(AND(INDEX('Сводка'!$T$3:$T$397,U122)=0,INDEX('Сводка'!$T$3:$T$397,V122)=0),1,0)</x:f>
        <x:v>1</x:v>
      </x:c>
      <x:c r="S122" s="9" t="n">
        <x:f>IF(AND(R122=1,O122&lt;=$G$13),1,0)</x:f>
        <x:v>0</x:v>
      </x:c>
      <x:c r="T122" s="10" t="n">
        <x:f>EOMONTH(J122-'Сводка'!$B$11,-1)</x:f>
        <x:v>45961</x:v>
      </x:c>
      <x:c r="U122" s="4" t="n">
        <x:f>MATCH(J122,'Сводка'!$R$3:$R$397,0)</x:f>
        <x:v>133</x:v>
      </x:c>
      <x:c r="V122" s="4" t="n">
        <x:f>MATCH(J122-'Сводка'!$B$11,'Сводка'!$R$3:$R$397,0)</x:f>
        <x:v>132</x:v>
      </x:c>
      <x:c r="W122" s="4" t="n">
        <x:f>MATCH(T122,$J$388:$J$400,0)</x:f>
        <x:v>5</x:v>
      </x:c>
      <x:c r="X122" s="3"/>
      <x:c r="Y122" s="3"/>
      <x:c r="Z122" s="3"/>
    </x:row>
    <x:row r="123" ht="15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10" t="n">
        <x:v>45974</x:v>
      </x:c>
      <x:c r="K123" s="8" t="n">
        <x:f>INDEX('Сводка'!$S$3:$S$397,U123)</x:f>
        <x:v>-89</x:v>
      </x:c>
      <x:c r="L123" s="8" t="n">
        <x:f>INDEX('Сводка'!$S$3:$S$397,V123)</x:f>
        <x:v>-88</x:v>
      </x:c>
      <x:c r="M123" s="8" t="n">
        <x:f>INDEX($K$388:$N$400,W123,1)*EXP(INDEX($K$388:$N$400,W123,2)*((J123-$T$405+1)/1000))</x:f>
        <x:v>190.93013048792204</x:v>
      </x:c>
      <x:c r="N123" s="8" t="n">
        <x:f>K123-M123</x:f>
        <x:v>-279.93013048792204</x:v>
      </x:c>
      <x:c r="O123" s="8" t="n">
        <x:f>ABS(N123)</x:f>
        <x:v>279.93013048792204</x:v>
      </x:c>
      <x:c r="P123" s="8" t="n">
        <x:f>N123^2</x:f>
        <x:v>78360.87795498506</x:v>
      </x:c>
      <x:c r="Q123" s="8" t="n">
        <x:f>K123-L123</x:f>
        <x:v>-1</x:v>
      </x:c>
      <x:c r="R123" s="9" t="n">
        <x:f>IF(AND(INDEX('Сводка'!$T$3:$T$397,U123)=0,INDEX('Сводка'!$T$3:$T$397,V123)=0),1,0)</x:f>
        <x:v>1</x:v>
      </x:c>
      <x:c r="S123" s="9" t="n">
        <x:f>IF(AND(R123=1,O123&lt;=$G$13),1,0)</x:f>
        <x:v>0</x:v>
      </x:c>
      <x:c r="T123" s="10" t="n">
        <x:f>EOMONTH(J123-'Сводка'!$B$11,-1)</x:f>
        <x:v>45961</x:v>
      </x:c>
      <x:c r="U123" s="4" t="n">
        <x:f>MATCH(J123,'Сводка'!$R$3:$R$397,0)</x:f>
        <x:v>134</x:v>
      </x:c>
      <x:c r="V123" s="4" t="n">
        <x:f>MATCH(J123-'Сводка'!$B$11,'Сводка'!$R$3:$R$397,0)</x:f>
        <x:v>133</x:v>
      </x:c>
      <x:c r="W123" s="4" t="n">
        <x:f>MATCH(T123,$J$388:$J$400,0)</x:f>
        <x:v>5</x:v>
      </x:c>
      <x:c r="X123" s="3"/>
      <x:c r="Y123" s="3"/>
      <x:c r="Z123" s="3"/>
    </x:row>
    <x:row r="124" ht="15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10" t="n">
        <x:v>45975</x:v>
      </x:c>
      <x:c r="K124" s="8" t="n">
        <x:f>INDEX('Сводка'!$S$3:$S$397,U124)</x:f>
        <x:v>-95</x:v>
      </x:c>
      <x:c r="L124" s="8" t="n">
        <x:f>INDEX('Сводка'!$S$3:$S$397,V124)</x:f>
        <x:v>-89</x:v>
      </x:c>
      <x:c r="M124" s="8" t="n">
        <x:f>INDEX($K$388:$N$400,W124,1)*EXP(INDEX($K$388:$N$400,W124,2)*((J124-$T$405+1)/1000))</x:f>
        <x:v>190.97953142371566</x:v>
      </x:c>
      <x:c r="N124" s="8" t="n">
        <x:f>K124-M124</x:f>
        <x:v>-285.9795314237157</x:v>
      </x:c>
      <x:c r="O124" s="8" t="n">
        <x:f>ABS(N124)</x:f>
        <x:v>285.9795314237157</x:v>
      </x:c>
      <x:c r="P124" s="8" t="n">
        <x:f>N124^2</x:f>
        <x:v>81784.29239332798</x:v>
      </x:c>
      <x:c r="Q124" s="8" t="n">
        <x:f>K124-L124</x:f>
        <x:v>-6</x:v>
      </x:c>
      <x:c r="R124" s="9" t="n">
        <x:f>IF(AND(INDEX('Сводка'!$T$3:$T$397,U124)=0,INDEX('Сводка'!$T$3:$T$397,V124)=0),1,0)</x:f>
        <x:v>1</x:v>
      </x:c>
      <x:c r="S124" s="9" t="n">
        <x:f>IF(AND(R124=1,O124&lt;=$G$13),1,0)</x:f>
        <x:v>0</x:v>
      </x:c>
      <x:c r="T124" s="10" t="n">
        <x:f>EOMONTH(J124-'Сводка'!$B$11,-1)</x:f>
        <x:v>45961</x:v>
      </x:c>
      <x:c r="U124" s="4" t="n">
        <x:f>MATCH(J124,'Сводка'!$R$3:$R$397,0)</x:f>
        <x:v>135</x:v>
      </x:c>
      <x:c r="V124" s="4" t="n">
        <x:f>MATCH(J124-'Сводка'!$B$11,'Сводка'!$R$3:$R$397,0)</x:f>
        <x:v>134</x:v>
      </x:c>
      <x:c r="W124" s="4" t="n">
        <x:f>MATCH(T124,$J$388:$J$400,0)</x:f>
        <x:v>5</x:v>
      </x:c>
      <x:c r="X124" s="3"/>
      <x:c r="Y124" s="3"/>
      <x:c r="Z124" s="3"/>
    </x:row>
    <x:row r="125" ht="15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10" t="n">
        <x:v>45976</x:v>
      </x:c>
      <x:c r="K125" s="8" t="n">
        <x:f>INDEX('Сводка'!$S$3:$S$397,U125)</x:f>
        <x:v>-90</x:v>
      </x:c>
      <x:c r="L125" s="8" t="n">
        <x:f>INDEX('Сводка'!$S$3:$S$397,V125)</x:f>
        <x:v>-95</x:v>
      </x:c>
      <x:c r="M125" s="8" t="n">
        <x:f>INDEX($K$388:$N$400,W125,1)*EXP(INDEX($K$388:$N$400,W125,2)*((J125-$T$405+1)/1000))</x:f>
        <x:v>191.0289451414231</x:v>
      </x:c>
      <x:c r="N125" s="8" t="n">
        <x:f>K125-M125</x:f>
        <x:v>-281.0289451414231</x:v>
      </x:c>
      <x:c r="O125" s="8" t="n">
        <x:f>ABS(N125)</x:f>
        <x:v>281.0289451414231</x:v>
      </x:c>
      <x:c r="P125" s="8" t="n">
        <x:f>N125^2</x:f>
        <x:v>78977.268007301</x:v>
      </x:c>
      <x:c r="Q125" s="8" t="n">
        <x:f>K125-L125</x:f>
        <x:v>5</x:v>
      </x:c>
      <x:c r="R125" s="9" t="n">
        <x:f>IF(AND(INDEX('Сводка'!$T$3:$T$397,U125)=0,INDEX('Сводка'!$T$3:$T$397,V125)=0),1,0)</x:f>
        <x:v>1</x:v>
      </x:c>
      <x:c r="S125" s="9" t="n">
        <x:f>IF(AND(R125=1,O125&lt;=$G$13),1,0)</x:f>
        <x:v>0</x:v>
      </x:c>
      <x:c r="T125" s="10" t="n">
        <x:f>EOMONTH(J125-'Сводка'!$B$11,-1)</x:f>
        <x:v>45961</x:v>
      </x:c>
      <x:c r="U125" s="4" t="n">
        <x:f>MATCH(J125,'Сводка'!$R$3:$R$397,0)</x:f>
        <x:v>136</x:v>
      </x:c>
      <x:c r="V125" s="4" t="n">
        <x:f>MATCH(J125-'Сводка'!$B$11,'Сводка'!$R$3:$R$397,0)</x:f>
        <x:v>135</x:v>
      </x:c>
      <x:c r="W125" s="4" t="n">
        <x:f>MATCH(T125,$J$388:$J$400,0)</x:f>
        <x:v>5</x:v>
      </x:c>
      <x:c r="X125" s="3"/>
      <x:c r="Y125" s="3"/>
      <x:c r="Z125" s="3"/>
    </x:row>
    <x:row r="126" ht="15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10" t="n">
        <x:v>45977</x:v>
      </x:c>
      <x:c r="K126" s="8" t="n">
        <x:f>INDEX('Сводка'!$S$3:$S$397,U126)</x:f>
        <x:v>-81</x:v>
      </x:c>
      <x:c r="L126" s="8" t="n">
        <x:f>INDEX('Сводка'!$S$3:$S$397,V126)</x:f>
        <x:v>-90</x:v>
      </x:c>
      <x:c r="M126" s="8" t="n">
        <x:f>INDEX($K$388:$N$400,W126,1)*EXP(INDEX($K$388:$N$400,W126,2)*((J126-$T$405+1)/1000))</x:f>
        <x:v>191.07837164435145</x:v>
      </x:c>
      <x:c r="N126" s="8" t="n">
        <x:f>K126-M126</x:f>
        <x:v>-272.0783716443515</x:v>
      </x:c>
      <x:c r="O126" s="8" t="n">
        <x:f>ABS(N126)</x:f>
        <x:v>272.0783716443515</x:v>
      </x:c>
      <x:c r="P126" s="8" t="n">
        <x:f>N126^2</x:f>
        <x:v>74026.64031664185</x:v>
      </x:c>
      <x:c r="Q126" s="8" t="n">
        <x:f>K126-L126</x:f>
        <x:v>9</x:v>
      </x:c>
      <x:c r="R126" s="9" t="n">
        <x:f>IF(AND(INDEX('Сводка'!$T$3:$T$397,U126)=0,INDEX('Сводка'!$T$3:$T$397,V126)=0),1,0)</x:f>
        <x:v>1</x:v>
      </x:c>
      <x:c r="S126" s="9" t="n">
        <x:f>IF(AND(R126=1,O126&lt;=$G$13),1,0)</x:f>
        <x:v>0</x:v>
      </x:c>
      <x:c r="T126" s="10" t="n">
        <x:f>EOMONTH(J126-'Сводка'!$B$11,-1)</x:f>
        <x:v>45961</x:v>
      </x:c>
      <x:c r="U126" s="4" t="n">
        <x:f>MATCH(J126,'Сводка'!$R$3:$R$397,0)</x:f>
        <x:v>137</x:v>
      </x:c>
      <x:c r="V126" s="4" t="n">
        <x:f>MATCH(J126-'Сводка'!$B$11,'Сводка'!$R$3:$R$397,0)</x:f>
        <x:v>136</x:v>
      </x:c>
      <x:c r="W126" s="4" t="n">
        <x:f>MATCH(T126,$J$388:$J$400,0)</x:f>
        <x:v>5</x:v>
      </x:c>
      <x:c r="X126" s="3"/>
      <x:c r="Y126" s="3"/>
      <x:c r="Z126" s="3"/>
    </x:row>
    <x:row r="127" ht="15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10" t="n">
        <x:v>45978</x:v>
      </x:c>
      <x:c r="K127" s="8" t="n">
        <x:f>INDEX('Сводка'!$S$3:$S$397,U127)</x:f>
        <x:v>-83</x:v>
      </x:c>
      <x:c r="L127" s="8" t="n">
        <x:f>INDEX('Сводка'!$S$3:$S$397,V127)</x:f>
        <x:v>-81</x:v>
      </x:c>
      <x:c r="M127" s="8" t="n">
        <x:f>INDEX($K$388:$N$400,W127,1)*EXP(INDEX($K$388:$N$400,W127,2)*((J127-$T$405+1)/1000))</x:f>
        <x:v>191.12781093580864</x:v>
      </x:c>
      <x:c r="N127" s="8" t="n">
        <x:f>K127-M127</x:f>
        <x:v>-274.1278109358086</x:v>
      </x:c>
      <x:c r="O127" s="8" t="n">
        <x:f>ABS(N127)</x:f>
        <x:v>274.1278109358086</x:v>
      </x:c>
      <x:c r="P127" s="8" t="n">
        <x:f>N127^2</x:f>
        <x:v>75146.05672845842</x:v>
      </x:c>
      <x:c r="Q127" s="8" t="n">
        <x:f>K127-L127</x:f>
        <x:v>-2</x:v>
      </x:c>
      <x:c r="R127" s="9" t="n">
        <x:f>IF(AND(INDEX('Сводка'!$T$3:$T$397,U127)=0,INDEX('Сводка'!$T$3:$T$397,V127)=0),1,0)</x:f>
        <x:v>1</x:v>
      </x:c>
      <x:c r="S127" s="9" t="n">
        <x:f>IF(AND(R127=1,O127&lt;=$G$13),1,0)</x:f>
        <x:v>0</x:v>
      </x:c>
      <x:c r="T127" s="10" t="n">
        <x:f>EOMONTH(J127-'Сводка'!$B$11,-1)</x:f>
        <x:v>45961</x:v>
      </x:c>
      <x:c r="U127" s="4" t="n">
        <x:f>MATCH(J127,'Сводка'!$R$3:$R$397,0)</x:f>
        <x:v>138</x:v>
      </x:c>
      <x:c r="V127" s="4" t="n">
        <x:f>MATCH(J127-'Сводка'!$B$11,'Сводка'!$R$3:$R$397,0)</x:f>
        <x:v>137</x:v>
      </x:c>
      <x:c r="W127" s="4" t="n">
        <x:f>MATCH(T127,$J$388:$J$400,0)</x:f>
        <x:v>5</x:v>
      </x:c>
      <x:c r="X127" s="3"/>
      <x:c r="Y127" s="3"/>
      <x:c r="Z127" s="3"/>
    </x:row>
    <x:row r="128" ht="15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10" t="n">
        <x:v>45979</x:v>
      </x:c>
      <x:c r="K128" s="8" t="n">
        <x:f>INDEX('Сводка'!$S$3:$S$397,U128)</x:f>
        <x:v>-72</x:v>
      </x:c>
      <x:c r="L128" s="8" t="n">
        <x:f>INDEX('Сводка'!$S$3:$S$397,V128)</x:f>
        <x:v>-83</x:v>
      </x:c>
      <x:c r="M128" s="8" t="n">
        <x:f>INDEX($K$388:$N$400,W128,1)*EXP(INDEX($K$388:$N$400,W128,2)*((J128-$T$405+1)/1000))</x:f>
        <x:v>191.17726301910375</x:v>
      </x:c>
      <x:c r="N128" s="8" t="n">
        <x:f>K128-M128</x:f>
        <x:v>-263.17726301910375</x:v>
      </x:c>
      <x:c r="O128" s="8" t="n">
        <x:f>ABS(N128)</x:f>
        <x:v>263.17726301910375</x:v>
      </x:c>
      <x:c r="P128" s="8" t="n">
        <x:f>N128^2</x:f>
        <x:v>69262.2717702265</x:v>
      </x:c>
      <x:c r="Q128" s="8" t="n">
        <x:f>K128-L128</x:f>
        <x:v>11</x:v>
      </x:c>
      <x:c r="R128" s="9" t="n">
        <x:f>IF(AND(INDEX('Сводка'!$T$3:$T$397,U128)=0,INDEX('Сводка'!$T$3:$T$397,V128)=0),1,0)</x:f>
        <x:v>1</x:v>
      </x:c>
      <x:c r="S128" s="9" t="n">
        <x:f>IF(AND(R128=1,O128&lt;=$G$13),1,0)</x:f>
        <x:v>0</x:v>
      </x:c>
      <x:c r="T128" s="10" t="n">
        <x:f>EOMONTH(J128-'Сводка'!$B$11,-1)</x:f>
        <x:v>45961</x:v>
      </x:c>
      <x:c r="U128" s="4" t="n">
        <x:f>MATCH(J128,'Сводка'!$R$3:$R$397,0)</x:f>
        <x:v>139</x:v>
      </x:c>
      <x:c r="V128" s="4" t="n">
        <x:f>MATCH(J128-'Сводка'!$B$11,'Сводка'!$R$3:$R$397,0)</x:f>
        <x:v>138</x:v>
      </x:c>
      <x:c r="W128" s="4" t="n">
        <x:f>MATCH(T128,$J$388:$J$400,0)</x:f>
        <x:v>5</x:v>
      </x:c>
      <x:c r="X128" s="3"/>
      <x:c r="Y128" s="3"/>
      <x:c r="Z128" s="3"/>
    </x:row>
    <x:row r="129" ht="15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10" t="n">
        <x:v>45980</x:v>
      </x:c>
      <x:c r="K129" s="8" t="n">
        <x:f>INDEX('Сводка'!$S$3:$S$397,U129)</x:f>
        <x:v>-74</x:v>
      </x:c>
      <x:c r="L129" s="8" t="n">
        <x:f>INDEX('Сводка'!$S$3:$S$397,V129)</x:f>
        <x:v>-72</x:v>
      </x:c>
      <x:c r="M129" s="8" t="n">
        <x:f>INDEX($K$388:$N$400,W129,1)*EXP(INDEX($K$388:$N$400,W129,2)*((J129-$T$405+1)/1000))</x:f>
        <x:v>191.2267278975464</x:v>
      </x:c>
      <x:c r="N129" s="8" t="n">
        <x:f>K129-M129</x:f>
        <x:v>-265.2267278975464</x:v>
      </x:c>
      <x:c r="O129" s="8" t="n">
        <x:f>ABS(N129)</x:f>
        <x:v>265.2267278975464</x:v>
      </x:c>
      <x:c r="P129" s="8" t="n">
        <x:f>N129^2</x:f>
        <x:v>70345.21719123913</x:v>
      </x:c>
      <x:c r="Q129" s="8" t="n">
        <x:f>K129-L129</x:f>
        <x:v>-2</x:v>
      </x:c>
      <x:c r="R129" s="9" t="n">
        <x:f>IF(AND(INDEX('Сводка'!$T$3:$T$397,U129)=0,INDEX('Сводка'!$T$3:$T$397,V129)=0),1,0)</x:f>
        <x:v>1</x:v>
      </x:c>
      <x:c r="S129" s="9" t="n">
        <x:f>IF(AND(R129=1,O129&lt;=$G$13),1,0)</x:f>
        <x:v>0</x:v>
      </x:c>
      <x:c r="T129" s="10" t="n">
        <x:f>EOMONTH(J129-'Сводка'!$B$11,-1)</x:f>
        <x:v>45961</x:v>
      </x:c>
      <x:c r="U129" s="4" t="n">
        <x:f>MATCH(J129,'Сводка'!$R$3:$R$397,0)</x:f>
        <x:v>140</x:v>
      </x:c>
      <x:c r="V129" s="4" t="n">
        <x:f>MATCH(J129-'Сводка'!$B$11,'Сводка'!$R$3:$R$397,0)</x:f>
        <x:v>139</x:v>
      </x:c>
      <x:c r="W129" s="4" t="n">
        <x:f>MATCH(T129,$J$388:$J$400,0)</x:f>
        <x:v>5</x:v>
      </x:c>
      <x:c r="X129" s="3"/>
      <x:c r="Y129" s="3"/>
      <x:c r="Z129" s="3"/>
    </x:row>
    <x:row r="130" ht="15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10" t="n">
        <x:v>45981</x:v>
      </x:c>
      <x:c r="K130" s="8" t="n">
        <x:f>INDEX('Сводка'!$S$3:$S$397,U130)</x:f>
        <x:v>-71</x:v>
      </x:c>
      <x:c r="L130" s="8" t="n">
        <x:f>INDEX('Сводка'!$S$3:$S$397,V130)</x:f>
        <x:v>-74</x:v>
      </x:c>
      <x:c r="M130" s="8" t="n">
        <x:f>INDEX($K$388:$N$400,W130,1)*EXP(INDEX($K$388:$N$400,W130,2)*((J130-$T$405+1)/1000))</x:f>
        <x:v>191.2762055744471</x:v>
      </x:c>
      <x:c r="N130" s="8" t="n">
        <x:f>K130-M130</x:f>
        <x:v>-262.2762055744471</x:v>
      </x:c>
      <x:c r="O130" s="8" t="n">
        <x:f>ABS(N130)</x:f>
        <x:v>262.2762055744471</x:v>
      </x:c>
      <x:c r="P130" s="8" t="n">
        <x:f>N130^2</x:f>
        <x:v>68788.80801052962</x:v>
      </x:c>
      <x:c r="Q130" s="8" t="n">
        <x:f>K130-L130</x:f>
        <x:v>3</x:v>
      </x:c>
      <x:c r="R130" s="9" t="n">
        <x:f>IF(AND(INDEX('Сводка'!$T$3:$T$397,U130)=0,INDEX('Сводка'!$T$3:$T$397,V130)=0),1,0)</x:f>
        <x:v>1</x:v>
      </x:c>
      <x:c r="S130" s="9" t="n">
        <x:f>IF(AND(R130=1,O130&lt;=$G$13),1,0)</x:f>
        <x:v>0</x:v>
      </x:c>
      <x:c r="T130" s="10" t="n">
        <x:f>EOMONTH(J130-'Сводка'!$B$11,-1)</x:f>
        <x:v>45961</x:v>
      </x:c>
      <x:c r="U130" s="4" t="n">
        <x:f>MATCH(J130,'Сводка'!$R$3:$R$397,0)</x:f>
        <x:v>141</x:v>
      </x:c>
      <x:c r="V130" s="4" t="n">
        <x:f>MATCH(J130-'Сводка'!$B$11,'Сводка'!$R$3:$R$397,0)</x:f>
        <x:v>140</x:v>
      </x:c>
      <x:c r="W130" s="4" t="n">
        <x:f>MATCH(T130,$J$388:$J$400,0)</x:f>
        <x:v>5</x:v>
      </x:c>
      <x:c r="X130" s="3"/>
      <x:c r="Y130" s="3"/>
      <x:c r="Z130" s="3"/>
    </x:row>
    <x:row r="131" ht="15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10" t="n">
        <x:v>45982</x:v>
      </x:c>
      <x:c r="K131" s="8" t="n">
        <x:f>INDEX('Сводка'!$S$3:$S$397,U131)</x:f>
        <x:v>-85</x:v>
      </x:c>
      <x:c r="L131" s="8" t="n">
        <x:f>INDEX('Сводка'!$S$3:$S$397,V131)</x:f>
        <x:v>-71</x:v>
      </x:c>
      <x:c r="M131" s="8" t="n">
        <x:f>INDEX($K$388:$N$400,W131,1)*EXP(INDEX($K$388:$N$400,W131,2)*((J131-$T$405+1)/1000))</x:f>
        <x:v>191.3256960531175</x:v>
      </x:c>
      <x:c r="N131" s="8" t="n">
        <x:f>K131-M131</x:f>
        <x:v>-276.3256960531175</x:v>
      </x:c>
      <x:c r="O131" s="8" t="n">
        <x:f>ABS(N131)</x:f>
        <x:v>276.3256960531175</x:v>
      </x:c>
      <x:c r="P131" s="8" t="n">
        <x:f>N131^2</x:f>
        <x:v>76355.89029923988</x:v>
      </x:c>
      <x:c r="Q131" s="8" t="n">
        <x:f>K131-L131</x:f>
        <x:v>-14</x:v>
      </x:c>
      <x:c r="R131" s="9" t="n">
        <x:f>IF(AND(INDEX('Сводка'!$T$3:$T$397,U131)=0,INDEX('Сводка'!$T$3:$T$397,V131)=0),1,0)</x:f>
        <x:v>1</x:v>
      </x:c>
      <x:c r="S131" s="9" t="n">
        <x:f>IF(AND(R131=1,O131&lt;=$G$13),1,0)</x:f>
        <x:v>0</x:v>
      </x:c>
      <x:c r="T131" s="10" t="n">
        <x:f>EOMONTH(J131-'Сводка'!$B$11,-1)</x:f>
        <x:v>45961</x:v>
      </x:c>
      <x:c r="U131" s="4" t="n">
        <x:f>MATCH(J131,'Сводка'!$R$3:$R$397,0)</x:f>
        <x:v>142</x:v>
      </x:c>
      <x:c r="V131" s="4" t="n">
        <x:f>MATCH(J131-'Сводка'!$B$11,'Сводка'!$R$3:$R$397,0)</x:f>
        <x:v>141</x:v>
      </x:c>
      <x:c r="W131" s="4" t="n">
        <x:f>MATCH(T131,$J$388:$J$400,0)</x:f>
        <x:v>5</x:v>
      </x:c>
      <x:c r="X131" s="3"/>
      <x:c r="Y131" s="3"/>
      <x:c r="Z131" s="3"/>
    </x:row>
    <x:row r="132" ht="15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10" t="n">
        <x:v>45983</x:v>
      </x:c>
      <x:c r="K132" s="8" t="n">
        <x:f>INDEX('Сводка'!$S$3:$S$397,U132)</x:f>
        <x:v>-98</x:v>
      </x:c>
      <x:c r="L132" s="8" t="n">
        <x:f>INDEX('Сводка'!$S$3:$S$397,V132)</x:f>
        <x:v>-85</x:v>
      </x:c>
      <x:c r="M132" s="8" t="n">
        <x:f>INDEX($K$388:$N$400,W132,1)*EXP(INDEX($K$388:$N$400,W132,2)*((J132-$T$405+1)/1000))</x:f>
        <x:v>191.37519933686968</x:v>
      </x:c>
      <x:c r="N132" s="8" t="n">
        <x:f>K132-M132</x:f>
        <x:v>-289.3751993368697</x:v>
      </x:c>
      <x:c r="O132" s="8" t="n">
        <x:f>ABS(N132)</x:f>
        <x:v>289.3751993368697</x:v>
      </x:c>
      <x:c r="P132" s="8" t="n">
        <x:f>N132^2</x:f>
        <x:v>83738.00599125307</x:v>
      </x:c>
      <x:c r="Q132" s="8" t="n">
        <x:f>K132-L132</x:f>
        <x:v>-13</x:v>
      </x:c>
      <x:c r="R132" s="9" t="n">
        <x:f>IF(AND(INDEX('Сводка'!$T$3:$T$397,U132)=0,INDEX('Сводка'!$T$3:$T$397,V132)=0),1,0)</x:f>
        <x:v>1</x:v>
      </x:c>
      <x:c r="S132" s="9" t="n">
        <x:f>IF(AND(R132=1,O132&lt;=$G$13),1,0)</x:f>
        <x:v>0</x:v>
      </x:c>
      <x:c r="T132" s="10" t="n">
        <x:f>EOMONTH(J132-'Сводка'!$B$11,-1)</x:f>
        <x:v>45961</x:v>
      </x:c>
      <x:c r="U132" s="4" t="n">
        <x:f>MATCH(J132,'Сводка'!$R$3:$R$397,0)</x:f>
        <x:v>143</x:v>
      </x:c>
      <x:c r="V132" s="4" t="n">
        <x:f>MATCH(J132-'Сводка'!$B$11,'Сводка'!$R$3:$R$397,0)</x:f>
        <x:v>142</x:v>
      </x:c>
      <x:c r="W132" s="4" t="n">
        <x:f>MATCH(T132,$J$388:$J$400,0)</x:f>
        <x:v>5</x:v>
      </x:c>
      <x:c r="X132" s="3"/>
      <x:c r="Y132" s="3"/>
      <x:c r="Z132" s="3"/>
    </x:row>
    <x:row r="133" ht="15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10" t="n">
        <x:v>45984</x:v>
      </x:c>
      <x:c r="K133" s="8" t="n">
        <x:f>INDEX('Сводка'!$S$3:$S$397,U133)</x:f>
        <x:v>-118</x:v>
      </x:c>
      <x:c r="L133" s="8" t="n">
        <x:f>INDEX('Сводка'!$S$3:$S$397,V133)</x:f>
        <x:v>-98</x:v>
      </x:c>
      <x:c r="M133" s="8" t="n">
        <x:f>INDEX($K$388:$N$400,W133,1)*EXP(INDEX($K$388:$N$400,W133,2)*((J133-$T$405+1)/1000))</x:f>
        <x:v>191.42471542901708</x:v>
      </x:c>
      <x:c r="N133" s="8" t="n">
        <x:f>K133-M133</x:f>
        <x:v>-309.42471542901706</x:v>
      </x:c>
      <x:c r="O133" s="8" t="n">
        <x:f>ABS(N133)</x:f>
        <x:v>309.42471542901706</x:v>
      </x:c>
      <x:c r="P133" s="8" t="n">
        <x:f>N133^2</x:f>
        <x:v>95743.65451832819</x:v>
      </x:c>
      <x:c r="Q133" s="8" t="n">
        <x:f>K133-L133</x:f>
        <x:v>-20</x:v>
      </x:c>
      <x:c r="R133" s="9" t="n">
        <x:f>IF(AND(INDEX('Сводка'!$T$3:$T$397,U133)=0,INDEX('Сводка'!$T$3:$T$397,V133)=0),1,0)</x:f>
        <x:v>1</x:v>
      </x:c>
      <x:c r="S133" s="9" t="n">
        <x:f>IF(AND(R133=1,O133&lt;=$G$13),1,0)</x:f>
        <x:v>0</x:v>
      </x:c>
      <x:c r="T133" s="10" t="n">
        <x:f>EOMONTH(J133-'Сводка'!$B$11,-1)</x:f>
        <x:v>45961</x:v>
      </x:c>
      <x:c r="U133" s="4" t="n">
        <x:f>MATCH(J133,'Сводка'!$R$3:$R$397,0)</x:f>
        <x:v>144</x:v>
      </x:c>
      <x:c r="V133" s="4" t="n">
        <x:f>MATCH(J133-'Сводка'!$B$11,'Сводка'!$R$3:$R$397,0)</x:f>
        <x:v>143</x:v>
      </x:c>
      <x:c r="W133" s="4" t="n">
        <x:f>MATCH(T133,$J$388:$J$400,0)</x:f>
        <x:v>5</x:v>
      </x:c>
      <x:c r="X133" s="3"/>
      <x:c r="Y133" s="3"/>
      <x:c r="Z133" s="3"/>
    </x:row>
    <x:row r="134" ht="15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10" t="n">
        <x:v>45985</x:v>
      </x:c>
      <x:c r="K134" s="8" t="n">
        <x:f>INDEX('Сводка'!$S$3:$S$397,U134)</x:f>
        <x:v>-123</x:v>
      </x:c>
      <x:c r="L134" s="8" t="n">
        <x:f>INDEX('Сводка'!$S$3:$S$397,V134)</x:f>
        <x:v>-118</x:v>
      </x:c>
      <x:c r="M134" s="8" t="n">
        <x:f>INDEX($K$388:$N$400,W134,1)*EXP(INDEX($K$388:$N$400,W134,2)*((J134-$T$405+1)/1000))</x:f>
        <x:v>191.47424433287344</x:v>
      </x:c>
      <x:c r="N134" s="8" t="n">
        <x:f>K134-M134</x:f>
        <x:v>-314.47424433287347</x:v>
      </x:c>
      <x:c r="O134" s="8" t="n">
        <x:f>ABS(N134)</x:f>
        <x:v>314.47424433287347</x:v>
      </x:c>
      <x:c r="P134" s="8" t="n">
        <x:f>N134^2</x:f>
        <x:v>98894.0503487318</x:v>
      </x:c>
      <x:c r="Q134" s="8" t="n">
        <x:f>K134-L134</x:f>
        <x:v>-5</x:v>
      </x:c>
      <x:c r="R134" s="9" t="n">
        <x:f>IF(AND(INDEX('Сводка'!$T$3:$T$397,U134)=0,INDEX('Сводка'!$T$3:$T$397,V134)=0),1,0)</x:f>
        <x:v>1</x:v>
      </x:c>
      <x:c r="S134" s="9" t="n">
        <x:f>IF(AND(R134=1,O134&lt;=$G$13),1,0)</x:f>
        <x:v>0</x:v>
      </x:c>
      <x:c r="T134" s="10" t="n">
        <x:f>EOMONTH(J134-'Сводка'!$B$11,-1)</x:f>
        <x:v>45961</x:v>
      </x:c>
      <x:c r="U134" s="4" t="n">
        <x:f>MATCH(J134,'Сводка'!$R$3:$R$397,0)</x:f>
        <x:v>145</x:v>
      </x:c>
      <x:c r="V134" s="4" t="n">
        <x:f>MATCH(J134-'Сводка'!$B$11,'Сводка'!$R$3:$R$397,0)</x:f>
        <x:v>144</x:v>
      </x:c>
      <x:c r="W134" s="4" t="n">
        <x:f>MATCH(T134,$J$388:$J$400,0)</x:f>
        <x:v>5</x:v>
      </x:c>
      <x:c r="X134" s="3"/>
      <x:c r="Y134" s="3"/>
      <x:c r="Z134" s="3"/>
    </x:row>
    <x:row r="135" ht="15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10" t="n">
        <x:v>45986</x:v>
      </x:c>
      <x:c r="K135" s="8" t="n">
        <x:f>INDEX('Сводка'!$S$3:$S$397,U135)</x:f>
        <x:v>-116</x:v>
      </x:c>
      <x:c r="L135" s="8" t="n">
        <x:f>INDEX('Сводка'!$S$3:$S$397,V135)</x:f>
        <x:v>-123</x:v>
      </x:c>
      <x:c r="M135" s="8" t="n">
        <x:f>INDEX($K$388:$N$400,W135,1)*EXP(INDEX($K$388:$N$400,W135,2)*((J135-$T$405+1)/1000))</x:f>
        <x:v>191.52378605175386</x:v>
      </x:c>
      <x:c r="N135" s="8" t="n">
        <x:f>K135-M135</x:f>
        <x:v>-307.52378605175386</x:v>
      </x:c>
      <x:c r="O135" s="8" t="n">
        <x:f>ABS(N135)</x:f>
        <x:v>307.52378605175386</x:v>
      </x:c>
      <x:c r="P135" s="8" t="n">
        <x:f>N135^2</x:f>
        <x:v>94570.87898760488</x:v>
      </x:c>
      <x:c r="Q135" s="8" t="n">
        <x:f>K135-L135</x:f>
        <x:v>7</x:v>
      </x:c>
      <x:c r="R135" s="9" t="n">
        <x:f>IF(AND(INDEX('Сводка'!$T$3:$T$397,U135)=0,INDEX('Сводка'!$T$3:$T$397,V135)=0),1,0)</x:f>
        <x:v>1</x:v>
      </x:c>
      <x:c r="S135" s="9" t="n">
        <x:f>IF(AND(R135=1,O135&lt;=$G$13),1,0)</x:f>
        <x:v>0</x:v>
      </x:c>
      <x:c r="T135" s="10" t="n">
        <x:f>EOMONTH(J135-'Сводка'!$B$11,-1)</x:f>
        <x:v>45961</x:v>
      </x:c>
      <x:c r="U135" s="4" t="n">
        <x:f>MATCH(J135,'Сводка'!$R$3:$R$397,0)</x:f>
        <x:v>146</x:v>
      </x:c>
      <x:c r="V135" s="4" t="n">
        <x:f>MATCH(J135-'Сводка'!$B$11,'Сводка'!$R$3:$R$397,0)</x:f>
        <x:v>145</x:v>
      </x:c>
      <x:c r="W135" s="4" t="n">
        <x:f>MATCH(T135,$J$388:$J$400,0)</x:f>
        <x:v>5</x:v>
      </x:c>
      <x:c r="X135" s="3"/>
      <x:c r="Y135" s="3"/>
      <x:c r="Z135" s="3"/>
    </x:row>
    <x:row r="136" ht="15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10" t="n">
        <x:v>45987</x:v>
      </x:c>
      <x:c r="K136" s="8" t="n">
        <x:f>INDEX('Сводка'!$S$3:$S$397,U136)</x:f>
        <x:v>-119</x:v>
      </x:c>
      <x:c r="L136" s="8" t="n">
        <x:f>INDEX('Сводка'!$S$3:$S$397,V136)</x:f>
        <x:v>-116</x:v>
      </x:c>
      <x:c r="M136" s="8" t="n">
        <x:f>INDEX($K$388:$N$400,W136,1)*EXP(INDEX($K$388:$N$400,W136,2)*((J136-$T$405+1)/1000))</x:f>
        <x:v>191.57334058897402</x:v>
      </x:c>
      <x:c r="N136" s="8" t="n">
        <x:f>K136-M136</x:f>
        <x:v>-310.573340588974</x:v>
      </x:c>
      <x:c r="O136" s="8" t="n">
        <x:f>ABS(N136)</x:f>
        <x:v>310.573340588974</x:v>
      </x:c>
      <x:c r="P136" s="8" t="n">
        <x:f>N136^2</x:f>
        <x:v>96455.79988459486</x:v>
      </x:c>
      <x:c r="Q136" s="8" t="n">
        <x:f>K136-L136</x:f>
        <x:v>-3</x:v>
      </x:c>
      <x:c r="R136" s="9" t="n">
        <x:f>IF(AND(INDEX('Сводка'!$T$3:$T$397,U136)=0,INDEX('Сводка'!$T$3:$T$397,V136)=0),1,0)</x:f>
        <x:v>1</x:v>
      </x:c>
      <x:c r="S136" s="9" t="n">
        <x:f>IF(AND(R136=1,O136&lt;=$G$13),1,0)</x:f>
        <x:v>0</x:v>
      </x:c>
      <x:c r="T136" s="10" t="n">
        <x:f>EOMONTH(J136-'Сводка'!$B$11,-1)</x:f>
        <x:v>45961</x:v>
      </x:c>
      <x:c r="U136" s="4" t="n">
        <x:f>MATCH(J136,'Сводка'!$R$3:$R$397,0)</x:f>
        <x:v>147</x:v>
      </x:c>
      <x:c r="V136" s="4" t="n">
        <x:f>MATCH(J136-'Сводка'!$B$11,'Сводка'!$R$3:$R$397,0)</x:f>
        <x:v>146</x:v>
      </x:c>
      <x:c r="W136" s="4" t="n">
        <x:f>MATCH(T136,$J$388:$J$400,0)</x:f>
        <x:v>5</x:v>
      </x:c>
      <x:c r="X136" s="3"/>
      <x:c r="Y136" s="3"/>
      <x:c r="Z136" s="3"/>
    </x:row>
    <x:row r="137" ht="15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10" t="n">
        <x:v>45988</x:v>
      </x:c>
      <x:c r="K137" s="8" t="n">
        <x:f>INDEX('Сводка'!$S$3:$S$397,U137)</x:f>
        <x:v>-114</x:v>
      </x:c>
      <x:c r="L137" s="8" t="n">
        <x:f>INDEX('Сводка'!$S$3:$S$397,V137)</x:f>
        <x:v>-119</x:v>
      </x:c>
      <x:c r="M137" s="8" t="n">
        <x:f>INDEX($K$388:$N$400,W137,1)*EXP(INDEX($K$388:$N$400,W137,2)*((J137-$T$405+1)/1000))</x:f>
        <x:v>191.6229079478504</x:v>
      </x:c>
      <x:c r="N137" s="8" t="n">
        <x:f>K137-M137</x:f>
        <x:v>-305.6229079478504</x:v>
      </x:c>
      <x:c r="O137" s="8" t="n">
        <x:f>ABS(N137)</x:f>
        <x:v>305.6229079478504</x:v>
      </x:c>
      <x:c r="P137" s="8" t="n">
        <x:f>N137^2</x:f>
        <x:v>93405.36186250026</x:v>
      </x:c>
      <x:c r="Q137" s="8" t="n">
        <x:f>K137-L137</x:f>
        <x:v>5</x:v>
      </x:c>
      <x:c r="R137" s="9" t="n">
        <x:f>IF(AND(INDEX('Сводка'!$T$3:$T$397,U137)=0,INDEX('Сводка'!$T$3:$T$397,V137)=0),1,0)</x:f>
        <x:v>1</x:v>
      </x:c>
      <x:c r="S137" s="9" t="n">
        <x:f>IF(AND(R137=1,O137&lt;=$G$13),1,0)</x:f>
        <x:v>0</x:v>
      </x:c>
      <x:c r="T137" s="10" t="n">
        <x:f>EOMONTH(J137-'Сводка'!$B$11,-1)</x:f>
        <x:v>45961</x:v>
      </x:c>
      <x:c r="U137" s="4" t="n">
        <x:f>MATCH(J137,'Сводка'!$R$3:$R$397,0)</x:f>
        <x:v>148</x:v>
      </x:c>
      <x:c r="V137" s="4" t="n">
        <x:f>MATCH(J137-'Сводка'!$B$11,'Сводка'!$R$3:$R$397,0)</x:f>
        <x:v>147</x:v>
      </x:c>
      <x:c r="W137" s="4" t="n">
        <x:f>MATCH(T137,$J$388:$J$400,0)</x:f>
        <x:v>5</x:v>
      </x:c>
      <x:c r="X137" s="3"/>
      <x:c r="Y137" s="3"/>
      <x:c r="Z137" s="3"/>
    </x:row>
    <x:row r="138" ht="15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10" t="n">
        <x:v>45989</x:v>
      </x:c>
      <x:c r="K138" s="8" t="n">
        <x:f>INDEX('Сводка'!$S$3:$S$397,U138)</x:f>
        <x:v>-86</x:v>
      </x:c>
      <x:c r="L138" s="8" t="n">
        <x:f>INDEX('Сводка'!$S$3:$S$397,V138)</x:f>
        <x:v>-114</x:v>
      </x:c>
      <x:c r="M138" s="8" t="n">
        <x:f>INDEX($K$388:$N$400,W138,1)*EXP(INDEX($K$388:$N$400,W138,2)*((J138-$T$405+1)/1000))</x:f>
        <x:v>191.67248813170062</x:v>
      </x:c>
      <x:c r="N138" s="8" t="n">
        <x:f>K138-M138</x:f>
        <x:v>-277.6724881317006</x:v>
      </x:c>
      <x:c r="O138" s="8" t="n">
        <x:f>ABS(N138)</x:f>
        <x:v>277.6724881317006</x:v>
      </x:c>
      <x:c r="P138" s="8" t="n">
        <x:f>N138^2</x:f>
        <x:v>77102.01066524941</x:v>
      </x:c>
      <x:c r="Q138" s="8" t="n">
        <x:f>K138-L138</x:f>
        <x:v>28</x:v>
      </x:c>
      <x:c r="R138" s="9" t="n">
        <x:f>IF(AND(INDEX('Сводка'!$T$3:$T$397,U138)=0,INDEX('Сводка'!$T$3:$T$397,V138)=0),1,0)</x:f>
        <x:v>0</x:v>
      </x:c>
      <x:c r="S138" s="9" t="n">
        <x:f>IF(AND(R138=1,O138&lt;=$G$13),1,0)</x:f>
        <x:v>0</x:v>
      </x:c>
      <x:c r="T138" s="10" t="n">
        <x:f>EOMONTH(J138-'Сводка'!$B$11,-1)</x:f>
        <x:v>45961</x:v>
      </x:c>
      <x:c r="U138" s="4" t="n">
        <x:f>MATCH(J138,'Сводка'!$R$3:$R$397,0)</x:f>
        <x:v>149</x:v>
      </x:c>
      <x:c r="V138" s="4" t="n">
        <x:f>MATCH(J138-'Сводка'!$B$11,'Сводка'!$R$3:$R$397,0)</x:f>
        <x:v>148</x:v>
      </x:c>
      <x:c r="W138" s="4" t="n">
        <x:f>MATCH(T138,$J$388:$J$400,0)</x:f>
        <x:v>5</x:v>
      </x:c>
      <x:c r="X138" s="3"/>
      <x:c r="Y138" s="3"/>
      <x:c r="Z138" s="3"/>
    </x:row>
    <x:row r="139" ht="15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10" t="n">
        <x:v>45990</x:v>
      </x:c>
      <x:c r="K139" s="8" t="n">
        <x:f>INDEX('Сводка'!$S$3:$S$397,U139)</x:f>
        <x:v>-58</x:v>
      </x:c>
      <x:c r="L139" s="8" t="n">
        <x:f>INDEX('Сводка'!$S$3:$S$397,V139)</x:f>
        <x:v>-86</x:v>
      </x:c>
      <x:c r="M139" s="8" t="n">
        <x:f>INDEX($K$388:$N$400,W139,1)*EXP(INDEX($K$388:$N$400,W139,2)*((J139-$T$405+1)/1000))</x:f>
        <x:v>191.7220811438428</x:v>
      </x:c>
      <x:c r="N139" s="8" t="n">
        <x:f>K139-M139</x:f>
        <x:v>-249.7220811438428</x:v>
      </x:c>
      <x:c r="O139" s="8" t="n">
        <x:f>ABS(N139)</x:f>
        <x:v>249.7220811438428</x:v>
      </x:c>
      <x:c r="P139" s="8" t="n">
        <x:f>N139^2</x:f>
        <x:v>62361.117810812</x:v>
      </x:c>
      <x:c r="Q139" s="8" t="n">
        <x:f>K139-L139</x:f>
        <x:v>28</x:v>
      </x:c>
      <x:c r="R139" s="9" t="n">
        <x:f>IF(AND(INDEX('Сводка'!$T$3:$T$397,U139)=0,INDEX('Сводка'!$T$3:$T$397,V139)=0),1,0)</x:f>
        <x:v>0</x:v>
      </x:c>
      <x:c r="S139" s="9" t="n">
        <x:f>IF(AND(R139=1,O139&lt;=$G$13),1,0)</x:f>
        <x:v>0</x:v>
      </x:c>
      <x:c r="T139" s="10" t="n">
        <x:f>EOMONTH(J139-'Сводка'!$B$11,-1)</x:f>
        <x:v>45961</x:v>
      </x:c>
      <x:c r="U139" s="4" t="n">
        <x:f>MATCH(J139,'Сводка'!$R$3:$R$397,0)</x:f>
        <x:v>150</x:v>
      </x:c>
      <x:c r="V139" s="4" t="n">
        <x:f>MATCH(J139-'Сводка'!$B$11,'Сводка'!$R$3:$R$397,0)</x:f>
        <x:v>149</x:v>
      </x:c>
      <x:c r="W139" s="4" t="n">
        <x:f>MATCH(T139,$J$388:$J$400,0)</x:f>
        <x:v>5</x:v>
      </x:c>
      <x:c r="X139" s="3"/>
      <x:c r="Y139" s="3"/>
      <x:c r="Z139" s="3"/>
    </x:row>
    <x:row r="140" ht="15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10" t="n">
        <x:v>45991</x:v>
      </x:c>
      <x:c r="K140" s="8" t="n">
        <x:f>INDEX('Сводка'!$S$3:$S$397,U140)</x:f>
        <x:v>-53</x:v>
      </x:c>
      <x:c r="L140" s="8" t="n">
        <x:f>INDEX('Сводка'!$S$3:$S$397,V140)</x:f>
        <x:v>-58</x:v>
      </x:c>
      <x:c r="M140" s="8" t="n">
        <x:f>INDEX($K$388:$N$400,W140,1)*EXP(INDEX($K$388:$N$400,W140,2)*((J140-$T$405+1)/1000))</x:f>
        <x:v>191.77168698759633</x:v>
      </x:c>
      <x:c r="N140" s="8" t="n">
        <x:f>K140-M140</x:f>
        <x:v>-244.77168698759633</x:v>
      </x:c>
      <x:c r="O140" s="8" t="n">
        <x:f>ABS(N140)</x:f>
        <x:v>244.77168698759633</x:v>
      </x:c>
      <x:c r="P140" s="8" t="n">
        <x:f>N140^2</x:f>
        <x:v>59913.17875075383</x:v>
      </x:c>
      <x:c r="Q140" s="8" t="n">
        <x:f>K140-L140</x:f>
        <x:v>5</x:v>
      </x:c>
      <x:c r="R140" s="9" t="n">
        <x:f>IF(AND(INDEX('Сводка'!$T$3:$T$397,U140)=0,INDEX('Сводка'!$T$3:$T$397,V140)=0),1,0)</x:f>
        <x:v>1</x:v>
      </x:c>
      <x:c r="S140" s="9" t="n">
        <x:f>IF(AND(R140=1,O140&lt;=$G$13),1,0)</x:f>
        <x:v>0</x:v>
      </x:c>
      <x:c r="T140" s="10" t="n">
        <x:f>EOMONTH(J140-'Сводка'!$B$11,-1)</x:f>
        <x:v>45961</x:v>
      </x:c>
      <x:c r="U140" s="4" t="n">
        <x:f>MATCH(J140,'Сводка'!$R$3:$R$397,0)</x:f>
        <x:v>151</x:v>
      </x:c>
      <x:c r="V140" s="4" t="n">
        <x:f>MATCH(J140-'Сводка'!$B$11,'Сводка'!$R$3:$R$397,0)</x:f>
        <x:v>150</x:v>
      </x:c>
      <x:c r="W140" s="4" t="n">
        <x:f>MATCH(T140,$J$388:$J$400,0)</x:f>
        <x:v>5</x:v>
      </x:c>
      <x:c r="X140" s="3"/>
      <x:c r="Y140" s="3"/>
      <x:c r="Z140" s="3"/>
    </x:row>
    <x:row r="141" ht="15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10" t="n">
        <x:v>45992</x:v>
      </x:c>
      <x:c r="K141" s="8" t="n">
        <x:f>INDEX('Сводка'!$S$3:$S$397,U141)</x:f>
        <x:v>-56</x:v>
      </x:c>
      <x:c r="L141" s="8" t="n">
        <x:f>INDEX('Сводка'!$S$3:$S$397,V141)</x:f>
        <x:v>-53</x:v>
      </x:c>
      <x:c r="M141" s="8" t="n">
        <x:f>INDEX($K$388:$N$400,W141,1)*EXP(INDEX($K$388:$N$400,W141,2)*((J141-$T$405+1)/1000))</x:f>
        <x:v>191.8213056662811</x:v>
      </x:c>
      <x:c r="N141" s="8" t="n">
        <x:f>K141-M141</x:f>
        <x:v>-247.8213056662811</x:v>
      </x:c>
      <x:c r="O141" s="8" t="n">
        <x:f>ABS(N141)</x:f>
        <x:v>247.8213056662811</x:v>
      </x:c>
      <x:c r="P141" s="8" t="n">
        <x:f>N141^2</x:f>
        <x:v>61415.39954214032</x:v>
      </x:c>
      <x:c r="Q141" s="8" t="n">
        <x:f>K141-L141</x:f>
        <x:v>-3</x:v>
      </x:c>
      <x:c r="R141" s="9" t="n">
        <x:f>IF(AND(INDEX('Сводка'!$T$3:$T$397,U141)=0,INDEX('Сводка'!$T$3:$T$397,V141)=0),1,0)</x:f>
        <x:v>1</x:v>
      </x:c>
      <x:c r="S141" s="9" t="n">
        <x:f>IF(AND(R141=1,O141&lt;=$G$13),1,0)</x:f>
        <x:v>0</x:v>
      </x:c>
      <x:c r="T141" s="10" t="n">
        <x:f>EOMONTH(J141-'Сводка'!$B$11,-1)</x:f>
        <x:v>45961</x:v>
      </x:c>
      <x:c r="U141" s="4" t="n">
        <x:f>MATCH(J141,'Сводка'!$R$3:$R$397,0)</x:f>
        <x:v>152</x:v>
      </x:c>
      <x:c r="V141" s="4" t="n">
        <x:f>MATCH(J141-'Сводка'!$B$11,'Сводка'!$R$3:$R$397,0)</x:f>
        <x:v>151</x:v>
      </x:c>
      <x:c r="W141" s="4" t="n">
        <x:f>MATCH(T141,$J$388:$J$400,0)</x:f>
        <x:v>5</x:v>
      </x:c>
      <x:c r="X141" s="3"/>
      <x:c r="Y141" s="3"/>
      <x:c r="Z141" s="3"/>
    </x:row>
    <x:row r="142" ht="15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10" t="n">
        <x:v>45993</x:v>
      </x:c>
      <x:c r="K142" s="8" t="n">
        <x:f>INDEX('Сводка'!$S$3:$S$397,U142)</x:f>
        <x:v>-46</x:v>
      </x:c>
      <x:c r="L142" s="8" t="n">
        <x:f>INDEX('Сводка'!$S$3:$S$397,V142)</x:f>
        <x:v>-56</x:v>
      </x:c>
      <x:c r="M142" s="8" t="n">
        <x:f>INDEX($K$388:$N$400,W142,1)*EXP(INDEX($K$388:$N$400,W142,2)*((J142-$T$405+1)/1000))</x:f>
        <x:v>183.8278529373228</x:v>
      </x:c>
      <x:c r="N142" s="8" t="n">
        <x:f>K142-M142</x:f>
        <x:v>-229.8278529373228</x:v>
      </x:c>
      <x:c r="O142" s="8" t="n">
        <x:f>ABS(N142)</x:f>
        <x:v>229.8278529373228</x:v>
      </x:c>
      <x:c r="P142" s="8" t="n">
        <x:f>N142^2</x:f>
        <x:v>52820.841985779676</x:v>
      </x:c>
      <x:c r="Q142" s="8" t="n">
        <x:f>K142-L142</x:f>
        <x:v>10</x:v>
      </x:c>
      <x:c r="R142" s="9" t="n">
        <x:f>IF(AND(INDEX('Сводка'!$T$3:$T$397,U142)=0,INDEX('Сводка'!$T$3:$T$397,V142)=0),1,0)</x:f>
        <x:v>1</x:v>
      </x:c>
      <x:c r="S142" s="9" t="n">
        <x:f>IF(AND(R142=1,O142&lt;=$G$13),1,0)</x:f>
        <x:v>0</x:v>
      </x:c>
      <x:c r="T142" s="10" t="n">
        <x:f>EOMONTH(J142-'Сводка'!$B$11,-1)</x:f>
        <x:v>45991</x:v>
      </x:c>
      <x:c r="U142" s="4" t="n">
        <x:f>MATCH(J142,'Сводка'!$R$3:$R$397,0)</x:f>
        <x:v>153</x:v>
      </x:c>
      <x:c r="V142" s="4" t="n">
        <x:f>MATCH(J142-'Сводка'!$B$11,'Сводка'!$R$3:$R$397,0)</x:f>
        <x:v>152</x:v>
      </x:c>
      <x:c r="W142" s="4" t="n">
        <x:f>MATCH(T142,$J$388:$J$400,0)</x:f>
        <x:v>6</x:v>
      </x:c>
      <x:c r="X142" s="3"/>
      <x:c r="Y142" s="3"/>
      <x:c r="Z142" s="3"/>
    </x:row>
    <x:row r="143" ht="15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10" t="n">
        <x:v>45994</x:v>
      </x:c>
      <x:c r="K143" s="8" t="n">
        <x:f>INDEX('Сводка'!$S$3:$S$397,U143)</x:f>
        <x:v>-30</x:v>
      </x:c>
      <x:c r="L143" s="8" t="n">
        <x:f>INDEX('Сводка'!$S$3:$S$397,V143)</x:f>
        <x:v>-46</x:v>
      </x:c>
      <x:c r="M143" s="8" t="n">
        <x:f>INDEX($K$388:$N$400,W143,1)*EXP(INDEX($K$388:$N$400,W143,2)*((J143-$T$405+1)/1000))</x:f>
        <x:v>183.8735727566272</x:v>
      </x:c>
      <x:c r="N143" s="8" t="n">
        <x:f>K143-M143</x:f>
        <x:v>-213.8735727566272</x:v>
      </x:c>
      <x:c r="O143" s="8" t="n">
        <x:f>ABS(N143)</x:f>
        <x:v>213.8735727566272</x:v>
      </x:c>
      <x:c r="P143" s="8" t="n">
        <x:f>N143^2</x:f>
        <x:v>45741.90512368431</x:v>
      </x:c>
      <x:c r="Q143" s="8" t="n">
        <x:f>K143-L143</x:f>
        <x:v>16</x:v>
      </x:c>
      <x:c r="R143" s="9" t="n">
        <x:f>IF(AND(INDEX('Сводка'!$T$3:$T$397,U143)=0,INDEX('Сводка'!$T$3:$T$397,V143)=0),1,0)</x:f>
        <x:v>1</x:v>
      </x:c>
      <x:c r="S143" s="9" t="n">
        <x:f>IF(AND(R143=1,O143&lt;=$G$13),1,0)</x:f>
        <x:v>0</x:v>
      </x:c>
      <x:c r="T143" s="10" t="n">
        <x:f>EOMONTH(J143-'Сводка'!$B$11,-1)</x:f>
        <x:v>45991</x:v>
      </x:c>
      <x:c r="U143" s="4" t="n">
        <x:f>MATCH(J143,'Сводка'!$R$3:$R$397,0)</x:f>
        <x:v>154</x:v>
      </x:c>
      <x:c r="V143" s="4" t="n">
        <x:f>MATCH(J143-'Сводка'!$B$11,'Сводка'!$R$3:$R$397,0)</x:f>
        <x:v>153</x:v>
      </x:c>
      <x:c r="W143" s="4" t="n">
        <x:f>MATCH(T143,$J$388:$J$400,0)</x:f>
        <x:v>6</x:v>
      </x:c>
      <x:c r="X143" s="3"/>
      <x:c r="Y143" s="3"/>
      <x:c r="Z143" s="3"/>
    </x:row>
    <x:row r="144" ht="15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10" t="n">
        <x:v>45995</x:v>
      </x:c>
      <x:c r="K144" s="8" t="n">
        <x:f>INDEX('Сводка'!$S$3:$S$397,U144)</x:f>
        <x:v>-20</x:v>
      </x:c>
      <x:c r="L144" s="8" t="n">
        <x:f>INDEX('Сводка'!$S$3:$S$397,V144)</x:f>
        <x:v>-30</x:v>
      </x:c>
      <x:c r="M144" s="8" t="n">
        <x:f>INDEX($K$388:$N$400,W144,1)*EXP(INDEX($K$388:$N$400,W144,2)*((J144-$T$405+1)/1000))</x:f>
        <x:v>183.91930394690638</x:v>
      </x:c>
      <x:c r="N144" s="8" t="n">
        <x:f>K144-M144</x:f>
        <x:v>-203.91930394690638</x:v>
      </x:c>
      <x:c r="O144" s="8" t="n">
        <x:f>ABS(N144)</x:f>
        <x:v>203.91930394690638</x:v>
      </x:c>
      <x:c r="P144" s="8" t="n">
        <x:f>N144^2</x:f>
        <x:v>41583.08252219079</x:v>
      </x:c>
      <x:c r="Q144" s="8" t="n">
        <x:f>K144-L144</x:f>
        <x:v>10</x:v>
      </x:c>
      <x:c r="R144" s="9" t="n">
        <x:f>IF(AND(INDEX('Сводка'!$T$3:$T$397,U144)=0,INDEX('Сводка'!$T$3:$T$397,V144)=0),1,0)</x:f>
        <x:v>1</x:v>
      </x:c>
      <x:c r="S144" s="9" t="n">
        <x:f>IF(AND(R144=1,O144&lt;=$G$13),1,0)</x:f>
        <x:v>0</x:v>
      </x:c>
      <x:c r="T144" s="10" t="n">
        <x:f>EOMONTH(J144-'Сводка'!$B$11,-1)</x:f>
        <x:v>45991</x:v>
      </x:c>
      <x:c r="U144" s="4" t="n">
        <x:f>MATCH(J144,'Сводка'!$R$3:$R$397,0)</x:f>
        <x:v>155</x:v>
      </x:c>
      <x:c r="V144" s="4" t="n">
        <x:f>MATCH(J144-'Сводка'!$B$11,'Сводка'!$R$3:$R$397,0)</x:f>
        <x:v>154</x:v>
      </x:c>
      <x:c r="W144" s="4" t="n">
        <x:f>MATCH(T144,$J$388:$J$400,0)</x:f>
        <x:v>6</x:v>
      </x:c>
      <x:c r="X144" s="3"/>
      <x:c r="Y144" s="3"/>
      <x:c r="Z144" s="3"/>
    </x:row>
    <x:row r="145" ht="15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10" t="n">
        <x:v>45996</x:v>
      </x:c>
      <x:c r="K145" s="8" t="n">
        <x:f>INDEX('Сводка'!$S$3:$S$397,U145)</x:f>
        <x:v>-16</x:v>
      </x:c>
      <x:c r="L145" s="8" t="n">
        <x:f>INDEX('Сводка'!$S$3:$S$397,V145)</x:f>
        <x:v>-20</x:v>
      </x:c>
      <x:c r="M145" s="8" t="n">
        <x:f>INDEX($K$388:$N$400,W145,1)*EXP(INDEX($K$388:$N$400,W145,2)*((J145-$T$405+1)/1000))</x:f>
        <x:v>183.9650465109885</x:v>
      </x:c>
      <x:c r="N145" s="8" t="n">
        <x:f>K145-M145</x:f>
        <x:v>-199.9650465109885</x:v>
      </x:c>
      <x:c r="O145" s="8" t="n">
        <x:f>ABS(N145)</x:f>
        <x:v>199.9650465109885</x:v>
      </x:c>
      <x:c r="P145" s="8" t="n">
        <x:f>N145^2</x:f>
        <x:v>39986.01982614179</x:v>
      </x:c>
      <x:c r="Q145" s="8" t="n">
        <x:f>K145-L145</x:f>
        <x:v>4</x:v>
      </x:c>
      <x:c r="R145" s="9" t="n">
        <x:f>IF(AND(INDEX('Сводка'!$T$3:$T$397,U145)=0,INDEX('Сводка'!$T$3:$T$397,V145)=0),1,0)</x:f>
        <x:v>0</x:v>
      </x:c>
      <x:c r="S145" s="9" t="n">
        <x:f>IF(AND(R145=1,O145&lt;=$G$13),1,0)</x:f>
        <x:v>0</x:v>
      </x:c>
      <x:c r="T145" s="10" t="n">
        <x:f>EOMONTH(J145-'Сводка'!$B$11,-1)</x:f>
        <x:v>45991</x:v>
      </x:c>
      <x:c r="U145" s="4" t="n">
        <x:f>MATCH(J145,'Сводка'!$R$3:$R$397,0)</x:f>
        <x:v>156</x:v>
      </x:c>
      <x:c r="V145" s="4" t="n">
        <x:f>MATCH(J145-'Сводка'!$B$11,'Сводка'!$R$3:$R$397,0)</x:f>
        <x:v>155</x:v>
      </x:c>
      <x:c r="W145" s="4" t="n">
        <x:f>MATCH(T145,$J$388:$J$400,0)</x:f>
        <x:v>6</x:v>
      </x:c>
      <x:c r="X145" s="3"/>
      <x:c r="Y145" s="3"/>
      <x:c r="Z145" s="3"/>
    </x:row>
    <x:row r="146" ht="15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10" t="n">
        <x:v>45997</x:v>
      </x:c>
      <x:c r="K146" s="8" t="n">
        <x:f>INDEX('Сводка'!$S$3:$S$397,U146)</x:f>
        <x:v>-12</x:v>
      </x:c>
      <x:c r="L146" s="8" t="n">
        <x:f>INDEX('Сводка'!$S$3:$S$397,V146)</x:f>
        <x:v>-16</x:v>
      </x:c>
      <x:c r="M146" s="8" t="n">
        <x:f>INDEX($K$388:$N$400,W146,1)*EXP(INDEX($K$388:$N$400,W146,2)*((J146-$T$405+1)/1000))</x:f>
        <x:v>184.0108004517021</x:v>
      </x:c>
      <x:c r="N146" s="8" t="n">
        <x:f>K146-M146</x:f>
        <x:v>-196.0108004517021</x:v>
      </x:c>
      <x:c r="O146" s="8" t="n">
        <x:f>ABS(N146)</x:f>
        <x:v>196.0108004517021</x:v>
      </x:c>
      <x:c r="P146" s="8" t="n">
        <x:f>N146^2</x:f>
        <x:v>38420.23389371698</x:v>
      </x:c>
      <x:c r="Q146" s="8" t="n">
        <x:f>K146-L146</x:f>
        <x:v>4</x:v>
      </x:c>
      <x:c r="R146" s="9" t="n">
        <x:f>IF(AND(INDEX('Сводка'!$T$3:$T$397,U146)=0,INDEX('Сводка'!$T$3:$T$397,V146)=0),1,0)</x:f>
        <x:v>0</x:v>
      </x:c>
      <x:c r="S146" s="9" t="n">
        <x:f>IF(AND(R146=1,O146&lt;=$G$13),1,0)</x:f>
        <x:v>0</x:v>
      </x:c>
      <x:c r="T146" s="10" t="n">
        <x:f>EOMONTH(J146-'Сводка'!$B$11,-1)</x:f>
        <x:v>45991</x:v>
      </x:c>
      <x:c r="U146" s="4" t="n">
        <x:f>MATCH(J146,'Сводка'!$R$3:$R$397,0)</x:f>
        <x:v>157</x:v>
      </x:c>
      <x:c r="V146" s="4" t="n">
        <x:f>MATCH(J146-'Сводка'!$B$11,'Сводка'!$R$3:$R$397,0)</x:f>
        <x:v>156</x:v>
      </x:c>
      <x:c r="W146" s="4" t="n">
        <x:f>MATCH(T146,$J$388:$J$400,0)</x:f>
        <x:v>6</x:v>
      </x:c>
      <x:c r="X146" s="3"/>
      <x:c r="Y146" s="3"/>
      <x:c r="Z146" s="3"/>
    </x:row>
    <x:row r="147" ht="15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10" t="n">
        <x:v>45998</x:v>
      </x:c>
      <x:c r="K147" s="8" t="n">
        <x:f>INDEX('Сводка'!$S$3:$S$397,U147)</x:f>
        <x:v>-8</x:v>
      </x:c>
      <x:c r="L147" s="8" t="n">
        <x:f>INDEX('Сводка'!$S$3:$S$397,V147)</x:f>
        <x:v>-12</x:v>
      </x:c>
      <x:c r="M147" s="8" t="n">
        <x:f>INDEX($K$388:$N$400,W147,1)*EXP(INDEX($K$388:$N$400,W147,2)*((J147-$T$405+1)/1000))</x:f>
        <x:v>184.05656577187685</x:v>
      </x:c>
      <x:c r="N147" s="8" t="n">
        <x:f>K147-M147</x:f>
        <x:v>-192.05656577187685</x:v>
      </x:c>
      <x:c r="O147" s="8" t="n">
        <x:f>ABS(N147)</x:f>
        <x:v>192.05656577187685</x:v>
      </x:c>
      <x:c r="P147" s="8" t="n">
        <x:f>N147^2</x:f>
        <x:v>36885.72445608726</x:v>
      </x:c>
      <x:c r="Q147" s="8" t="n">
        <x:f>K147-L147</x:f>
        <x:v>4</x:v>
      </x:c>
      <x:c r="R147" s="9" t="n">
        <x:f>IF(AND(INDEX('Сводка'!$T$3:$T$397,U147)=0,INDEX('Сводка'!$T$3:$T$397,V147)=0),1,0)</x:f>
        <x:v>0</x:v>
      </x:c>
      <x:c r="S147" s="9" t="n">
        <x:f>IF(AND(R147=1,O147&lt;=$G$13),1,0)</x:f>
        <x:v>0</x:v>
      </x:c>
      <x:c r="T147" s="10" t="n">
        <x:f>EOMONTH(J147-'Сводка'!$B$11,-1)</x:f>
        <x:v>45991</x:v>
      </x:c>
      <x:c r="U147" s="4" t="n">
        <x:f>MATCH(J147,'Сводка'!$R$3:$R$397,0)</x:f>
        <x:v>158</x:v>
      </x:c>
      <x:c r="V147" s="4" t="n">
        <x:f>MATCH(J147-'Сводка'!$B$11,'Сводка'!$R$3:$R$397,0)</x:f>
        <x:v>157</x:v>
      </x:c>
      <x:c r="W147" s="4" t="n">
        <x:f>MATCH(T147,$J$388:$J$400,0)</x:f>
        <x:v>6</x:v>
      </x:c>
      <x:c r="X147" s="3"/>
      <x:c r="Y147" s="3"/>
      <x:c r="Z147" s="3"/>
    </x:row>
    <x:row r="148" ht="15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10" t="n">
        <x:v>45999</x:v>
      </x:c>
      <x:c r="K148" s="8" t="n">
        <x:f>INDEX('Сводка'!$S$3:$S$397,U148)</x:f>
        <x:v>-13</x:v>
      </x:c>
      <x:c r="L148" s="8" t="n">
        <x:f>INDEX('Сводка'!$S$3:$S$397,V148)</x:f>
        <x:v>-8</x:v>
      </x:c>
      <x:c r="M148" s="8" t="n">
        <x:f>INDEX($K$388:$N$400,W148,1)*EXP(INDEX($K$388:$N$400,W148,2)*((J148-$T$405+1)/1000))</x:f>
        <x:v>184.10234247434286</x:v>
      </x:c>
      <x:c r="N148" s="8" t="n">
        <x:f>K148-M148</x:f>
        <x:v>-197.10234247434286</x:v>
      </x:c>
      <x:c r="O148" s="8" t="n">
        <x:f>ABS(N148)</x:f>
        <x:v>197.10234247434286</x:v>
      </x:c>
      <x:c r="P148" s="8" t="n">
        <x:f>N148^2</x:f>
        <x:v>38849.33340887314</x:v>
      </x:c>
      <x:c r="Q148" s="8" t="n">
        <x:f>K148-L148</x:f>
        <x:v>-5</x:v>
      </x:c>
      <x:c r="R148" s="9" t="n">
        <x:f>IF(AND(INDEX('Сводка'!$T$3:$T$397,U148)=0,INDEX('Сводка'!$T$3:$T$397,V148)=0),1,0)</x:f>
        <x:v>1</x:v>
      </x:c>
      <x:c r="S148" s="9" t="n">
        <x:f>IF(AND(R148=1,O148&lt;=$G$13),1,0)</x:f>
        <x:v>0</x:v>
      </x:c>
      <x:c r="T148" s="10" t="n">
        <x:f>EOMONTH(J148-'Сводка'!$B$11,-1)</x:f>
        <x:v>45991</x:v>
      </x:c>
      <x:c r="U148" s="4" t="n">
        <x:f>MATCH(J148,'Сводка'!$R$3:$R$397,0)</x:f>
        <x:v>159</x:v>
      </x:c>
      <x:c r="V148" s="4" t="n">
        <x:f>MATCH(J148-'Сводка'!$B$11,'Сводка'!$R$3:$R$397,0)</x:f>
        <x:v>158</x:v>
      </x:c>
      <x:c r="W148" s="4" t="n">
        <x:f>MATCH(T148,$J$388:$J$400,0)</x:f>
        <x:v>6</x:v>
      </x:c>
      <x:c r="X148" s="3"/>
      <x:c r="Y148" s="3"/>
      <x:c r="Z148" s="3"/>
    </x:row>
    <x:row r="149" ht="15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10" t="n">
        <x:v>46000</x:v>
      </x:c>
      <x:c r="K149" s="8" t="n">
        <x:f>INDEX('Сводка'!$S$3:$S$397,U149)</x:f>
        <x:v>-20</x:v>
      </x:c>
      <x:c r="L149" s="8" t="n">
        <x:f>INDEX('Сводка'!$S$3:$S$397,V149)</x:f>
        <x:v>-13</x:v>
      </x:c>
      <x:c r="M149" s="8" t="n">
        <x:f>INDEX($K$388:$N$400,W149,1)*EXP(INDEX($K$388:$N$400,W149,2)*((J149-$T$405+1)/1000))</x:f>
        <x:v>184.148130561931</x:v>
      </x:c>
      <x:c r="N149" s="8" t="n">
        <x:f>K149-M149</x:f>
        <x:v>-204.148130561931</x:v>
      </x:c>
      <x:c r="O149" s="8" t="n">
        <x:f>ABS(N149)</x:f>
        <x:v>204.148130561931</x:v>
      </x:c>
      <x:c r="P149" s="8" t="n">
        <x:f>N149^2</x:f>
        <x:v>41676.45921193122</x:v>
      </x:c>
      <x:c r="Q149" s="8" t="n">
        <x:f>K149-L149</x:f>
        <x:v>-7</x:v>
      </x:c>
      <x:c r="R149" s="9" t="n">
        <x:f>IF(AND(INDEX('Сводка'!$T$3:$T$397,U149)=0,INDEX('Сводка'!$T$3:$T$397,V149)=0),1,0)</x:f>
        <x:v>1</x:v>
      </x:c>
      <x:c r="S149" s="9" t="n">
        <x:f>IF(AND(R149=1,O149&lt;=$G$13),1,0)</x:f>
        <x:v>0</x:v>
      </x:c>
      <x:c r="T149" s="10" t="n">
        <x:f>EOMONTH(J149-'Сводка'!$B$11,-1)</x:f>
        <x:v>45991</x:v>
      </x:c>
      <x:c r="U149" s="4" t="n">
        <x:f>MATCH(J149,'Сводка'!$R$3:$R$397,0)</x:f>
        <x:v>160</x:v>
      </x:c>
      <x:c r="V149" s="4" t="n">
        <x:f>MATCH(J149-'Сводка'!$B$11,'Сводка'!$R$3:$R$397,0)</x:f>
        <x:v>159</x:v>
      </x:c>
      <x:c r="W149" s="4" t="n">
        <x:f>MATCH(T149,$J$388:$J$400,0)</x:f>
        <x:v>6</x:v>
      </x:c>
      <x:c r="X149" s="3"/>
      <x:c r="Y149" s="3"/>
      <x:c r="Z149" s="3"/>
    </x:row>
    <x:row r="150" ht="15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10" t="n">
        <x:v>46001</x:v>
      </x:c>
      <x:c r="K150" s="8" t="n">
        <x:f>INDEX('Сводка'!$S$3:$S$397,U150)</x:f>
        <x:v>-28</x:v>
      </x:c>
      <x:c r="L150" s="8" t="n">
        <x:f>INDEX('Сводка'!$S$3:$S$397,V150)</x:f>
        <x:v>-20</x:v>
      </x:c>
      <x:c r="M150" s="8" t="n">
        <x:f>INDEX($K$388:$N$400,W150,1)*EXP(INDEX($K$388:$N$400,W150,2)*((J150-$T$405+1)/1000))</x:f>
        <x:v>184.19393003747305</x:v>
      </x:c>
      <x:c r="N150" s="8" t="n">
        <x:f>K150-M150</x:f>
        <x:v>-212.19393003747305</x:v>
      </x:c>
      <x:c r="O150" s="8" t="n">
        <x:f>ABS(N150)</x:f>
        <x:v>212.19393003747305</x:v>
      </x:c>
      <x:c r="P150" s="8" t="n">
        <x:f>N150^2</x:f>
        <x:v>45026.26394474801</x:v>
      </x:c>
      <x:c r="Q150" s="8" t="n">
        <x:f>K150-L150</x:f>
        <x:v>-8</x:v>
      </x:c>
      <x:c r="R150" s="9" t="n">
        <x:f>IF(AND(INDEX('Сводка'!$T$3:$T$397,U150)=0,INDEX('Сводка'!$T$3:$T$397,V150)=0),1,0)</x:f>
        <x:v>1</x:v>
      </x:c>
      <x:c r="S150" s="9" t="n">
        <x:f>IF(AND(R150=1,O150&lt;=$G$13),1,0)</x:f>
        <x:v>0</x:v>
      </x:c>
      <x:c r="T150" s="10" t="n">
        <x:f>EOMONTH(J150-'Сводка'!$B$11,-1)</x:f>
        <x:v>45991</x:v>
      </x:c>
      <x:c r="U150" s="4" t="n">
        <x:f>MATCH(J150,'Сводка'!$R$3:$R$397,0)</x:f>
        <x:v>161</x:v>
      </x:c>
      <x:c r="V150" s="4" t="n">
        <x:f>MATCH(J150-'Сводка'!$B$11,'Сводка'!$R$3:$R$397,0)</x:f>
        <x:v>160</x:v>
      </x:c>
      <x:c r="W150" s="4" t="n">
        <x:f>MATCH(T150,$J$388:$J$400,0)</x:f>
        <x:v>6</x:v>
      </x:c>
      <x:c r="X150" s="3"/>
      <x:c r="Y150" s="3"/>
      <x:c r="Z150" s="3"/>
    </x:row>
    <x:row r="151" ht="15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10" t="n">
        <x:v>46002</x:v>
      </x:c>
      <x:c r="K151" s="8" t="n">
        <x:f>INDEX('Сводка'!$S$3:$S$397,U151)</x:f>
        <x:v>-38</x:v>
      </x:c>
      <x:c r="L151" s="8" t="n">
        <x:f>INDEX('Сводка'!$S$3:$S$397,V151)</x:f>
        <x:v>-28</x:v>
      </x:c>
      <x:c r="M151" s="8" t="n">
        <x:f>INDEX($K$388:$N$400,W151,1)*EXP(INDEX($K$388:$N$400,W151,2)*((J151-$T$405+1)/1000))</x:f>
        <x:v>184.2397409038011</x:v>
      </x:c>
      <x:c r="N151" s="8" t="n">
        <x:f>K151-M151</x:f>
        <x:v>-222.2397409038011</x:v>
      </x:c>
      <x:c r="O151" s="8" t="n">
        <x:f>ABS(N151)</x:f>
        <x:v>222.2397409038011</x:v>
      </x:c>
      <x:c r="P151" s="8" t="n">
        <x:f>N151^2</x:f>
        <x:v>49390.502436988645</x:v>
      </x:c>
      <x:c r="Q151" s="8" t="n">
        <x:f>K151-L151</x:f>
        <x:v>-10</x:v>
      </x:c>
      <x:c r="R151" s="9" t="n">
        <x:f>IF(AND(INDEX('Сводка'!$T$3:$T$397,U151)=0,INDEX('Сводка'!$T$3:$T$397,V151)=0),1,0)</x:f>
        <x:v>1</x:v>
      </x:c>
      <x:c r="S151" s="9" t="n">
        <x:f>IF(AND(R151=1,O151&lt;=$G$13),1,0)</x:f>
        <x:v>0</x:v>
      </x:c>
      <x:c r="T151" s="10" t="n">
        <x:f>EOMONTH(J151-'Сводка'!$B$11,-1)</x:f>
        <x:v>45991</x:v>
      </x:c>
      <x:c r="U151" s="4" t="n">
        <x:f>MATCH(J151,'Сводка'!$R$3:$R$397,0)</x:f>
        <x:v>162</x:v>
      </x:c>
      <x:c r="V151" s="4" t="n">
        <x:f>MATCH(J151-'Сводка'!$B$11,'Сводка'!$R$3:$R$397,0)</x:f>
        <x:v>161</x:v>
      </x:c>
      <x:c r="W151" s="4" t="n">
        <x:f>MATCH(T151,$J$388:$J$400,0)</x:f>
        <x:v>6</x:v>
      </x:c>
      <x:c r="X151" s="3"/>
      <x:c r="Y151" s="3"/>
      <x:c r="Z151" s="3"/>
    </x:row>
    <x:row r="152" ht="15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10" t="n">
        <x:v>46003</x:v>
      </x:c>
      <x:c r="K152" s="8" t="n">
        <x:f>INDEX('Сводка'!$S$3:$S$397,U152)</x:f>
        <x:v>-37.7</x:v>
      </x:c>
      <x:c r="L152" s="8" t="n">
        <x:f>INDEX('Сводка'!$S$3:$S$397,V152)</x:f>
        <x:v>-38</x:v>
      </x:c>
      <x:c r="M152" s="8" t="n">
        <x:f>INDEX($K$388:$N$400,W152,1)*EXP(INDEX($K$388:$N$400,W152,2)*((J152-$T$405+1)/1000))</x:f>
        <x:v>184.28556316374818</x:v>
      </x:c>
      <x:c r="N152" s="8" t="n">
        <x:f>K152-M152</x:f>
        <x:v>-221.98556316374817</x:v>
      </x:c>
      <x:c r="O152" s="8" t="n">
        <x:f>ABS(N152)</x:f>
        <x:v>221.98556316374817</x:v>
      </x:c>
      <x:c r="P152" s="8" t="n">
        <x:f>N152^2</x:f>
        <x:v>49277.59025312643</x:v>
      </x:c>
      <x:c r="Q152" s="8" t="n">
        <x:f>K152-L152</x:f>
        <x:v>0.29999999999999716</x:v>
      </x:c>
      <x:c r="R152" s="9" t="n">
        <x:f>IF(AND(INDEX('Сводка'!$T$3:$T$397,U152)=0,INDEX('Сводка'!$T$3:$T$397,V152)=0),1,0)</x:f>
        <x:v>0</x:v>
      </x:c>
      <x:c r="S152" s="9" t="n">
        <x:f>IF(AND(R152=1,O152&lt;=$G$13),1,0)</x:f>
        <x:v>0</x:v>
      </x:c>
      <x:c r="T152" s="10" t="n">
        <x:f>EOMONTH(J152-'Сводка'!$B$11,-1)</x:f>
        <x:v>45991</x:v>
      </x:c>
      <x:c r="U152" s="4" t="n">
        <x:f>MATCH(J152,'Сводка'!$R$3:$R$397,0)</x:f>
        <x:v>163</x:v>
      </x:c>
      <x:c r="V152" s="4" t="n">
        <x:f>MATCH(J152-'Сводка'!$B$11,'Сводка'!$R$3:$R$397,0)</x:f>
        <x:v>162</x:v>
      </x:c>
      <x:c r="W152" s="4" t="n">
        <x:f>MATCH(T152,$J$388:$J$400,0)</x:f>
        <x:v>6</x:v>
      </x:c>
      <x:c r="X152" s="3"/>
      <x:c r="Y152" s="3"/>
      <x:c r="Z152" s="3"/>
    </x:row>
    <x:row r="153" ht="15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10" t="n">
        <x:v>46004</x:v>
      </x:c>
      <x:c r="K153" s="8" t="n">
        <x:f>INDEX('Сводка'!$S$3:$S$397,U153)</x:f>
        <x:v>-37.3</x:v>
      </x:c>
      <x:c r="L153" s="8" t="n">
        <x:f>INDEX('Сводка'!$S$3:$S$397,V153)</x:f>
        <x:v>-37.7</x:v>
      </x:c>
      <x:c r="M153" s="8" t="n">
        <x:f>INDEX($K$388:$N$400,W153,1)*EXP(INDEX($K$388:$N$400,W153,2)*((J153-$T$405+1)/1000))</x:f>
        <x:v>184.33139682014806</x:v>
      </x:c>
      <x:c r="N153" s="8" t="n">
        <x:f>K153-M153</x:f>
        <x:v>-221.63139682014804</x:v>
      </x:c>
      <x:c r="O153" s="8" t="n">
        <x:f>ABS(N153)</x:f>
        <x:v>221.63139682014804</x:v>
      </x:c>
      <x:c r="P153" s="8" t="n">
        <x:f>N153^2</x:f>
        <x:v>49120.47605644993</x:v>
      </x:c>
      <x:c r="Q153" s="8" t="n">
        <x:f>K153-L153</x:f>
        <x:v>0.4000000000000057</x:v>
      </x:c>
      <x:c r="R153" s="9" t="n">
        <x:f>IF(AND(INDEX('Сводка'!$T$3:$T$397,U153)=0,INDEX('Сводка'!$T$3:$T$397,V153)=0),1,0)</x:f>
        <x:v>0</x:v>
      </x:c>
      <x:c r="S153" s="9" t="n">
        <x:f>IF(AND(R153=1,O153&lt;=$G$13),1,0)</x:f>
        <x:v>0</x:v>
      </x:c>
      <x:c r="T153" s="10" t="n">
        <x:f>EOMONTH(J153-'Сводка'!$B$11,-1)</x:f>
        <x:v>45991</x:v>
      </x:c>
      <x:c r="U153" s="4" t="n">
        <x:f>MATCH(J153,'Сводка'!$R$3:$R$397,0)</x:f>
        <x:v>164</x:v>
      </x:c>
      <x:c r="V153" s="4" t="n">
        <x:f>MATCH(J153-'Сводка'!$B$11,'Сводка'!$R$3:$R$397,0)</x:f>
        <x:v>163</x:v>
      </x:c>
      <x:c r="W153" s="4" t="n">
        <x:f>MATCH(T153,$J$388:$J$400,0)</x:f>
        <x:v>6</x:v>
      </x:c>
      <x:c r="X153" s="3"/>
      <x:c r="Y153" s="3"/>
      <x:c r="Z153" s="3"/>
    </x:row>
    <x:row r="154" ht="15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10" t="n">
        <x:v>46005</x:v>
      </x:c>
      <x:c r="K154" s="8" t="n">
        <x:f>INDEX('Сводка'!$S$3:$S$397,U154)</x:f>
        <x:v>-37</x:v>
      </x:c>
      <x:c r="L154" s="8" t="n">
        <x:f>INDEX('Сводка'!$S$3:$S$397,V154)</x:f>
        <x:v>-37.3</x:v>
      </x:c>
      <x:c r="M154" s="8" t="n">
        <x:f>INDEX($K$388:$N$400,W154,1)*EXP(INDEX($K$388:$N$400,W154,2)*((J154-$T$405+1)/1000))</x:f>
        <x:v>184.37724187583518</x:v>
      </x:c>
      <x:c r="N154" s="8" t="n">
        <x:f>K154-M154</x:f>
        <x:v>-221.37724187583518</x:v>
      </x:c>
      <x:c r="O154" s="8" t="n">
        <x:f>ABS(N154)</x:f>
        <x:v>221.37724187583518</x:v>
      </x:c>
      <x:c r="P154" s="8" t="n">
        <x:f>N154^2</x:f>
        <x:v>49007.88322055204</x:v>
      </x:c>
      <x:c r="Q154" s="8" t="n">
        <x:f>K154-L154</x:f>
        <x:v>0.29999999999999716</x:v>
      </x:c>
      <x:c r="R154" s="9" t="n">
        <x:f>IF(AND(INDEX('Сводка'!$T$3:$T$397,U154)=0,INDEX('Сводка'!$T$3:$T$397,V154)=0),1,0)</x:f>
        <x:v>0</x:v>
      </x:c>
      <x:c r="S154" s="9" t="n">
        <x:f>IF(AND(R154=1,O154&lt;=$G$13),1,0)</x:f>
        <x:v>0</x:v>
      </x:c>
      <x:c r="T154" s="10" t="n">
        <x:f>EOMONTH(J154-'Сводка'!$B$11,-1)</x:f>
        <x:v>45991</x:v>
      </x:c>
      <x:c r="U154" s="4" t="n">
        <x:f>MATCH(J154,'Сводка'!$R$3:$R$397,0)</x:f>
        <x:v>165</x:v>
      </x:c>
      <x:c r="V154" s="4" t="n">
        <x:f>MATCH(J154-'Сводка'!$B$11,'Сводка'!$R$3:$R$397,0)</x:f>
        <x:v>164</x:v>
      </x:c>
      <x:c r="W154" s="4" t="n">
        <x:f>MATCH(T154,$J$388:$J$400,0)</x:f>
        <x:v>6</x:v>
      </x:c>
      <x:c r="X154" s="3"/>
      <x:c r="Y154" s="3"/>
      <x:c r="Z154" s="3"/>
    </x:row>
    <x:row r="155" ht="15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10" t="n">
        <x:v>46006</x:v>
      </x:c>
      <x:c r="K155" s="8" t="n">
        <x:f>INDEX('Сводка'!$S$3:$S$397,U155)</x:f>
        <x:v>-37</x:v>
      </x:c>
      <x:c r="L155" s="8" t="n">
        <x:f>INDEX('Сводка'!$S$3:$S$397,V155)</x:f>
        <x:v>-37</x:v>
      </x:c>
      <x:c r="M155" s="8" t="n">
        <x:f>INDEX($K$388:$N$400,W155,1)*EXP(INDEX($K$388:$N$400,W155,2)*((J155-$T$405+1)/1000))</x:f>
        <x:v>184.4230983336445</x:v>
      </x:c>
      <x:c r="N155" s="8" t="n">
        <x:f>K155-M155</x:f>
        <x:v>-221.4230983336445</x:v>
      </x:c>
      <x:c r="O155" s="8" t="n">
        <x:f>ABS(N155)</x:f>
        <x:v>221.4230983336445</x:v>
      </x:c>
      <x:c r="P155" s="8" t="n">
        <x:f>N155^2</x:f>
        <x:v>49028.1884756708</x:v>
      </x:c>
      <x:c r="Q155" s="8" t="n">
        <x:f>K155-L155</x:f>
        <x:v>0</x:v>
      </x:c>
      <x:c r="R155" s="9" t="n">
        <x:f>IF(AND(INDEX('Сводка'!$T$3:$T$397,U155)=0,INDEX('Сводка'!$T$3:$T$397,V155)=0),1,0)</x:f>
        <x:v>1</x:v>
      </x:c>
      <x:c r="S155" s="9" t="n">
        <x:f>IF(AND(R155=1,O155&lt;=$G$13),1,0)</x:f>
        <x:v>0</x:v>
      </x:c>
      <x:c r="T155" s="10" t="n">
        <x:f>EOMONTH(J155-'Сводка'!$B$11,-1)</x:f>
        <x:v>45991</x:v>
      </x:c>
      <x:c r="U155" s="4" t="n">
        <x:f>MATCH(J155,'Сводка'!$R$3:$R$397,0)</x:f>
        <x:v>166</x:v>
      </x:c>
      <x:c r="V155" s="4" t="n">
        <x:f>MATCH(J155-'Сводка'!$B$11,'Сводка'!$R$3:$R$397,0)</x:f>
        <x:v>165</x:v>
      </x:c>
      <x:c r="W155" s="4" t="n">
        <x:f>MATCH(T155,$J$388:$J$400,0)</x:f>
        <x:v>6</x:v>
      </x:c>
      <x:c r="X155" s="3"/>
      <x:c r="Y155" s="3"/>
      <x:c r="Z155" s="3"/>
    </x:row>
    <x:row r="156" ht="15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10" t="n">
        <x:v>46007</x:v>
      </x:c>
      <x:c r="K156" s="8" t="n">
        <x:f>INDEX('Сводка'!$S$3:$S$397,U156)</x:f>
        <x:v>-41</x:v>
      </x:c>
      <x:c r="L156" s="8" t="n">
        <x:f>INDEX('Сводка'!$S$3:$S$397,V156)</x:f>
        <x:v>-37</x:v>
      </x:c>
      <x:c r="M156" s="8" t="n">
        <x:f>INDEX($K$388:$N$400,W156,1)*EXP(INDEX($K$388:$N$400,W156,2)*((J156-$T$405+1)/1000))</x:f>
        <x:v>184.46896619641208</x:v>
      </x:c>
      <x:c r="N156" s="8" t="n">
        <x:f>K156-M156</x:f>
        <x:v>-225.46896619641208</x:v>
      </x:c>
      <x:c r="O156" s="8" t="n">
        <x:f>ABS(N156)</x:f>
        <x:v>225.46896619641208</x:v>
      </x:c>
      <x:c r="P156" s="8" t="n">
        <x:f>N156^2</x:f>
        <x:v>50836.254717678814</x:v>
      </x:c>
      <x:c r="Q156" s="8" t="n">
        <x:f>K156-L156</x:f>
        <x:v>-4</x:v>
      </x:c>
      <x:c r="R156" s="9" t="n">
        <x:f>IF(AND(INDEX('Сводка'!$T$3:$T$397,U156)=0,INDEX('Сводка'!$T$3:$T$397,V156)=0),1,0)</x:f>
        <x:v>1</x:v>
      </x:c>
      <x:c r="S156" s="9" t="n">
        <x:f>IF(AND(R156=1,O156&lt;=$G$13),1,0)</x:f>
        <x:v>0</x:v>
      </x:c>
      <x:c r="T156" s="10" t="n">
        <x:f>EOMONTH(J156-'Сводка'!$B$11,-1)</x:f>
        <x:v>45991</x:v>
      </x:c>
      <x:c r="U156" s="4" t="n">
        <x:f>MATCH(J156,'Сводка'!$R$3:$R$397,0)</x:f>
        <x:v>167</x:v>
      </x:c>
      <x:c r="V156" s="4" t="n">
        <x:f>MATCH(J156-'Сводка'!$B$11,'Сводка'!$R$3:$R$397,0)</x:f>
        <x:v>166</x:v>
      </x:c>
      <x:c r="W156" s="4" t="n">
        <x:f>MATCH(T156,$J$388:$J$400,0)</x:f>
        <x:v>6</x:v>
      </x:c>
      <x:c r="X156" s="3"/>
      <x:c r="Y156" s="3"/>
      <x:c r="Z156" s="3"/>
    </x:row>
    <x:row r="157" ht="15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10" t="n">
        <x:v>46008</x:v>
      </x:c>
      <x:c r="K157" s="8" t="n">
        <x:f>INDEX('Сводка'!$S$3:$S$397,U157)</x:f>
        <x:v>-35</x:v>
      </x:c>
      <x:c r="L157" s="8" t="n">
        <x:f>INDEX('Сводка'!$S$3:$S$397,V157)</x:f>
        <x:v>-41</x:v>
      </x:c>
      <x:c r="M157" s="8" t="n">
        <x:f>INDEX($K$388:$N$400,W157,1)*EXP(INDEX($K$388:$N$400,W157,2)*((J157-$T$405+1)/1000))</x:f>
        <x:v>184.5148454669743</x:v>
      </x:c>
      <x:c r="N157" s="8" t="n">
        <x:f>K157-M157</x:f>
        <x:v>-219.5148454669743</x:v>
      </x:c>
      <x:c r="O157" s="8" t="n">
        <x:f>ABS(N157)</x:f>
        <x:v>219.5148454669743</x:v>
      </x:c>
      <x:c r="P157" s="8" t="n">
        <x:f>N157^2</x:f>
        <x:v>48186.7673803896</x:v>
      </x:c>
      <x:c r="Q157" s="8" t="n">
        <x:f>K157-L157</x:f>
        <x:v>6</x:v>
      </x:c>
      <x:c r="R157" s="9" t="n">
        <x:f>IF(AND(INDEX('Сводка'!$T$3:$T$397,U157)=0,INDEX('Сводка'!$T$3:$T$397,V157)=0),1,0)</x:f>
        <x:v>1</x:v>
      </x:c>
      <x:c r="S157" s="9" t="n">
        <x:f>IF(AND(R157=1,O157&lt;=$G$13),1,0)</x:f>
        <x:v>0</x:v>
      </x:c>
      <x:c r="T157" s="10" t="n">
        <x:f>EOMONTH(J157-'Сводка'!$B$11,-1)</x:f>
        <x:v>45991</x:v>
      </x:c>
      <x:c r="U157" s="4" t="n">
        <x:f>MATCH(J157,'Сводка'!$R$3:$R$397,0)</x:f>
        <x:v>168</x:v>
      </x:c>
      <x:c r="V157" s="4" t="n">
        <x:f>MATCH(J157-'Сводка'!$B$11,'Сводка'!$R$3:$R$397,0)</x:f>
        <x:v>167</x:v>
      </x:c>
      <x:c r="W157" s="4" t="n">
        <x:f>MATCH(T157,$J$388:$J$400,0)</x:f>
        <x:v>6</x:v>
      </x:c>
      <x:c r="X157" s="3"/>
      <x:c r="Y157" s="3"/>
      <x:c r="Z157" s="3"/>
    </x:row>
    <x:row r="158" ht="15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10" t="n">
        <x:v>46009</x:v>
      </x:c>
      <x:c r="K158" s="8" t="n">
        <x:f>INDEX('Сводка'!$S$3:$S$397,U158)</x:f>
        <x:v>-33</x:v>
      </x:c>
      <x:c r="L158" s="8" t="n">
        <x:f>INDEX('Сводка'!$S$3:$S$397,V158)</x:f>
        <x:v>-35</x:v>
      </x:c>
      <x:c r="M158" s="8" t="n">
        <x:f>INDEX($K$388:$N$400,W158,1)*EXP(INDEX($K$388:$N$400,W158,2)*((J158-$T$405+1)/1000))</x:f>
        <x:v>184.56073614816825</x:v>
      </x:c>
      <x:c r="N158" s="8" t="n">
        <x:f>K158-M158</x:f>
        <x:v>-217.56073614816825</x:v>
      </x:c>
      <x:c r="O158" s="8" t="n">
        <x:f>ABS(N158)</x:f>
        <x:v>217.56073614816825</x:v>
      </x:c>
      <x:c r="P158" s="8" t="n">
        <x:f>N158^2</x:f>
        <x:v>47332.67391333288</x:v>
      </x:c>
      <x:c r="Q158" s="8" t="n">
        <x:f>K158-L158</x:f>
        <x:v>2</x:v>
      </x:c>
      <x:c r="R158" s="9" t="n">
        <x:f>IF(AND(INDEX('Сводка'!$T$3:$T$397,U158)=0,INDEX('Сводка'!$T$3:$T$397,V158)=0),1,0)</x:f>
        <x:v>1</x:v>
      </x:c>
      <x:c r="S158" s="9" t="n">
        <x:f>IF(AND(R158=1,O158&lt;=$G$13),1,0)</x:f>
        <x:v>0</x:v>
      </x:c>
      <x:c r="T158" s="10" t="n">
        <x:f>EOMONTH(J158-'Сводка'!$B$11,-1)</x:f>
        <x:v>45991</x:v>
      </x:c>
      <x:c r="U158" s="4" t="n">
        <x:f>MATCH(J158,'Сводка'!$R$3:$R$397,0)</x:f>
        <x:v>169</x:v>
      </x:c>
      <x:c r="V158" s="4" t="n">
        <x:f>MATCH(J158-'Сводка'!$B$11,'Сводка'!$R$3:$R$397,0)</x:f>
        <x:v>168</x:v>
      </x:c>
      <x:c r="W158" s="4" t="n">
        <x:f>MATCH(T158,$J$388:$J$400,0)</x:f>
        <x:v>6</x:v>
      </x:c>
      <x:c r="X158" s="3"/>
      <x:c r="Y158" s="3"/>
      <x:c r="Z158" s="3"/>
    </x:row>
    <x:row r="159" ht="15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10" t="n">
        <x:v>46010</x:v>
      </x:c>
      <x:c r="K159" s="8" t="n">
        <x:f>INDEX('Сводка'!$S$3:$S$397,U159)</x:f>
        <x:v>-31</x:v>
      </x:c>
      <x:c r="L159" s="8" t="n">
        <x:f>INDEX('Сводка'!$S$3:$S$397,V159)</x:f>
        <x:v>-33</x:v>
      </x:c>
      <x:c r="M159" s="8" t="n">
        <x:f>INDEX($K$388:$N$400,W159,1)*EXP(INDEX($K$388:$N$400,W159,2)*((J159-$T$405+1)/1000))</x:f>
        <x:v>184.60663824283208</x:v>
      </x:c>
      <x:c r="N159" s="8" t="n">
        <x:f>K159-M159</x:f>
        <x:v>-215.60663824283208</x:v>
      </x:c>
      <x:c r="O159" s="8" t="n">
        <x:f>ABS(N159)</x:f>
        <x:v>215.60663824283208</x:v>
      </x:c>
      <x:c r="P159" s="8" t="n">
        <x:f>N159^2</x:f>
        <x:v>46486.22245437546</x:v>
      </x:c>
      <x:c r="Q159" s="8" t="n">
        <x:f>K159-L159</x:f>
        <x:v>2</x:v>
      </x:c>
      <x:c r="R159" s="9" t="n">
        <x:f>IF(AND(INDEX('Сводка'!$T$3:$T$397,U159)=0,INDEX('Сводка'!$T$3:$T$397,V159)=0),1,0)</x:f>
        <x:v>1</x:v>
      </x:c>
      <x:c r="S159" s="9" t="n">
        <x:f>IF(AND(R159=1,O159&lt;=$G$13),1,0)</x:f>
        <x:v>0</x:v>
      </x:c>
      <x:c r="T159" s="10" t="n">
        <x:f>EOMONTH(J159-'Сводка'!$B$11,-1)</x:f>
        <x:v>45991</x:v>
      </x:c>
      <x:c r="U159" s="4" t="n">
        <x:f>MATCH(J159,'Сводка'!$R$3:$R$397,0)</x:f>
        <x:v>170</x:v>
      </x:c>
      <x:c r="V159" s="4" t="n">
        <x:f>MATCH(J159-'Сводка'!$B$11,'Сводка'!$R$3:$R$397,0)</x:f>
        <x:v>169</x:v>
      </x:c>
      <x:c r="W159" s="4" t="n">
        <x:f>MATCH(T159,$J$388:$J$400,0)</x:f>
        <x:v>6</x:v>
      </x:c>
      <x:c r="X159" s="3"/>
      <x:c r="Y159" s="3"/>
      <x:c r="Z159" s="3"/>
    </x:row>
    <x:row r="160" ht="15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10" t="n">
        <x:v>46011</x:v>
      </x:c>
      <x:c r="K160" s="8" t="n">
        <x:f>INDEX('Сводка'!$S$3:$S$397,U160)</x:f>
        <x:v>-31</x:v>
      </x:c>
      <x:c r="L160" s="8" t="n">
        <x:f>INDEX('Сводка'!$S$3:$S$397,V160)</x:f>
        <x:v>-31</x:v>
      </x:c>
      <x:c r="M160" s="8" t="n">
        <x:f>INDEX($K$388:$N$400,W160,1)*EXP(INDEX($K$388:$N$400,W160,2)*((J160-$T$405+1)/1000))</x:f>
        <x:v>184.65255175380446</x:v>
      </x:c>
      <x:c r="N160" s="8" t="n">
        <x:f>K160-M160</x:f>
        <x:v>-215.65255175380446</x:v>
      </x:c>
      <x:c r="O160" s="8" t="n">
        <x:f>ABS(N160)</x:f>
        <x:v>215.65255175380446</x:v>
      </x:c>
      <x:c r="P160" s="8" t="n">
        <x:f>N160^2</x:f>
        <x:v>46506.02307792731</x:v>
      </x:c>
      <x:c r="Q160" s="8" t="n">
        <x:f>K160-L160</x:f>
        <x:v>0</x:v>
      </x:c>
      <x:c r="R160" s="9" t="n">
        <x:f>IF(AND(INDEX('Сводка'!$T$3:$T$397,U160)=0,INDEX('Сводка'!$T$3:$T$397,V160)=0),1,0)</x:f>
        <x:v>1</x:v>
      </x:c>
      <x:c r="S160" s="9" t="n">
        <x:f>IF(AND(R160=1,O160&lt;=$G$13),1,0)</x:f>
        <x:v>0</x:v>
      </x:c>
      <x:c r="T160" s="10" t="n">
        <x:f>EOMONTH(J160-'Сводка'!$B$11,-1)</x:f>
        <x:v>45991</x:v>
      </x:c>
      <x:c r="U160" s="4" t="n">
        <x:f>MATCH(J160,'Сводка'!$R$3:$R$397,0)</x:f>
        <x:v>171</x:v>
      </x:c>
      <x:c r="V160" s="4" t="n">
        <x:f>MATCH(J160-'Сводка'!$B$11,'Сводка'!$R$3:$R$397,0)</x:f>
        <x:v>170</x:v>
      </x:c>
      <x:c r="W160" s="4" t="n">
        <x:f>MATCH(T160,$J$388:$J$400,0)</x:f>
        <x:v>6</x:v>
      </x:c>
      <x:c r="X160" s="3"/>
      <x:c r="Y160" s="3"/>
      <x:c r="Z160" s="3"/>
    </x:row>
    <x:row r="161" ht="15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10" t="n">
        <x:v>46012</x:v>
      </x:c>
      <x:c r="K161" s="8" t="n">
        <x:f>INDEX('Сводка'!$S$3:$S$397,U161)</x:f>
        <x:v>-30</x:v>
      </x:c>
      <x:c r="L161" s="8" t="n">
        <x:f>INDEX('Сводка'!$S$3:$S$397,V161)</x:f>
        <x:v>-31</x:v>
      </x:c>
      <x:c r="M161" s="8" t="n">
        <x:f>INDEX($K$388:$N$400,W161,1)*EXP(INDEX($K$388:$N$400,W161,2)*((J161-$T$405+1)/1000))</x:f>
        <x:v>184.69847668392464</x:v>
      </x:c>
      <x:c r="N161" s="8" t="n">
        <x:f>K161-M161</x:f>
        <x:v>-214.69847668392464</x:v>
      </x:c>
      <x:c r="O161" s="8" t="n">
        <x:f>ABS(N161)</x:f>
        <x:v>214.69847668392464</x:v>
      </x:c>
      <x:c r="P161" s="8" t="n">
        <x:f>N161^2</x:f>
        <x:v>46095.43589039773</x:v>
      </x:c>
      <x:c r="Q161" s="8" t="n">
        <x:f>K161-L161</x:f>
        <x:v>1</x:v>
      </x:c>
      <x:c r="R161" s="9" t="n">
        <x:f>IF(AND(INDEX('Сводка'!$T$3:$T$397,U161)=0,INDEX('Сводка'!$T$3:$T$397,V161)=0),1,0)</x:f>
        <x:v>1</x:v>
      </x:c>
      <x:c r="S161" s="9" t="n">
        <x:f>IF(AND(R161=1,O161&lt;=$G$13),1,0)</x:f>
        <x:v>0</x:v>
      </x:c>
      <x:c r="T161" s="10" t="n">
        <x:f>EOMONTH(J161-'Сводка'!$B$11,-1)</x:f>
        <x:v>45991</x:v>
      </x:c>
      <x:c r="U161" s="4" t="n">
        <x:f>MATCH(J161,'Сводка'!$R$3:$R$397,0)</x:f>
        <x:v>172</x:v>
      </x:c>
      <x:c r="V161" s="4" t="n">
        <x:f>MATCH(J161-'Сводка'!$B$11,'Сводка'!$R$3:$R$397,0)</x:f>
        <x:v>171</x:v>
      </x:c>
      <x:c r="W161" s="4" t="n">
        <x:f>MATCH(T161,$J$388:$J$400,0)</x:f>
        <x:v>6</x:v>
      </x:c>
      <x:c r="X161" s="3"/>
      <x:c r="Y161" s="3"/>
      <x:c r="Z161" s="3"/>
    </x:row>
    <x:row r="162" ht="15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10" t="n">
        <x:v>46013</x:v>
      </x:c>
      <x:c r="K162" s="8" t="n">
        <x:f>INDEX('Сводка'!$S$3:$S$397,U162)</x:f>
        <x:v>-27</x:v>
      </x:c>
      <x:c r="L162" s="8" t="n">
        <x:f>INDEX('Сводка'!$S$3:$S$397,V162)</x:f>
        <x:v>-30</x:v>
      </x:c>
      <x:c r="M162" s="8" t="n">
        <x:f>INDEX($K$388:$N$400,W162,1)*EXP(INDEX($K$388:$N$400,W162,2)*((J162-$T$405+1)/1000))</x:f>
        <x:v>184.74441303603263</x:v>
      </x:c>
      <x:c r="N162" s="8" t="n">
        <x:f>K162-M162</x:f>
        <x:v>-211.74441303603263</x:v>
      </x:c>
      <x:c r="O162" s="8" t="n">
        <x:f>ABS(N162)</x:f>
        <x:v>211.74441303603263</x:v>
      </x:c>
      <x:c r="P162" s="8" t="n">
        <x:f>N162^2</x:f>
        <x:v>44835.696451973985</x:v>
      </x:c>
      <x:c r="Q162" s="8" t="n">
        <x:f>K162-L162</x:f>
        <x:v>3</x:v>
      </x:c>
      <x:c r="R162" s="9" t="n">
        <x:f>IF(AND(INDEX('Сводка'!$T$3:$T$397,U162)=0,INDEX('Сводка'!$T$3:$T$397,V162)=0),1,0)</x:f>
        <x:v>1</x:v>
      </x:c>
      <x:c r="S162" s="9" t="n">
        <x:f>IF(AND(R162=1,O162&lt;=$G$13),1,0)</x:f>
        <x:v>0</x:v>
      </x:c>
      <x:c r="T162" s="10" t="n">
        <x:f>EOMONTH(J162-'Сводка'!$B$11,-1)</x:f>
        <x:v>45991</x:v>
      </x:c>
      <x:c r="U162" s="4" t="n">
        <x:f>MATCH(J162,'Сводка'!$R$3:$R$397,0)</x:f>
        <x:v>173</x:v>
      </x:c>
      <x:c r="V162" s="4" t="n">
        <x:f>MATCH(J162-'Сводка'!$B$11,'Сводка'!$R$3:$R$397,0)</x:f>
        <x:v>172</x:v>
      </x:c>
      <x:c r="W162" s="4" t="n">
        <x:f>MATCH(T162,$J$388:$J$400,0)</x:f>
        <x:v>6</x:v>
      </x:c>
      <x:c r="X162" s="3"/>
      <x:c r="Y162" s="3"/>
      <x:c r="Z162" s="3"/>
    </x:row>
    <x:row r="163" ht="15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10" t="n">
        <x:v>46014</x:v>
      </x:c>
      <x:c r="K163" s="8" t="n">
        <x:f>INDEX('Сводка'!$S$3:$S$397,U163)</x:f>
        <x:v>-23</x:v>
      </x:c>
      <x:c r="L163" s="8" t="n">
        <x:f>INDEX('Сводка'!$S$3:$S$397,V163)</x:f>
        <x:v>-27</x:v>
      </x:c>
      <x:c r="M163" s="8" t="n">
        <x:f>INDEX($K$388:$N$400,W163,1)*EXP(INDEX($K$388:$N$400,W163,2)*((J163-$T$405+1)/1000))</x:f>
        <x:v>184.79036081296925</x:v>
      </x:c>
      <x:c r="N163" s="8" t="n">
        <x:f>K163-M163</x:f>
        <x:v>-207.79036081296925</x:v>
      </x:c>
      <x:c r="O163" s="8" t="n">
        <x:f>ABS(N163)</x:f>
        <x:v>207.79036081296925</x:v>
      </x:c>
      <x:c r="P163" s="8" t="n">
        <x:f>N163^2</x:f>
        <x:v>43176.83404678395</x:v>
      </x:c>
      <x:c r="Q163" s="8" t="n">
        <x:f>K163-L163</x:f>
        <x:v>4</x:v>
      </x:c>
      <x:c r="R163" s="9" t="n">
        <x:f>IF(AND(INDEX('Сводка'!$T$3:$T$397,U163)=0,INDEX('Сводка'!$T$3:$T$397,V163)=0),1,0)</x:f>
        <x:v>1</x:v>
      </x:c>
      <x:c r="S163" s="9" t="n">
        <x:f>IF(AND(R163=1,O163&lt;=$G$13),1,0)</x:f>
        <x:v>0</x:v>
      </x:c>
      <x:c r="T163" s="10" t="n">
        <x:f>EOMONTH(J163-'Сводка'!$B$11,-1)</x:f>
        <x:v>45991</x:v>
      </x:c>
      <x:c r="U163" s="4" t="n">
        <x:f>MATCH(J163,'Сводка'!$R$3:$R$397,0)</x:f>
        <x:v>174</x:v>
      </x:c>
      <x:c r="V163" s="4" t="n">
        <x:f>MATCH(J163-'Сводка'!$B$11,'Сводка'!$R$3:$R$397,0)</x:f>
        <x:v>173</x:v>
      </x:c>
      <x:c r="W163" s="4" t="n">
        <x:f>MATCH(T163,$J$388:$J$400,0)</x:f>
        <x:v>6</x:v>
      </x:c>
      <x:c r="X163" s="3"/>
      <x:c r="Y163" s="3"/>
      <x:c r="Z163" s="3"/>
    </x:row>
    <x:row r="164" ht="15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10" t="n">
        <x:v>46015</x:v>
      </x:c>
      <x:c r="K164" s="8" t="n">
        <x:f>INDEX('Сводка'!$S$3:$S$397,U164)</x:f>
        <x:v>-21</x:v>
      </x:c>
      <x:c r="L164" s="8" t="n">
        <x:f>INDEX('Сводка'!$S$3:$S$397,V164)</x:f>
        <x:v>-23</x:v>
      </x:c>
      <x:c r="M164" s="8" t="n">
        <x:f>INDEX($K$388:$N$400,W164,1)*EXP(INDEX($K$388:$N$400,W164,2)*((J164-$T$405+1)/1000))</x:f>
        <x:v>184.836320017576</x:v>
      </x:c>
      <x:c r="N164" s="8" t="n">
        <x:f>K164-M164</x:f>
        <x:v>-205.836320017576</x:v>
      </x:c>
      <x:c r="O164" s="8" t="n">
        <x:f>ABS(N164)</x:f>
        <x:v>205.836320017576</x:v>
      </x:c>
      <x:c r="P164" s="8" t="n">
        <x:f>N164^2</x:f>
        <x:v>42368.590638377966</x:v>
      </x:c>
      <x:c r="Q164" s="8" t="n">
        <x:f>K164-L164</x:f>
        <x:v>2</x:v>
      </x:c>
      <x:c r="R164" s="9" t="n">
        <x:f>IF(AND(INDEX('Сводка'!$T$3:$T$397,U164)=0,INDEX('Сводка'!$T$3:$T$397,V164)=0),1,0)</x:f>
        <x:v>1</x:v>
      </x:c>
      <x:c r="S164" s="9" t="n">
        <x:f>IF(AND(R164=1,O164&lt;=$G$13),1,0)</x:f>
        <x:v>0</x:v>
      </x:c>
      <x:c r="T164" s="10" t="n">
        <x:f>EOMONTH(J164-'Сводка'!$B$11,-1)</x:f>
        <x:v>45991</x:v>
      </x:c>
      <x:c r="U164" s="4" t="n">
        <x:f>MATCH(J164,'Сводка'!$R$3:$R$397,0)</x:f>
        <x:v>175</x:v>
      </x:c>
      <x:c r="V164" s="4" t="n">
        <x:f>MATCH(J164-'Сводка'!$B$11,'Сводка'!$R$3:$R$397,0)</x:f>
        <x:v>174</x:v>
      </x:c>
      <x:c r="W164" s="4" t="n">
        <x:f>MATCH(T164,$J$388:$J$400,0)</x:f>
        <x:v>6</x:v>
      </x:c>
      <x:c r="X164" s="3"/>
      <x:c r="Y164" s="3"/>
      <x:c r="Z164" s="3"/>
    </x:row>
    <x:row r="165" ht="15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10" t="n">
        <x:v>46016</x:v>
      </x:c>
      <x:c r="K165" s="8" t="n">
        <x:f>INDEX('Сводка'!$S$3:$S$397,U165)</x:f>
        <x:v>-19</x:v>
      </x:c>
      <x:c r="L165" s="8" t="n">
        <x:f>INDEX('Сводка'!$S$3:$S$397,V165)</x:f>
        <x:v>-21</x:v>
      </x:c>
      <x:c r="M165" s="8" t="n">
        <x:f>INDEX($K$388:$N$400,W165,1)*EXP(INDEX($K$388:$N$400,W165,2)*((J165-$T$405+1)/1000))</x:f>
        <x:v>184.88229065269505</x:v>
      </x:c>
      <x:c r="N165" s="8" t="n">
        <x:f>K165-M165</x:f>
        <x:v>-203.88229065269505</x:v>
      </x:c>
      <x:c r="O165" s="8" t="n">
        <x:f>ABS(N165)</x:f>
        <x:v>203.88229065269505</x:v>
      </x:c>
      <x:c r="P165" s="8" t="n">
        <x:f>N165^2</x:f>
        <x:v>41567.988441790025</x:v>
      </x:c>
      <x:c r="Q165" s="8" t="n">
        <x:f>K165-L165</x:f>
        <x:v>2</x:v>
      </x:c>
      <x:c r="R165" s="9" t="n">
        <x:f>IF(AND(INDEX('Сводка'!$T$3:$T$397,U165)=0,INDEX('Сводка'!$T$3:$T$397,V165)=0),1,0)</x:f>
        <x:v>1</x:v>
      </x:c>
      <x:c r="S165" s="9" t="n">
        <x:f>IF(AND(R165=1,O165&lt;=$G$13),1,0)</x:f>
        <x:v>0</x:v>
      </x:c>
      <x:c r="T165" s="10" t="n">
        <x:f>EOMONTH(J165-'Сводка'!$B$11,-1)</x:f>
        <x:v>45991</x:v>
      </x:c>
      <x:c r="U165" s="4" t="n">
        <x:f>MATCH(J165,'Сводка'!$R$3:$R$397,0)</x:f>
        <x:v>176</x:v>
      </x:c>
      <x:c r="V165" s="4" t="n">
        <x:f>MATCH(J165-'Сводка'!$B$11,'Сводка'!$R$3:$R$397,0)</x:f>
        <x:v>175</x:v>
      </x:c>
      <x:c r="W165" s="4" t="n">
        <x:f>MATCH(T165,$J$388:$J$400,0)</x:f>
        <x:v>6</x:v>
      </x:c>
      <x:c r="X165" s="3"/>
      <x:c r="Y165" s="3"/>
      <x:c r="Z165" s="3"/>
    </x:row>
    <x:row r="166" ht="15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10" t="n">
        <x:v>46017</x:v>
      </x:c>
      <x:c r="K166" s="8" t="n">
        <x:f>INDEX('Сводка'!$S$3:$S$397,U166)</x:f>
        <x:v>-17</x:v>
      </x:c>
      <x:c r="L166" s="8" t="n">
        <x:f>INDEX('Сводка'!$S$3:$S$397,V166)</x:f>
        <x:v>-19</x:v>
      </x:c>
      <x:c r="M166" s="8" t="n">
        <x:f>INDEX($K$388:$N$400,W166,1)*EXP(INDEX($K$388:$N$400,W166,2)*((J166-$T$405+1)/1000))</x:f>
        <x:v>184.92827272116926</x:v>
      </x:c>
      <x:c r="N166" s="8" t="n">
        <x:f>K166-M166</x:f>
        <x:v>-201.92827272116926</x:v>
      </x:c>
      <x:c r="O166" s="8" t="n">
        <x:f>ABS(N166)</x:f>
        <x:v>201.92827272116926</x:v>
      </x:c>
      <x:c r="P166" s="8" t="n">
        <x:f>N166^2</x:f>
        <x:v>40775.027324154915</x:v>
      </x:c>
      <x:c r="Q166" s="8" t="n">
        <x:f>K166-L166</x:f>
        <x:v>2</x:v>
      </x:c>
      <x:c r="R166" s="9" t="n">
        <x:f>IF(AND(INDEX('Сводка'!$T$3:$T$397,U166)=0,INDEX('Сводка'!$T$3:$T$397,V166)=0),1,0)</x:f>
        <x:v>1</x:v>
      </x:c>
      <x:c r="S166" s="9" t="n">
        <x:f>IF(AND(R166=1,O166&lt;=$G$13),1,0)</x:f>
        <x:v>0</x:v>
      </x:c>
      <x:c r="T166" s="10" t="n">
        <x:f>EOMONTH(J166-'Сводка'!$B$11,-1)</x:f>
        <x:v>45991</x:v>
      </x:c>
      <x:c r="U166" s="4" t="n">
        <x:f>MATCH(J166,'Сводка'!$R$3:$R$397,0)</x:f>
        <x:v>177</x:v>
      </x:c>
      <x:c r="V166" s="4" t="n">
        <x:f>MATCH(J166-'Сводка'!$B$11,'Сводка'!$R$3:$R$397,0)</x:f>
        <x:v>176</x:v>
      </x:c>
      <x:c r="W166" s="4" t="n">
        <x:f>MATCH(T166,$J$388:$J$400,0)</x:f>
        <x:v>6</x:v>
      </x:c>
      <x:c r="X166" s="3"/>
      <x:c r="Y166" s="3"/>
      <x:c r="Z166" s="3"/>
    </x:row>
    <x:row r="167" ht="15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10" t="n">
        <x:v>46018</x:v>
      </x:c>
      <x:c r="K167" s="8" t="n">
        <x:f>INDEX('Сводка'!$S$3:$S$397,U167)</x:f>
        <x:v>-15</x:v>
      </x:c>
      <x:c r="L167" s="8" t="n">
        <x:f>INDEX('Сводка'!$S$3:$S$397,V167)</x:f>
        <x:v>-17</x:v>
      </x:c>
      <x:c r="M167" s="8" t="n">
        <x:f>INDEX($K$388:$N$400,W167,1)*EXP(INDEX($K$388:$N$400,W167,2)*((J167-$T$405+1)/1000))</x:f>
        <x:v>184.97426622584223</x:v>
      </x:c>
      <x:c r="N167" s="8" t="n">
        <x:f>K167-M167</x:f>
        <x:v>-199.97426622584223</x:v>
      </x:c>
      <x:c r="O167" s="8" t="n">
        <x:f>ABS(N167)</x:f>
        <x:v>199.97426622584223</x:v>
      </x:c>
      <x:c r="P167" s="8" t="n">
        <x:f>N167^2</x:f>
        <x:v>39989.70715256402</x:v>
      </x:c>
      <x:c r="Q167" s="8" t="n">
        <x:f>K167-L167</x:f>
        <x:v>2</x:v>
      </x:c>
      <x:c r="R167" s="9" t="n">
        <x:f>IF(AND(INDEX('Сводка'!$T$3:$T$397,U167)=0,INDEX('Сводка'!$T$3:$T$397,V167)=0),1,0)</x:f>
        <x:v>1</x:v>
      </x:c>
      <x:c r="S167" s="9" t="n">
        <x:f>IF(AND(R167=1,O167&lt;=$G$13),1,0)</x:f>
        <x:v>0</x:v>
      </x:c>
      <x:c r="T167" s="10" t="n">
        <x:f>EOMONTH(J167-'Сводка'!$B$11,-1)</x:f>
        <x:v>45991</x:v>
      </x:c>
      <x:c r="U167" s="4" t="n">
        <x:f>MATCH(J167,'Сводка'!$R$3:$R$397,0)</x:f>
        <x:v>178</x:v>
      </x:c>
      <x:c r="V167" s="4" t="n">
        <x:f>MATCH(J167-'Сводка'!$B$11,'Сводка'!$R$3:$R$397,0)</x:f>
        <x:v>177</x:v>
      </x:c>
      <x:c r="W167" s="4" t="n">
        <x:f>MATCH(T167,$J$388:$J$400,0)</x:f>
        <x:v>6</x:v>
      </x:c>
      <x:c r="X167" s="3"/>
      <x:c r="Y167" s="3"/>
      <x:c r="Z167" s="3"/>
    </x:row>
    <x:row r="168" ht="15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10" t="n">
        <x:v>46019</x:v>
      </x:c>
      <x:c r="K168" s="8" t="n">
        <x:f>INDEX('Сводка'!$S$3:$S$397,U168)</x:f>
        <x:v>-12</x:v>
      </x:c>
      <x:c r="L168" s="8" t="n">
        <x:f>INDEX('Сводка'!$S$3:$S$397,V168)</x:f>
        <x:v>-15</x:v>
      </x:c>
      <x:c r="M168" s="8" t="n">
        <x:f>INDEX($K$388:$N$400,W168,1)*EXP(INDEX($K$388:$N$400,W168,2)*((J168-$T$405+1)/1000))</x:f>
        <x:v>185.0202711695582</x:v>
      </x:c>
      <x:c r="N168" s="8" t="n">
        <x:f>K168-M168</x:f>
        <x:v>-197.0202711695582</x:v>
      </x:c>
      <x:c r="O168" s="8" t="n">
        <x:f>ABS(N168)</x:f>
        <x:v>197.0202711695582</x:v>
      </x:c>
      <x:c r="P168" s="8" t="n">
        <x:f>N168^2</x:f>
        <x:v>38816.98725172625</x:v>
      </x:c>
      <x:c r="Q168" s="8" t="n">
        <x:f>K168-L168</x:f>
        <x:v>3</x:v>
      </x:c>
      <x:c r="R168" s="9" t="n">
        <x:f>IF(AND(INDEX('Сводка'!$T$3:$T$397,U168)=0,INDEX('Сводка'!$T$3:$T$397,V168)=0),1,0)</x:f>
        <x:v>1</x:v>
      </x:c>
      <x:c r="S168" s="9" t="n">
        <x:f>IF(AND(R168=1,O168&lt;=$G$13),1,0)</x:f>
        <x:v>0</x:v>
      </x:c>
      <x:c r="T168" s="10" t="n">
        <x:f>EOMONTH(J168-'Сводка'!$B$11,-1)</x:f>
        <x:v>45991</x:v>
      </x:c>
      <x:c r="U168" s="4" t="n">
        <x:f>MATCH(J168,'Сводка'!$R$3:$R$397,0)</x:f>
        <x:v>179</x:v>
      </x:c>
      <x:c r="V168" s="4" t="n">
        <x:f>MATCH(J168-'Сводка'!$B$11,'Сводка'!$R$3:$R$397,0)</x:f>
        <x:v>178</x:v>
      </x:c>
      <x:c r="W168" s="4" t="n">
        <x:f>MATCH(T168,$J$388:$J$400,0)</x:f>
        <x:v>6</x:v>
      </x:c>
      <x:c r="X168" s="3"/>
      <x:c r="Y168" s="3"/>
      <x:c r="Z168" s="3"/>
    </x:row>
    <x:row r="169" ht="15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10" t="n">
        <x:v>46020</x:v>
      </x:c>
      <x:c r="K169" s="8" t="n">
        <x:f>INDEX('Сводка'!$S$3:$S$397,U169)</x:f>
        <x:v>-6</x:v>
      </x:c>
      <x:c r="L169" s="8" t="n">
        <x:f>INDEX('Сводка'!$S$3:$S$397,V169)</x:f>
        <x:v>-12</x:v>
      </x:c>
      <x:c r="M169" s="8" t="n">
        <x:f>INDEX($K$388:$N$400,W169,1)*EXP(INDEX($K$388:$N$400,W169,2)*((J169-$T$405+1)/1000))</x:f>
        <x:v>185.0662875551622</x:v>
      </x:c>
      <x:c r="N169" s="8" t="n">
        <x:f>K169-M169</x:f>
        <x:v>-191.0662875551622</x:v>
      </x:c>
      <x:c r="O169" s="8" t="n">
        <x:f>ABS(N169)</x:f>
        <x:v>191.0662875551622</x:v>
      </x:c>
      <x:c r="P169" s="8" t="n">
        <x:f>N169^2</x:f>
        <x:v>36506.32624011193</x:v>
      </x:c>
      <x:c r="Q169" s="8" t="n">
        <x:f>K169-L169</x:f>
        <x:v>6</x:v>
      </x:c>
      <x:c r="R169" s="9" t="n">
        <x:f>IF(AND(INDEX('Сводка'!$T$3:$T$397,U169)=0,INDEX('Сводка'!$T$3:$T$397,V169)=0),1,0)</x:f>
        <x:v>1</x:v>
      </x:c>
      <x:c r="S169" s="9" t="n">
        <x:f>IF(AND(R169=1,O169&lt;=$G$13),1,0)</x:f>
        <x:v>0</x:v>
      </x:c>
      <x:c r="T169" s="10" t="n">
        <x:f>EOMONTH(J169-'Сводка'!$B$11,-1)</x:f>
        <x:v>45991</x:v>
      </x:c>
      <x:c r="U169" s="4" t="n">
        <x:f>MATCH(J169,'Сводка'!$R$3:$R$397,0)</x:f>
        <x:v>180</x:v>
      </x:c>
      <x:c r="V169" s="4" t="n">
        <x:f>MATCH(J169-'Сводка'!$B$11,'Сводка'!$R$3:$R$397,0)</x:f>
        <x:v>179</x:v>
      </x:c>
      <x:c r="W169" s="4" t="n">
        <x:f>MATCH(T169,$J$388:$J$400,0)</x:f>
        <x:v>6</x:v>
      </x:c>
      <x:c r="X169" s="3"/>
      <x:c r="Y169" s="3"/>
      <x:c r="Z169" s="3"/>
    </x:row>
    <x:row r="170" ht="15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10" t="n">
        <x:v>46021</x:v>
      </x:c>
      <x:c r="K170" s="8" t="n">
        <x:f>INDEX('Сводка'!$S$3:$S$397,U170)</x:f>
        <x:v>-3</x:v>
      </x:c>
      <x:c r="L170" s="8" t="n">
        <x:f>INDEX('Сводка'!$S$3:$S$397,V170)</x:f>
        <x:v>-6</x:v>
      </x:c>
      <x:c r="M170" s="8" t="n">
        <x:f>INDEX($K$388:$N$400,W170,1)*EXP(INDEX($K$388:$N$400,W170,2)*((J170-$T$405+1)/1000))</x:f>
        <x:v>185.1123153855</x:v>
      </x:c>
      <x:c r="N170" s="8" t="n">
        <x:f>K170-M170</x:f>
        <x:v>-188.1123153855</x:v>
      </x:c>
      <x:c r="O170" s="8" t="n">
        <x:f>ABS(N170)</x:f>
        <x:v>188.1123153855</x:v>
      </x:c>
      <x:c r="P170" s="8" t="n">
        <x:f>N170^2</x:f>
        <x:v>35386.243199693825</x:v>
      </x:c>
      <x:c r="Q170" s="8" t="n">
        <x:f>K170-L170</x:f>
        <x:v>3</x:v>
      </x:c>
      <x:c r="R170" s="9" t="n">
        <x:f>IF(AND(INDEX('Сводка'!$T$3:$T$397,U170)=0,INDEX('Сводка'!$T$3:$T$397,V170)=0),1,0)</x:f>
        <x:v>1</x:v>
      </x:c>
      <x:c r="S170" s="9" t="n">
        <x:f>IF(AND(R170=1,O170&lt;=$G$13),1,0)</x:f>
        <x:v>0</x:v>
      </x:c>
      <x:c r="T170" s="10" t="n">
        <x:f>EOMONTH(J170-'Сводка'!$B$11,-1)</x:f>
        <x:v>45991</x:v>
      </x:c>
      <x:c r="U170" s="4" t="n">
        <x:f>MATCH(J170,'Сводка'!$R$3:$R$397,0)</x:f>
        <x:v>181</x:v>
      </x:c>
      <x:c r="V170" s="4" t="n">
        <x:f>MATCH(J170-'Сводка'!$B$11,'Сводка'!$R$3:$R$397,0)</x:f>
        <x:v>180</x:v>
      </x:c>
      <x:c r="W170" s="4" t="n">
        <x:f>MATCH(T170,$J$388:$J$400,0)</x:f>
        <x:v>6</x:v>
      </x:c>
      <x:c r="X170" s="3"/>
      <x:c r="Y170" s="3"/>
      <x:c r="Z170" s="3"/>
    </x:row>
    <x:row r="171" ht="15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10" t="n">
        <x:v>46022</x:v>
      </x:c>
      <x:c r="K171" s="8" t="n">
        <x:f>INDEX('Сводка'!$S$3:$S$397,U171)</x:f>
        <x:v>0</x:v>
      </x:c>
      <x:c r="L171" s="8" t="n">
        <x:f>INDEX('Сводка'!$S$3:$S$397,V171)</x:f>
        <x:v>-3</x:v>
      </x:c>
      <x:c r="M171" s="8" t="n">
        <x:f>INDEX($K$388:$N$400,W171,1)*EXP(INDEX($K$388:$N$400,W171,2)*((J171-$T$405+1)/1000))</x:f>
        <x:v>185.15835466341795</x:v>
      </x:c>
      <x:c r="N171" s="8" t="n">
        <x:f>K171-M171</x:f>
        <x:v>-185.15835466341795</x:v>
      </x:c>
      <x:c r="O171" s="8" t="n">
        <x:f>ABS(N171)</x:f>
        <x:v>185.15835466341795</x:v>
      </x:c>
      <x:c r="P171" s="8" t="n">
        <x:f>N171^2</x:f>
        <x:v>34283.61630166407</x:v>
      </x:c>
      <x:c r="Q171" s="8" t="n">
        <x:f>K171-L171</x:f>
        <x:v>3</x:v>
      </x:c>
      <x:c r="R171" s="9" t="n">
        <x:f>IF(AND(INDEX('Сводка'!$T$3:$T$397,U171)=0,INDEX('Сводка'!$T$3:$T$397,V171)=0),1,0)</x:f>
        <x:v>0</x:v>
      </x:c>
      <x:c r="S171" s="9" t="n">
        <x:f>IF(AND(R171=1,O171&lt;=$G$13),1,0)</x:f>
        <x:v>0</x:v>
      </x:c>
      <x:c r="T171" s="10" t="n">
        <x:f>EOMONTH(J171-'Сводка'!$B$11,-1)</x:f>
        <x:v>45991</x:v>
      </x:c>
      <x:c r="U171" s="4" t="n">
        <x:f>MATCH(J171,'Сводка'!$R$3:$R$397,0)</x:f>
        <x:v>182</x:v>
      </x:c>
      <x:c r="V171" s="4" t="n">
        <x:f>MATCH(J171-'Сводка'!$B$11,'Сводка'!$R$3:$R$397,0)</x:f>
        <x:v>181</x:v>
      </x:c>
      <x:c r="W171" s="4" t="n">
        <x:f>MATCH(T171,$J$388:$J$400,0)</x:f>
        <x:v>6</x:v>
      </x:c>
      <x:c r="X171" s="3"/>
      <x:c r="Y171" s="3"/>
      <x:c r="Z171" s="3"/>
    </x:row>
    <x:row r="172" ht="15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10" t="n">
        <x:v>46023</x:v>
      </x:c>
      <x:c r="K172" s="8" t="n">
        <x:f>INDEX('Сводка'!$S$3:$S$397,U172)</x:f>
        <x:v>3</x:v>
      </x:c>
      <x:c r="L172" s="8" t="n">
        <x:f>INDEX('Сводка'!$S$3:$S$397,V172)</x:f>
        <x:v>0</x:v>
      </x:c>
      <x:c r="M172" s="8" t="n">
        <x:f>INDEX($K$388:$N$400,W172,1)*EXP(INDEX($K$388:$N$400,W172,2)*((J172-$T$405+1)/1000))</x:f>
        <x:v>185.20440539176332</x:v>
      </x:c>
      <x:c r="N172" s="8" t="n">
        <x:f>K172-M172</x:f>
        <x:v>-182.20440539176332</x:v>
      </x:c>
      <x:c r="O172" s="8" t="n">
        <x:f>ABS(N172)</x:f>
        <x:v>182.20440539176332</x:v>
      </x:c>
      <x:c r="P172" s="8" t="n">
        <x:f>N172^2</x:f>
        <x:v>33198.44534416603</x:v>
      </x:c>
      <x:c r="Q172" s="8" t="n">
        <x:f>K172-L172</x:f>
        <x:v>3</x:v>
      </x:c>
      <x:c r="R172" s="9" t="n">
        <x:f>IF(AND(INDEX('Сводка'!$T$3:$T$397,U172)=0,INDEX('Сводка'!$T$3:$T$397,V172)=0),1,0)</x:f>
        <x:v>0</x:v>
      </x:c>
      <x:c r="S172" s="9" t="n">
        <x:f>IF(AND(R172=1,O172&lt;=$G$13),1,0)</x:f>
        <x:v>0</x:v>
      </x:c>
      <x:c r="T172" s="10" t="n">
        <x:f>EOMONTH(J172-'Сводка'!$B$11,-1)</x:f>
        <x:v>45991</x:v>
      </x:c>
      <x:c r="U172" s="4" t="n">
        <x:f>MATCH(J172,'Сводка'!$R$3:$R$397,0)</x:f>
        <x:v>183</x:v>
      </x:c>
      <x:c r="V172" s="4" t="n">
        <x:f>MATCH(J172-'Сводка'!$B$11,'Сводка'!$R$3:$R$397,0)</x:f>
        <x:v>182</x:v>
      </x:c>
      <x:c r="W172" s="4" t="n">
        <x:f>MATCH(T172,$J$388:$J$400,0)</x:f>
        <x:v>6</x:v>
      </x:c>
      <x:c r="X172" s="3"/>
      <x:c r="Y172" s="3"/>
      <x:c r="Z172" s="3"/>
    </x:row>
    <x:row r="173" ht="15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10" t="n">
        <x:v>46024</x:v>
      </x:c>
      <x:c r="K173" s="8" t="n">
        <x:f>INDEX('Сводка'!$S$3:$S$397,U173)</x:f>
        <x:v>6</x:v>
      </x:c>
      <x:c r="L173" s="8" t="n">
        <x:f>INDEX('Сводка'!$S$3:$S$397,V173)</x:f>
        <x:v>3</x:v>
      </x:c>
      <x:c r="M173" s="8" t="n">
        <x:f>INDEX($K$388:$N$400,W173,1)*EXP(INDEX($K$388:$N$400,W173,2)*((J173-$T$405+1)/1000))</x:f>
        <x:v>179.82145447109178</x:v>
      </x:c>
      <x:c r="N173" s="8" t="n">
        <x:f>K173-M173</x:f>
        <x:v>-173.82145447109178</x:v>
      </x:c>
      <x:c r="O173" s="8" t="n">
        <x:f>ABS(N173)</x:f>
        <x:v>173.82145447109178</x:v>
      </x:c>
      <x:c r="P173" s="8" t="n">
        <x:f>N173^2</x:f>
        <x:v>30213.898034445832</x:v>
      </x:c>
      <x:c r="Q173" s="8" t="n">
        <x:f>K173-L173</x:f>
        <x:v>3</x:v>
      </x:c>
      <x:c r="R173" s="9" t="n">
        <x:f>IF(AND(INDEX('Сводка'!$T$3:$T$397,U173)=0,INDEX('Сводка'!$T$3:$T$397,V173)=0),1,0)</x:f>
        <x:v>1</x:v>
      </x:c>
      <x:c r="S173" s="9" t="n">
        <x:f>IF(AND(R173=1,O173&lt;=$G$13),1,0)</x:f>
        <x:v>0</x:v>
      </x:c>
      <x:c r="T173" s="10" t="n">
        <x:f>EOMONTH(J173-'Сводка'!$B$11,-1)</x:f>
        <x:v>46022</x:v>
      </x:c>
      <x:c r="U173" s="4" t="n">
        <x:f>MATCH(J173,'Сводка'!$R$3:$R$397,0)</x:f>
        <x:v>184</x:v>
      </x:c>
      <x:c r="V173" s="4" t="n">
        <x:f>MATCH(J173-'Сводка'!$B$11,'Сводка'!$R$3:$R$397,0)</x:f>
        <x:v>183</x:v>
      </x:c>
      <x:c r="W173" s="4" t="n">
        <x:f>MATCH(T173,$J$388:$J$400,0)</x:f>
        <x:v>7</x:v>
      </x:c>
      <x:c r="X173" s="3"/>
      <x:c r="Y173" s="3"/>
      <x:c r="Z173" s="3"/>
    </x:row>
    <x:row r="174" ht="15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10" t="n">
        <x:v>46025</x:v>
      </x:c>
      <x:c r="K174" s="8" t="n">
        <x:f>INDEX('Сводка'!$S$3:$S$397,U174)</x:f>
        <x:v>6</x:v>
      </x:c>
      <x:c r="L174" s="8" t="n">
        <x:f>INDEX('Сводка'!$S$3:$S$397,V174)</x:f>
        <x:v>6</x:v>
      </x:c>
      <x:c r="M174" s="8" t="n">
        <x:f>INDEX($K$388:$N$400,W174,1)*EXP(INDEX($K$388:$N$400,W174,2)*((J174-$T$405+1)/1000))</x:f>
        <x:v>179.8649615362513</x:v>
      </x:c>
      <x:c r="N174" s="8" t="n">
        <x:f>K174-M174</x:f>
        <x:v>-173.8649615362513</x:v>
      </x:c>
      <x:c r="O174" s="8" t="n">
        <x:f>ABS(N174)</x:f>
        <x:v>173.8649615362513</x:v>
      </x:c>
      <x:c r="P174" s="8" t="n">
        <x:f>N174^2</x:f>
        <x:v>30229.02485000214</x:v>
      </x:c>
      <x:c r="Q174" s="8" t="n">
        <x:f>K174-L174</x:f>
        <x:v>0</x:v>
      </x:c>
      <x:c r="R174" s="9" t="n">
        <x:f>IF(AND(INDEX('Сводка'!$T$3:$T$397,U174)=0,INDEX('Сводка'!$T$3:$T$397,V174)=0),1,0)</x:f>
        <x:v>1</x:v>
      </x:c>
      <x:c r="S174" s="9" t="n">
        <x:f>IF(AND(R174=1,O174&lt;=$G$13),1,0)</x:f>
        <x:v>0</x:v>
      </x:c>
      <x:c r="T174" s="10" t="n">
        <x:f>EOMONTH(J174-'Сводка'!$B$11,-1)</x:f>
        <x:v>46022</x:v>
      </x:c>
      <x:c r="U174" s="4" t="n">
        <x:f>MATCH(J174,'Сводка'!$R$3:$R$397,0)</x:f>
        <x:v>185</x:v>
      </x:c>
      <x:c r="V174" s="4" t="n">
        <x:f>MATCH(J174-'Сводка'!$B$11,'Сводка'!$R$3:$R$397,0)</x:f>
        <x:v>184</x:v>
      </x:c>
      <x:c r="W174" s="4" t="n">
        <x:f>MATCH(T174,$J$388:$J$400,0)</x:f>
        <x:v>7</x:v>
      </x:c>
      <x:c r="X174" s="3"/>
      <x:c r="Y174" s="3"/>
      <x:c r="Z174" s="3"/>
    </x:row>
    <x:row r="175" ht="15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10" t="n">
        <x:v>46026</x:v>
      </x:c>
      <x:c r="K175" s="8" t="n">
        <x:f>INDEX('Сводка'!$S$3:$S$397,U175)</x:f>
        <x:v>6</x:v>
      </x:c>
      <x:c r="L175" s="8" t="n">
        <x:f>INDEX('Сводка'!$S$3:$S$397,V175)</x:f>
        <x:v>6</x:v>
      </x:c>
      <x:c r="M175" s="8" t="n">
        <x:f>INDEX($K$388:$N$400,W175,1)*EXP(INDEX($K$388:$N$400,W175,2)*((J175-$T$405+1)/1000))</x:f>
        <x:v>179.90847912776715</x:v>
      </x:c>
      <x:c r="N175" s="8" t="n">
        <x:f>K175-M175</x:f>
        <x:v>-173.90847912776715</x:v>
      </x:c>
      <x:c r="O175" s="8" t="n">
        <x:f>ABS(N175)</x:f>
        <x:v>173.90847912776715</x:v>
      </x:c>
      <x:c r="P175" s="8" t="n">
        <x:f>N175^2</x:f>
        <x:v>30244.159112533023</x:v>
      </x:c>
      <x:c r="Q175" s="8" t="n">
        <x:f>K175-L175</x:f>
        <x:v>0</x:v>
      </x:c>
      <x:c r="R175" s="9" t="n">
        <x:f>IF(AND(INDEX('Сводка'!$T$3:$T$397,U175)=0,INDEX('Сводка'!$T$3:$T$397,V175)=0),1,0)</x:f>
        <x:v>1</x:v>
      </x:c>
      <x:c r="S175" s="9" t="n">
        <x:f>IF(AND(R175=1,O175&lt;=$G$13),1,0)</x:f>
        <x:v>0</x:v>
      </x:c>
      <x:c r="T175" s="10" t="n">
        <x:f>EOMONTH(J175-'Сводка'!$B$11,-1)</x:f>
        <x:v>46022</x:v>
      </x:c>
      <x:c r="U175" s="4" t="n">
        <x:f>MATCH(J175,'Сводка'!$R$3:$R$397,0)</x:f>
        <x:v>186</x:v>
      </x:c>
      <x:c r="V175" s="4" t="n">
        <x:f>MATCH(J175-'Сводка'!$B$11,'Сводка'!$R$3:$R$397,0)</x:f>
        <x:v>185</x:v>
      </x:c>
      <x:c r="W175" s="4" t="n">
        <x:f>MATCH(T175,$J$388:$J$400,0)</x:f>
        <x:v>7</x:v>
      </x:c>
      <x:c r="X175" s="3"/>
      <x:c r="Y175" s="3"/>
      <x:c r="Z175" s="3"/>
    </x:row>
    <x:row r="176" ht="15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10" t="n">
        <x:v>46027</x:v>
      </x:c>
      <x:c r="K176" s="8" t="n">
        <x:f>INDEX('Сводка'!$S$3:$S$397,U176)</x:f>
        <x:v>6</x:v>
      </x:c>
      <x:c r="L176" s="8" t="n">
        <x:f>INDEX('Сводка'!$S$3:$S$397,V176)</x:f>
        <x:v>6</x:v>
      </x:c>
      <x:c r="M176" s="8" t="n">
        <x:f>INDEX($K$388:$N$400,W176,1)*EXP(INDEX($K$388:$N$400,W176,2)*((J176-$T$405+1)/1000))</x:f>
        <x:v>179.95200724818633</x:v>
      </x:c>
      <x:c r="N176" s="8" t="n">
        <x:f>K176-M176</x:f>
        <x:v>-173.95200724818633</x:v>
      </x:c>
      <x:c r="O176" s="8" t="n">
        <x:f>ABS(N176)</x:f>
        <x:v>173.95200724818633</x:v>
      </x:c>
      <x:c r="P176" s="8" t="n">
        <x:f>N176^2</x:f>
        <x:v>30259.30082567307</x:v>
      </x:c>
      <x:c r="Q176" s="8" t="n">
        <x:f>K176-L176</x:f>
        <x:v>0</x:v>
      </x:c>
      <x:c r="R176" s="9" t="n">
        <x:f>IF(AND(INDEX('Сводка'!$T$3:$T$397,U176)=0,INDEX('Сводка'!$T$3:$T$397,V176)=0),1,0)</x:f>
        <x:v>1</x:v>
      </x:c>
      <x:c r="S176" s="9" t="n">
        <x:f>IF(AND(R176=1,O176&lt;=$G$13),1,0)</x:f>
        <x:v>0</x:v>
      </x:c>
      <x:c r="T176" s="10" t="n">
        <x:f>EOMONTH(J176-'Сводка'!$B$11,-1)</x:f>
        <x:v>46022</x:v>
      </x:c>
      <x:c r="U176" s="4" t="n">
        <x:f>MATCH(J176,'Сводка'!$R$3:$R$397,0)</x:f>
        <x:v>187</x:v>
      </x:c>
      <x:c r="V176" s="4" t="n">
        <x:f>MATCH(J176-'Сводка'!$B$11,'Сводка'!$R$3:$R$397,0)</x:f>
        <x:v>186</x:v>
      </x:c>
      <x:c r="W176" s="4" t="n">
        <x:f>MATCH(T176,$J$388:$J$400,0)</x:f>
        <x:v>7</x:v>
      </x:c>
      <x:c r="X176" s="3"/>
      <x:c r="Y176" s="3"/>
      <x:c r="Z176" s="3"/>
    </x:row>
    <x:row r="177" ht="15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10" t="n">
        <x:v>46028</x:v>
      </x:c>
      <x:c r="K177" s="8" t="n">
        <x:f>INDEX('Сводка'!$S$3:$S$397,U177)</x:f>
        <x:v>2</x:v>
      </x:c>
      <x:c r="L177" s="8" t="n">
        <x:f>INDEX('Сводка'!$S$3:$S$397,V177)</x:f>
        <x:v>6</x:v>
      </x:c>
      <x:c r="M177" s="8" t="n">
        <x:f>INDEX($K$388:$N$400,W177,1)*EXP(INDEX($K$388:$N$400,W177,2)*((J177-$T$405+1)/1000))</x:f>
        <x:v>179.9955459000561</x:v>
      </x:c>
      <x:c r="N177" s="8" t="n">
        <x:f>K177-M177</x:f>
        <x:v>-177.9955459000561</x:v>
      </x:c>
      <x:c r="O177" s="8" t="n">
        <x:f>ABS(N177)</x:f>
        <x:v>177.9955459000561</x:v>
      </x:c>
      <x:c r="P177" s="8" t="n">
        <x:f>N177^2</x:f>
        <x:v>31682.41436025898</x:v>
      </x:c>
      <x:c r="Q177" s="8" t="n">
        <x:f>K177-L177</x:f>
        <x:v>-4</x:v>
      </x:c>
      <x:c r="R177" s="9" t="n">
        <x:f>IF(AND(INDEX('Сводка'!$T$3:$T$397,U177)=0,INDEX('Сводка'!$T$3:$T$397,V177)=0),1,0)</x:f>
        <x:v>1</x:v>
      </x:c>
      <x:c r="S177" s="9" t="n">
        <x:f>IF(AND(R177=1,O177&lt;=$G$13),1,0)</x:f>
        <x:v>0</x:v>
      </x:c>
      <x:c r="T177" s="10" t="n">
        <x:f>EOMONTH(J177-'Сводка'!$B$11,-1)</x:f>
        <x:v>46022</x:v>
      </x:c>
      <x:c r="U177" s="4" t="n">
        <x:f>MATCH(J177,'Сводка'!$R$3:$R$397,0)</x:f>
        <x:v>188</x:v>
      </x:c>
      <x:c r="V177" s="4" t="n">
        <x:f>MATCH(J177-'Сводка'!$B$11,'Сводка'!$R$3:$R$397,0)</x:f>
        <x:v>187</x:v>
      </x:c>
      <x:c r="W177" s="4" t="n">
        <x:f>MATCH(T177,$J$388:$J$400,0)</x:f>
        <x:v>7</x:v>
      </x:c>
      <x:c r="X177" s="3"/>
      <x:c r="Y177" s="3"/>
      <x:c r="Z177" s="3"/>
    </x:row>
    <x:row r="178" ht="15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10" t="n">
        <x:v>46029</x:v>
      </x:c>
      <x:c r="K178" s="8" t="n">
        <x:f>INDEX('Сводка'!$S$3:$S$397,U178)</x:f>
        <x:v>-2</x:v>
      </x:c>
      <x:c r="L178" s="8" t="n">
        <x:f>INDEX('Сводка'!$S$3:$S$397,V178)</x:f>
        <x:v>2</x:v>
      </x:c>
      <x:c r="M178" s="8" t="n">
        <x:f>INDEX($K$388:$N$400,W178,1)*EXP(INDEX($K$388:$N$400,W178,2)*((J178-$T$405+1)/1000))</x:f>
        <x:v>180.03909508592463</x:v>
      </x:c>
      <x:c r="N178" s="8" t="n">
        <x:f>K178-M178</x:f>
        <x:v>-182.03909508592463</x:v>
      </x:c>
      <x:c r="O178" s="8" t="n">
        <x:f>ABS(N178)</x:f>
        <x:v>182.03909508592463</x:v>
      </x:c>
      <x:c r="P178" s="8" t="n">
        <x:f>N178^2</x:f>
        <x:v>33138.23213970231</x:v>
      </x:c>
      <x:c r="Q178" s="8" t="n">
        <x:f>K178-L178</x:f>
        <x:v>-4</x:v>
      </x:c>
      <x:c r="R178" s="9" t="n">
        <x:f>IF(AND(INDEX('Сводка'!$T$3:$T$397,U178)=0,INDEX('Сводка'!$T$3:$T$397,V178)=0),1,0)</x:f>
        <x:v>1</x:v>
      </x:c>
      <x:c r="S178" s="9" t="n">
        <x:f>IF(AND(R178=1,O178&lt;=$G$13),1,0)</x:f>
        <x:v>0</x:v>
      </x:c>
      <x:c r="T178" s="10" t="n">
        <x:f>EOMONTH(J178-'Сводка'!$B$11,-1)</x:f>
        <x:v>46022</x:v>
      </x:c>
      <x:c r="U178" s="4" t="n">
        <x:f>MATCH(J178,'Сводка'!$R$3:$R$397,0)</x:f>
        <x:v>189</x:v>
      </x:c>
      <x:c r="V178" s="4" t="n">
        <x:f>MATCH(J178-'Сводка'!$B$11,'Сводка'!$R$3:$R$397,0)</x:f>
        <x:v>188</x:v>
      </x:c>
      <x:c r="W178" s="4" t="n">
        <x:f>MATCH(T178,$J$388:$J$400,0)</x:f>
        <x:v>7</x:v>
      </x:c>
      <x:c r="X178" s="3"/>
      <x:c r="Y178" s="3"/>
      <x:c r="Z178" s="3"/>
    </x:row>
    <x:row r="179" ht="15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10" t="n">
        <x:v>46030</x:v>
      </x:c>
      <x:c r="K179" s="8" t="n">
        <x:f>INDEX('Сводка'!$S$3:$S$397,U179)</x:f>
        <x:v>-7</x:v>
      </x:c>
      <x:c r="L179" s="8" t="n">
        <x:f>INDEX('Сводка'!$S$3:$S$397,V179)</x:f>
        <x:v>-2</x:v>
      </x:c>
      <x:c r="M179" s="8" t="n">
        <x:f>INDEX($K$388:$N$400,W179,1)*EXP(INDEX($K$388:$N$400,W179,2)*((J179-$T$405+1)/1000))</x:f>
        <x:v>180.0826548083404</x:v>
      </x:c>
      <x:c r="N179" s="8" t="n">
        <x:f>K179-M179</x:f>
        <x:v>-187.0826548083404</x:v>
      </x:c>
      <x:c r="O179" s="8" t="n">
        <x:f>ABS(N179)</x:f>
        <x:v>187.0826548083404</x:v>
      </x:c>
      <x:c r="P179" s="8" t="n">
        <x:f>N179^2</x:f>
        <x:v>34999.91973013665</x:v>
      </x:c>
      <x:c r="Q179" s="8" t="n">
        <x:f>K179-L179</x:f>
        <x:v>-5</x:v>
      </x:c>
      <x:c r="R179" s="9" t="n">
        <x:f>IF(AND(INDEX('Сводка'!$T$3:$T$397,U179)=0,INDEX('Сводка'!$T$3:$T$397,V179)=0),1,0)</x:f>
        <x:v>1</x:v>
      </x:c>
      <x:c r="S179" s="9" t="n">
        <x:f>IF(AND(R179=1,O179&lt;=$G$13),1,0)</x:f>
        <x:v>0</x:v>
      </x:c>
      <x:c r="T179" s="10" t="n">
        <x:f>EOMONTH(J179-'Сводка'!$B$11,-1)</x:f>
        <x:v>46022</x:v>
      </x:c>
      <x:c r="U179" s="4" t="n">
        <x:f>MATCH(J179,'Сводка'!$R$3:$R$397,0)</x:f>
        <x:v>190</x:v>
      </x:c>
      <x:c r="V179" s="4" t="n">
        <x:f>MATCH(J179-'Сводка'!$B$11,'Сводка'!$R$3:$R$397,0)</x:f>
        <x:v>189</x:v>
      </x:c>
      <x:c r="W179" s="4" t="n">
        <x:f>MATCH(T179,$J$388:$J$400,0)</x:f>
        <x:v>7</x:v>
      </x:c>
      <x:c r="X179" s="3"/>
      <x:c r="Y179" s="3"/>
      <x:c r="Z179" s="3"/>
    </x:row>
    <x:row r="180" ht="15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10" t="n">
        <x:v>46031</x:v>
      </x:c>
      <x:c r="K180" s="8" t="n">
        <x:f>INDEX('Сводка'!$S$3:$S$397,U180)</x:f>
        <x:v>-10</x:v>
      </x:c>
      <x:c r="L180" s="8" t="n">
        <x:f>INDEX('Сводка'!$S$3:$S$397,V180)</x:f>
        <x:v>-7</x:v>
      </x:c>
      <x:c r="M180" s="8" t="n">
        <x:f>INDEX($K$388:$N$400,W180,1)*EXP(INDEX($K$388:$N$400,W180,2)*((J180-$T$405+1)/1000))</x:f>
        <x:v>180.12622506985284</x:v>
      </x:c>
      <x:c r="N180" s="8" t="n">
        <x:f>K180-M180</x:f>
        <x:v>-190.12622506985284</x:v>
      </x:c>
      <x:c r="O180" s="8" t="n">
        <x:f>ABS(N180)</x:f>
        <x:v>190.12622506985284</x:v>
      </x:c>
      <x:c r="P180" s="8" t="n">
        <x:f>N180^2</x:f>
        <x:v>36147.98145931234</x:v>
      </x:c>
      <x:c r="Q180" s="8" t="n">
        <x:f>K180-L180</x:f>
        <x:v>-3</x:v>
      </x:c>
      <x:c r="R180" s="9" t="n">
        <x:f>IF(AND(INDEX('Сводка'!$T$3:$T$397,U180)=0,INDEX('Сводка'!$T$3:$T$397,V180)=0),1,0)</x:f>
        <x:v>1</x:v>
      </x:c>
      <x:c r="S180" s="9" t="n">
        <x:f>IF(AND(R180=1,O180&lt;=$G$13),1,0)</x:f>
        <x:v>0</x:v>
      </x:c>
      <x:c r="T180" s="10" t="n">
        <x:f>EOMONTH(J180-'Сводка'!$B$11,-1)</x:f>
        <x:v>46022</x:v>
      </x:c>
      <x:c r="U180" s="4" t="n">
        <x:f>MATCH(J180,'Сводка'!$R$3:$R$397,0)</x:f>
        <x:v>191</x:v>
      </x:c>
      <x:c r="V180" s="4" t="n">
        <x:f>MATCH(J180-'Сводка'!$B$11,'Сводка'!$R$3:$R$397,0)</x:f>
        <x:v>190</x:v>
      </x:c>
      <x:c r="W180" s="4" t="n">
        <x:f>MATCH(T180,$J$388:$J$400,0)</x:f>
        <x:v>7</x:v>
      </x:c>
      <x:c r="X180" s="3"/>
      <x:c r="Y180" s="3"/>
      <x:c r="Z180" s="3"/>
    </x:row>
    <x:row r="181" ht="15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10" t="n">
        <x:v>46032</x:v>
      </x:c>
      <x:c r="K181" s="8" t="n">
        <x:f>INDEX('Сводка'!$S$3:$S$397,U181)</x:f>
        <x:v>-13</x:v>
      </x:c>
      <x:c r="L181" s="8" t="n">
        <x:f>INDEX('Сводка'!$S$3:$S$397,V181)</x:f>
        <x:v>-10</x:v>
      </x:c>
      <x:c r="M181" s="8" t="n">
        <x:f>INDEX($K$388:$N$400,W181,1)*EXP(INDEX($K$388:$N$400,W181,2)*((J181-$T$405+1)/1000))</x:f>
        <x:v>180.16980587301174</x:v>
      </x:c>
      <x:c r="N181" s="8" t="n">
        <x:f>K181-M181</x:f>
        <x:v>-193.16980587301174</x:v>
      </x:c>
      <x:c r="O181" s="8" t="n">
        <x:f>ABS(N181)</x:f>
        <x:v>193.16980587301174</x:v>
      </x:c>
      <x:c r="P181" s="8" t="n">
        <x:f>N181^2</x:f>
        <x:v>37314.573901017044</x:v>
      </x:c>
      <x:c r="Q181" s="8" t="n">
        <x:f>K181-L181</x:f>
        <x:v>-3</x:v>
      </x:c>
      <x:c r="R181" s="9" t="n">
        <x:f>IF(AND(INDEX('Сводка'!$T$3:$T$397,U181)=0,INDEX('Сводка'!$T$3:$T$397,V181)=0),1,0)</x:f>
        <x:v>1</x:v>
      </x:c>
      <x:c r="S181" s="9" t="n">
        <x:f>IF(AND(R181=1,O181&lt;=$G$13),1,0)</x:f>
        <x:v>0</x:v>
      </x:c>
      <x:c r="T181" s="10" t="n">
        <x:f>EOMONTH(J181-'Сводка'!$B$11,-1)</x:f>
        <x:v>46022</x:v>
      </x:c>
      <x:c r="U181" s="4" t="n">
        <x:f>MATCH(J181,'Сводка'!$R$3:$R$397,0)</x:f>
        <x:v>192</x:v>
      </x:c>
      <x:c r="V181" s="4" t="n">
        <x:f>MATCH(J181-'Сводка'!$B$11,'Сводка'!$R$3:$R$397,0)</x:f>
        <x:v>191</x:v>
      </x:c>
      <x:c r="W181" s="4" t="n">
        <x:f>MATCH(T181,$J$388:$J$400,0)</x:f>
        <x:v>7</x:v>
      </x:c>
      <x:c r="X181" s="3"/>
      <x:c r="Y181" s="3"/>
      <x:c r="Z181" s="3"/>
    </x:row>
    <x:row r="182" ht="15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10" t="n">
        <x:v>46033</x:v>
      </x:c>
      <x:c r="K182" s="8" t="n">
        <x:f>INDEX('Сводка'!$S$3:$S$397,U182)</x:f>
        <x:v>-17</x:v>
      </x:c>
      <x:c r="L182" s="8" t="n">
        <x:f>INDEX('Сводка'!$S$3:$S$397,V182)</x:f>
        <x:v>-13</x:v>
      </x:c>
      <x:c r="M182" s="8" t="n">
        <x:f>INDEX($K$388:$N$400,W182,1)*EXP(INDEX($K$388:$N$400,W182,2)*((J182-$T$405+1)/1000))</x:f>
        <x:v>180.21339722036763</x:v>
      </x:c>
      <x:c r="N182" s="8" t="n">
        <x:f>K182-M182</x:f>
        <x:v>-197.21339722036763</x:v>
      </x:c>
      <x:c r="O182" s="8" t="n">
        <x:f>ABS(N182)</x:f>
        <x:v>197.21339722036763</x:v>
      </x:c>
      <x:c r="P182" s="8" t="n">
        <x:f>N182^2</x:f>
        <x:v>38893.124043198506</x:v>
      </x:c>
      <x:c r="Q182" s="8" t="n">
        <x:f>K182-L182</x:f>
        <x:v>-4</x:v>
      </x:c>
      <x:c r="R182" s="9" t="n">
        <x:f>IF(AND(INDEX('Сводка'!$T$3:$T$397,U182)=0,INDEX('Сводка'!$T$3:$T$397,V182)=0),1,0)</x:f>
        <x:v>1</x:v>
      </x:c>
      <x:c r="S182" s="9" t="n">
        <x:f>IF(AND(R182=1,O182&lt;=$G$13),1,0)</x:f>
        <x:v>0</x:v>
      </x:c>
      <x:c r="T182" s="10" t="n">
        <x:f>EOMONTH(J182-'Сводка'!$B$11,-1)</x:f>
        <x:v>46022</x:v>
      </x:c>
      <x:c r="U182" s="4" t="n">
        <x:f>MATCH(J182,'Сводка'!$R$3:$R$397,0)</x:f>
        <x:v>193</x:v>
      </x:c>
      <x:c r="V182" s="4" t="n">
        <x:f>MATCH(J182-'Сводка'!$B$11,'Сводка'!$R$3:$R$397,0)</x:f>
        <x:v>192</x:v>
      </x:c>
      <x:c r="W182" s="4" t="n">
        <x:f>MATCH(T182,$J$388:$J$400,0)</x:f>
        <x:v>7</x:v>
      </x:c>
      <x:c r="X182" s="3"/>
      <x:c r="Y182" s="3"/>
      <x:c r="Z182" s="3"/>
    </x:row>
    <x:row r="183" ht="15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10" t="n">
        <x:v>46034</x:v>
      </x:c>
      <x:c r="K183" s="8" t="n">
        <x:f>INDEX('Сводка'!$S$3:$S$397,U183)</x:f>
        <x:v>-19</x:v>
      </x:c>
      <x:c r="L183" s="8" t="n">
        <x:f>INDEX('Сводка'!$S$3:$S$397,V183)</x:f>
        <x:v>-17</x:v>
      </x:c>
      <x:c r="M183" s="8" t="n">
        <x:f>INDEX($K$388:$N$400,W183,1)*EXP(INDEX($K$388:$N$400,W183,2)*((J183-$T$405+1)/1000))</x:f>
        <x:v>180.25699911447174</x:v>
      </x:c>
      <x:c r="N183" s="8" t="n">
        <x:f>K183-M183</x:f>
        <x:v>-199.25699911447174</x:v>
      </x:c>
      <x:c r="O183" s="8" t="n">
        <x:f>ABS(N183)</x:f>
        <x:v>199.25699911447174</x:v>
      </x:c>
      <x:c r="P183" s="8" t="n">
        <x:f>N183^2</x:f>
        <x:v>39703.35169610459</x:v>
      </x:c>
      <x:c r="Q183" s="8" t="n">
        <x:f>K183-L183</x:f>
        <x:v>-2</x:v>
      </x:c>
      <x:c r="R183" s="9" t="n">
        <x:f>IF(AND(INDEX('Сводка'!$T$3:$T$397,U183)=0,INDEX('Сводка'!$T$3:$T$397,V183)=0),1,0)</x:f>
        <x:v>1</x:v>
      </x:c>
      <x:c r="S183" s="9" t="n">
        <x:f>IF(AND(R183=1,O183&lt;=$G$13),1,0)</x:f>
        <x:v>0</x:v>
      </x:c>
      <x:c r="T183" s="10" t="n">
        <x:f>EOMONTH(J183-'Сводка'!$B$11,-1)</x:f>
        <x:v>46022</x:v>
      </x:c>
      <x:c r="U183" s="4" t="n">
        <x:f>MATCH(J183,'Сводка'!$R$3:$R$397,0)</x:f>
        <x:v>194</x:v>
      </x:c>
      <x:c r="V183" s="4" t="n">
        <x:f>MATCH(J183-'Сводка'!$B$11,'Сводка'!$R$3:$R$397,0)</x:f>
        <x:v>193</x:v>
      </x:c>
      <x:c r="W183" s="4" t="n">
        <x:f>MATCH(T183,$J$388:$J$400,0)</x:f>
        <x:v>7</x:v>
      </x:c>
      <x:c r="X183" s="3"/>
      <x:c r="Y183" s="3"/>
      <x:c r="Z183" s="3"/>
    </x:row>
    <x:row r="184" ht="15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10" t="n">
        <x:v>46035</x:v>
      </x:c>
      <x:c r="K184" s="8" t="n">
        <x:f>INDEX('Сводка'!$S$3:$S$397,U184)</x:f>
        <x:v>-22</x:v>
      </x:c>
      <x:c r="L184" s="8" t="n">
        <x:f>INDEX('Сводка'!$S$3:$S$397,V184)</x:f>
        <x:v>-19</x:v>
      </x:c>
      <x:c r="M184" s="8" t="n">
        <x:f>INDEX($K$388:$N$400,W184,1)*EXP(INDEX($K$388:$N$400,W184,2)*((J184-$T$405+1)/1000))</x:f>
        <x:v>180.30061155787575</x:v>
      </x:c>
      <x:c r="N184" s="8" t="n">
        <x:f>K184-M184</x:f>
        <x:v>-202.30061155787575</x:v>
      </x:c>
      <x:c r="O184" s="8" t="n">
        <x:f>ABS(N184)</x:f>
        <x:v>202.30061155787575</x:v>
      </x:c>
      <x:c r="P184" s="8" t="n">
        <x:f>N184^2</x:f>
        <x:v>40925.53743669053</x:v>
      </x:c>
      <x:c r="Q184" s="8" t="n">
        <x:f>K184-L184</x:f>
        <x:v>-3</x:v>
      </x:c>
      <x:c r="R184" s="9" t="n">
        <x:f>IF(AND(INDEX('Сводка'!$T$3:$T$397,U184)=0,INDEX('Сводка'!$T$3:$T$397,V184)=0),1,0)</x:f>
        <x:v>1</x:v>
      </x:c>
      <x:c r="S184" s="9" t="n">
        <x:f>IF(AND(R184=1,O184&lt;=$G$13),1,0)</x:f>
        <x:v>0</x:v>
      </x:c>
      <x:c r="T184" s="10" t="n">
        <x:f>EOMONTH(J184-'Сводка'!$B$11,-1)</x:f>
        <x:v>46022</x:v>
      </x:c>
      <x:c r="U184" s="4" t="n">
        <x:f>MATCH(J184,'Сводка'!$R$3:$R$397,0)</x:f>
        <x:v>195</x:v>
      </x:c>
      <x:c r="V184" s="4" t="n">
        <x:f>MATCH(J184-'Сводка'!$B$11,'Сводка'!$R$3:$R$397,0)</x:f>
        <x:v>194</x:v>
      </x:c>
      <x:c r="W184" s="4" t="n">
        <x:f>MATCH(T184,$J$388:$J$400,0)</x:f>
        <x:v>7</x:v>
      </x:c>
      <x:c r="X184" s="3"/>
      <x:c r="Y184" s="3"/>
      <x:c r="Z184" s="3"/>
    </x:row>
    <x:row r="185" ht="15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10" t="n">
        <x:v>46036</x:v>
      </x:c>
      <x:c r="K185" s="8" t="n">
        <x:f>INDEX('Сводка'!$S$3:$S$397,U185)</x:f>
        <x:v>-25</x:v>
      </x:c>
      <x:c r="L185" s="8" t="n">
        <x:f>INDEX('Сводка'!$S$3:$S$397,V185)</x:f>
        <x:v>-22</x:v>
      </x:c>
      <x:c r="M185" s="8" t="n">
        <x:f>INDEX($K$388:$N$400,W185,1)*EXP(INDEX($K$388:$N$400,W185,2)*((J185-$T$405+1)/1000))</x:f>
        <x:v>180.34423455313188</x:v>
      </x:c>
      <x:c r="N185" s="8" t="n">
        <x:f>K185-M185</x:f>
        <x:v>-205.34423455313188</x:v>
      </x:c>
      <x:c r="O185" s="8" t="n">
        <x:f>ABS(N185)</x:f>
        <x:v>205.34423455313188</x:v>
      </x:c>
      <x:c r="P185" s="8" t="n">
        <x:f>N185^2</x:f>
        <x:v>42166.25466421164</x:v>
      </x:c>
      <x:c r="Q185" s="8" t="n">
        <x:f>K185-L185</x:f>
        <x:v>-3</x:v>
      </x:c>
      <x:c r="R185" s="9" t="n">
        <x:f>IF(AND(INDEX('Сводка'!$T$3:$T$397,U185)=0,INDEX('Сводка'!$T$3:$T$397,V185)=0),1,0)</x:f>
        <x:v>1</x:v>
      </x:c>
      <x:c r="S185" s="9" t="n">
        <x:f>IF(AND(R185=1,O185&lt;=$G$13),1,0)</x:f>
        <x:v>0</x:v>
      </x:c>
      <x:c r="T185" s="10" t="n">
        <x:f>EOMONTH(J185-'Сводка'!$B$11,-1)</x:f>
        <x:v>46022</x:v>
      </x:c>
      <x:c r="U185" s="4" t="n">
        <x:f>MATCH(J185,'Сводка'!$R$3:$R$397,0)</x:f>
        <x:v>196</x:v>
      </x:c>
      <x:c r="V185" s="4" t="n">
        <x:f>MATCH(J185-'Сводка'!$B$11,'Сводка'!$R$3:$R$397,0)</x:f>
        <x:v>195</x:v>
      </x:c>
      <x:c r="W185" s="4" t="n">
        <x:f>MATCH(T185,$J$388:$J$400,0)</x:f>
        <x:v>7</x:v>
      </x:c>
      <x:c r="X185" s="3"/>
      <x:c r="Y185" s="3"/>
      <x:c r="Z185" s="3"/>
    </x:row>
    <x:row r="186" ht="15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10" t="n">
        <x:v>46037</x:v>
      </x:c>
      <x:c r="K186" s="8" t="n">
        <x:f>INDEX('Сводка'!$S$3:$S$397,U186)</x:f>
        <x:v>-26</x:v>
      </x:c>
      <x:c r="L186" s="8" t="n">
        <x:f>INDEX('Сводка'!$S$3:$S$397,V186)</x:f>
        <x:v>-25</x:v>
      </x:c>
      <x:c r="M186" s="8" t="n">
        <x:f>INDEX($K$388:$N$400,W186,1)*EXP(INDEX($K$388:$N$400,W186,2)*((J186-$T$405+1)/1000))</x:f>
        <x:v>180.38786810279333</x:v>
      </x:c>
      <x:c r="N186" s="8" t="n">
        <x:f>K186-M186</x:f>
        <x:v>-206.38786810279333</x:v>
      </x:c>
      <x:c r="O186" s="8" t="n">
        <x:f>ABS(N186)</x:f>
        <x:v>206.38786810279333</x:v>
      </x:c>
      <x:c r="P186" s="8" t="n">
        <x:f>N186^2</x:f>
        <x:v>42595.95210001602</x:v>
      </x:c>
      <x:c r="Q186" s="8" t="n">
        <x:f>K186-L186</x:f>
        <x:v>-1</x:v>
      </x:c>
      <x:c r="R186" s="9" t="n">
        <x:f>IF(AND(INDEX('Сводка'!$T$3:$T$397,U186)=0,INDEX('Сводка'!$T$3:$T$397,V186)=0),1,0)</x:f>
        <x:v>1</x:v>
      </x:c>
      <x:c r="S186" s="9" t="n">
        <x:f>IF(AND(R186=1,O186&lt;=$G$13),1,0)</x:f>
        <x:v>0</x:v>
      </x:c>
      <x:c r="T186" s="10" t="n">
        <x:f>EOMONTH(J186-'Сводка'!$B$11,-1)</x:f>
        <x:v>46022</x:v>
      </x:c>
      <x:c r="U186" s="4" t="n">
        <x:f>MATCH(J186,'Сводка'!$R$3:$R$397,0)</x:f>
        <x:v>197</x:v>
      </x:c>
      <x:c r="V186" s="4" t="n">
        <x:f>MATCH(J186-'Сводка'!$B$11,'Сводка'!$R$3:$R$397,0)</x:f>
        <x:v>196</x:v>
      </x:c>
      <x:c r="W186" s="4" t="n">
        <x:f>MATCH(T186,$J$388:$J$400,0)</x:f>
        <x:v>7</x:v>
      </x:c>
      <x:c r="X186" s="3"/>
      <x:c r="Y186" s="3"/>
      <x:c r="Z186" s="3"/>
    </x:row>
    <x:row r="187" ht="15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10" t="n">
        <x:v>46038</x:v>
      </x:c>
      <x:c r="K187" s="8" t="n">
        <x:f>INDEX('Сводка'!$S$3:$S$397,U187)</x:f>
        <x:v>-28</x:v>
      </x:c>
      <x:c r="L187" s="8" t="n">
        <x:f>INDEX('Сводка'!$S$3:$S$397,V187)</x:f>
        <x:v>-26</x:v>
      </x:c>
      <x:c r="M187" s="8" t="n">
        <x:f>INDEX($K$388:$N$400,W187,1)*EXP(INDEX($K$388:$N$400,W187,2)*((J187-$T$405+1)/1000))</x:f>
        <x:v>180.4315122094135</x:v>
      </x:c>
      <x:c r="N187" s="8" t="n">
        <x:f>K187-M187</x:f>
        <x:v>-208.4315122094135</x:v>
      </x:c>
      <x:c r="O187" s="8" t="n">
        <x:f>ABS(N187)</x:f>
        <x:v>208.4315122094135</x:v>
      </x:c>
      <x:c r="P187" s="8" t="n">
        <x:f>N187^2</x:f>
        <x:v>43443.695281902896</x:v>
      </x:c>
      <x:c r="Q187" s="8" t="n">
        <x:f>K187-L187</x:f>
        <x:v>-2</x:v>
      </x:c>
      <x:c r="R187" s="9" t="n">
        <x:f>IF(AND(INDEX('Сводка'!$T$3:$T$397,U187)=0,INDEX('Сводка'!$T$3:$T$397,V187)=0),1,0)</x:f>
        <x:v>1</x:v>
      </x:c>
      <x:c r="S187" s="9" t="n">
        <x:f>IF(AND(R187=1,O187&lt;=$G$13),1,0)</x:f>
        <x:v>0</x:v>
      </x:c>
      <x:c r="T187" s="10" t="n">
        <x:f>EOMONTH(J187-'Сводка'!$B$11,-1)</x:f>
        <x:v>46022</x:v>
      </x:c>
      <x:c r="U187" s="4" t="n">
        <x:f>MATCH(J187,'Сводка'!$R$3:$R$397,0)</x:f>
        <x:v>198</x:v>
      </x:c>
      <x:c r="V187" s="4" t="n">
        <x:f>MATCH(J187-'Сводка'!$B$11,'Сводка'!$R$3:$R$397,0)</x:f>
        <x:v>197</x:v>
      </x:c>
      <x:c r="W187" s="4" t="n">
        <x:f>MATCH(T187,$J$388:$J$400,0)</x:f>
        <x:v>7</x:v>
      </x:c>
      <x:c r="X187" s="3"/>
      <x:c r="Y187" s="3"/>
      <x:c r="Z187" s="3"/>
    </x:row>
    <x:row r="188" ht="15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10" t="n">
        <x:v>46039</x:v>
      </x:c>
      <x:c r="K188" s="8" t="n">
        <x:f>INDEX('Сводка'!$S$3:$S$397,U188)</x:f>
        <x:v>-29</x:v>
      </x:c>
      <x:c r="L188" s="8" t="n">
        <x:f>INDEX('Сводка'!$S$3:$S$397,V188)</x:f>
        <x:v>-28</x:v>
      </x:c>
      <x:c r="M188" s="8" t="n">
        <x:f>INDEX($K$388:$N$400,W188,1)*EXP(INDEX($K$388:$N$400,W188,2)*((J188-$T$405+1)/1000))</x:f>
        <x:v>180.47516687554668</x:v>
      </x:c>
      <x:c r="N188" s="8" t="n">
        <x:f>K188-M188</x:f>
        <x:v>-209.47516687554668</x:v>
      </x:c>
      <x:c r="O188" s="8" t="n">
        <x:f>ABS(N188)</x:f>
        <x:v>209.47516687554668</x:v>
      </x:c>
      <x:c r="P188" s="8" t="n">
        <x:f>N188^2</x:f>
        <x:v>43879.84553753813</x:v>
      </x:c>
      <x:c r="Q188" s="8" t="n">
        <x:f>K188-L188</x:f>
        <x:v>-1</x:v>
      </x:c>
      <x:c r="R188" s="9" t="n">
        <x:f>IF(AND(INDEX('Сводка'!$T$3:$T$397,U188)=0,INDEX('Сводка'!$T$3:$T$397,V188)=0),1,0)</x:f>
        <x:v>1</x:v>
      </x:c>
      <x:c r="S188" s="9" t="n">
        <x:f>IF(AND(R188=1,O188&lt;=$G$13),1,0)</x:f>
        <x:v>0</x:v>
      </x:c>
      <x:c r="T188" s="10" t="n">
        <x:f>EOMONTH(J188-'Сводка'!$B$11,-1)</x:f>
        <x:v>46022</x:v>
      </x:c>
      <x:c r="U188" s="4" t="n">
        <x:f>MATCH(J188,'Сводка'!$R$3:$R$397,0)</x:f>
        <x:v>199</x:v>
      </x:c>
      <x:c r="V188" s="4" t="n">
        <x:f>MATCH(J188-'Сводка'!$B$11,'Сводка'!$R$3:$R$397,0)</x:f>
        <x:v>198</x:v>
      </x:c>
      <x:c r="W188" s="4" t="n">
        <x:f>MATCH(T188,$J$388:$J$400,0)</x:f>
        <x:v>7</x:v>
      </x:c>
      <x:c r="X188" s="3"/>
      <x:c r="Y188" s="3"/>
      <x:c r="Z188" s="3"/>
    </x:row>
    <x:row r="189" ht="15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10" t="n">
        <x:v>46040</x:v>
      </x:c>
      <x:c r="K189" s="8" t="n">
        <x:f>INDEX('Сводка'!$S$3:$S$397,U189)</x:f>
        <x:v>-34</x:v>
      </x:c>
      <x:c r="L189" s="8" t="n">
        <x:f>INDEX('Сводка'!$S$3:$S$397,V189)</x:f>
        <x:v>-29</x:v>
      </x:c>
      <x:c r="M189" s="8" t="n">
        <x:f>INDEX($K$388:$N$400,W189,1)*EXP(INDEX($K$388:$N$400,W189,2)*((J189-$T$405+1)/1000))</x:f>
        <x:v>180.51883210374783</x:v>
      </x:c>
      <x:c r="N189" s="8" t="n">
        <x:f>K189-M189</x:f>
        <x:v>-214.51883210374783</x:v>
      </x:c>
      <x:c r="O189" s="8" t="n">
        <x:f>ABS(N189)</x:f>
        <x:v>214.51883210374783</x:v>
      </x:c>
      <x:c r="P189" s="8" t="n">
        <x:f>N189^2</x:f>
        <x:v>46018.32932715595</x:v>
      </x:c>
      <x:c r="Q189" s="8" t="n">
        <x:f>K189-L189</x:f>
        <x:v>-5</x:v>
      </x:c>
      <x:c r="R189" s="9" t="n">
        <x:f>IF(AND(INDEX('Сводка'!$T$3:$T$397,U189)=0,INDEX('Сводка'!$T$3:$T$397,V189)=0),1,0)</x:f>
        <x:v>1</x:v>
      </x:c>
      <x:c r="S189" s="9" t="n">
        <x:f>IF(AND(R189=1,O189&lt;=$G$13),1,0)</x:f>
        <x:v>0</x:v>
      </x:c>
      <x:c r="T189" s="10" t="n">
        <x:f>EOMONTH(J189-'Сводка'!$B$11,-1)</x:f>
        <x:v>46022</x:v>
      </x:c>
      <x:c r="U189" s="4" t="n">
        <x:f>MATCH(J189,'Сводка'!$R$3:$R$397,0)</x:f>
        <x:v>200</x:v>
      </x:c>
      <x:c r="V189" s="4" t="n">
        <x:f>MATCH(J189-'Сводка'!$B$11,'Сводка'!$R$3:$R$397,0)</x:f>
        <x:v>199</x:v>
      </x:c>
      <x:c r="W189" s="4" t="n">
        <x:f>MATCH(T189,$J$388:$J$400,0)</x:f>
        <x:v>7</x:v>
      </x:c>
      <x:c r="X189" s="3"/>
      <x:c r="Y189" s="3"/>
      <x:c r="Z189" s="3"/>
    </x:row>
    <x:row r="190" ht="15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10" t="n">
        <x:v>46041</x:v>
      </x:c>
      <x:c r="K190" s="8" t="n">
        <x:f>INDEX('Сводка'!$S$3:$S$397,U190)</x:f>
        <x:v>-34</x:v>
      </x:c>
      <x:c r="L190" s="8" t="n">
        <x:f>INDEX('Сводка'!$S$3:$S$397,V190)</x:f>
        <x:v>-34</x:v>
      </x:c>
      <x:c r="M190" s="8" t="n">
        <x:f>INDEX($K$388:$N$400,W190,1)*EXP(INDEX($K$388:$N$400,W190,2)*((J190-$T$405+1)/1000))</x:f>
        <x:v>180.56250789657227</x:v>
      </x:c>
      <x:c r="N190" s="8" t="n">
        <x:f>K190-M190</x:f>
        <x:v>-214.56250789657227</x:v>
      </x:c>
      <x:c r="O190" s="8" t="n">
        <x:f>ABS(N190)</x:f>
        <x:v>214.56250789657227</x:v>
      </x:c>
      <x:c r="P190" s="8" t="n">
        <x:f>N190^2</x:f>
        <x:v>46037.069794866635</x:v>
      </x:c>
      <x:c r="Q190" s="8" t="n">
        <x:f>K190-L190</x:f>
        <x:v>0</x:v>
      </x:c>
      <x:c r="R190" s="9" t="n">
        <x:f>IF(AND(INDEX('Сводка'!$T$3:$T$397,U190)=0,INDEX('Сводка'!$T$3:$T$397,V190)=0),1,0)</x:f>
        <x:v>1</x:v>
      </x:c>
      <x:c r="S190" s="9" t="n">
        <x:f>IF(AND(R190=1,O190&lt;=$G$13),1,0)</x:f>
        <x:v>0</x:v>
      </x:c>
      <x:c r="T190" s="10" t="n">
        <x:f>EOMONTH(J190-'Сводка'!$B$11,-1)</x:f>
        <x:v>46022</x:v>
      </x:c>
      <x:c r="U190" s="4" t="n">
        <x:f>MATCH(J190,'Сводка'!$R$3:$R$397,0)</x:f>
        <x:v>201</x:v>
      </x:c>
      <x:c r="V190" s="4" t="n">
        <x:f>MATCH(J190-'Сводка'!$B$11,'Сводка'!$R$3:$R$397,0)</x:f>
        <x:v>200</x:v>
      </x:c>
      <x:c r="W190" s="4" t="n">
        <x:f>MATCH(T190,$J$388:$J$400,0)</x:f>
        <x:v>7</x:v>
      </x:c>
      <x:c r="X190" s="3"/>
      <x:c r="Y190" s="3"/>
      <x:c r="Z190" s="3"/>
    </x:row>
    <x:row r="191" ht="15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10" t="n">
        <x:v>46042</x:v>
      </x:c>
      <x:c r="K191" s="8" t="n">
        <x:f>INDEX('Сводка'!$S$3:$S$397,U191)</x:f>
        <x:v>-39</x:v>
      </x:c>
      <x:c r="L191" s="8" t="n">
        <x:f>INDEX('Сводка'!$S$3:$S$397,V191)</x:f>
        <x:v>-34</x:v>
      </x:c>
      <x:c r="M191" s="8" t="n">
        <x:f>INDEX($K$388:$N$400,W191,1)*EXP(INDEX($K$388:$N$400,W191,2)*((J191-$T$405+1)/1000))</x:f>
        <x:v>180.60619425657598</x:v>
      </x:c>
      <x:c r="N191" s="8" t="n">
        <x:f>K191-M191</x:f>
        <x:v>-219.60619425657598</x:v>
      </x:c>
      <x:c r="O191" s="8" t="n">
        <x:f>ABS(N191)</x:f>
        <x:v>219.60619425657598</x:v>
      </x:c>
      <x:c r="P191" s="8" t="n">
        <x:f>N191^2</x:f>
        <x:v>48226.88055585698</x:v>
      </x:c>
      <x:c r="Q191" s="8" t="n">
        <x:f>K191-L191</x:f>
        <x:v>-5</x:v>
      </x:c>
      <x:c r="R191" s="9" t="n">
        <x:f>IF(AND(INDEX('Сводка'!$T$3:$T$397,U191)=0,INDEX('Сводка'!$T$3:$T$397,V191)=0),1,0)</x:f>
        <x:v>1</x:v>
      </x:c>
      <x:c r="S191" s="9" t="n">
        <x:f>IF(AND(R191=1,O191&lt;=$G$13),1,0)</x:f>
        <x:v>0</x:v>
      </x:c>
      <x:c r="T191" s="10" t="n">
        <x:f>EOMONTH(J191-'Сводка'!$B$11,-1)</x:f>
        <x:v>46022</x:v>
      </x:c>
      <x:c r="U191" s="4" t="n">
        <x:f>MATCH(J191,'Сводка'!$R$3:$R$397,0)</x:f>
        <x:v>202</x:v>
      </x:c>
      <x:c r="V191" s="4" t="n">
        <x:f>MATCH(J191-'Сводка'!$B$11,'Сводка'!$R$3:$R$397,0)</x:f>
        <x:v>201</x:v>
      </x:c>
      <x:c r="W191" s="4" t="n">
        <x:f>MATCH(T191,$J$388:$J$400,0)</x:f>
        <x:v>7</x:v>
      </x:c>
      <x:c r="X191" s="3"/>
      <x:c r="Y191" s="3"/>
      <x:c r="Z191" s="3"/>
    </x:row>
    <x:row r="192" ht="15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10" t="n">
        <x:v>46043</x:v>
      </x:c>
      <x:c r="K192" s="8" t="n">
        <x:f>INDEX('Сводка'!$S$3:$S$397,U192)</x:f>
        <x:v>-41</x:v>
      </x:c>
      <x:c r="L192" s="8" t="n">
        <x:f>INDEX('Сводка'!$S$3:$S$397,V192)</x:f>
        <x:v>-39</x:v>
      </x:c>
      <x:c r="M192" s="8" t="n">
        <x:f>INDEX($K$388:$N$400,W192,1)*EXP(INDEX($K$388:$N$400,W192,2)*((J192-$T$405+1)/1000))</x:f>
        <x:v>180.6498911863159</x:v>
      </x:c>
      <x:c r="N192" s="8" t="n">
        <x:f>K192-M192</x:f>
        <x:v>-221.6498911863159</x:v>
      </x:c>
      <x:c r="O192" s="8" t="n">
        <x:f>ABS(N192)</x:f>
        <x:v>221.6498911863159</x:v>
      </x:c>
      <x:c r="P192" s="8" t="n">
        <x:f>N192^2</x:f>
        <x:v>49128.674262905675</x:v>
      </x:c>
      <x:c r="Q192" s="8" t="n">
        <x:f>K192-L192</x:f>
        <x:v>-2</x:v>
      </x:c>
      <x:c r="R192" s="9" t="n">
        <x:f>IF(AND(INDEX('Сводка'!$T$3:$T$397,U192)=0,INDEX('Сводка'!$T$3:$T$397,V192)=0),1,0)</x:f>
        <x:v>1</x:v>
      </x:c>
      <x:c r="S192" s="9" t="n">
        <x:f>IF(AND(R192=1,O192&lt;=$G$13),1,0)</x:f>
        <x:v>0</x:v>
      </x:c>
      <x:c r="T192" s="10" t="n">
        <x:f>EOMONTH(J192-'Сводка'!$B$11,-1)</x:f>
        <x:v>46022</x:v>
      </x:c>
      <x:c r="U192" s="4" t="n">
        <x:f>MATCH(J192,'Сводка'!$R$3:$R$397,0)</x:f>
        <x:v>203</x:v>
      </x:c>
      <x:c r="V192" s="4" t="n">
        <x:f>MATCH(J192-'Сводка'!$B$11,'Сводка'!$R$3:$R$397,0)</x:f>
        <x:v>202</x:v>
      </x:c>
      <x:c r="W192" s="4" t="n">
        <x:f>MATCH(T192,$J$388:$J$400,0)</x:f>
        <x:v>7</x:v>
      </x:c>
      <x:c r="X192" s="3"/>
      <x:c r="Y192" s="3"/>
      <x:c r="Z192" s="3"/>
    </x:row>
    <x:row r="193" ht="15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10" t="n">
        <x:v>46044</x:v>
      </x:c>
      <x:c r="K193" s="8" t="n">
        <x:f>INDEX('Сводка'!$S$3:$S$397,U193)</x:f>
        <x:v>-41</x:v>
      </x:c>
      <x:c r="L193" s="8" t="n">
        <x:f>INDEX('Сводка'!$S$3:$S$397,V193)</x:f>
        <x:v>-41</x:v>
      </x:c>
      <x:c r="M193" s="8" t="n">
        <x:f>INDEX($K$388:$N$400,W193,1)*EXP(INDEX($K$388:$N$400,W193,2)*((J193-$T$405+1)/1000))</x:f>
        <x:v>180.69359868834903</x:v>
      </x:c>
      <x:c r="N193" s="8" t="n">
        <x:f>K193-M193</x:f>
        <x:v>-221.69359868834903</x:v>
      </x:c>
      <x:c r="O193" s="8" t="n">
        <x:f>ABS(N193)</x:f>
        <x:v>221.69359868834903</x:v>
      </x:c>
      <x:c r="P193" s="8" t="n">
        <x:f>N193^2</x:f>
        <x:v>49148.05169939075</x:v>
      </x:c>
      <x:c r="Q193" s="8" t="n">
        <x:f>K193-L193</x:f>
        <x:v>0</x:v>
      </x:c>
      <x:c r="R193" s="9" t="n">
        <x:f>IF(AND(INDEX('Сводка'!$T$3:$T$397,U193)=0,INDEX('Сводка'!$T$3:$T$397,V193)=0),1,0)</x:f>
        <x:v>1</x:v>
      </x:c>
      <x:c r="S193" s="9" t="n">
        <x:f>IF(AND(R193=1,O193&lt;=$G$13),1,0)</x:f>
        <x:v>0</x:v>
      </x:c>
      <x:c r="T193" s="10" t="n">
        <x:f>EOMONTH(J193-'Сводка'!$B$11,-1)</x:f>
        <x:v>46022</x:v>
      </x:c>
      <x:c r="U193" s="4" t="n">
        <x:f>MATCH(J193,'Сводка'!$R$3:$R$397,0)</x:f>
        <x:v>204</x:v>
      </x:c>
      <x:c r="V193" s="4" t="n">
        <x:f>MATCH(J193-'Сводка'!$B$11,'Сводка'!$R$3:$R$397,0)</x:f>
        <x:v>203</x:v>
      </x:c>
      <x:c r="W193" s="4" t="n">
        <x:f>MATCH(T193,$J$388:$J$400,0)</x:f>
        <x:v>7</x:v>
      </x:c>
      <x:c r="X193" s="3"/>
      <x:c r="Y193" s="3"/>
      <x:c r="Z193" s="3"/>
    </x:row>
    <x:row r="194" ht="15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10" t="n">
        <x:v>46045</x:v>
      </x:c>
      <x:c r="K194" s="8" t="n">
        <x:f>INDEX('Сводка'!$S$3:$S$397,U194)</x:f>
        <x:v>-37</x:v>
      </x:c>
      <x:c r="L194" s="8" t="n">
        <x:f>INDEX('Сводка'!$S$3:$S$397,V194)</x:f>
        <x:v>-41</x:v>
      </x:c>
      <x:c r="M194" s="8" t="n">
        <x:f>INDEX($K$388:$N$400,W194,1)*EXP(INDEX($K$388:$N$400,W194,2)*((J194-$T$405+1)/1000))</x:f>
        <x:v>180.7373167652335</x:v>
      </x:c>
      <x:c r="N194" s="8" t="n">
        <x:f>K194-M194</x:f>
        <x:v>-217.7373167652335</x:v>
      </x:c>
      <x:c r="O194" s="8" t="n">
        <x:f>ABS(N194)</x:f>
        <x:v>217.7373167652335</x:v>
      </x:c>
      <x:c r="P194" s="8" t="n">
        <x:f>N194^2</x:f>
        <x:v>47409.539112123624</x:v>
      </x:c>
      <x:c r="Q194" s="8" t="n">
        <x:f>K194-L194</x:f>
        <x:v>4</x:v>
      </x:c>
      <x:c r="R194" s="9" t="n">
        <x:f>IF(AND(INDEX('Сводка'!$T$3:$T$397,U194)=0,INDEX('Сводка'!$T$3:$T$397,V194)=0),1,0)</x:f>
        <x:v>1</x:v>
      </x:c>
      <x:c r="S194" s="9" t="n">
        <x:f>IF(AND(R194=1,O194&lt;=$G$13),1,0)</x:f>
        <x:v>0</x:v>
      </x:c>
      <x:c r="T194" s="10" t="n">
        <x:f>EOMONTH(J194-'Сводка'!$B$11,-1)</x:f>
        <x:v>46022</x:v>
      </x:c>
      <x:c r="U194" s="4" t="n">
        <x:f>MATCH(J194,'Сводка'!$R$3:$R$397,0)</x:f>
        <x:v>205</x:v>
      </x:c>
      <x:c r="V194" s="4" t="n">
        <x:f>MATCH(J194-'Сводка'!$B$11,'Сводка'!$R$3:$R$397,0)</x:f>
        <x:v>204</x:v>
      </x:c>
      <x:c r="W194" s="4" t="n">
        <x:f>MATCH(T194,$J$388:$J$400,0)</x:f>
        <x:v>7</x:v>
      </x:c>
      <x:c r="X194" s="3"/>
      <x:c r="Y194" s="3"/>
      <x:c r="Z194" s="3"/>
    </x:row>
    <x:row r="195" ht="15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10" t="n">
        <x:v>46046</x:v>
      </x:c>
      <x:c r="K195" s="8" t="n">
        <x:f>INDEX('Сводка'!$S$3:$S$397,U195)</x:f>
        <x:v>-39</x:v>
      </x:c>
      <x:c r="L195" s="8" t="n">
        <x:f>INDEX('Сводка'!$S$3:$S$397,V195)</x:f>
        <x:v>-37</x:v>
      </x:c>
      <x:c r="M195" s="8" t="n">
        <x:f>INDEX($K$388:$N$400,W195,1)*EXP(INDEX($K$388:$N$400,W195,2)*((J195-$T$405+1)/1000))</x:f>
        <x:v>180.78104541952774</x:v>
      </x:c>
      <x:c r="N195" s="8" t="n">
        <x:f>K195-M195</x:f>
        <x:v>-219.78104541952774</x:v>
      </x:c>
      <x:c r="O195" s="8" t="n">
        <x:f>ABS(N195)</x:f>
        <x:v>219.78104541952774</x:v>
      </x:c>
      <x:c r="P195" s="8" t="n">
        <x:f>N195^2</x:f>
        <x:v>48303.70792570052</x:v>
      </x:c>
      <x:c r="Q195" s="8" t="n">
        <x:f>K195-L195</x:f>
        <x:v>-2</x:v>
      </x:c>
      <x:c r="R195" s="9" t="n">
        <x:f>IF(AND(INDEX('Сводка'!$T$3:$T$397,U195)=0,INDEX('Сводка'!$T$3:$T$397,V195)=0),1,0)</x:f>
        <x:v>1</x:v>
      </x:c>
      <x:c r="S195" s="9" t="n">
        <x:f>IF(AND(R195=1,O195&lt;=$G$13),1,0)</x:f>
        <x:v>0</x:v>
      </x:c>
      <x:c r="T195" s="10" t="n">
        <x:f>EOMONTH(J195-'Сводка'!$B$11,-1)</x:f>
        <x:v>46022</x:v>
      </x:c>
      <x:c r="U195" s="4" t="n">
        <x:f>MATCH(J195,'Сводка'!$R$3:$R$397,0)</x:f>
        <x:v>206</x:v>
      </x:c>
      <x:c r="V195" s="4" t="n">
        <x:f>MATCH(J195-'Сводка'!$B$11,'Сводка'!$R$3:$R$397,0)</x:f>
        <x:v>205</x:v>
      </x:c>
      <x:c r="W195" s="4" t="n">
        <x:f>MATCH(T195,$J$388:$J$400,0)</x:f>
        <x:v>7</x:v>
      </x:c>
      <x:c r="X195" s="3"/>
      <x:c r="Y195" s="3"/>
      <x:c r="Z195" s="3"/>
    </x:row>
    <x:row r="196" ht="15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10" t="n">
        <x:v>46047</x:v>
      </x:c>
      <x:c r="K196" s="8" t="n">
        <x:f>INDEX('Сводка'!$S$3:$S$397,U196)</x:f>
        <x:v>-36</x:v>
      </x:c>
      <x:c r="L196" s="8" t="n">
        <x:f>INDEX('Сводка'!$S$3:$S$397,V196)</x:f>
        <x:v>-39</x:v>
      </x:c>
      <x:c r="M196" s="8" t="n">
        <x:f>INDEX($K$388:$N$400,W196,1)*EXP(INDEX($K$388:$N$400,W196,2)*((J196-$T$405+1)/1000))</x:f>
        <x:v>180.82478465379114</x:v>
      </x:c>
      <x:c r="N196" s="8" t="n">
        <x:f>K196-M196</x:f>
        <x:v>-216.82478465379114</x:v>
      </x:c>
      <x:c r="O196" s="8" t="n">
        <x:f>ABS(N196)</x:f>
        <x:v>216.82478465379114</x:v>
      </x:c>
      <x:c r="P196" s="8" t="n">
        <x:f>N196^2</x:f>
        <x:v>47012.9872401629</x:v>
      </x:c>
      <x:c r="Q196" s="8" t="n">
        <x:f>K196-L196</x:f>
        <x:v>3</x:v>
      </x:c>
      <x:c r="R196" s="9" t="n">
        <x:f>IF(AND(INDEX('Сводка'!$T$3:$T$397,U196)=0,INDEX('Сводка'!$T$3:$T$397,V196)=0),1,0)</x:f>
        <x:v>1</x:v>
      </x:c>
      <x:c r="S196" s="9" t="n">
        <x:f>IF(AND(R196=1,O196&lt;=$G$13),1,0)</x:f>
        <x:v>0</x:v>
      </x:c>
      <x:c r="T196" s="10" t="n">
        <x:f>EOMONTH(J196-'Сводка'!$B$11,-1)</x:f>
        <x:v>46022</x:v>
      </x:c>
      <x:c r="U196" s="4" t="n">
        <x:f>MATCH(J196,'Сводка'!$R$3:$R$397,0)</x:f>
        <x:v>207</x:v>
      </x:c>
      <x:c r="V196" s="4" t="n">
        <x:f>MATCH(J196-'Сводка'!$B$11,'Сводка'!$R$3:$R$397,0)</x:f>
        <x:v>206</x:v>
      </x:c>
      <x:c r="W196" s="4" t="n">
        <x:f>MATCH(T196,$J$388:$J$400,0)</x:f>
        <x:v>7</x:v>
      </x:c>
      <x:c r="X196" s="3"/>
      <x:c r="Y196" s="3"/>
      <x:c r="Z196" s="3"/>
    </x:row>
    <x:row r="197" ht="15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10" t="n">
        <x:v>46048</x:v>
      </x:c>
      <x:c r="K197" s="8" t="n">
        <x:f>INDEX('Сводка'!$S$3:$S$397,U197)</x:f>
        <x:v>-36</x:v>
      </x:c>
      <x:c r="L197" s="8" t="n">
        <x:f>INDEX('Сводка'!$S$3:$S$397,V197)</x:f>
        <x:v>-36</x:v>
      </x:c>
      <x:c r="M197" s="8" t="n">
        <x:f>INDEX($K$388:$N$400,W197,1)*EXP(INDEX($K$388:$N$400,W197,2)*((J197-$T$405+1)/1000))</x:f>
        <x:v>180.86853447058317</x:v>
      </x:c>
      <x:c r="N197" s="8" t="n">
        <x:f>K197-M197</x:f>
        <x:v>-216.86853447058317</x:v>
      </x:c>
      <x:c r="O197" s="8" t="n">
        <x:f>ABS(N197)</x:f>
        <x:v>216.86853447058317</x:v>
      </x:c>
      <x:c r="P197" s="8" t="n">
        <x:f>N197^2</x:f>
        <x:v>47031.96124341852</x:v>
      </x:c>
      <x:c r="Q197" s="8" t="n">
        <x:f>K197-L197</x:f>
        <x:v>0</x:v>
      </x:c>
      <x:c r="R197" s="9" t="n">
        <x:f>IF(AND(INDEX('Сводка'!$T$3:$T$397,U197)=0,INDEX('Сводка'!$T$3:$T$397,V197)=0),1,0)</x:f>
        <x:v>1</x:v>
      </x:c>
      <x:c r="S197" s="9" t="n">
        <x:f>IF(AND(R197=1,O197&lt;=$G$13),1,0)</x:f>
        <x:v>0</x:v>
      </x:c>
      <x:c r="T197" s="10" t="n">
        <x:f>EOMONTH(J197-'Сводка'!$B$11,-1)</x:f>
        <x:v>46022</x:v>
      </x:c>
      <x:c r="U197" s="4" t="n">
        <x:f>MATCH(J197,'Сводка'!$R$3:$R$397,0)</x:f>
        <x:v>208</x:v>
      </x:c>
      <x:c r="V197" s="4" t="n">
        <x:f>MATCH(J197-'Сводка'!$B$11,'Сводка'!$R$3:$R$397,0)</x:f>
        <x:v>207</x:v>
      </x:c>
      <x:c r="W197" s="4" t="n">
        <x:f>MATCH(T197,$J$388:$J$400,0)</x:f>
        <x:v>7</x:v>
      </x:c>
      <x:c r="X197" s="3"/>
      <x:c r="Y197" s="3"/>
      <x:c r="Z197" s="3"/>
    </x:row>
    <x:row r="198" ht="15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10" t="n">
        <x:v>46049</x:v>
      </x:c>
      <x:c r="K198" s="8" t="n">
        <x:f>INDEX('Сводка'!$S$3:$S$397,U198)</x:f>
        <x:v>-38</x:v>
      </x:c>
      <x:c r="L198" s="8" t="n">
        <x:f>INDEX('Сводка'!$S$3:$S$397,V198)</x:f>
        <x:v>-36</x:v>
      </x:c>
      <x:c r="M198" s="8" t="n">
        <x:f>INDEX($K$388:$N$400,W198,1)*EXP(INDEX($K$388:$N$400,W198,2)*((J198-$T$405+1)/1000))</x:f>
        <x:v>180.91229487246434</x:v>
      </x:c>
      <x:c r="N198" s="8" t="n">
        <x:f>K198-M198</x:f>
        <x:v>-218.91229487246434</x:v>
      </x:c>
      <x:c r="O198" s="8" t="n">
        <x:f>ABS(N198)</x:f>
        <x:v>218.91229487246434</x:v>
      </x:c>
      <x:c r="P198" s="8" t="n">
        <x:f>N198^2</x:f>
        <x:v>47922.59284632878</x:v>
      </x:c>
      <x:c r="Q198" s="8" t="n">
        <x:f>K198-L198</x:f>
        <x:v>-2</x:v>
      </x:c>
      <x:c r="R198" s="9" t="n">
        <x:f>IF(AND(INDEX('Сводка'!$T$3:$T$397,U198)=0,INDEX('Сводка'!$T$3:$T$397,V198)=0),1,0)</x:f>
        <x:v>1</x:v>
      </x:c>
      <x:c r="S198" s="9" t="n">
        <x:f>IF(AND(R198=1,O198&lt;=$G$13),1,0)</x:f>
        <x:v>0</x:v>
      </x:c>
      <x:c r="T198" s="10" t="n">
        <x:f>EOMONTH(J198-'Сводка'!$B$11,-1)</x:f>
        <x:v>46022</x:v>
      </x:c>
      <x:c r="U198" s="4" t="n">
        <x:f>MATCH(J198,'Сводка'!$R$3:$R$397,0)</x:f>
        <x:v>209</x:v>
      </x:c>
      <x:c r="V198" s="4" t="n">
        <x:f>MATCH(J198-'Сводка'!$B$11,'Сводка'!$R$3:$R$397,0)</x:f>
        <x:v>208</x:v>
      </x:c>
      <x:c r="W198" s="4" t="n">
        <x:f>MATCH(T198,$J$388:$J$400,0)</x:f>
        <x:v>7</x:v>
      </x:c>
      <x:c r="X198" s="3"/>
      <x:c r="Y198" s="3"/>
      <x:c r="Z198" s="3"/>
    </x:row>
    <x:row r="199" ht="15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10" t="n">
        <x:v>46050</x:v>
      </x:c>
      <x:c r="K199" s="8" t="n">
        <x:f>INDEX('Сводка'!$S$3:$S$397,U199)</x:f>
        <x:v>-33</x:v>
      </x:c>
      <x:c r="L199" s="8" t="n">
        <x:f>INDEX('Сводка'!$S$3:$S$397,V199)</x:f>
        <x:v>-38</x:v>
      </x:c>
      <x:c r="M199" s="8" t="n">
        <x:f>INDEX($K$388:$N$400,W199,1)*EXP(INDEX($K$388:$N$400,W199,2)*((J199-$T$405+1)/1000))</x:f>
        <x:v>180.9560658619958</x:v>
      </x:c>
      <x:c r="N199" s="8" t="n">
        <x:f>K199-M199</x:f>
        <x:v>-213.9560658619958</x:v>
      </x:c>
      <x:c r="O199" s="8" t="n">
        <x:f>ABS(N199)</x:f>
        <x:v>213.9560658619958</x:v>
      </x:c>
      <x:c r="P199" s="8" t="n">
        <x:f>N199^2</x:f>
        <x:v>45777.19811914268</x:v>
      </x:c>
      <x:c r="Q199" s="8" t="n">
        <x:f>K199-L199</x:f>
        <x:v>5</x:v>
      </x:c>
      <x:c r="R199" s="9" t="n">
        <x:f>IF(AND(INDEX('Сводка'!$T$3:$T$397,U199)=0,INDEX('Сводка'!$T$3:$T$397,V199)=0),1,0)</x:f>
        <x:v>1</x:v>
      </x:c>
      <x:c r="S199" s="9" t="n">
        <x:f>IF(AND(R199=1,O199&lt;=$G$13),1,0)</x:f>
        <x:v>0</x:v>
      </x:c>
      <x:c r="T199" s="10" t="n">
        <x:f>EOMONTH(J199-'Сводка'!$B$11,-1)</x:f>
        <x:v>46022</x:v>
      </x:c>
      <x:c r="U199" s="4" t="n">
        <x:f>MATCH(J199,'Сводка'!$R$3:$R$397,0)</x:f>
        <x:v>210</x:v>
      </x:c>
      <x:c r="V199" s="4" t="n">
        <x:f>MATCH(J199-'Сводка'!$B$11,'Сводка'!$R$3:$R$397,0)</x:f>
        <x:v>209</x:v>
      </x:c>
      <x:c r="W199" s="4" t="n">
        <x:f>MATCH(T199,$J$388:$J$400,0)</x:f>
        <x:v>7</x:v>
      </x:c>
      <x:c r="X199" s="3"/>
      <x:c r="Y199" s="3"/>
      <x:c r="Z199" s="3"/>
    </x:row>
    <x:row r="200" ht="15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10" t="n">
        <x:v>46051</x:v>
      </x:c>
      <x:c r="K200" s="8" t="n">
        <x:f>INDEX('Сводка'!$S$3:$S$397,U200)</x:f>
        <x:v>-33</x:v>
      </x:c>
      <x:c r="L200" s="8" t="n">
        <x:f>INDEX('Сводка'!$S$3:$S$397,V200)</x:f>
        <x:v>-33</x:v>
      </x:c>
      <x:c r="M200" s="8" t="n">
        <x:f>INDEX($K$388:$N$400,W200,1)*EXP(INDEX($K$388:$N$400,W200,2)*((J200-$T$405+1)/1000))</x:f>
        <x:v>180.999847441739</x:v>
      </x:c>
      <x:c r="N200" s="8" t="n">
        <x:f>K200-M200</x:f>
        <x:v>-213.999847441739</x:v>
      </x:c>
      <x:c r="O200" s="8" t="n">
        <x:f>ABS(N200)</x:f>
        <x:v>213.999847441739</x:v>
      </x:c>
      <x:c r="P200" s="8" t="n">
        <x:f>N200^2</x:f>
        <x:v>45795.934705087566</x:v>
      </x:c>
      <x:c r="Q200" s="8" t="n">
        <x:f>K200-L200</x:f>
        <x:v>0</x:v>
      </x:c>
      <x:c r="R200" s="9" t="n">
        <x:f>IF(AND(INDEX('Сводка'!$T$3:$T$397,U200)=0,INDEX('Сводка'!$T$3:$T$397,V200)=0),1,0)</x:f>
        <x:v>1</x:v>
      </x:c>
      <x:c r="S200" s="9" t="n">
        <x:f>IF(AND(R200=1,O200&lt;=$G$13),1,0)</x:f>
        <x:v>0</x:v>
      </x:c>
      <x:c r="T200" s="10" t="n">
        <x:f>EOMONTH(J200-'Сводка'!$B$11,-1)</x:f>
        <x:v>46022</x:v>
      </x:c>
      <x:c r="U200" s="4" t="n">
        <x:f>MATCH(J200,'Сводка'!$R$3:$R$397,0)</x:f>
        <x:v>211</x:v>
      </x:c>
      <x:c r="V200" s="4" t="n">
        <x:f>MATCH(J200-'Сводка'!$B$11,'Сводка'!$R$3:$R$397,0)</x:f>
        <x:v>210</x:v>
      </x:c>
      <x:c r="W200" s="4" t="n">
        <x:f>MATCH(T200,$J$388:$J$400,0)</x:f>
        <x:v>7</x:v>
      </x:c>
      <x:c r="X200" s="3"/>
      <x:c r="Y200" s="3"/>
      <x:c r="Z200" s="3"/>
    </x:row>
    <x:row r="201" ht="15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10" t="n">
        <x:v>46052</x:v>
      </x:c>
      <x:c r="K201" s="8" t="n">
        <x:f>INDEX('Сводка'!$S$3:$S$397,U201)</x:f>
        <x:v>-36</x:v>
      </x:c>
      <x:c r="L201" s="8" t="n">
        <x:f>INDEX('Сводка'!$S$3:$S$397,V201)</x:f>
        <x:v>-33</x:v>
      </x:c>
      <x:c r="M201" s="8" t="n">
        <x:f>INDEX($K$388:$N$400,W201,1)*EXP(INDEX($K$388:$N$400,W201,2)*((J201-$T$405+1)/1000))</x:f>
        <x:v>181.04363961425628</x:v>
      </x:c>
      <x:c r="N201" s="8" t="n">
        <x:f>K201-M201</x:f>
        <x:v>-217.04363961425628</x:v>
      </x:c>
      <x:c r="O201" s="8" t="n">
        <x:f>ABS(N201)</x:f>
        <x:v>217.04363961425628</x:v>
      </x:c>
      <x:c r="P201" s="8" t="n">
        <x:f>N201^2</x:f>
        <x:v>47107.94149700316</x:v>
      </x:c>
      <x:c r="Q201" s="8" t="n">
        <x:f>K201-L201</x:f>
        <x:v>-3</x:v>
      </x:c>
      <x:c r="R201" s="9" t="n">
        <x:f>IF(AND(INDEX('Сводка'!$T$3:$T$397,U201)=0,INDEX('Сводка'!$T$3:$T$397,V201)=0),1,0)</x:f>
        <x:v>1</x:v>
      </x:c>
      <x:c r="S201" s="9" t="n">
        <x:f>IF(AND(R201=1,O201&lt;=$G$13),1,0)</x:f>
        <x:v>0</x:v>
      </x:c>
      <x:c r="T201" s="10" t="n">
        <x:f>EOMONTH(J201-'Сводка'!$B$11,-1)</x:f>
        <x:v>46022</x:v>
      </x:c>
      <x:c r="U201" s="4" t="n">
        <x:f>MATCH(J201,'Сводка'!$R$3:$R$397,0)</x:f>
        <x:v>212</x:v>
      </x:c>
      <x:c r="V201" s="4" t="n">
        <x:f>MATCH(J201-'Сводка'!$B$11,'Сводка'!$R$3:$R$397,0)</x:f>
        <x:v>211</x:v>
      </x:c>
      <x:c r="W201" s="4" t="n">
        <x:f>MATCH(T201,$J$388:$J$400,0)</x:f>
        <x:v>7</x:v>
      </x:c>
      <x:c r="X201" s="3"/>
      <x:c r="Y201" s="3"/>
      <x:c r="Z201" s="3"/>
    </x:row>
    <x:row r="202" ht="15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10" t="n">
        <x:v>46053</x:v>
      </x:c>
      <x:c r="K202" s="8" t="n">
        <x:f>INDEX('Сводка'!$S$3:$S$397,U202)</x:f>
        <x:v>-32</x:v>
      </x:c>
      <x:c r="L202" s="8" t="n">
        <x:f>INDEX('Сводка'!$S$3:$S$397,V202)</x:f>
        <x:v>-36</x:v>
      </x:c>
      <x:c r="M202" s="8" t="n">
        <x:f>INDEX($K$388:$N$400,W202,1)*EXP(INDEX($K$388:$N$400,W202,2)*((J202-$T$405+1)/1000))</x:f>
        <x:v>181.08744238211068</x:v>
      </x:c>
      <x:c r="N202" s="8" t="n">
        <x:f>K202-M202</x:f>
        <x:v>-213.08744238211068</x:v>
      </x:c>
      <x:c r="O202" s="8" t="n">
        <x:f>ABS(N202)</x:f>
        <x:v>213.08744238211068</x:v>
      </x:c>
      <x:c r="P202" s="8" t="n">
        <x:f>N202^2</x:f>
        <x:v>45406.25810094934</x:v>
      </x:c>
      <x:c r="Q202" s="8" t="n">
        <x:f>K202-L202</x:f>
        <x:v>4</x:v>
      </x:c>
      <x:c r="R202" s="9" t="n">
        <x:f>IF(AND(INDEX('Сводка'!$T$3:$T$397,U202)=0,INDEX('Сводка'!$T$3:$T$397,V202)=0),1,0)</x:f>
        <x:v>1</x:v>
      </x:c>
      <x:c r="S202" s="9" t="n">
        <x:f>IF(AND(R202=1,O202&lt;=$G$13),1,0)</x:f>
        <x:v>0</x:v>
      </x:c>
      <x:c r="T202" s="10" t="n">
        <x:f>EOMONTH(J202-'Сводка'!$B$11,-1)</x:f>
        <x:v>46022</x:v>
      </x:c>
      <x:c r="U202" s="4" t="n">
        <x:f>MATCH(J202,'Сводка'!$R$3:$R$397,0)</x:f>
        <x:v>213</x:v>
      </x:c>
      <x:c r="V202" s="4" t="n">
        <x:f>MATCH(J202-'Сводка'!$B$11,'Сводка'!$R$3:$R$397,0)</x:f>
        <x:v>212</x:v>
      </x:c>
      <x:c r="W202" s="4" t="n">
        <x:f>MATCH(T202,$J$388:$J$400,0)</x:f>
        <x:v>7</x:v>
      </x:c>
      <x:c r="X202" s="3"/>
      <x:c r="Y202" s="3"/>
      <x:c r="Z202" s="3"/>
    </x:row>
    <x:row r="203" ht="15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10" t="n">
        <x:v>46054</x:v>
      </x:c>
      <x:c r="K203" s="8" t="n">
        <x:f>INDEX('Сводка'!$S$3:$S$397,U203)</x:f>
        <x:v>-34</x:v>
      </x:c>
      <x:c r="L203" s="8" t="n">
        <x:f>INDEX('Сводка'!$S$3:$S$397,V203)</x:f>
        <x:v>-32</x:v>
      </x:c>
      <x:c r="M203" s="8" t="n">
        <x:f>INDEX($K$388:$N$400,W203,1)*EXP(INDEX($K$388:$N$400,W203,2)*((J203-$T$405+1)/1000))</x:f>
        <x:v>181.1312557478654</x:v>
      </x:c>
      <x:c r="N203" s="8" t="n">
        <x:f>K203-M203</x:f>
        <x:v>-215.1312557478654</x:v>
      </x:c>
      <x:c r="O203" s="8" t="n">
        <x:f>ABS(N203)</x:f>
        <x:v>215.1312557478654</x:v>
      </x:c>
      <x:c r="P203" s="8" t="n">
        <x:f>N203^2</x:f>
        <x:v>46281.457199653465</x:v>
      </x:c>
      <x:c r="Q203" s="8" t="n">
        <x:f>K203-L203</x:f>
        <x:v>-2</x:v>
      </x:c>
      <x:c r="R203" s="9" t="n">
        <x:f>IF(AND(INDEX('Сводка'!$T$3:$T$397,U203)=0,INDEX('Сводка'!$T$3:$T$397,V203)=0),1,0)</x:f>
        <x:v>1</x:v>
      </x:c>
      <x:c r="S203" s="9" t="n">
        <x:f>IF(AND(R203=1,O203&lt;=$G$13),1,0)</x:f>
        <x:v>0</x:v>
      </x:c>
      <x:c r="T203" s="10" t="n">
        <x:f>EOMONTH(J203-'Сводка'!$B$11,-1)</x:f>
        <x:v>46022</x:v>
      </x:c>
      <x:c r="U203" s="4" t="n">
        <x:f>MATCH(J203,'Сводка'!$R$3:$R$397,0)</x:f>
        <x:v>214</x:v>
      </x:c>
      <x:c r="V203" s="4" t="n">
        <x:f>MATCH(J203-'Сводка'!$B$11,'Сводка'!$R$3:$R$397,0)</x:f>
        <x:v>213</x:v>
      </x:c>
      <x:c r="W203" s="4" t="n">
        <x:f>MATCH(T203,$J$388:$J$400,0)</x:f>
        <x:v>7</x:v>
      </x:c>
      <x:c r="X203" s="3"/>
      <x:c r="Y203" s="3"/>
      <x:c r="Z203" s="3"/>
    </x:row>
    <x:row r="204" ht="15" customHeight="1">
      <x:c r="A204" s="3"/>
      <x:c r="B204" s="3"/>
      <x:c r="C204" s="3"/>
      <x:c r="D204" s="3"/>
      <x:c r="E204" s="3"/>
      <x:c r="F204" s="3"/>
      <x:c r="G204" s="3"/>
      <x:c r="H204" s="3"/>
      <x:c r="I204" s="3"/>
      <x:c r="J204" s="10" t="n">
        <x:v>46055</x:v>
      </x:c>
      <x:c r="K204" s="8" t="n">
        <x:f>INDEX('Сводка'!$S$3:$S$397,U204)</x:f>
        <x:v>-33</x:v>
      </x:c>
      <x:c r="L204" s="8" t="n">
        <x:f>INDEX('Сводка'!$S$3:$S$397,V204)</x:f>
        <x:v>-34</x:v>
      </x:c>
      <x:c r="M204" s="8" t="n">
        <x:f>INDEX($K$388:$N$400,W204,1)*EXP(INDEX($K$388:$N$400,W204,2)*((J204-$T$405+1)/1000))</x:f>
        <x:v>175.1514203964539</x:v>
      </x:c>
      <x:c r="N204" s="8" t="n">
        <x:f>K204-M204</x:f>
        <x:v>-208.1514203964539</x:v>
      </x:c>
      <x:c r="O204" s="8" t="n">
        <x:f>ABS(N204)</x:f>
        <x:v>208.1514203964539</x:v>
      </x:c>
      <x:c r="P204" s="8" t="n">
        <x:f>N204^2</x:f>
        <x:v>43327.013813061276</x:v>
      </x:c>
      <x:c r="Q204" s="8" t="n">
        <x:f>K204-L204</x:f>
        <x:v>1</x:v>
      </x:c>
      <x:c r="R204" s="9" t="n">
        <x:f>IF(AND(INDEX('Сводка'!$T$3:$T$397,U204)=0,INDEX('Сводка'!$T$3:$T$397,V204)=0),1,0)</x:f>
        <x:v>1</x:v>
      </x:c>
      <x:c r="S204" s="9" t="n">
        <x:f>IF(AND(R204=1,O204&lt;=$G$13),1,0)</x:f>
        <x:v>0</x:v>
      </x:c>
      <x:c r="T204" s="10" t="n">
        <x:f>EOMONTH(J204-'Сводка'!$B$11,-1)</x:f>
        <x:v>46053</x:v>
      </x:c>
      <x:c r="U204" s="4" t="n">
        <x:f>MATCH(J204,'Сводка'!$R$3:$R$397,0)</x:f>
        <x:v>215</x:v>
      </x:c>
      <x:c r="V204" s="4" t="n">
        <x:f>MATCH(J204-'Сводка'!$B$11,'Сводка'!$R$3:$R$397,0)</x:f>
        <x:v>214</x:v>
      </x:c>
      <x:c r="W204" s="4" t="n">
        <x:f>MATCH(T204,$J$388:$J$400,0)</x:f>
        <x:v>8</x:v>
      </x:c>
      <x:c r="X204" s="3"/>
      <x:c r="Y204" s="3"/>
      <x:c r="Z204" s="3"/>
    </x:row>
    <x:row r="205" ht="15" customHeight="1">
      <x:c r="A205" s="3"/>
      <x:c r="B205" s="3"/>
      <x:c r="C205" s="3"/>
      <x:c r="D205" s="3"/>
      <x:c r="E205" s="3"/>
      <x:c r="F205" s="3"/>
      <x:c r="G205" s="3"/>
      <x:c r="H205" s="3"/>
      <x:c r="I205" s="3"/>
      <x:c r="J205" s="10" t="n">
        <x:v>46056</x:v>
      </x:c>
      <x:c r="K205" s="8" t="n">
        <x:f>INDEX('Сводка'!$S$3:$S$397,U205)</x:f>
        <x:v>-36</x:v>
      </x:c>
      <x:c r="L205" s="8" t="n">
        <x:f>INDEX('Сводка'!$S$3:$S$397,V205)</x:f>
        <x:v>-33</x:v>
      </x:c>
      <x:c r="M205" s="8" t="n">
        <x:f>INDEX($K$388:$N$400,W205,1)*EXP(INDEX($K$388:$N$400,W205,2)*((J205-$T$405+1)/1000))</x:f>
        <x:v>175.19248342982104</x:v>
      </x:c>
      <x:c r="N205" s="8" t="n">
        <x:f>K205-M205</x:f>
        <x:v>-211.19248342982104</x:v>
      </x:c>
      <x:c r="O205" s="8" t="n">
        <x:f>ABS(N205)</x:f>
        <x:v>211.19248342982104</x:v>
      </x:c>
      <x:c r="P205" s="8" t="n">
        <x:f>N205^2</x:f>
        <x:v>44602.26505725524</x:v>
      </x:c>
      <x:c r="Q205" s="8" t="n">
        <x:f>K205-L205</x:f>
        <x:v>-3</x:v>
      </x:c>
      <x:c r="R205" s="9" t="n">
        <x:f>IF(AND(INDEX('Сводка'!$T$3:$T$397,U205)=0,INDEX('Сводка'!$T$3:$T$397,V205)=0),1,0)</x:f>
        <x:v>1</x:v>
      </x:c>
      <x:c r="S205" s="9" t="n">
        <x:f>IF(AND(R205=1,O205&lt;=$G$13),1,0)</x:f>
        <x:v>0</x:v>
      </x:c>
      <x:c r="T205" s="10" t="n">
        <x:f>EOMONTH(J205-'Сводка'!$B$11,-1)</x:f>
        <x:v>46053</x:v>
      </x:c>
      <x:c r="U205" s="4" t="n">
        <x:f>MATCH(J205,'Сводка'!$R$3:$R$397,0)</x:f>
        <x:v>216</x:v>
      </x:c>
      <x:c r="V205" s="4" t="n">
        <x:f>MATCH(J205-'Сводка'!$B$11,'Сводка'!$R$3:$R$397,0)</x:f>
        <x:v>215</x:v>
      </x:c>
      <x:c r="W205" s="4" t="n">
        <x:f>MATCH(T205,$J$388:$J$400,0)</x:f>
        <x:v>8</x:v>
      </x:c>
      <x:c r="X205" s="3"/>
      <x:c r="Y205" s="3"/>
      <x:c r="Z205" s="3"/>
    </x:row>
    <x:row r="206" ht="15" customHeight="1">
      <x:c r="A206" s="3"/>
      <x:c r="B206" s="3"/>
      <x:c r="C206" s="3"/>
      <x:c r="D206" s="3"/>
      <x:c r="E206" s="3"/>
      <x:c r="F206" s="3"/>
      <x:c r="G206" s="3"/>
      <x:c r="H206" s="3"/>
      <x:c r="I206" s="3"/>
      <x:c r="J206" s="10" t="n">
        <x:v>46057</x:v>
      </x:c>
      <x:c r="K206" s="8" t="n">
        <x:f>INDEX('Сводка'!$S$3:$S$397,U206)</x:f>
        <x:v>-34</x:v>
      </x:c>
      <x:c r="L206" s="8" t="n">
        <x:f>INDEX('Сводка'!$S$3:$S$397,V206)</x:f>
        <x:v>-36</x:v>
      </x:c>
      <x:c r="M206" s="8" t="n">
        <x:f>INDEX($K$388:$N$400,W206,1)*EXP(INDEX($K$388:$N$400,W206,2)*((J206-$T$405+1)/1000))</x:f>
        <x:v>175.23355609013095</x:v>
      </x:c>
      <x:c r="N206" s="8" t="n">
        <x:f>K206-M206</x:f>
        <x:v>-209.23355609013095</x:v>
      </x:c>
      <x:c r="O206" s="8" t="n">
        <x:f>ABS(N206)</x:f>
        <x:v>209.23355609013095</x:v>
      </x:c>
      <x:c r="P206" s="8" t="n">
        <x:f>N206^2</x:f>
        <x:v>43778.680994121976</x:v>
      </x:c>
      <x:c r="Q206" s="8" t="n">
        <x:f>K206-L206</x:f>
        <x:v>2</x:v>
      </x:c>
      <x:c r="R206" s="9" t="n">
        <x:f>IF(AND(INDEX('Сводка'!$T$3:$T$397,U206)=0,INDEX('Сводка'!$T$3:$T$397,V206)=0),1,0)</x:f>
        <x:v>1</x:v>
      </x:c>
      <x:c r="S206" s="9" t="n">
        <x:f>IF(AND(R206=1,O206&lt;=$G$13),1,0)</x:f>
        <x:v>0</x:v>
      </x:c>
      <x:c r="T206" s="10" t="n">
        <x:f>EOMONTH(J206-'Сводка'!$B$11,-1)</x:f>
        <x:v>46053</x:v>
      </x:c>
      <x:c r="U206" s="4" t="n">
        <x:f>MATCH(J206,'Сводка'!$R$3:$R$397,0)</x:f>
        <x:v>217</x:v>
      </x:c>
      <x:c r="V206" s="4" t="n">
        <x:f>MATCH(J206-'Сводка'!$B$11,'Сводка'!$R$3:$R$397,0)</x:f>
        <x:v>216</x:v>
      </x:c>
      <x:c r="W206" s="4" t="n">
        <x:f>MATCH(T206,$J$388:$J$400,0)</x:f>
        <x:v>8</x:v>
      </x:c>
      <x:c r="X206" s="3"/>
      <x:c r="Y206" s="3"/>
      <x:c r="Z206" s="3"/>
    </x:row>
    <x:row r="207" ht="15" customHeight="1">
      <x:c r="A207" s="3"/>
      <x:c r="B207" s="3"/>
      <x:c r="C207" s="3"/>
      <x:c r="D207" s="3"/>
      <x:c r="E207" s="3"/>
      <x:c r="F207" s="3"/>
      <x:c r="G207" s="3"/>
      <x:c r="H207" s="3"/>
      <x:c r="I207" s="3"/>
      <x:c r="J207" s="10" t="n">
        <x:v>46058</x:v>
      </x:c>
      <x:c r="K207" s="8" t="n">
        <x:f>INDEX('Сводка'!$S$3:$S$397,U207)</x:f>
        <x:v>-35</x:v>
      </x:c>
      <x:c r="L207" s="8" t="n">
        <x:f>INDEX('Сводка'!$S$3:$S$397,V207)</x:f>
        <x:v>-34</x:v>
      </x:c>
      <x:c r="M207" s="8" t="n">
        <x:f>INDEX($K$388:$N$400,W207,1)*EXP(INDEX($K$388:$N$400,W207,2)*((J207-$T$405+1)/1000))</x:f>
        <x:v>175.27463837964058</x:v>
      </x:c>
      <x:c r="N207" s="8" t="n">
        <x:f>K207-M207</x:f>
        <x:v>-210.27463837964058</x:v>
      </x:c>
      <x:c r="O207" s="8" t="n">
        <x:f>ABS(N207)</x:f>
        <x:v>210.27463837964058</x:v>
      </x:c>
      <x:c r="P207" s="8" t="n">
        <x:f>N207^2</x:f>
        <x:v>44215.423545688616</x:v>
      </x:c>
      <x:c r="Q207" s="8" t="n">
        <x:f>K207-L207</x:f>
        <x:v>-1</x:v>
      </x:c>
      <x:c r="R207" s="9" t="n">
        <x:f>IF(AND(INDEX('Сводка'!$T$3:$T$397,U207)=0,INDEX('Сводка'!$T$3:$T$397,V207)=0),1,0)</x:f>
        <x:v>1</x:v>
      </x:c>
      <x:c r="S207" s="9" t="n">
        <x:f>IF(AND(R207=1,O207&lt;=$G$13),1,0)</x:f>
        <x:v>0</x:v>
      </x:c>
      <x:c r="T207" s="10" t="n">
        <x:f>EOMONTH(J207-'Сводка'!$B$11,-1)</x:f>
        <x:v>46053</x:v>
      </x:c>
      <x:c r="U207" s="4" t="n">
        <x:f>MATCH(J207,'Сводка'!$R$3:$R$397,0)</x:f>
        <x:v>218</x:v>
      </x:c>
      <x:c r="V207" s="4" t="n">
        <x:f>MATCH(J207-'Сводка'!$B$11,'Сводка'!$R$3:$R$397,0)</x:f>
        <x:v>217</x:v>
      </x:c>
      <x:c r="W207" s="4" t="n">
        <x:f>MATCH(T207,$J$388:$J$400,0)</x:f>
        <x:v>8</x:v>
      </x:c>
      <x:c r="X207" s="3"/>
      <x:c r="Y207" s="3"/>
      <x:c r="Z207" s="3"/>
    </x:row>
    <x:row r="208" ht="15" customHeight="1">
      <x:c r="A208" s="3"/>
      <x:c r="B208" s="3"/>
      <x:c r="C208" s="3"/>
      <x:c r="D208" s="3"/>
      <x:c r="E208" s="3"/>
      <x:c r="F208" s="3"/>
      <x:c r="G208" s="3"/>
      <x:c r="H208" s="3"/>
      <x:c r="I208" s="3"/>
      <x:c r="J208" s="10" t="n">
        <x:v>46059</x:v>
      </x:c>
      <x:c r="K208" s="8" t="n">
        <x:f>INDEX('Сводка'!$S$3:$S$397,U208)</x:f>
        <x:v>-38</x:v>
      </x:c>
      <x:c r="L208" s="8" t="n">
        <x:f>INDEX('Сводка'!$S$3:$S$397,V208)</x:f>
        <x:v>-35</x:v>
      </x:c>
      <x:c r="M208" s="8" t="n">
        <x:f>INDEX($K$388:$N$400,W208,1)*EXP(INDEX($K$388:$N$400,W208,2)*((J208-$T$405+1)/1000))</x:f>
        <x:v>175.31573030060764</x:v>
      </x:c>
      <x:c r="N208" s="8" t="n">
        <x:f>K208-M208</x:f>
        <x:v>-213.31573030060764</x:v>
      </x:c>
      <x:c r="O208" s="8" t="n">
        <x:f>ABS(N208)</x:f>
        <x:v>213.31573030060764</x:v>
      </x:c>
      <x:c r="P208" s="8" t="n">
        <x:f>N208^2</x:f>
        <x:v>45503.60079368157</x:v>
      </x:c>
      <x:c r="Q208" s="8" t="n">
        <x:f>K208-L208</x:f>
        <x:v>-3</x:v>
      </x:c>
      <x:c r="R208" s="9" t="n">
        <x:f>IF(AND(INDEX('Сводка'!$T$3:$T$397,U208)=0,INDEX('Сводка'!$T$3:$T$397,V208)=0),1,0)</x:f>
        <x:v>1</x:v>
      </x:c>
      <x:c r="S208" s="9" t="n">
        <x:f>IF(AND(R208=1,O208&lt;=$G$13),1,0)</x:f>
        <x:v>0</x:v>
      </x:c>
      <x:c r="T208" s="10" t="n">
        <x:f>EOMONTH(J208-'Сводка'!$B$11,-1)</x:f>
        <x:v>46053</x:v>
      </x:c>
      <x:c r="U208" s="4" t="n">
        <x:f>MATCH(J208,'Сводка'!$R$3:$R$397,0)</x:f>
        <x:v>219</x:v>
      </x:c>
      <x:c r="V208" s="4" t="n">
        <x:f>MATCH(J208-'Сводка'!$B$11,'Сводка'!$R$3:$R$397,0)</x:f>
        <x:v>218</x:v>
      </x:c>
      <x:c r="W208" s="4" t="n">
        <x:f>MATCH(T208,$J$388:$J$400,0)</x:f>
        <x:v>8</x:v>
      </x:c>
      <x:c r="X208" s="3"/>
      <x:c r="Y208" s="3"/>
      <x:c r="Z208" s="3"/>
    </x:row>
    <x:row r="209" ht="15" customHeight="1">
      <x:c r="A209" s="3"/>
      <x:c r="B209" s="3"/>
      <x:c r="C209" s="3"/>
      <x:c r="D209" s="3"/>
      <x:c r="E209" s="3"/>
      <x:c r="F209" s="3"/>
      <x:c r="G209" s="3"/>
      <x:c r="H209" s="3"/>
      <x:c r="I209" s="3"/>
      <x:c r="J209" s="10" t="n">
        <x:v>46060</x:v>
      </x:c>
      <x:c r="K209" s="8" t="n">
        <x:f>INDEX('Сводка'!$S$3:$S$397,U209)</x:f>
        <x:v>-41</x:v>
      </x:c>
      <x:c r="L209" s="8" t="n">
        <x:f>INDEX('Сводка'!$S$3:$S$397,V209)</x:f>
        <x:v>-38</x:v>
      </x:c>
      <x:c r="M209" s="8" t="n">
        <x:f>INDEX($K$388:$N$400,W209,1)*EXP(INDEX($K$388:$N$400,W209,2)*((J209-$T$405+1)/1000))</x:f>
        <x:v>175.35683185528995</x:v>
      </x:c>
      <x:c r="N209" s="8" t="n">
        <x:f>K209-M209</x:f>
        <x:v>-216.35683185528995</x:v>
      </x:c>
      <x:c r="O209" s="8" t="n">
        <x:f>ABS(N209)</x:f>
        <x:v>216.35683185528995</x:v>
      </x:c>
      <x:c r="P209" s="8" t="n">
        <x:f>N209^2</x:f>
        <x:v>46810.27869045821</x:v>
      </x:c>
      <x:c r="Q209" s="8" t="n">
        <x:f>K209-L209</x:f>
        <x:v>-3</x:v>
      </x:c>
      <x:c r="R209" s="9" t="n">
        <x:f>IF(AND(INDEX('Сводка'!$T$3:$T$397,U209)=0,INDEX('Сводка'!$T$3:$T$397,V209)=0),1,0)</x:f>
        <x:v>1</x:v>
      </x:c>
      <x:c r="S209" s="9" t="n">
        <x:f>IF(AND(R209=1,O209&lt;=$G$13),1,0)</x:f>
        <x:v>0</x:v>
      </x:c>
      <x:c r="T209" s="10" t="n">
        <x:f>EOMONTH(J209-'Сводка'!$B$11,-1)</x:f>
        <x:v>46053</x:v>
      </x:c>
      <x:c r="U209" s="4" t="n">
        <x:f>MATCH(J209,'Сводка'!$R$3:$R$397,0)</x:f>
        <x:v>220</x:v>
      </x:c>
      <x:c r="V209" s="4" t="n">
        <x:f>MATCH(J209-'Сводка'!$B$11,'Сводка'!$R$3:$R$397,0)</x:f>
        <x:v>219</x:v>
      </x:c>
      <x:c r="W209" s="4" t="n">
        <x:f>MATCH(T209,$J$388:$J$400,0)</x:f>
        <x:v>8</x:v>
      </x:c>
      <x:c r="X209" s="3"/>
      <x:c r="Y209" s="3"/>
      <x:c r="Z209" s="3"/>
    </x:row>
    <x:row r="210" ht="15" customHeight="1">
      <x:c r="A210" s="3"/>
      <x:c r="B210" s="3"/>
      <x:c r="C210" s="3"/>
      <x:c r="D210" s="3"/>
      <x:c r="E210" s="3"/>
      <x:c r="F210" s="3"/>
      <x:c r="G210" s="3"/>
      <x:c r="H210" s="3"/>
      <x:c r="I210" s="3"/>
      <x:c r="J210" s="10" t="n">
        <x:v>46061</x:v>
      </x:c>
      <x:c r="K210" s="8" t="n">
        <x:f>INDEX('Сводка'!$S$3:$S$397,U210)</x:f>
        <x:v>-43</x:v>
      </x:c>
      <x:c r="L210" s="8" t="n">
        <x:f>INDEX('Сводка'!$S$3:$S$397,V210)</x:f>
        <x:v>-41</x:v>
      </x:c>
      <x:c r="M210" s="8" t="n">
        <x:f>INDEX($K$388:$N$400,W210,1)*EXP(INDEX($K$388:$N$400,W210,2)*((J210-$T$405+1)/1000))</x:f>
        <x:v>175.39794304594614</x:v>
      </x:c>
      <x:c r="N210" s="8" t="n">
        <x:f>K210-M210</x:f>
        <x:v>-218.39794304594614</x:v>
      </x:c>
      <x:c r="O210" s="8" t="n">
        <x:f>ABS(N210)</x:f>
        <x:v>218.39794304594614</x:v>
      </x:c>
      <x:c r="P210" s="8" t="n">
        <x:f>N210^2</x:f>
        <x:v>47697.66152670033</x:v>
      </x:c>
      <x:c r="Q210" s="8" t="n">
        <x:f>K210-L210</x:f>
        <x:v>-2</x:v>
      </x:c>
      <x:c r="R210" s="9" t="n">
        <x:f>IF(AND(INDEX('Сводка'!$T$3:$T$397,U210)=0,INDEX('Сводка'!$T$3:$T$397,V210)=0),1,0)</x:f>
        <x:v>1</x:v>
      </x:c>
      <x:c r="S210" s="9" t="n">
        <x:f>IF(AND(R210=1,O210&lt;=$G$13),1,0)</x:f>
        <x:v>0</x:v>
      </x:c>
      <x:c r="T210" s="10" t="n">
        <x:f>EOMONTH(J210-'Сводка'!$B$11,-1)</x:f>
        <x:v>46053</x:v>
      </x:c>
      <x:c r="U210" s="4" t="n">
        <x:f>MATCH(J210,'Сводка'!$R$3:$R$397,0)</x:f>
        <x:v>221</x:v>
      </x:c>
      <x:c r="V210" s="4" t="n">
        <x:f>MATCH(J210-'Сводка'!$B$11,'Сводка'!$R$3:$R$397,0)</x:f>
        <x:v>220</x:v>
      </x:c>
      <x:c r="W210" s="4" t="n">
        <x:f>MATCH(T210,$J$388:$J$400,0)</x:f>
        <x:v>8</x:v>
      </x:c>
      <x:c r="X210" s="3"/>
      <x:c r="Y210" s="3"/>
      <x:c r="Z210" s="3"/>
    </x:row>
    <x:row r="211" ht="15" customHeight="1">
      <x:c r="A211" s="3"/>
      <x:c r="B211" s="3"/>
      <x:c r="C211" s="3"/>
      <x:c r="D211" s="3"/>
      <x:c r="E211" s="3"/>
      <x:c r="F211" s="3"/>
      <x:c r="G211" s="3"/>
      <x:c r="H211" s="3"/>
      <x:c r="I211" s="3"/>
      <x:c r="J211" s="10" t="n">
        <x:v>46062</x:v>
      </x:c>
      <x:c r="K211" s="8" t="n">
        <x:f>INDEX('Сводка'!$S$3:$S$397,U211)</x:f>
        <x:v>-43</x:v>
      </x:c>
      <x:c r="L211" s="8" t="n">
        <x:f>INDEX('Сводка'!$S$3:$S$397,V211)</x:f>
        <x:v>-43</x:v>
      </x:c>
      <x:c r="M211" s="8" t="n">
        <x:f>INDEX($K$388:$N$400,W211,1)*EXP(INDEX($K$388:$N$400,W211,2)*((J211-$T$405+1)/1000))</x:f>
        <x:v>175.43906387483528</x:v>
      </x:c>
      <x:c r="N211" s="8" t="n">
        <x:f>K211-M211</x:f>
        <x:v>-218.43906387483528</x:v>
      </x:c>
      <x:c r="O211" s="8" t="n">
        <x:f>ABS(N211)</x:f>
        <x:v>218.43906387483528</x:v>
      </x:c>
      <x:c r="P211" s="8" t="n">
        <x:f>N211^2</x:f>
        <x:v>47715.62462651437</x:v>
      </x:c>
      <x:c r="Q211" s="8" t="n">
        <x:f>K211-L211</x:f>
        <x:v>0</x:v>
      </x:c>
      <x:c r="R211" s="9" t="n">
        <x:f>IF(AND(INDEX('Сводка'!$T$3:$T$397,U211)=0,INDEX('Сводка'!$T$3:$T$397,V211)=0),1,0)</x:f>
        <x:v>1</x:v>
      </x:c>
      <x:c r="S211" s="9" t="n">
        <x:f>IF(AND(R211=1,O211&lt;=$G$13),1,0)</x:f>
        <x:v>0</x:v>
      </x:c>
      <x:c r="T211" s="10" t="n">
        <x:f>EOMONTH(J211-'Сводка'!$B$11,-1)</x:f>
        <x:v>46053</x:v>
      </x:c>
      <x:c r="U211" s="4" t="n">
        <x:f>MATCH(J211,'Сводка'!$R$3:$R$397,0)</x:f>
        <x:v>222</x:v>
      </x:c>
      <x:c r="V211" s="4" t="n">
        <x:f>MATCH(J211-'Сводка'!$B$11,'Сводка'!$R$3:$R$397,0)</x:f>
        <x:v>221</x:v>
      </x:c>
      <x:c r="W211" s="4" t="n">
        <x:f>MATCH(T211,$J$388:$J$400,0)</x:f>
        <x:v>8</x:v>
      </x:c>
      <x:c r="X211" s="3"/>
      <x:c r="Y211" s="3"/>
      <x:c r="Z211" s="3"/>
    </x:row>
    <x:row r="212" ht="15" customHeight="1">
      <x:c r="A212" s="3"/>
      <x:c r="B212" s="3"/>
      <x:c r="C212" s="3"/>
      <x:c r="D212" s="3"/>
      <x:c r="E212" s="3"/>
      <x:c r="F212" s="3"/>
      <x:c r="G212" s="3"/>
      <x:c r="H212" s="3"/>
      <x:c r="I212" s="3"/>
      <x:c r="J212" s="10" t="n">
        <x:v>46063</x:v>
      </x:c>
      <x:c r="K212" s="8" t="n">
        <x:f>INDEX('Сводка'!$S$3:$S$397,U212)</x:f>
        <x:v>-44</x:v>
      </x:c>
      <x:c r="L212" s="8" t="n">
        <x:f>INDEX('Сводка'!$S$3:$S$397,V212)</x:f>
        <x:v>-43</x:v>
      </x:c>
      <x:c r="M212" s="8" t="n">
        <x:f>INDEX($K$388:$N$400,W212,1)*EXP(INDEX($K$388:$N$400,W212,2)*((J212-$T$405+1)/1000))</x:f>
        <x:v>175.4801943442171</x:v>
      </x:c>
      <x:c r="N212" s="8" t="n">
        <x:f>K212-M212</x:f>
        <x:v>-219.4801943442171</x:v>
      </x:c>
      <x:c r="O212" s="8" t="n">
        <x:f>ABS(N212)</x:f>
        <x:v>219.4801943442171</x:v>
      </x:c>
      <x:c r="P212" s="8" t="n">
        <x:f>N212^2</x:f>
        <x:v>48171.55570937531</x:v>
      </x:c>
      <x:c r="Q212" s="8" t="n">
        <x:f>K212-L212</x:f>
        <x:v>-1</x:v>
      </x:c>
      <x:c r="R212" s="9" t="n">
        <x:f>IF(AND(INDEX('Сводка'!$T$3:$T$397,U212)=0,INDEX('Сводка'!$T$3:$T$397,V212)=0),1,0)</x:f>
        <x:v>1</x:v>
      </x:c>
      <x:c r="S212" s="9" t="n">
        <x:f>IF(AND(R212=1,O212&lt;=$G$13),1,0)</x:f>
        <x:v>0</x:v>
      </x:c>
      <x:c r="T212" s="10" t="n">
        <x:f>EOMONTH(J212-'Сводка'!$B$11,-1)</x:f>
        <x:v>46053</x:v>
      </x:c>
      <x:c r="U212" s="4" t="n">
        <x:f>MATCH(J212,'Сводка'!$R$3:$R$397,0)</x:f>
        <x:v>223</x:v>
      </x:c>
      <x:c r="V212" s="4" t="n">
        <x:f>MATCH(J212-'Сводка'!$B$11,'Сводка'!$R$3:$R$397,0)</x:f>
        <x:v>222</x:v>
      </x:c>
      <x:c r="W212" s="4" t="n">
        <x:f>MATCH(T212,$J$388:$J$400,0)</x:f>
        <x:v>8</x:v>
      </x:c>
      <x:c r="X212" s="3"/>
      <x:c r="Y212" s="3"/>
      <x:c r="Z212" s="3"/>
    </x:row>
    <x:row r="213" ht="15" customHeight="1">
      <x:c r="A213" s="3"/>
      <x:c r="B213" s="3"/>
      <x:c r="C213" s="3"/>
      <x:c r="D213" s="3"/>
      <x:c r="E213" s="3"/>
      <x:c r="F213" s="3"/>
      <x:c r="G213" s="3"/>
      <x:c r="H213" s="3"/>
      <x:c r="I213" s="3"/>
      <x:c r="J213" s="10" t="n">
        <x:v>46064</x:v>
      </x:c>
      <x:c r="K213" s="8" t="n">
        <x:f>INDEX('Сводка'!$S$3:$S$397,U213)</x:f>
        <x:v>-44</x:v>
      </x:c>
      <x:c r="L213" s="8" t="n">
        <x:f>INDEX('Сводка'!$S$3:$S$397,V213)</x:f>
        <x:v>-44</x:v>
      </x:c>
      <x:c r="M213" s="8" t="n">
        <x:f>INDEX($K$388:$N$400,W213,1)*EXP(INDEX($K$388:$N$400,W213,2)*((J213-$T$405+1)/1000))</x:f>
        <x:v>175.52133445635155</x:v>
      </x:c>
      <x:c r="N213" s="8" t="n">
        <x:f>K213-M213</x:f>
        <x:v>-219.52133445635155</x:v>
      </x:c>
      <x:c r="O213" s="8" t="n">
        <x:f>ABS(N213)</x:f>
        <x:v>219.52133445635155</x:v>
      </x:c>
      <x:c r="P213" s="8" t="n">
        <x:f>N213^2</x:f>
        <x:v>48189.61628149736</x:v>
      </x:c>
      <x:c r="Q213" s="8" t="n">
        <x:f>K213-L213</x:f>
        <x:v>0</x:v>
      </x:c>
      <x:c r="R213" s="9" t="n">
        <x:f>IF(AND(INDEX('Сводка'!$T$3:$T$397,U213)=0,INDEX('Сводка'!$T$3:$T$397,V213)=0),1,0)</x:f>
        <x:v>1</x:v>
      </x:c>
      <x:c r="S213" s="9" t="n">
        <x:f>IF(AND(R213=1,O213&lt;=$G$13),1,0)</x:f>
        <x:v>0</x:v>
      </x:c>
      <x:c r="T213" s="10" t="n">
        <x:f>EOMONTH(J213-'Сводка'!$B$11,-1)</x:f>
        <x:v>46053</x:v>
      </x:c>
      <x:c r="U213" s="4" t="n">
        <x:f>MATCH(J213,'Сводка'!$R$3:$R$397,0)</x:f>
        <x:v>224</x:v>
      </x:c>
      <x:c r="V213" s="4" t="n">
        <x:f>MATCH(J213-'Сводка'!$B$11,'Сводка'!$R$3:$R$397,0)</x:f>
        <x:v>223</x:v>
      </x:c>
      <x:c r="W213" s="4" t="n">
        <x:f>MATCH(T213,$J$388:$J$400,0)</x:f>
        <x:v>8</x:v>
      </x:c>
      <x:c r="X213" s="3"/>
      <x:c r="Y213" s="3"/>
      <x:c r="Z213" s="3"/>
    </x:row>
    <x:row r="214" ht="15" customHeight="1">
      <x:c r="A214" s="3"/>
      <x:c r="B214" s="3"/>
      <x:c r="C214" s="3"/>
      <x:c r="D214" s="3"/>
      <x:c r="E214" s="3"/>
      <x:c r="F214" s="3"/>
      <x:c r="G214" s="3"/>
      <x:c r="H214" s="3"/>
      <x:c r="I214" s="3"/>
      <x:c r="J214" s="10" t="n">
        <x:v>46065</x:v>
      </x:c>
      <x:c r="K214" s="8" t="n">
        <x:f>INDEX('Сводка'!$S$3:$S$397,U214)</x:f>
        <x:v>-44</x:v>
      </x:c>
      <x:c r="L214" s="8" t="n">
        <x:f>INDEX('Сводка'!$S$3:$S$397,V214)</x:f>
        <x:v>-44</x:v>
      </x:c>
      <x:c r="M214" s="8" t="n">
        <x:f>INDEX($K$388:$N$400,W214,1)*EXP(INDEX($K$388:$N$400,W214,2)*((J214-$T$405+1)/1000))</x:f>
        <x:v>175.5624842134994</x:v>
      </x:c>
      <x:c r="N214" s="8" t="n">
        <x:f>K214-M214</x:f>
        <x:v>-219.5624842134994</x:v>
      </x:c>
      <x:c r="O214" s="8" t="n">
        <x:f>ABS(N214)</x:f>
        <x:v>219.5624842134994</x:v>
      </x:c>
      <x:c r="P214" s="8" t="n">
        <x:f>N214^2</x:f>
        <x:v>48207.684474003174</x:v>
      </x:c>
      <x:c r="Q214" s="8" t="n">
        <x:f>K214-L214</x:f>
        <x:v>0</x:v>
      </x:c>
      <x:c r="R214" s="9" t="n">
        <x:f>IF(AND(INDEX('Сводка'!$T$3:$T$397,U214)=0,INDEX('Сводка'!$T$3:$T$397,V214)=0),1,0)</x:f>
        <x:v>1</x:v>
      </x:c>
      <x:c r="S214" s="9" t="n">
        <x:f>IF(AND(R214=1,O214&lt;=$G$13),1,0)</x:f>
        <x:v>0</x:v>
      </x:c>
      <x:c r="T214" s="10" t="n">
        <x:f>EOMONTH(J214-'Сводка'!$B$11,-1)</x:f>
        <x:v>46053</x:v>
      </x:c>
      <x:c r="U214" s="4" t="n">
        <x:f>MATCH(J214,'Сводка'!$R$3:$R$397,0)</x:f>
        <x:v>225</x:v>
      </x:c>
      <x:c r="V214" s="4" t="n">
        <x:f>MATCH(J214-'Сводка'!$B$11,'Сводка'!$R$3:$R$397,0)</x:f>
        <x:v>224</x:v>
      </x:c>
      <x:c r="W214" s="4" t="n">
        <x:f>MATCH(T214,$J$388:$J$400,0)</x:f>
        <x:v>8</x:v>
      </x:c>
      <x:c r="X214" s="3"/>
      <x:c r="Y214" s="3"/>
      <x:c r="Z214" s="3"/>
    </x:row>
    <x:row r="215" ht="15" customHeight="1">
      <x:c r="A215" s="3"/>
      <x:c r="B215" s="3"/>
      <x:c r="C215" s="3"/>
      <x:c r="D215" s="3"/>
      <x:c r="E215" s="3"/>
      <x:c r="F215" s="3"/>
      <x:c r="G215" s="3"/>
      <x:c r="H215" s="3"/>
      <x:c r="I215" s="3"/>
      <x:c r="J215" s="10" t="n">
        <x:v>46066</x:v>
      </x:c>
      <x:c r="K215" s="8" t="n">
        <x:f>INDEX('Сводка'!$S$3:$S$397,U215)</x:f>
        <x:v>-41</x:v>
      </x:c>
      <x:c r="L215" s="8" t="n">
        <x:f>INDEX('Сводка'!$S$3:$S$397,V215)</x:f>
        <x:v>-44</x:v>
      </x:c>
      <x:c r="M215" s="8" t="n">
        <x:f>INDEX($K$388:$N$400,W215,1)*EXP(INDEX($K$388:$N$400,W215,2)*((J215-$T$405+1)/1000))</x:f>
        <x:v>175.60364361792196</x:v>
      </x:c>
      <x:c r="N215" s="8" t="n">
        <x:f>K215-M215</x:f>
        <x:v>-216.60364361792196</x:v>
      </x:c>
      <x:c r="O215" s="8" t="n">
        <x:f>ABS(N215)</x:f>
        <x:v>216.60364361792196</x:v>
      </x:c>
      <x:c r="P215" s="8" t="n">
        <x:f>N215^2</x:f>
        <x:v>46917.138428559745</x:v>
      </x:c>
      <x:c r="Q215" s="8" t="n">
        <x:f>K215-L215</x:f>
        <x:v>3</x:v>
      </x:c>
      <x:c r="R215" s="9" t="n">
        <x:f>IF(AND(INDEX('Сводка'!$T$3:$T$397,U215)=0,INDEX('Сводка'!$T$3:$T$397,V215)=0),1,0)</x:f>
        <x:v>1</x:v>
      </x:c>
      <x:c r="S215" s="9" t="n">
        <x:f>IF(AND(R215=1,O215&lt;=$G$13),1,0)</x:f>
        <x:v>0</x:v>
      </x:c>
      <x:c r="T215" s="10" t="n">
        <x:f>EOMONTH(J215-'Сводка'!$B$11,-1)</x:f>
        <x:v>46053</x:v>
      </x:c>
      <x:c r="U215" s="4" t="n">
        <x:f>MATCH(J215,'Сводка'!$R$3:$R$397,0)</x:f>
        <x:v>226</x:v>
      </x:c>
      <x:c r="V215" s="4" t="n">
        <x:f>MATCH(J215-'Сводка'!$B$11,'Сводка'!$R$3:$R$397,0)</x:f>
        <x:v>225</x:v>
      </x:c>
      <x:c r="W215" s="4" t="n">
        <x:f>MATCH(T215,$J$388:$J$400,0)</x:f>
        <x:v>8</x:v>
      </x:c>
      <x:c r="X215" s="3"/>
      <x:c r="Y215" s="3"/>
      <x:c r="Z215" s="3"/>
    </x:row>
    <x:row r="216" ht="15" customHeight="1">
      <x:c r="A216" s="3"/>
      <x:c r="B216" s="3"/>
      <x:c r="C216" s="3"/>
      <x:c r="D216" s="3"/>
      <x:c r="E216" s="3"/>
      <x:c r="F216" s="3"/>
      <x:c r="G216" s="3"/>
      <x:c r="H216" s="3"/>
      <x:c r="I216" s="3"/>
      <x:c r="J216" s="10" t="n">
        <x:v>46067</x:v>
      </x:c>
      <x:c r="K216" s="8" t="n">
        <x:f>INDEX('Сводка'!$S$3:$S$397,U216)</x:f>
        <x:v>-39</x:v>
      </x:c>
      <x:c r="L216" s="8" t="n">
        <x:f>INDEX('Сводка'!$S$3:$S$397,V216)</x:f>
        <x:v>-41</x:v>
      </x:c>
      <x:c r="M216" s="8" t="n">
        <x:f>INDEX($K$388:$N$400,W216,1)*EXP(INDEX($K$388:$N$400,W216,2)*((J216-$T$405+1)/1000))</x:f>
        <x:v>175.64481267188077</x:v>
      </x:c>
      <x:c r="N216" s="8" t="n">
        <x:f>K216-M216</x:f>
        <x:v>-214.64481267188077</x:v>
      </x:c>
      <x:c r="O216" s="8" t="n">
        <x:f>ABS(N216)</x:f>
        <x:v>214.64481267188077</x:v>
      </x:c>
      <x:c r="P216" s="8" t="n">
        <x:f>N216^2</x:f>
        <x:v>46072.39560694679</x:v>
      </x:c>
      <x:c r="Q216" s="8" t="n">
        <x:f>K216-L216</x:f>
        <x:v>2</x:v>
      </x:c>
      <x:c r="R216" s="9" t="n">
        <x:f>IF(AND(INDEX('Сводка'!$T$3:$T$397,U216)=0,INDEX('Сводка'!$T$3:$T$397,V216)=0),1,0)</x:f>
        <x:v>1</x:v>
      </x:c>
      <x:c r="S216" s="9" t="n">
        <x:f>IF(AND(R216=1,O216&lt;=$G$13),1,0)</x:f>
        <x:v>0</x:v>
      </x:c>
      <x:c r="T216" s="10" t="n">
        <x:f>EOMONTH(J216-'Сводка'!$B$11,-1)</x:f>
        <x:v>46053</x:v>
      </x:c>
      <x:c r="U216" s="4" t="n">
        <x:f>MATCH(J216,'Сводка'!$R$3:$R$397,0)</x:f>
        <x:v>227</x:v>
      </x:c>
      <x:c r="V216" s="4" t="n">
        <x:f>MATCH(J216-'Сводка'!$B$11,'Сводка'!$R$3:$R$397,0)</x:f>
        <x:v>226</x:v>
      </x:c>
      <x:c r="W216" s="4" t="n">
        <x:f>MATCH(T216,$J$388:$J$400,0)</x:f>
        <x:v>8</x:v>
      </x:c>
      <x:c r="X216" s="3"/>
      <x:c r="Y216" s="3"/>
      <x:c r="Z216" s="3"/>
    </x:row>
    <x:row r="217" ht="15" customHeight="1">
      <x:c r="A217" s="3"/>
      <x:c r="B217" s="3"/>
      <x:c r="C217" s="3"/>
      <x:c r="D217" s="3"/>
      <x:c r="E217" s="3"/>
      <x:c r="F217" s="3"/>
      <x:c r="G217" s="3"/>
      <x:c r="H217" s="3"/>
      <x:c r="I217" s="3"/>
      <x:c r="J217" s="10" t="n">
        <x:v>46068</x:v>
      </x:c>
      <x:c r="K217" s="8" t="n">
        <x:f>INDEX('Сводка'!$S$3:$S$397,U217)</x:f>
        <x:v>-38</x:v>
      </x:c>
      <x:c r="L217" s="8" t="n">
        <x:f>INDEX('Сводка'!$S$3:$S$397,V217)</x:f>
        <x:v>-39</x:v>
      </x:c>
      <x:c r="M217" s="8" t="n">
        <x:f>INDEX($K$388:$N$400,W217,1)*EXP(INDEX($K$388:$N$400,W217,2)*((J217-$T$405+1)/1000))</x:f>
        <x:v>175.6859913776382</x:v>
      </x:c>
      <x:c r="N217" s="8" t="n">
        <x:f>K217-M217</x:f>
        <x:v>-213.6859913776382</x:v>
      </x:c>
      <x:c r="O217" s="8" t="n">
        <x:f>ABS(N217)</x:f>
        <x:v>213.6859913776382</x:v>
      </x:c>
      <x:c r="P217" s="8" t="n">
        <x:f>N217^2</x:f>
        <x:v>45661.70291104407</x:v>
      </x:c>
      <x:c r="Q217" s="8" t="n">
        <x:f>K217-L217</x:f>
        <x:v>1</x:v>
      </x:c>
      <x:c r="R217" s="9" t="n">
        <x:f>IF(AND(INDEX('Сводка'!$T$3:$T$397,U217)=0,INDEX('Сводка'!$T$3:$T$397,V217)=0),1,0)</x:f>
        <x:v>1</x:v>
      </x:c>
      <x:c r="S217" s="9" t="n">
        <x:f>IF(AND(R217=1,O217&lt;=$G$13),1,0)</x:f>
        <x:v>0</x:v>
      </x:c>
      <x:c r="T217" s="10" t="n">
        <x:f>EOMONTH(J217-'Сводка'!$B$11,-1)</x:f>
        <x:v>46053</x:v>
      </x:c>
      <x:c r="U217" s="4" t="n">
        <x:f>MATCH(J217,'Сводка'!$R$3:$R$397,0)</x:f>
        <x:v>228</x:v>
      </x:c>
      <x:c r="V217" s="4" t="n">
        <x:f>MATCH(J217-'Сводка'!$B$11,'Сводка'!$R$3:$R$397,0)</x:f>
        <x:v>227</x:v>
      </x:c>
      <x:c r="W217" s="4" t="n">
        <x:f>MATCH(T217,$J$388:$J$400,0)</x:f>
        <x:v>8</x:v>
      </x:c>
      <x:c r="X217" s="3"/>
      <x:c r="Y217" s="3"/>
      <x:c r="Z217" s="3"/>
    </x:row>
    <x:row r="218" ht="15" customHeight="1">
      <x:c r="A218" s="3"/>
      <x:c r="B218" s="3"/>
      <x:c r="C218" s="3"/>
      <x:c r="D218" s="3"/>
      <x:c r="E218" s="3"/>
      <x:c r="F218" s="3"/>
      <x:c r="G218" s="3"/>
      <x:c r="H218" s="3"/>
      <x:c r="I218" s="3"/>
      <x:c r="J218" s="10" t="n">
        <x:v>46069</x:v>
      </x:c>
      <x:c r="K218" s="8" t="n">
        <x:f>INDEX('Сводка'!$S$3:$S$397,U218)</x:f>
        <x:v>-38</x:v>
      </x:c>
      <x:c r="L218" s="8" t="n">
        <x:f>INDEX('Сводка'!$S$3:$S$397,V218)</x:f>
        <x:v>-38</x:v>
      </x:c>
      <x:c r="M218" s="8" t="n">
        <x:f>INDEX($K$388:$N$400,W218,1)*EXP(INDEX($K$388:$N$400,W218,2)*((J218-$T$405+1)/1000))</x:f>
        <x:v>175.72717973745705</x:v>
      </x:c>
      <x:c r="N218" s="8" t="n">
        <x:f>K218-M218</x:f>
        <x:v>-213.72717973745705</x:v>
      </x:c>
      <x:c r="O218" s="8" t="n">
        <x:f>ABS(N218)</x:f>
        <x:v>213.72717973745705</x:v>
      </x:c>
      <x:c r="P218" s="8" t="n">
        <x:f>N218^2</x:f>
        <x:v>45679.30735852727</x:v>
      </x:c>
      <x:c r="Q218" s="8" t="n">
        <x:f>K218-L218</x:f>
        <x:v>0</x:v>
      </x:c>
      <x:c r="R218" s="9" t="n">
        <x:f>IF(AND(INDEX('Сводка'!$T$3:$T$397,U218)=0,INDEX('Сводка'!$T$3:$T$397,V218)=0),1,0)</x:f>
        <x:v>1</x:v>
      </x:c>
      <x:c r="S218" s="9" t="n">
        <x:f>IF(AND(R218=1,O218&lt;=$G$13),1,0)</x:f>
        <x:v>0</x:v>
      </x:c>
      <x:c r="T218" s="10" t="n">
        <x:f>EOMONTH(J218-'Сводка'!$B$11,-1)</x:f>
        <x:v>46053</x:v>
      </x:c>
      <x:c r="U218" s="4" t="n">
        <x:f>MATCH(J218,'Сводка'!$R$3:$R$397,0)</x:f>
        <x:v>229</x:v>
      </x:c>
      <x:c r="V218" s="4" t="n">
        <x:f>MATCH(J218-'Сводка'!$B$11,'Сводка'!$R$3:$R$397,0)</x:f>
        <x:v>228</x:v>
      </x:c>
      <x:c r="W218" s="4" t="n">
        <x:f>MATCH(T218,$J$388:$J$400,0)</x:f>
        <x:v>8</x:v>
      </x:c>
      <x:c r="X218" s="3"/>
      <x:c r="Y218" s="3"/>
      <x:c r="Z218" s="3"/>
    </x:row>
    <x:row r="219" ht="15" customHeight="1">
      <x:c r="A219" s="3"/>
      <x:c r="B219" s="3"/>
      <x:c r="C219" s="3"/>
      <x:c r="D219" s="3"/>
      <x:c r="E219" s="3"/>
      <x:c r="F219" s="3"/>
      <x:c r="G219" s="3"/>
      <x:c r="H219" s="3"/>
      <x:c r="I219" s="3"/>
      <x:c r="J219" s="10" t="n">
        <x:v>46070</x:v>
      </x:c>
      <x:c r="K219" s="8" t="n">
        <x:f>INDEX('Сводка'!$S$3:$S$397,U219)</x:f>
        <x:v>-40</x:v>
      </x:c>
      <x:c r="L219" s="8" t="n">
        <x:f>INDEX('Сводка'!$S$3:$S$397,V219)</x:f>
        <x:v>-38</x:v>
      </x:c>
      <x:c r="M219" s="8" t="n">
        <x:f>INDEX($K$388:$N$400,W219,1)*EXP(INDEX($K$388:$N$400,W219,2)*((J219-$T$405+1)/1000))</x:f>
        <x:v>175.76837775360062</x:v>
      </x:c>
      <x:c r="N219" s="8" t="n">
        <x:f>K219-M219</x:f>
        <x:v>-215.76837775360062</x:v>
      </x:c>
      <x:c r="O219" s="8" t="n">
        <x:f>ABS(N219)</x:f>
        <x:v>215.76837775360062</x:v>
      </x:c>
      <x:c r="P219" s="8" t="n">
        <x:f>N219^2</x:f>
        <x:v>46555.99283842049</x:v>
      </x:c>
      <x:c r="Q219" s="8" t="n">
        <x:f>K219-L219</x:f>
        <x:v>-2</x:v>
      </x:c>
      <x:c r="R219" s="9" t="n">
        <x:f>IF(AND(INDEX('Сводка'!$T$3:$T$397,U219)=0,INDEX('Сводка'!$T$3:$T$397,V219)=0),1,0)</x:f>
        <x:v>1</x:v>
      </x:c>
      <x:c r="S219" s="9" t="n">
        <x:f>IF(AND(R219=1,O219&lt;=$G$13),1,0)</x:f>
        <x:v>0</x:v>
      </x:c>
      <x:c r="T219" s="10" t="n">
        <x:f>EOMONTH(J219-'Сводка'!$B$11,-1)</x:f>
        <x:v>46053</x:v>
      </x:c>
      <x:c r="U219" s="4" t="n">
        <x:f>MATCH(J219,'Сводка'!$R$3:$R$397,0)</x:f>
        <x:v>230</x:v>
      </x:c>
      <x:c r="V219" s="4" t="n">
        <x:f>MATCH(J219-'Сводка'!$B$11,'Сводка'!$R$3:$R$397,0)</x:f>
        <x:v>229</x:v>
      </x:c>
      <x:c r="W219" s="4" t="n">
        <x:f>MATCH(T219,$J$388:$J$400,0)</x:f>
        <x:v>8</x:v>
      </x:c>
      <x:c r="X219" s="3"/>
      <x:c r="Y219" s="3"/>
      <x:c r="Z219" s="3"/>
    </x:row>
    <x:row r="220" ht="15" customHeight="1">
      <x:c r="A220" s="3"/>
      <x:c r="B220" s="3"/>
      <x:c r="C220" s="3"/>
      <x:c r="D220" s="3"/>
      <x:c r="E220" s="3"/>
      <x:c r="F220" s="3"/>
      <x:c r="G220" s="3"/>
      <x:c r="H220" s="3"/>
      <x:c r="I220" s="3"/>
      <x:c r="J220" s="10" t="n">
        <x:v>46071</x:v>
      </x:c>
      <x:c r="K220" s="8" t="n">
        <x:f>INDEX('Сводка'!$S$3:$S$397,U220)</x:f>
        <x:v>-40</x:v>
      </x:c>
      <x:c r="L220" s="8" t="n">
        <x:f>INDEX('Сводка'!$S$3:$S$397,V220)</x:f>
        <x:v>-40</x:v>
      </x:c>
      <x:c r="M220" s="8" t="n">
        <x:f>INDEX($K$388:$N$400,W220,1)*EXP(INDEX($K$388:$N$400,W220,2)*((J220-$T$405+1)/1000))</x:f>
        <x:v>175.80958542833278</x:v>
      </x:c>
      <x:c r="N220" s="8" t="n">
        <x:f>K220-M220</x:f>
        <x:v>-215.80958542833278</x:v>
      </x:c>
      <x:c r="O220" s="8" t="n">
        <x:f>ABS(N220)</x:f>
        <x:v>215.80958542833278</x:v>
      </x:c>
      <x:c r="P220" s="8" t="n">
        <x:f>N220^2</x:f>
        <x:v>46573.77716274886</x:v>
      </x:c>
      <x:c r="Q220" s="8" t="n">
        <x:f>K220-L220</x:f>
        <x:v>0</x:v>
      </x:c>
      <x:c r="R220" s="9" t="n">
        <x:f>IF(AND(INDEX('Сводка'!$T$3:$T$397,U220)=0,INDEX('Сводка'!$T$3:$T$397,V220)=0),1,0)</x:f>
        <x:v>1</x:v>
      </x:c>
      <x:c r="S220" s="9" t="n">
        <x:f>IF(AND(R220=1,O220&lt;=$G$13),1,0)</x:f>
        <x:v>0</x:v>
      </x:c>
      <x:c r="T220" s="10" t="n">
        <x:f>EOMONTH(J220-'Сводка'!$B$11,-1)</x:f>
        <x:v>46053</x:v>
      </x:c>
      <x:c r="U220" s="4" t="n">
        <x:f>MATCH(J220,'Сводка'!$R$3:$R$397,0)</x:f>
        <x:v>231</x:v>
      </x:c>
      <x:c r="V220" s="4" t="n">
        <x:f>MATCH(J220-'Сводка'!$B$11,'Сводка'!$R$3:$R$397,0)</x:f>
        <x:v>230</x:v>
      </x:c>
      <x:c r="W220" s="4" t="n">
        <x:f>MATCH(T220,$J$388:$J$400,0)</x:f>
        <x:v>8</x:v>
      </x:c>
      <x:c r="X220" s="3"/>
      <x:c r="Y220" s="3"/>
      <x:c r="Z220" s="3"/>
    </x:row>
    <x:row r="221" ht="15" customHeight="1">
      <x:c r="A221" s="3"/>
      <x:c r="B221" s="3"/>
      <x:c r="C221" s="3"/>
      <x:c r="D221" s="3"/>
      <x:c r="E221" s="3"/>
      <x:c r="F221" s="3"/>
      <x:c r="G221" s="3"/>
      <x:c r="H221" s="3"/>
      <x:c r="I221" s="3"/>
      <x:c r="J221" s="10" t="n">
        <x:v>46072</x:v>
      </x:c>
      <x:c r="K221" s="8" t="n">
        <x:f>INDEX('Сводка'!$S$3:$S$397,U221)</x:f>
        <x:v>-42</x:v>
      </x:c>
      <x:c r="L221" s="8" t="n">
        <x:f>INDEX('Сводка'!$S$3:$S$397,V221)</x:f>
        <x:v>-40</x:v>
      </x:c>
      <x:c r="M221" s="8" t="n">
        <x:f>INDEX($K$388:$N$400,W221,1)*EXP(INDEX($K$388:$N$400,W221,2)*((J221-$T$405+1)/1000))</x:f>
        <x:v>175.850802763918</x:v>
      </x:c>
      <x:c r="N221" s="8" t="n">
        <x:f>K221-M221</x:f>
        <x:v>-217.850802763918</x:v>
      </x:c>
      <x:c r="O221" s="8" t="n">
        <x:f>ABS(N221)</x:f>
        <x:v>217.850802763918</x:v>
      </x:c>
      <x:c r="P221" s="8" t="n">
        <x:f>N221^2</x:f>
        <x:v>47458.97226488351</x:v>
      </x:c>
      <x:c r="Q221" s="8" t="n">
        <x:f>K221-L221</x:f>
        <x:v>-2</x:v>
      </x:c>
      <x:c r="R221" s="9" t="n">
        <x:f>IF(AND(INDEX('Сводка'!$T$3:$T$397,U221)=0,INDEX('Сводка'!$T$3:$T$397,V221)=0),1,0)</x:f>
        <x:v>1</x:v>
      </x:c>
      <x:c r="S221" s="9" t="n">
        <x:f>IF(AND(R221=1,O221&lt;=$G$13),1,0)</x:f>
        <x:v>0</x:v>
      </x:c>
      <x:c r="T221" s="10" t="n">
        <x:f>EOMONTH(J221-'Сводка'!$B$11,-1)</x:f>
        <x:v>46053</x:v>
      </x:c>
      <x:c r="U221" s="4" t="n">
        <x:f>MATCH(J221,'Сводка'!$R$3:$R$397,0)</x:f>
        <x:v>232</x:v>
      </x:c>
      <x:c r="V221" s="4" t="n">
        <x:f>MATCH(J221-'Сводка'!$B$11,'Сводка'!$R$3:$R$397,0)</x:f>
        <x:v>231</x:v>
      </x:c>
      <x:c r="W221" s="4" t="n">
        <x:f>MATCH(T221,$J$388:$J$400,0)</x:f>
        <x:v>8</x:v>
      </x:c>
      <x:c r="X221" s="3"/>
      <x:c r="Y221" s="3"/>
      <x:c r="Z221" s="3"/>
    </x:row>
    <x:row r="222" ht="15" customHeight="1">
      <x:c r="A222" s="3"/>
      <x:c r="B222" s="3"/>
      <x:c r="C222" s="3"/>
      <x:c r="D222" s="3"/>
      <x:c r="E222" s="3"/>
      <x:c r="F222" s="3"/>
      <x:c r="G222" s="3"/>
      <x:c r="H222" s="3"/>
      <x:c r="I222" s="3"/>
      <x:c r="J222" s="10" t="n">
        <x:v>46073</x:v>
      </x:c>
      <x:c r="K222" s="8" t="n">
        <x:f>INDEX('Сводка'!$S$3:$S$397,U222)</x:f>
        <x:v>-43</x:v>
      </x:c>
      <x:c r="L222" s="8" t="n">
        <x:f>INDEX('Сводка'!$S$3:$S$397,V222)</x:f>
        <x:v>-42</x:v>
      </x:c>
      <x:c r="M222" s="8" t="n">
        <x:f>INDEX($K$388:$N$400,W222,1)*EXP(INDEX($K$388:$N$400,W222,2)*((J222-$T$405+1)/1000))</x:f>
        <x:v>175.8920297626211</x:v>
      </x:c>
      <x:c r="N222" s="8" t="n">
        <x:f>K222-M222</x:f>
        <x:v>-218.8920297626211</x:v>
      </x:c>
      <x:c r="O222" s="8" t="n">
        <x:f>ABS(N222)</x:f>
        <x:v>218.8920297626211</x:v>
      </x:c>
      <x:c r="P222" s="8" t="n">
        <x:f>N222^2</x:f>
        <x:v>47913.7206936002</x:v>
      </x:c>
      <x:c r="Q222" s="8" t="n">
        <x:f>K222-L222</x:f>
        <x:v>-1</x:v>
      </x:c>
      <x:c r="R222" s="9" t="n">
        <x:f>IF(AND(INDEX('Сводка'!$T$3:$T$397,U222)=0,INDEX('Сводка'!$T$3:$T$397,V222)=0),1,0)</x:f>
        <x:v>1</x:v>
      </x:c>
      <x:c r="S222" s="9" t="n">
        <x:f>IF(AND(R222=1,O222&lt;=$G$13),1,0)</x:f>
        <x:v>0</x:v>
      </x:c>
      <x:c r="T222" s="10" t="n">
        <x:f>EOMONTH(J222-'Сводка'!$B$11,-1)</x:f>
        <x:v>46053</x:v>
      </x:c>
      <x:c r="U222" s="4" t="n">
        <x:f>MATCH(J222,'Сводка'!$R$3:$R$397,0)</x:f>
        <x:v>233</x:v>
      </x:c>
      <x:c r="V222" s="4" t="n">
        <x:f>MATCH(J222-'Сводка'!$B$11,'Сводка'!$R$3:$R$397,0)</x:f>
        <x:v>232</x:v>
      </x:c>
      <x:c r="W222" s="4" t="n">
        <x:f>MATCH(T222,$J$388:$J$400,0)</x:f>
        <x:v>8</x:v>
      </x:c>
      <x:c r="X222" s="3"/>
      <x:c r="Y222" s="3"/>
      <x:c r="Z222" s="3"/>
    </x:row>
    <x:row r="223" ht="15" customHeight="1">
      <x:c r="A223" s="3"/>
      <x:c r="B223" s="3"/>
      <x:c r="C223" s="3"/>
      <x:c r="D223" s="3"/>
      <x:c r="E223" s="3"/>
      <x:c r="F223" s="3"/>
      <x:c r="G223" s="3"/>
      <x:c r="H223" s="3"/>
      <x:c r="I223" s="3"/>
      <x:c r="J223" s="10" t="n">
        <x:v>46074</x:v>
      </x:c>
      <x:c r="K223" s="8" t="n">
        <x:f>INDEX('Сводка'!$S$3:$S$397,U223)</x:f>
        <x:v>-43</x:v>
      </x:c>
      <x:c r="L223" s="8" t="n">
        <x:f>INDEX('Сводка'!$S$3:$S$397,V223)</x:f>
        <x:v>-43</x:v>
      </x:c>
      <x:c r="M223" s="8" t="n">
        <x:f>INDEX($K$388:$N$400,W223,1)*EXP(INDEX($K$388:$N$400,W223,2)*((J223-$T$405+1)/1000))</x:f>
        <x:v>175.9332664267075</x:v>
      </x:c>
      <x:c r="N223" s="8" t="n">
        <x:f>K223-M223</x:f>
        <x:v>-218.9332664267075</x:v>
      </x:c>
      <x:c r="O223" s="8" t="n">
        <x:f>ABS(N223)</x:f>
        <x:v>218.9332664267075</x:v>
      </x:c>
      <x:c r="P223" s="8" t="n">
        <x:f>N223^2</x:f>
        <x:v>47931.77514826768</x:v>
      </x:c>
      <x:c r="Q223" s="8" t="n">
        <x:f>K223-L223</x:f>
        <x:v>0</x:v>
      </x:c>
      <x:c r="R223" s="9" t="n">
        <x:f>IF(AND(INDEX('Сводка'!$T$3:$T$397,U223)=0,INDEX('Сводка'!$T$3:$T$397,V223)=0),1,0)</x:f>
        <x:v>1</x:v>
      </x:c>
      <x:c r="S223" s="9" t="n">
        <x:f>IF(AND(R223=1,O223&lt;=$G$13),1,0)</x:f>
        <x:v>0</x:v>
      </x:c>
      <x:c r="T223" s="10" t="n">
        <x:f>EOMONTH(J223-'Сводка'!$B$11,-1)</x:f>
        <x:v>46053</x:v>
      </x:c>
      <x:c r="U223" s="4" t="n">
        <x:f>MATCH(J223,'Сводка'!$R$3:$R$397,0)</x:f>
        <x:v>234</x:v>
      </x:c>
      <x:c r="V223" s="4" t="n">
        <x:f>MATCH(J223-'Сводка'!$B$11,'Сводка'!$R$3:$R$397,0)</x:f>
        <x:v>233</x:v>
      </x:c>
      <x:c r="W223" s="4" t="n">
        <x:f>MATCH(T223,$J$388:$J$400,0)</x:f>
        <x:v>8</x:v>
      </x:c>
      <x:c r="X223" s="3"/>
      <x:c r="Y223" s="3"/>
      <x:c r="Z223" s="3"/>
    </x:row>
    <x:row r="224" ht="15" customHeight="1">
      <x:c r="A224" s="3"/>
      <x:c r="B224" s="3"/>
      <x:c r="C224" s="3"/>
      <x:c r="D224" s="3"/>
      <x:c r="E224" s="3"/>
      <x:c r="F224" s="3"/>
      <x:c r="G224" s="3"/>
      <x:c r="H224" s="3"/>
      <x:c r="I224" s="3"/>
      <x:c r="J224" s="10" t="n">
        <x:v>46075</x:v>
      </x:c>
      <x:c r="K224" s="8" t="n">
        <x:f>INDEX('Сводка'!$S$3:$S$397,U224)</x:f>
        <x:v>-43</x:v>
      </x:c>
      <x:c r="L224" s="8" t="n">
        <x:f>INDEX('Сводка'!$S$3:$S$397,V224)</x:f>
        <x:v>-43</x:v>
      </x:c>
      <x:c r="M224" s="8" t="n">
        <x:f>INDEX($K$388:$N$400,W224,1)*EXP(INDEX($K$388:$N$400,W224,2)*((J224-$T$405+1)/1000))</x:f>
        <x:v>175.97451275844332</x:v>
      </x:c>
      <x:c r="N224" s="8" t="n">
        <x:f>K224-M224</x:f>
        <x:v>-218.97451275844332</x:v>
      </x:c>
      <x:c r="O224" s="8" t="n">
        <x:f>ABS(N224)</x:f>
        <x:v>218.97451275844332</x:v>
      </x:c>
      <x:c r="P224" s="8" t="n">
        <x:f>N224^2</x:f>
        <x:v>47949.837237797656</x:v>
      </x:c>
      <x:c r="Q224" s="8" t="n">
        <x:f>K224-L224</x:f>
        <x:v>0</x:v>
      </x:c>
      <x:c r="R224" s="9" t="n">
        <x:f>IF(AND(INDEX('Сводка'!$T$3:$T$397,U224)=0,INDEX('Сводка'!$T$3:$T$397,V224)=0),1,0)</x:f>
        <x:v>1</x:v>
      </x:c>
      <x:c r="S224" s="9" t="n">
        <x:f>IF(AND(R224=1,O224&lt;=$G$13),1,0)</x:f>
        <x:v>0</x:v>
      </x:c>
      <x:c r="T224" s="10" t="n">
        <x:f>EOMONTH(J224-'Сводка'!$B$11,-1)</x:f>
        <x:v>46053</x:v>
      </x:c>
      <x:c r="U224" s="4" t="n">
        <x:f>MATCH(J224,'Сводка'!$R$3:$R$397,0)</x:f>
        <x:v>235</x:v>
      </x:c>
      <x:c r="V224" s="4" t="n">
        <x:f>MATCH(J224-'Сводка'!$B$11,'Сводка'!$R$3:$R$397,0)</x:f>
        <x:v>234</x:v>
      </x:c>
      <x:c r="W224" s="4" t="n">
        <x:f>MATCH(T224,$J$388:$J$400,0)</x:f>
        <x:v>8</x:v>
      </x:c>
      <x:c r="X224" s="3"/>
      <x:c r="Y224" s="3"/>
      <x:c r="Z224" s="3"/>
    </x:row>
    <x:row r="225" ht="15" customHeight="1">
      <x:c r="A225" s="3"/>
      <x:c r="B225" s="3"/>
      <x:c r="C225" s="3"/>
      <x:c r="D225" s="3"/>
      <x:c r="E225" s="3"/>
      <x:c r="F225" s="3"/>
      <x:c r="G225" s="3"/>
      <x:c r="H225" s="3"/>
      <x:c r="I225" s="3"/>
      <x:c r="J225" s="10" t="n">
        <x:v>46076</x:v>
      </x:c>
      <x:c r="K225" s="8" t="n">
        <x:f>INDEX('Сводка'!$S$3:$S$397,U225)</x:f>
        <x:v>-44</x:v>
      </x:c>
      <x:c r="L225" s="8" t="n">
        <x:f>INDEX('Сводка'!$S$3:$S$397,V225)</x:f>
        <x:v>-43</x:v>
      </x:c>
      <x:c r="M225" s="8" t="n">
        <x:f>INDEX($K$388:$N$400,W225,1)*EXP(INDEX($K$388:$N$400,W225,2)*((J225-$T$405+1)/1000))</x:f>
        <x:v>176.01576876009494</x:v>
      </x:c>
      <x:c r="N225" s="8" t="n">
        <x:f>K225-M225</x:f>
        <x:v>-220.01576876009494</x:v>
      </x:c>
      <x:c r="O225" s="8" t="n">
        <x:f>ABS(N225)</x:f>
        <x:v>220.01576876009494</x:v>
      </x:c>
      <x:c r="P225" s="8" t="n">
        <x:f>N225^2</x:f>
        <x:v>48406.93850309557</x:v>
      </x:c>
      <x:c r="Q225" s="8" t="n">
        <x:f>K225-L225</x:f>
        <x:v>-1</x:v>
      </x:c>
      <x:c r="R225" s="9" t="n">
        <x:f>IF(AND(INDEX('Сводка'!$T$3:$T$397,U225)=0,INDEX('Сводка'!$T$3:$T$397,V225)=0),1,0)</x:f>
        <x:v>1</x:v>
      </x:c>
      <x:c r="S225" s="9" t="n">
        <x:f>IF(AND(R225=1,O225&lt;=$G$13),1,0)</x:f>
        <x:v>0</x:v>
      </x:c>
      <x:c r="T225" s="10" t="n">
        <x:f>EOMONTH(J225-'Сводка'!$B$11,-1)</x:f>
        <x:v>46053</x:v>
      </x:c>
      <x:c r="U225" s="4" t="n">
        <x:f>MATCH(J225,'Сводка'!$R$3:$R$397,0)</x:f>
        <x:v>236</x:v>
      </x:c>
      <x:c r="V225" s="4" t="n">
        <x:f>MATCH(J225-'Сводка'!$B$11,'Сводка'!$R$3:$R$397,0)</x:f>
        <x:v>235</x:v>
      </x:c>
      <x:c r="W225" s="4" t="n">
        <x:f>MATCH(T225,$J$388:$J$400,0)</x:f>
        <x:v>8</x:v>
      </x:c>
      <x:c r="X225" s="3"/>
      <x:c r="Y225" s="3"/>
      <x:c r="Z225" s="3"/>
    </x:row>
    <x:row r="226" ht="15" customHeight="1">
      <x:c r="A226" s="3"/>
      <x:c r="B226" s="3"/>
      <x:c r="C226" s="3"/>
      <x:c r="D226" s="3"/>
      <x:c r="E226" s="3"/>
      <x:c r="F226" s="3"/>
      <x:c r="G226" s="3"/>
      <x:c r="H226" s="3"/>
      <x:c r="I226" s="3"/>
      <x:c r="J226" s="10" t="n">
        <x:v>46077</x:v>
      </x:c>
      <x:c r="K226" s="8" t="n">
        <x:f>INDEX('Сводка'!$S$3:$S$397,U226)</x:f>
        <x:v>-46</x:v>
      </x:c>
      <x:c r="L226" s="8" t="n">
        <x:f>INDEX('Сводка'!$S$3:$S$397,V226)</x:f>
        <x:v>-44</x:v>
      </x:c>
      <x:c r="M226" s="8" t="n">
        <x:f>INDEX($K$388:$N$400,W226,1)*EXP(INDEX($K$388:$N$400,W226,2)*((J226-$T$405+1)/1000))</x:f>
        <x:v>176.05703443392943</x:v>
      </x:c>
      <x:c r="N226" s="8" t="n">
        <x:f>K226-M226</x:f>
        <x:v>-222.05703443392943</x:v>
      </x:c>
      <x:c r="O226" s="8" t="n">
        <x:f>ABS(N226)</x:f>
        <x:v>222.05703443392943</x:v>
      </x:c>
      <x:c r="P226" s="8" t="n">
        <x:f>N226^2</x:f>
        <x:v>49309.32654159132</x:v>
      </x:c>
      <x:c r="Q226" s="8" t="n">
        <x:f>K226-L226</x:f>
        <x:v>-2</x:v>
      </x:c>
      <x:c r="R226" s="9" t="n">
        <x:f>IF(AND(INDEX('Сводка'!$T$3:$T$397,U226)=0,INDEX('Сводка'!$T$3:$T$397,V226)=0),1,0)</x:f>
        <x:v>1</x:v>
      </x:c>
      <x:c r="S226" s="9" t="n">
        <x:f>IF(AND(R226=1,O226&lt;=$G$13),1,0)</x:f>
        <x:v>0</x:v>
      </x:c>
      <x:c r="T226" s="10" t="n">
        <x:f>EOMONTH(J226-'Сводка'!$B$11,-1)</x:f>
        <x:v>46053</x:v>
      </x:c>
      <x:c r="U226" s="4" t="n">
        <x:f>MATCH(J226,'Сводка'!$R$3:$R$397,0)</x:f>
        <x:v>237</x:v>
      </x:c>
      <x:c r="V226" s="4" t="n">
        <x:f>MATCH(J226-'Сводка'!$B$11,'Сводка'!$R$3:$R$397,0)</x:f>
        <x:v>236</x:v>
      </x:c>
      <x:c r="W226" s="4" t="n">
        <x:f>MATCH(T226,$J$388:$J$400,0)</x:f>
        <x:v>8</x:v>
      </x:c>
      <x:c r="X226" s="3"/>
      <x:c r="Y226" s="3"/>
      <x:c r="Z226" s="3"/>
    </x:row>
    <x:row r="227" ht="15" customHeight="1">
      <x:c r="A227" s="3"/>
      <x:c r="B227" s="3"/>
      <x:c r="C227" s="3"/>
      <x:c r="D227" s="3"/>
      <x:c r="E227" s="3"/>
      <x:c r="F227" s="3"/>
      <x:c r="G227" s="3"/>
      <x:c r="H227" s="3"/>
      <x:c r="I227" s="3"/>
      <x:c r="J227" s="10" t="n">
        <x:v>46078</x:v>
      </x:c>
      <x:c r="K227" s="8" t="n">
        <x:f>INDEX('Сводка'!$S$3:$S$397,U227)</x:f>
        <x:v>-46</x:v>
      </x:c>
      <x:c r="L227" s="8" t="n">
        <x:f>INDEX('Сводка'!$S$3:$S$397,V227)</x:f>
        <x:v>-46</x:v>
      </x:c>
      <x:c r="M227" s="8" t="n">
        <x:f>INDEX($K$388:$N$400,W227,1)*EXP(INDEX($K$388:$N$400,W227,2)*((J227-$T$405+1)/1000))</x:f>
        <x:v>176.09830978221441</x:v>
      </x:c>
      <x:c r="N227" s="8" t="n">
        <x:f>K227-M227</x:f>
        <x:v>-222.09830978221441</x:v>
      </x:c>
      <x:c r="O227" s="8" t="n">
        <x:f>ABS(N227)</x:f>
        <x:v>222.09830978221441</x:v>
      </x:c>
      <x:c r="P227" s="8" t="n">
        <x:f>N227^2</x:f>
        <x:v>49327.65920811648</x:v>
      </x:c>
      <x:c r="Q227" s="8" t="n">
        <x:f>K227-L227</x:f>
        <x:v>0</x:v>
      </x:c>
      <x:c r="R227" s="9" t="n">
        <x:f>IF(AND(INDEX('Сводка'!$T$3:$T$397,U227)=0,INDEX('Сводка'!$T$3:$T$397,V227)=0),1,0)</x:f>
        <x:v>1</x:v>
      </x:c>
      <x:c r="S227" s="9" t="n">
        <x:f>IF(AND(R227=1,O227&lt;=$G$13),1,0)</x:f>
        <x:v>0</x:v>
      </x:c>
      <x:c r="T227" s="10" t="n">
        <x:f>EOMONTH(J227-'Сводка'!$B$11,-1)</x:f>
        <x:v>46053</x:v>
      </x:c>
      <x:c r="U227" s="4" t="n">
        <x:f>MATCH(J227,'Сводка'!$R$3:$R$397,0)</x:f>
        <x:v>238</x:v>
      </x:c>
      <x:c r="V227" s="4" t="n">
        <x:f>MATCH(J227-'Сводка'!$B$11,'Сводка'!$R$3:$R$397,0)</x:f>
        <x:v>237</x:v>
      </x:c>
      <x:c r="W227" s="4" t="n">
        <x:f>MATCH(T227,$J$388:$J$400,0)</x:f>
        <x:v>8</x:v>
      </x:c>
      <x:c r="X227" s="3"/>
      <x:c r="Y227" s="3"/>
      <x:c r="Z227" s="3"/>
    </x:row>
    <x:row r="228" ht="15" customHeight="1">
      <x:c r="A228" s="3"/>
      <x:c r="B228" s="3"/>
      <x:c r="C228" s="3"/>
      <x:c r="D228" s="3"/>
      <x:c r="E228" s="3"/>
      <x:c r="F228" s="3"/>
      <x:c r="G228" s="3"/>
      <x:c r="H228" s="3"/>
      <x:c r="I228" s="3"/>
      <x:c r="J228" s="10" t="n">
        <x:v>46079</x:v>
      </x:c>
      <x:c r="K228" s="8" t="n">
        <x:f>INDEX('Сводка'!$S$3:$S$397,U228)</x:f>
        <x:v>-48</x:v>
      </x:c>
      <x:c r="L228" s="8" t="n">
        <x:f>INDEX('Сводка'!$S$3:$S$397,V228)</x:f>
        <x:v>-46</x:v>
      </x:c>
      <x:c r="M228" s="8" t="n">
        <x:f>INDEX($K$388:$N$400,W228,1)*EXP(INDEX($K$388:$N$400,W228,2)*((J228-$T$405+1)/1000))</x:f>
        <x:v>176.13959480721803</x:v>
      </x:c>
      <x:c r="N228" s="8" t="n">
        <x:f>K228-M228</x:f>
        <x:v>-224.13959480721803</x:v>
      </x:c>
      <x:c r="O228" s="8" t="n">
        <x:f>ABS(N228)</x:f>
        <x:v>224.13959480721803</x:v>
      </x:c>
      <x:c r="P228" s="8" t="n">
        <x:f>N228^2</x:f>
        <x:v>50238.55796034388</x:v>
      </x:c>
      <x:c r="Q228" s="8" t="n">
        <x:f>K228-L228</x:f>
        <x:v>-2</x:v>
      </x:c>
      <x:c r="R228" s="9" t="n">
        <x:f>IF(AND(INDEX('Сводка'!$T$3:$T$397,U228)=0,INDEX('Сводка'!$T$3:$T$397,V228)=0),1,0)</x:f>
        <x:v>1</x:v>
      </x:c>
      <x:c r="S228" s="9" t="n">
        <x:f>IF(AND(R228=1,O228&lt;=$G$13),1,0)</x:f>
        <x:v>0</x:v>
      </x:c>
      <x:c r="T228" s="10" t="n">
        <x:f>EOMONTH(J228-'Сводка'!$B$11,-1)</x:f>
        <x:v>46053</x:v>
      </x:c>
      <x:c r="U228" s="4" t="n">
        <x:f>MATCH(J228,'Сводка'!$R$3:$R$397,0)</x:f>
        <x:v>239</x:v>
      </x:c>
      <x:c r="V228" s="4" t="n">
        <x:f>MATCH(J228-'Сводка'!$B$11,'Сводка'!$R$3:$R$397,0)</x:f>
        <x:v>238</x:v>
      </x:c>
      <x:c r="W228" s="4" t="n">
        <x:f>MATCH(T228,$J$388:$J$400,0)</x:f>
        <x:v>8</x:v>
      </x:c>
      <x:c r="X228" s="3"/>
      <x:c r="Y228" s="3"/>
      <x:c r="Z228" s="3"/>
    </x:row>
    <x:row r="229" ht="15" customHeight="1">
      <x:c r="A229" s="3"/>
      <x:c r="B229" s="3"/>
      <x:c r="C229" s="3"/>
      <x:c r="D229" s="3"/>
      <x:c r="E229" s="3"/>
      <x:c r="F229" s="3"/>
      <x:c r="G229" s="3"/>
      <x:c r="H229" s="3"/>
      <x:c r="I229" s="3"/>
      <x:c r="J229" s="10" t="n">
        <x:v>46080</x:v>
      </x:c>
      <x:c r="K229" s="8" t="n">
        <x:f>INDEX('Сводка'!$S$3:$S$397,U229)</x:f>
        <x:v>-51</x:v>
      </x:c>
      <x:c r="L229" s="8" t="n">
        <x:f>INDEX('Сводка'!$S$3:$S$397,V229)</x:f>
        <x:v>-48</x:v>
      </x:c>
      <x:c r="M229" s="8" t="n">
        <x:f>INDEX($K$388:$N$400,W229,1)*EXP(INDEX($K$388:$N$400,W229,2)*((J229-$T$405+1)/1000))</x:f>
        <x:v>176.18088951120882</x:v>
      </x:c>
      <x:c r="N229" s="8" t="n">
        <x:f>K229-M229</x:f>
        <x:v>-227.18088951120882</x:v>
      </x:c>
      <x:c r="O229" s="8" t="n">
        <x:f>ABS(N229)</x:f>
        <x:v>227.18088951120882</x:v>
      </x:c>
      <x:c r="P229" s="8" t="n">
        <x:f>N229^2</x:f>
        <x:v>51611.15655910407</x:v>
      </x:c>
      <x:c r="Q229" s="8" t="n">
        <x:f>K229-L229</x:f>
        <x:v>-3</x:v>
      </x:c>
      <x:c r="R229" s="9" t="n">
        <x:f>IF(AND(INDEX('Сводка'!$T$3:$T$397,U229)=0,INDEX('Сводка'!$T$3:$T$397,V229)=0),1,0)</x:f>
        <x:v>1</x:v>
      </x:c>
      <x:c r="S229" s="9" t="n">
        <x:f>IF(AND(R229=1,O229&lt;=$G$13),1,0)</x:f>
        <x:v>0</x:v>
      </x:c>
      <x:c r="T229" s="10" t="n">
        <x:f>EOMONTH(J229-'Сводка'!$B$11,-1)</x:f>
        <x:v>46053</x:v>
      </x:c>
      <x:c r="U229" s="4" t="n">
        <x:f>MATCH(J229,'Сводка'!$R$3:$R$397,0)</x:f>
        <x:v>240</x:v>
      </x:c>
      <x:c r="V229" s="4" t="n">
        <x:f>MATCH(J229-'Сводка'!$B$11,'Сводка'!$R$3:$R$397,0)</x:f>
        <x:v>239</x:v>
      </x:c>
      <x:c r="W229" s="4" t="n">
        <x:f>MATCH(T229,$J$388:$J$400,0)</x:f>
        <x:v>8</x:v>
      </x:c>
      <x:c r="X229" s="3"/>
      <x:c r="Y229" s="3"/>
      <x:c r="Z229" s="3"/>
    </x:row>
    <x:row r="230" ht="15" customHeight="1">
      <x:c r="A230" s="3"/>
      <x:c r="B230" s="3"/>
      <x:c r="C230" s="3"/>
      <x:c r="D230" s="3"/>
      <x:c r="E230" s="3"/>
      <x:c r="F230" s="3"/>
      <x:c r="G230" s="3"/>
      <x:c r="H230" s="3"/>
      <x:c r="I230" s="3"/>
      <x:c r="J230" s="10" t="n">
        <x:v>46081</x:v>
      </x:c>
      <x:c r="K230" s="8" t="n">
        <x:f>INDEX('Сводка'!$S$3:$S$397,U230)</x:f>
        <x:v>-54</x:v>
      </x:c>
      <x:c r="L230" s="8" t="n">
        <x:f>INDEX('Сводка'!$S$3:$S$397,V230)</x:f>
        <x:v>-51</x:v>
      </x:c>
      <x:c r="M230" s="8" t="n">
        <x:f>INDEX($K$388:$N$400,W230,1)*EXP(INDEX($K$388:$N$400,W230,2)*((J230-$T$405+1)/1000))</x:f>
        <x:v>176.22219389645596</x:v>
      </x:c>
      <x:c r="N230" s="8" t="n">
        <x:f>K230-M230</x:f>
        <x:v>-230.22219389645596</x:v>
      </x:c>
      <x:c r="O230" s="8" t="n">
        <x:f>ABS(N230)</x:f>
        <x:v>230.22219389645596</x:v>
      </x:c>
      <x:c r="P230" s="8" t="n">
        <x:f>N230^2</x:f>
        <x:v>53002.258562497365</x:v>
      </x:c>
      <x:c r="Q230" s="8" t="n">
        <x:f>K230-L230</x:f>
        <x:v>-3</x:v>
      </x:c>
      <x:c r="R230" s="9" t="n">
        <x:f>IF(AND(INDEX('Сводка'!$T$3:$T$397,U230)=0,INDEX('Сводка'!$T$3:$T$397,V230)=0),1,0)</x:f>
        <x:v>1</x:v>
      </x:c>
      <x:c r="S230" s="9" t="n">
        <x:f>IF(AND(R230=1,O230&lt;=$G$13),1,0)</x:f>
        <x:v>0</x:v>
      </x:c>
      <x:c r="T230" s="10" t="n">
        <x:f>EOMONTH(J230-'Сводка'!$B$11,-1)</x:f>
        <x:v>46053</x:v>
      </x:c>
      <x:c r="U230" s="4" t="n">
        <x:f>MATCH(J230,'Сводка'!$R$3:$R$397,0)</x:f>
        <x:v>241</x:v>
      </x:c>
      <x:c r="V230" s="4" t="n">
        <x:f>MATCH(J230-'Сводка'!$B$11,'Сводка'!$R$3:$R$397,0)</x:f>
        <x:v>240</x:v>
      </x:c>
      <x:c r="W230" s="4" t="n">
        <x:f>MATCH(T230,$J$388:$J$400,0)</x:f>
        <x:v>8</x:v>
      </x:c>
      <x:c r="X230" s="3"/>
      <x:c r="Y230" s="3"/>
      <x:c r="Z230" s="3"/>
    </x:row>
    <x:row r="231" ht="15" customHeight="1">
      <x:c r="A231" s="3"/>
      <x:c r="B231" s="3"/>
      <x:c r="C231" s="3"/>
      <x:c r="D231" s="3"/>
      <x:c r="E231" s="3"/>
      <x:c r="F231" s="3"/>
      <x:c r="G231" s="3"/>
      <x:c r="H231" s="3"/>
      <x:c r="I231" s="3"/>
      <x:c r="J231" s="10" t="n">
        <x:v>46082</x:v>
      </x:c>
      <x:c r="K231" s="8" t="n">
        <x:f>INDEX('Сводка'!$S$3:$S$397,U231)</x:f>
        <x:v>-55</x:v>
      </x:c>
      <x:c r="L231" s="8" t="n">
        <x:f>INDEX('Сводка'!$S$3:$S$397,V231)</x:f>
        <x:v>-54</x:v>
      </x:c>
      <x:c r="M231" s="8" t="n">
        <x:f>INDEX($K$388:$N$400,W231,1)*EXP(INDEX($K$388:$N$400,W231,2)*((J231-$T$405+1)/1000))</x:f>
        <x:v>176.26350796522922</x:v>
      </x:c>
      <x:c r="N231" s="8" t="n">
        <x:f>K231-M231</x:f>
        <x:v>-231.26350796522922</x:v>
      </x:c>
      <x:c r="O231" s="8" t="n">
        <x:f>ABS(N231)</x:f>
        <x:v>231.26350796522922</x:v>
      </x:c>
      <x:c r="P231" s="8" t="n">
        <x:f>N231^2</x:f>
        <x:v>53482.81011638364</x:v>
      </x:c>
      <x:c r="Q231" s="8" t="n">
        <x:f>K231-L231</x:f>
        <x:v>-1</x:v>
      </x:c>
      <x:c r="R231" s="9" t="n">
        <x:f>IF(AND(INDEX('Сводка'!$T$3:$T$397,U231)=0,INDEX('Сводка'!$T$3:$T$397,V231)=0),1,0)</x:f>
        <x:v>1</x:v>
      </x:c>
      <x:c r="S231" s="9" t="n">
        <x:f>IF(AND(R231=1,O231&lt;=$G$13),1,0)</x:f>
        <x:v>0</x:v>
      </x:c>
      <x:c r="T231" s="10" t="n">
        <x:f>EOMONTH(J231-'Сводка'!$B$11,-1)</x:f>
        <x:v>46053</x:v>
      </x:c>
      <x:c r="U231" s="4" t="n">
        <x:f>MATCH(J231,'Сводка'!$R$3:$R$397,0)</x:f>
        <x:v>242</x:v>
      </x:c>
      <x:c r="V231" s="4" t="n">
        <x:f>MATCH(J231-'Сводка'!$B$11,'Сводка'!$R$3:$R$397,0)</x:f>
        <x:v>241</x:v>
      </x:c>
      <x:c r="W231" s="4" t="n">
        <x:f>MATCH(T231,$J$388:$J$400,0)</x:f>
        <x:v>8</x:v>
      </x:c>
      <x:c r="X231" s="3"/>
      <x:c r="Y231" s="3"/>
      <x:c r="Z231" s="3"/>
    </x:row>
    <x:row r="232" ht="15" customHeight="1">
      <x:c r="A232" s="3"/>
      <x:c r="B232" s="3"/>
      <x:c r="C232" s="3"/>
      <x:c r="D232" s="3"/>
      <x:c r="E232" s="3"/>
      <x:c r="F232" s="3"/>
      <x:c r="G232" s="3"/>
      <x:c r="H232" s="3"/>
      <x:c r="I232" s="3"/>
      <x:c r="J232" s="10" t="n">
        <x:v>46083</x:v>
      </x:c>
      <x:c r="K232" s="8" t="n">
        <x:f>INDEX('Сводка'!$S$3:$S$397,U232)</x:f>
        <x:v>-57</x:v>
      </x:c>
      <x:c r="L232" s="8" t="n">
        <x:f>INDEX('Сводка'!$S$3:$S$397,V232)</x:f>
        <x:v>-55</x:v>
      </x:c>
      <x:c r="M232" s="8" t="n">
        <x:f>INDEX($K$388:$N$400,W232,1)*EXP(INDEX($K$388:$N$400,W232,2)*((J232-$T$405+1)/1000))</x:f>
        <x:v>170.6484506208297</x:v>
      </x:c>
      <x:c r="N232" s="8" t="n">
        <x:f>K232-M232</x:f>
        <x:v>-227.6484506208297</x:v>
      </x:c>
      <x:c r="O232" s="8" t="n">
        <x:f>ABS(N232)</x:f>
        <x:v>227.6484506208297</x:v>
      </x:c>
      <x:c r="P232" s="8" t="n">
        <x:f>N232^2</x:f>
        <x:v>51823.81707006433</x:v>
      </x:c>
      <x:c r="Q232" s="8" t="n">
        <x:f>K232-L232</x:f>
        <x:v>-2</x:v>
      </x:c>
      <x:c r="R232" s="9" t="n">
        <x:f>IF(AND(INDEX('Сводка'!$T$3:$T$397,U232)=0,INDEX('Сводка'!$T$3:$T$397,V232)=0),1,0)</x:f>
        <x:v>1</x:v>
      </x:c>
      <x:c r="S232" s="9" t="n">
        <x:f>IF(AND(R232=1,O232&lt;=$G$13),1,0)</x:f>
        <x:v>0</x:v>
      </x:c>
      <x:c r="T232" s="10" t="n">
        <x:f>EOMONTH(J232-'Сводка'!$B$11,-1)</x:f>
        <x:v>46081</x:v>
      </x:c>
      <x:c r="U232" s="4" t="n">
        <x:f>MATCH(J232,'Сводка'!$R$3:$R$397,0)</x:f>
        <x:v>243</x:v>
      </x:c>
      <x:c r="V232" s="4" t="n">
        <x:f>MATCH(J232-'Сводка'!$B$11,'Сводка'!$R$3:$R$397,0)</x:f>
        <x:v>242</x:v>
      </x:c>
      <x:c r="W232" s="4" t="n">
        <x:f>MATCH(T232,$J$388:$J$400,0)</x:f>
        <x:v>9</x:v>
      </x:c>
      <x:c r="X232" s="3"/>
      <x:c r="Y232" s="3"/>
      <x:c r="Z232" s="3"/>
    </x:row>
    <x:row r="233" ht="15" customHeight="1">
      <x:c r="A233" s="3"/>
      <x:c r="B233" s="3"/>
      <x:c r="C233" s="3"/>
      <x:c r="D233" s="3"/>
      <x:c r="E233" s="3"/>
      <x:c r="F233" s="3"/>
      <x:c r="G233" s="3"/>
      <x:c r="H233" s="3"/>
      <x:c r="I233" s="3"/>
      <x:c r="J233" s="10" t="n">
        <x:v>46084</x:v>
      </x:c>
      <x:c r="K233" s="8" t="n">
        <x:f>INDEX('Сводка'!$S$3:$S$397,U233)</x:f>
        <x:v>-58</x:v>
      </x:c>
      <x:c r="L233" s="8" t="n">
        <x:f>INDEX('Сводка'!$S$3:$S$397,V233)</x:f>
        <x:v>-57</x:v>
      </x:c>
      <x:c r="M233" s="8" t="n">
        <x:f>INDEX($K$388:$N$400,W233,1)*EXP(INDEX($K$388:$N$400,W233,2)*((J233-$T$405+1)/1000))</x:f>
        <x:v>170.68725370312882</x:v>
      </x:c>
      <x:c r="N233" s="8" t="n">
        <x:f>K233-M233</x:f>
        <x:v>-228.68725370312882</x:v>
      </x:c>
      <x:c r="O233" s="8" t="n">
        <x:f>ABS(N233)</x:f>
        <x:v>228.68725370312882</x:v>
      </x:c>
      <x:c r="P233" s="8" t="n">
        <x:f>N233^2</x:f>
        <x:v>52297.8600062792</x:v>
      </x:c>
      <x:c r="Q233" s="8" t="n">
        <x:f>K233-L233</x:f>
        <x:v>-1</x:v>
      </x:c>
      <x:c r="R233" s="9" t="n">
        <x:f>IF(AND(INDEX('Сводка'!$T$3:$T$397,U233)=0,INDEX('Сводка'!$T$3:$T$397,V233)=0),1,0)</x:f>
        <x:v>1</x:v>
      </x:c>
      <x:c r="S233" s="9" t="n">
        <x:f>IF(AND(R233=1,O233&lt;=$G$13),1,0)</x:f>
        <x:v>0</x:v>
      </x:c>
      <x:c r="T233" s="10" t="n">
        <x:f>EOMONTH(J233-'Сводка'!$B$11,-1)</x:f>
        <x:v>46081</x:v>
      </x:c>
      <x:c r="U233" s="4" t="n">
        <x:f>MATCH(J233,'Сводка'!$R$3:$R$397,0)</x:f>
        <x:v>244</x:v>
      </x:c>
      <x:c r="V233" s="4" t="n">
        <x:f>MATCH(J233-'Сводка'!$B$11,'Сводка'!$R$3:$R$397,0)</x:f>
        <x:v>243</x:v>
      </x:c>
      <x:c r="W233" s="4" t="n">
        <x:f>MATCH(T233,$J$388:$J$400,0)</x:f>
        <x:v>9</x:v>
      </x:c>
      <x:c r="X233" s="3"/>
      <x:c r="Y233" s="3"/>
      <x:c r="Z233" s="3"/>
    </x:row>
    <x:row r="234" ht="15" customHeight="1">
      <x:c r="A234" s="3"/>
      <x:c r="B234" s="3"/>
      <x:c r="C234" s="3"/>
      <x:c r="D234" s="3"/>
      <x:c r="E234" s="3"/>
      <x:c r="F234" s="3"/>
      <x:c r="G234" s="3"/>
      <x:c r="H234" s="3"/>
      <x:c r="I234" s="3"/>
      <x:c r="J234" s="10" t="n">
        <x:v>46085</x:v>
      </x:c>
      <x:c r="K234" s="8" t="n">
        <x:f>INDEX('Сводка'!$S$3:$S$397,U234)</x:f>
        <x:v>-58</x:v>
      </x:c>
      <x:c r="L234" s="8" t="n">
        <x:f>INDEX('Сводка'!$S$3:$S$397,V234)</x:f>
        <x:v>-58</x:v>
      </x:c>
      <x:c r="M234" s="8" t="n">
        <x:f>INDEX($K$388:$N$400,W234,1)*EXP(INDEX($K$388:$N$400,W234,2)*((J234-$T$405+1)/1000))</x:f>
        <x:v>170.7260656087089</x:v>
      </x:c>
      <x:c r="N234" s="8" t="n">
        <x:f>K234-M234</x:f>
        <x:v>-228.7260656087089</x:v>
      </x:c>
      <x:c r="O234" s="8" t="n">
        <x:f>ABS(N234)</x:f>
        <x:v>228.7260656087089</x:v>
      </x:c>
      <x:c r="P234" s="8" t="n">
        <x:f>N234^2</x:f>
        <x:v>52315.613088839404</x:v>
      </x:c>
      <x:c r="Q234" s="8" t="n">
        <x:f>K234-L234</x:f>
        <x:v>0</x:v>
      </x:c>
      <x:c r="R234" s="9" t="n">
        <x:f>IF(AND(INDEX('Сводка'!$T$3:$T$397,U234)=0,INDEX('Сводка'!$T$3:$T$397,V234)=0),1,0)</x:f>
        <x:v>1</x:v>
      </x:c>
      <x:c r="S234" s="9" t="n">
        <x:f>IF(AND(R234=1,O234&lt;=$G$13),1,0)</x:f>
        <x:v>0</x:v>
      </x:c>
      <x:c r="T234" s="10" t="n">
        <x:f>EOMONTH(J234-'Сводка'!$B$11,-1)</x:f>
        <x:v>46081</x:v>
      </x:c>
      <x:c r="U234" s="4" t="n">
        <x:f>MATCH(J234,'Сводка'!$R$3:$R$397,0)</x:f>
        <x:v>245</x:v>
      </x:c>
      <x:c r="V234" s="4" t="n">
        <x:f>MATCH(J234-'Сводка'!$B$11,'Сводка'!$R$3:$R$397,0)</x:f>
        <x:v>244</x:v>
      </x:c>
      <x:c r="W234" s="4" t="n">
        <x:f>MATCH(T234,$J$388:$J$400,0)</x:f>
        <x:v>9</x:v>
      </x:c>
      <x:c r="X234" s="3"/>
      <x:c r="Y234" s="3"/>
      <x:c r="Z234" s="3"/>
    </x:row>
    <x:row r="235" ht="15" customHeight="1">
      <x:c r="A235" s="3"/>
      <x:c r="B235" s="3"/>
      <x:c r="C235" s="3"/>
      <x:c r="D235" s="3"/>
      <x:c r="E235" s="3"/>
      <x:c r="F235" s="3"/>
      <x:c r="G235" s="3"/>
      <x:c r="H235" s="3"/>
      <x:c r="I235" s="3"/>
      <x:c r="J235" s="10" t="n">
        <x:v>46086</x:v>
      </x:c>
      <x:c r="K235" s="8" t="n">
        <x:f>INDEX('Сводка'!$S$3:$S$397,U235)</x:f>
        <x:v>-58</x:v>
      </x:c>
      <x:c r="L235" s="8" t="n">
        <x:f>INDEX('Сводка'!$S$3:$S$397,V235)</x:f>
        <x:v>-58</x:v>
      </x:c>
      <x:c r="M235" s="8" t="n">
        <x:f>INDEX($K$388:$N$400,W235,1)*EXP(INDEX($K$388:$N$400,W235,2)*((J235-$T$405+1)/1000))</x:f>
        <x:v>170.76488633957595</x:v>
      </x:c>
      <x:c r="N235" s="8" t="n">
        <x:f>K235-M235</x:f>
        <x:v>-228.76488633957595</x:v>
      </x:c>
      <x:c r="O235" s="8" t="n">
        <x:f>ABS(N235)</x:f>
        <x:v>228.76488633957595</x:v>
      </x:c>
      <x:c r="P235" s="8" t="n">
        <x:f>N235^2</x:f>
        <x:v>52333.373221959104</x:v>
      </x:c>
      <x:c r="Q235" s="8" t="n">
        <x:f>K235-L235</x:f>
        <x:v>0</x:v>
      </x:c>
      <x:c r="R235" s="9" t="n">
        <x:f>IF(AND(INDEX('Сводка'!$T$3:$T$397,U235)=0,INDEX('Сводка'!$T$3:$T$397,V235)=0),1,0)</x:f>
        <x:v>1</x:v>
      </x:c>
      <x:c r="S235" s="9" t="n">
        <x:f>IF(AND(R235=1,O235&lt;=$G$13),1,0)</x:f>
        <x:v>0</x:v>
      </x:c>
      <x:c r="T235" s="10" t="n">
        <x:f>EOMONTH(J235-'Сводка'!$B$11,-1)</x:f>
        <x:v>46081</x:v>
      </x:c>
      <x:c r="U235" s="4" t="n">
        <x:f>MATCH(J235,'Сводка'!$R$3:$R$397,0)</x:f>
        <x:v>246</x:v>
      </x:c>
      <x:c r="V235" s="4" t="n">
        <x:f>MATCH(J235-'Сводка'!$B$11,'Сводка'!$R$3:$R$397,0)</x:f>
        <x:v>245</x:v>
      </x:c>
      <x:c r="W235" s="4" t="n">
        <x:f>MATCH(T235,$J$388:$J$400,0)</x:f>
        <x:v>9</x:v>
      </x:c>
      <x:c r="X235" s="3"/>
      <x:c r="Y235" s="3"/>
      <x:c r="Z235" s="3"/>
    </x:row>
    <x:row r="236" ht="15" customHeight="1">
      <x:c r="A236" s="3"/>
      <x:c r="B236" s="3"/>
      <x:c r="C236" s="3"/>
      <x:c r="D236" s="3"/>
      <x:c r="E236" s="3"/>
      <x:c r="F236" s="3"/>
      <x:c r="G236" s="3"/>
      <x:c r="H236" s="3"/>
      <x:c r="I236" s="3"/>
      <x:c r="J236" s="10" t="n">
        <x:v>46087</x:v>
      </x:c>
      <x:c r="K236" s="8" t="n">
        <x:f>INDEX('Сводка'!$S$3:$S$397,U236)</x:f>
        <x:v>-57</x:v>
      </x:c>
      <x:c r="L236" s="8" t="n">
        <x:f>INDEX('Сводка'!$S$3:$S$397,V236)</x:f>
        <x:v>-58</x:v>
      </x:c>
      <x:c r="M236" s="8" t="n">
        <x:f>INDEX($K$388:$N$400,W236,1)*EXP(INDEX($K$388:$N$400,W236,2)*((J236-$T$405+1)/1000))</x:f>
        <x:v>170.80371589773685</x:v>
      </x:c>
      <x:c r="N236" s="8" t="n">
        <x:f>K236-M236</x:f>
        <x:v>-227.80371589773685</x:v>
      </x:c>
      <x:c r="O236" s="8" t="n">
        <x:f>ABS(N236)</x:f>
        <x:v>227.80371589773685</x:v>
      </x:c>
      <x:c r="P236" s="8" t="n">
        <x:f>N236^2</x:f>
        <x:v>51894.53297681681</x:v>
      </x:c>
      <x:c r="Q236" s="8" t="n">
        <x:f>K236-L236</x:f>
        <x:v>1</x:v>
      </x:c>
      <x:c r="R236" s="9" t="n">
        <x:f>IF(AND(INDEX('Сводка'!$T$3:$T$397,U236)=0,INDEX('Сводка'!$T$3:$T$397,V236)=0),1,0)</x:f>
        <x:v>1</x:v>
      </x:c>
      <x:c r="S236" s="9" t="n">
        <x:f>IF(AND(R236=1,O236&lt;=$G$13),1,0)</x:f>
        <x:v>0</x:v>
      </x:c>
      <x:c r="T236" s="10" t="n">
        <x:f>EOMONTH(J236-'Сводка'!$B$11,-1)</x:f>
        <x:v>46081</x:v>
      </x:c>
      <x:c r="U236" s="4" t="n">
        <x:f>MATCH(J236,'Сводка'!$R$3:$R$397,0)</x:f>
        <x:v>247</x:v>
      </x:c>
      <x:c r="V236" s="4" t="n">
        <x:f>MATCH(J236-'Сводка'!$B$11,'Сводка'!$R$3:$R$397,0)</x:f>
        <x:v>246</x:v>
      </x:c>
      <x:c r="W236" s="4" t="n">
        <x:f>MATCH(T236,$J$388:$J$400,0)</x:f>
        <x:v>9</x:v>
      </x:c>
      <x:c r="X236" s="3"/>
      <x:c r="Y236" s="3"/>
      <x:c r="Z236" s="3"/>
    </x:row>
    <x:row r="237" ht="15" customHeight="1">
      <x:c r="A237" s="3"/>
      <x:c r="B237" s="3"/>
      <x:c r="C237" s="3"/>
      <x:c r="D237" s="3"/>
      <x:c r="E237" s="3"/>
      <x:c r="F237" s="3"/>
      <x:c r="G237" s="3"/>
      <x:c r="H237" s="3"/>
      <x:c r="I237" s="3"/>
      <x:c r="J237" s="10" t="n">
        <x:v>46088</x:v>
      </x:c>
      <x:c r="K237" s="8" t="n">
        <x:f>INDEX('Сводка'!$S$3:$S$397,U237)</x:f>
        <x:v>-57</x:v>
      </x:c>
      <x:c r="L237" s="8" t="n">
        <x:f>INDEX('Сводка'!$S$3:$S$397,V237)</x:f>
        <x:v>-57</x:v>
      </x:c>
      <x:c r="M237" s="8" t="n">
        <x:f>INDEX($K$388:$N$400,W237,1)*EXP(INDEX($K$388:$N$400,W237,2)*((J237-$T$405+1)/1000))</x:f>
        <x:v>170.84255428519887</x:v>
      </x:c>
      <x:c r="N237" s="8" t="n">
        <x:f>K237-M237</x:f>
        <x:v>-227.84255428519887</x:v>
      </x:c>
      <x:c r="O237" s="8" t="n">
        <x:f>ABS(N237)</x:f>
        <x:v>227.84255428519887</x:v>
      </x:c>
      <x:c r="P237" s="8" t="n">
        <x:f>N237^2</x:f>
        <x:v>51912.22954320379</x:v>
      </x:c>
      <x:c r="Q237" s="8" t="n">
        <x:f>K237-L237</x:f>
        <x:v>0</x:v>
      </x:c>
      <x:c r="R237" s="9" t="n">
        <x:f>IF(AND(INDEX('Сводка'!$T$3:$T$397,U237)=0,INDEX('Сводка'!$T$3:$T$397,V237)=0),1,0)</x:f>
        <x:v>1</x:v>
      </x:c>
      <x:c r="S237" s="9" t="n">
        <x:f>IF(AND(R237=1,O237&lt;=$G$13),1,0)</x:f>
        <x:v>0</x:v>
      </x:c>
      <x:c r="T237" s="10" t="n">
        <x:f>EOMONTH(J237-'Сводка'!$B$11,-1)</x:f>
        <x:v>46081</x:v>
      </x:c>
      <x:c r="U237" s="4" t="n">
        <x:f>MATCH(J237,'Сводка'!$R$3:$R$397,0)</x:f>
        <x:v>248</x:v>
      </x:c>
      <x:c r="V237" s="4" t="n">
        <x:f>MATCH(J237-'Сводка'!$B$11,'Сводка'!$R$3:$R$397,0)</x:f>
        <x:v>247</x:v>
      </x:c>
      <x:c r="W237" s="4" t="n">
        <x:f>MATCH(T237,$J$388:$J$400,0)</x:f>
        <x:v>9</x:v>
      </x:c>
      <x:c r="X237" s="3"/>
      <x:c r="Y237" s="3"/>
      <x:c r="Z237" s="3"/>
    </x:row>
    <x:row r="238" ht="15" customHeight="1">
      <x:c r="A238" s="3"/>
      <x:c r="B238" s="3"/>
      <x:c r="C238" s="3"/>
      <x:c r="D238" s="3"/>
      <x:c r="E238" s="3"/>
      <x:c r="F238" s="3"/>
      <x:c r="G238" s="3"/>
      <x:c r="H238" s="3"/>
      <x:c r="I238" s="3"/>
      <x:c r="J238" s="10" t="n">
        <x:v>46089</x:v>
      </x:c>
      <x:c r="K238" s="8" t="n">
        <x:f>INDEX('Сводка'!$S$3:$S$397,U238)</x:f>
        <x:v>-59</x:v>
      </x:c>
      <x:c r="L238" s="8" t="n">
        <x:f>INDEX('Сводка'!$S$3:$S$397,V238)</x:f>
        <x:v>-57</x:v>
      </x:c>
      <x:c r="M238" s="8" t="n">
        <x:f>INDEX($K$388:$N$400,W238,1)*EXP(INDEX($K$388:$N$400,W238,2)*((J238-$T$405+1)/1000))</x:f>
        <x:v>170.8814015039694</x:v>
      </x:c>
      <x:c r="N238" s="8" t="n">
        <x:f>K238-M238</x:f>
        <x:v>-229.8814015039694</x:v>
      </x:c>
      <x:c r="O238" s="8" t="n">
        <x:f>ABS(N238)</x:f>
        <x:v>229.8814015039694</x:v>
      </x:c>
      <x:c r="P238" s="8" t="n">
        <x:f>N238^2</x:f>
        <x:v>52845.458757429195</x:v>
      </x:c>
      <x:c r="Q238" s="8" t="n">
        <x:f>K238-L238</x:f>
        <x:v>-2</x:v>
      </x:c>
      <x:c r="R238" s="9" t="n">
        <x:f>IF(AND(INDEX('Сводка'!$T$3:$T$397,U238)=0,INDEX('Сводка'!$T$3:$T$397,V238)=0),1,0)</x:f>
        <x:v>1</x:v>
      </x:c>
      <x:c r="S238" s="9" t="n">
        <x:f>IF(AND(R238=1,O238&lt;=$G$13),1,0)</x:f>
        <x:v>0</x:v>
      </x:c>
      <x:c r="T238" s="10" t="n">
        <x:f>EOMONTH(J238-'Сводка'!$B$11,-1)</x:f>
        <x:v>46081</x:v>
      </x:c>
      <x:c r="U238" s="4" t="n">
        <x:f>MATCH(J238,'Сводка'!$R$3:$R$397,0)</x:f>
        <x:v>249</x:v>
      </x:c>
      <x:c r="V238" s="4" t="n">
        <x:f>MATCH(J238-'Сводка'!$B$11,'Сводка'!$R$3:$R$397,0)</x:f>
        <x:v>248</x:v>
      </x:c>
      <x:c r="W238" s="4" t="n">
        <x:f>MATCH(T238,$J$388:$J$400,0)</x:f>
        <x:v>9</x:v>
      </x:c>
      <x:c r="X238" s="3"/>
      <x:c r="Y238" s="3"/>
      <x:c r="Z238" s="3"/>
    </x:row>
    <x:row r="239" ht="15" customHeight="1">
      <x:c r="A239" s="3"/>
      <x:c r="B239" s="3"/>
      <x:c r="C239" s="3"/>
      <x:c r="D239" s="3"/>
      <x:c r="E239" s="3"/>
      <x:c r="F239" s="3"/>
      <x:c r="G239" s="3"/>
      <x:c r="H239" s="3"/>
      <x:c r="I239" s="3"/>
      <x:c r="J239" s="10" t="n">
        <x:v>46090</x:v>
      </x:c>
      <x:c r="K239" s="8" t="n">
        <x:f>INDEX('Сводка'!$S$3:$S$397,U239)</x:f>
        <x:v>-61</x:v>
      </x:c>
      <x:c r="L239" s="8" t="n">
        <x:f>INDEX('Сводка'!$S$3:$S$397,V239)</x:f>
        <x:v>-59</x:v>
      </x:c>
      <x:c r="M239" s="8" t="n">
        <x:f>INDEX($K$388:$N$400,W239,1)*EXP(INDEX($K$388:$N$400,W239,2)*((J239-$T$405+1)/1000))</x:f>
        <x:v>170.9202575560568</x:v>
      </x:c>
      <x:c r="N239" s="8" t="n">
        <x:f>K239-M239</x:f>
        <x:v>-231.9202575560568</x:v>
      </x:c>
      <x:c r="O239" s="8" t="n">
        <x:f>ABS(N239)</x:f>
        <x:v>231.9202575560568</x:v>
      </x:c>
      <x:c r="P239" s="8" t="n">
        <x:f>N239^2</x:f>
        <x:v>53787.00586486773</x:v>
      </x:c>
      <x:c r="Q239" s="8" t="n">
        <x:f>K239-L239</x:f>
        <x:v>-2</x:v>
      </x:c>
      <x:c r="R239" s="9" t="n">
        <x:f>IF(AND(INDEX('Сводка'!$T$3:$T$397,U239)=0,INDEX('Сводка'!$T$3:$T$397,V239)=0),1,0)</x:f>
        <x:v>1</x:v>
      </x:c>
      <x:c r="S239" s="9" t="n">
        <x:f>IF(AND(R239=1,O239&lt;=$G$13),1,0)</x:f>
        <x:v>0</x:v>
      </x:c>
      <x:c r="T239" s="10" t="n">
        <x:f>EOMONTH(J239-'Сводка'!$B$11,-1)</x:f>
        <x:v>46081</x:v>
      </x:c>
      <x:c r="U239" s="4" t="n">
        <x:f>MATCH(J239,'Сводка'!$R$3:$R$397,0)</x:f>
        <x:v>250</x:v>
      </x:c>
      <x:c r="V239" s="4" t="n">
        <x:f>MATCH(J239-'Сводка'!$B$11,'Сводка'!$R$3:$R$397,0)</x:f>
        <x:v>249</x:v>
      </x:c>
      <x:c r="W239" s="4" t="n">
        <x:f>MATCH(T239,$J$388:$J$400,0)</x:f>
        <x:v>9</x:v>
      </x:c>
      <x:c r="X239" s="3"/>
      <x:c r="Y239" s="3"/>
      <x:c r="Z239" s="3"/>
    </x:row>
    <x:row r="240" ht="15" customHeight="1">
      <x:c r="A240" s="3"/>
      <x:c r="B240" s="3"/>
      <x:c r="C240" s="3"/>
      <x:c r="D240" s="3"/>
      <x:c r="E240" s="3"/>
      <x:c r="F240" s="3"/>
      <x:c r="G240" s="3"/>
      <x:c r="H240" s="3"/>
      <x:c r="I240" s="3"/>
      <x:c r="J240" s="10" t="n">
        <x:v>46091</x:v>
      </x:c>
      <x:c r="K240" s="8" t="n">
        <x:f>INDEX('Сводка'!$S$3:$S$397,U240)</x:f>
        <x:v>-64</x:v>
      </x:c>
      <x:c r="L240" s="8" t="n">
        <x:f>INDEX('Сводка'!$S$3:$S$397,V240)</x:f>
        <x:v>-61</x:v>
      </x:c>
      <x:c r="M240" s="8" t="n">
        <x:f>INDEX($K$388:$N$400,W240,1)*EXP(INDEX($K$388:$N$400,W240,2)*((J240-$T$405+1)/1000))</x:f>
        <x:v>170.9591224434697</x:v>
      </x:c>
      <x:c r="N240" s="8" t="n">
        <x:f>K240-M240</x:f>
        <x:v>-234.9591224434697</x:v>
      </x:c>
      <x:c r="O240" s="8" t="n">
        <x:f>ABS(N240)</x:f>
        <x:v>234.9591224434697</x:v>
      </x:c>
      <x:c r="P240" s="8" t="n">
        <x:f>N240^2</x:f>
        <x:v>55205.78921940539</x:v>
      </x:c>
      <x:c r="Q240" s="8" t="n">
        <x:f>K240-L240</x:f>
        <x:v>-3</x:v>
      </x:c>
      <x:c r="R240" s="9" t="n">
        <x:f>IF(AND(INDEX('Сводка'!$T$3:$T$397,U240)=0,INDEX('Сводка'!$T$3:$T$397,V240)=0),1,0)</x:f>
        <x:v>1</x:v>
      </x:c>
      <x:c r="S240" s="9" t="n">
        <x:f>IF(AND(R240=1,O240&lt;=$G$13),1,0)</x:f>
        <x:v>0</x:v>
      </x:c>
      <x:c r="T240" s="10" t="n">
        <x:f>EOMONTH(J240-'Сводка'!$B$11,-1)</x:f>
        <x:v>46081</x:v>
      </x:c>
      <x:c r="U240" s="4" t="n">
        <x:f>MATCH(J240,'Сводка'!$R$3:$R$397,0)</x:f>
        <x:v>251</x:v>
      </x:c>
      <x:c r="V240" s="4" t="n">
        <x:f>MATCH(J240-'Сводка'!$B$11,'Сводка'!$R$3:$R$397,0)</x:f>
        <x:v>250</x:v>
      </x:c>
      <x:c r="W240" s="4" t="n">
        <x:f>MATCH(T240,$J$388:$J$400,0)</x:f>
        <x:v>9</x:v>
      </x:c>
      <x:c r="X240" s="3"/>
      <x:c r="Y240" s="3"/>
      <x:c r="Z240" s="3"/>
    </x:row>
    <x:row r="241" ht="15" customHeight="1">
      <x:c r="A241" s="3"/>
      <x:c r="B241" s="3"/>
      <x:c r="C241" s="3"/>
      <x:c r="D241" s="3"/>
      <x:c r="E241" s="3"/>
      <x:c r="F241" s="3"/>
      <x:c r="G241" s="3"/>
      <x:c r="H241" s="3"/>
      <x:c r="I241" s="3"/>
      <x:c r="J241" s="10" t="n">
        <x:v>46092</x:v>
      </x:c>
      <x:c r="K241" s="8" t="n">
        <x:f>INDEX('Сводка'!$S$3:$S$397,U241)</x:f>
        <x:v>-69</x:v>
      </x:c>
      <x:c r="L241" s="8" t="n">
        <x:f>INDEX('Сводка'!$S$3:$S$397,V241)</x:f>
        <x:v>-64</x:v>
      </x:c>
      <x:c r="M241" s="8" t="n">
        <x:f>INDEX($K$388:$N$400,W241,1)*EXP(INDEX($K$388:$N$400,W241,2)*((J241-$T$405+1)/1000))</x:f>
        <x:v>170.9979961682169</x:v>
      </x:c>
      <x:c r="N241" s="8" t="n">
        <x:f>K241-M241</x:f>
        <x:v>-239.9979961682169</x:v>
      </x:c>
      <x:c r="O241" s="8" t="n">
        <x:f>ABS(N241)</x:f>
        <x:v>239.9979961682169</x:v>
      </x:c>
      <x:c r="P241" s="8" t="n">
        <x:f>N241^2</x:f>
        <x:v>57599.038164759455</x:v>
      </x:c>
      <x:c r="Q241" s="8" t="n">
        <x:f>K241-L241</x:f>
        <x:v>-5</x:v>
      </x:c>
      <x:c r="R241" s="9" t="n">
        <x:f>IF(AND(INDEX('Сводка'!$T$3:$T$397,U241)=0,INDEX('Сводка'!$T$3:$T$397,V241)=0),1,0)</x:f>
        <x:v>1</x:v>
      </x:c>
      <x:c r="S241" s="9" t="n">
        <x:f>IF(AND(R241=1,O241&lt;=$G$13),1,0)</x:f>
        <x:v>0</x:v>
      </x:c>
      <x:c r="T241" s="10" t="n">
        <x:f>EOMONTH(J241-'Сводка'!$B$11,-1)</x:f>
        <x:v>46081</x:v>
      </x:c>
      <x:c r="U241" s="4" t="n">
        <x:f>MATCH(J241,'Сводка'!$R$3:$R$397,0)</x:f>
        <x:v>252</x:v>
      </x:c>
      <x:c r="V241" s="4" t="n">
        <x:f>MATCH(J241-'Сводка'!$B$11,'Сводка'!$R$3:$R$397,0)</x:f>
        <x:v>251</x:v>
      </x:c>
      <x:c r="W241" s="4" t="n">
        <x:f>MATCH(T241,$J$388:$J$400,0)</x:f>
        <x:v>9</x:v>
      </x:c>
      <x:c r="X241" s="3"/>
      <x:c r="Y241" s="3"/>
      <x:c r="Z241" s="3"/>
    </x:row>
    <x:row r="242" ht="15" customHeight="1">
      <x:c r="A242" s="3"/>
      <x:c r="B242" s="3"/>
      <x:c r="C242" s="3"/>
      <x:c r="D242" s="3"/>
      <x:c r="E242" s="3"/>
      <x:c r="F242" s="3"/>
      <x:c r="G242" s="3"/>
      <x:c r="H242" s="3"/>
      <x:c r="I242" s="3"/>
      <x:c r="J242" s="10" t="n">
        <x:v>46093</x:v>
      </x:c>
      <x:c r="K242" s="8" t="n">
        <x:f>INDEX('Сводка'!$S$3:$S$397,U242)</x:f>
        <x:v>-73</x:v>
      </x:c>
      <x:c r="L242" s="8" t="n">
        <x:f>INDEX('Сводка'!$S$3:$S$397,V242)</x:f>
        <x:v>-69</x:v>
      </x:c>
      <x:c r="M242" s="8" t="n">
        <x:f>INDEX($K$388:$N$400,W242,1)*EXP(INDEX($K$388:$N$400,W242,2)*((J242-$T$405+1)/1000))</x:f>
        <x:v>171.03687873230803</x:v>
      </x:c>
      <x:c r="N242" s="8" t="n">
        <x:f>K242-M242</x:f>
        <x:v>-244.03687873230803</x:v>
      </x:c>
      <x:c r="O242" s="8" t="n">
        <x:f>ABS(N242)</x:f>
        <x:v>244.03687873230803</x:v>
      </x:c>
      <x:c r="P242" s="8" t="n">
        <x:f>N242^2</x:f>
        <x:v>59553.998181407216</x:v>
      </x:c>
      <x:c r="Q242" s="8" t="n">
        <x:f>K242-L242</x:f>
        <x:v>-4</x:v>
      </x:c>
      <x:c r="R242" s="9" t="n">
        <x:f>IF(AND(INDEX('Сводка'!$T$3:$T$397,U242)=0,INDEX('Сводка'!$T$3:$T$397,V242)=0),1,0)</x:f>
        <x:v>1</x:v>
      </x:c>
      <x:c r="S242" s="9" t="n">
        <x:f>IF(AND(R242=1,O242&lt;=$G$13),1,0)</x:f>
        <x:v>0</x:v>
      </x:c>
      <x:c r="T242" s="10" t="n">
        <x:f>EOMONTH(J242-'Сводка'!$B$11,-1)</x:f>
        <x:v>46081</x:v>
      </x:c>
      <x:c r="U242" s="4" t="n">
        <x:f>MATCH(J242,'Сводка'!$R$3:$R$397,0)</x:f>
        <x:v>253</x:v>
      </x:c>
      <x:c r="V242" s="4" t="n">
        <x:f>MATCH(J242-'Сводка'!$B$11,'Сводка'!$R$3:$R$397,0)</x:f>
        <x:v>252</x:v>
      </x:c>
      <x:c r="W242" s="4" t="n">
        <x:f>MATCH(T242,$J$388:$J$400,0)</x:f>
        <x:v>9</x:v>
      </x:c>
      <x:c r="X242" s="3"/>
      <x:c r="Y242" s="3"/>
      <x:c r="Z242" s="3"/>
    </x:row>
    <x:row r="243" ht="15" customHeight="1">
      <x:c r="A243" s="3"/>
      <x:c r="B243" s="3"/>
      <x:c r="C243" s="3"/>
      <x:c r="D243" s="3"/>
      <x:c r="E243" s="3"/>
      <x:c r="F243" s="3"/>
      <x:c r="G243" s="3"/>
      <x:c r="H243" s="3"/>
      <x:c r="I243" s="3"/>
      <x:c r="J243" s="10" t="n">
        <x:v>46094</x:v>
      </x:c>
      <x:c r="K243" s="8" t="n">
        <x:f>INDEX('Сводка'!$S$3:$S$397,U243)</x:f>
        <x:v>-73</x:v>
      </x:c>
      <x:c r="L243" s="8" t="n">
        <x:f>INDEX('Сводка'!$S$3:$S$397,V243)</x:f>
        <x:v>-73</x:v>
      </x:c>
      <x:c r="M243" s="8" t="n">
        <x:f>INDEX($K$388:$N$400,W243,1)*EXP(INDEX($K$388:$N$400,W243,2)*((J243-$T$405+1)/1000))</x:f>
        <x:v>171.0757701377529</x:v>
      </x:c>
      <x:c r="N243" s="8" t="n">
        <x:f>K243-M243</x:f>
        <x:v>-244.0757701377529</x:v>
      </x:c>
      <x:c r="O243" s="8" t="n">
        <x:f>ABS(N243)</x:f>
        <x:v>244.0757701377529</x:v>
      </x:c>
      <x:c r="P243" s="8" t="n">
        <x:f>N243^2</x:f>
        <x:v>59572.98156833719</x:v>
      </x:c>
      <x:c r="Q243" s="8" t="n">
        <x:f>K243-L243</x:f>
        <x:v>0</x:v>
      </x:c>
      <x:c r="R243" s="9" t="n">
        <x:f>IF(AND(INDEX('Сводка'!$T$3:$T$397,U243)=0,INDEX('Сводка'!$T$3:$T$397,V243)=0),1,0)</x:f>
        <x:v>1</x:v>
      </x:c>
      <x:c r="S243" s="9" t="n">
        <x:f>IF(AND(R243=1,O243&lt;=$G$13),1,0)</x:f>
        <x:v>0</x:v>
      </x:c>
      <x:c r="T243" s="10" t="n">
        <x:f>EOMONTH(J243-'Сводка'!$B$11,-1)</x:f>
        <x:v>46081</x:v>
      </x:c>
      <x:c r="U243" s="4" t="n">
        <x:f>MATCH(J243,'Сводка'!$R$3:$R$397,0)</x:f>
        <x:v>254</x:v>
      </x:c>
      <x:c r="V243" s="4" t="n">
        <x:f>MATCH(J243-'Сводка'!$B$11,'Сводка'!$R$3:$R$397,0)</x:f>
        <x:v>253</x:v>
      </x:c>
      <x:c r="W243" s="4" t="n">
        <x:f>MATCH(T243,$J$388:$J$400,0)</x:f>
        <x:v>9</x:v>
      </x:c>
      <x:c r="X243" s="3"/>
      <x:c r="Y243" s="3"/>
      <x:c r="Z243" s="3"/>
    </x:row>
    <x:row r="244" ht="15" customHeight="1">
      <x:c r="A244" s="3"/>
      <x:c r="B244" s="3"/>
      <x:c r="C244" s="3"/>
      <x:c r="D244" s="3"/>
      <x:c r="E244" s="3"/>
      <x:c r="F244" s="3"/>
      <x:c r="G244" s="3"/>
      <x:c r="H244" s="3"/>
      <x:c r="I244" s="3"/>
      <x:c r="J244" s="10" t="n">
        <x:v>46095</x:v>
      </x:c>
      <x:c r="K244" s="8" t="n">
        <x:f>INDEX('Сводка'!$S$3:$S$397,U244)</x:f>
        <x:v>-75</x:v>
      </x:c>
      <x:c r="L244" s="8" t="n">
        <x:f>INDEX('Сводка'!$S$3:$S$397,V244)</x:f>
        <x:v>-73</x:v>
      </x:c>
      <x:c r="M244" s="8" t="n">
        <x:f>INDEX($K$388:$N$400,W244,1)*EXP(INDEX($K$388:$N$400,W244,2)*((J244-$T$405+1)/1000))</x:f>
        <x:v>171.11467038656218</x:v>
      </x:c>
      <x:c r="N244" s="8" t="n">
        <x:f>K244-M244</x:f>
        <x:v>-246.11467038656218</x:v>
      </x:c>
      <x:c r="O244" s="8" t="n">
        <x:f>ABS(N244)</x:f>
        <x:v>246.11467038656218</x:v>
      </x:c>
      <x:c r="P244" s="8" t="n">
        <x:f>N244^2</x:f>
        <x:v>60572.43097948615</x:v>
      </x:c>
      <x:c r="Q244" s="8" t="n">
        <x:f>K244-L244</x:f>
        <x:v>-2</x:v>
      </x:c>
      <x:c r="R244" s="9" t="n">
        <x:f>IF(AND(INDEX('Сводка'!$T$3:$T$397,U244)=0,INDEX('Сводка'!$T$3:$T$397,V244)=0),1,0)</x:f>
        <x:v>1</x:v>
      </x:c>
      <x:c r="S244" s="9" t="n">
        <x:f>IF(AND(R244=1,O244&lt;=$G$13),1,0)</x:f>
        <x:v>0</x:v>
      </x:c>
      <x:c r="T244" s="10" t="n">
        <x:f>EOMONTH(J244-'Сводка'!$B$11,-1)</x:f>
        <x:v>46081</x:v>
      </x:c>
      <x:c r="U244" s="4" t="n">
        <x:f>MATCH(J244,'Сводка'!$R$3:$R$397,0)</x:f>
        <x:v>255</x:v>
      </x:c>
      <x:c r="V244" s="4" t="n">
        <x:f>MATCH(J244-'Сводка'!$B$11,'Сводка'!$R$3:$R$397,0)</x:f>
        <x:v>254</x:v>
      </x:c>
      <x:c r="W244" s="4" t="n">
        <x:f>MATCH(T244,$J$388:$J$400,0)</x:f>
        <x:v>9</x:v>
      </x:c>
      <x:c r="X244" s="3"/>
      <x:c r="Y244" s="3"/>
      <x:c r="Z244" s="3"/>
    </x:row>
    <x:row r="245" ht="15" customHeight="1">
      <x:c r="A245" s="3"/>
      <x:c r="B245" s="3"/>
      <x:c r="C245" s="3"/>
      <x:c r="D245" s="3"/>
      <x:c r="E245" s="3"/>
      <x:c r="F245" s="3"/>
      <x:c r="G245" s="3"/>
      <x:c r="H245" s="3"/>
      <x:c r="I245" s="3"/>
      <x:c r="J245" s="10" t="n">
        <x:v>46096</x:v>
      </x:c>
      <x:c r="K245" s="8" t="n">
        <x:f>INDEX('Сводка'!$S$3:$S$397,U245)</x:f>
        <x:v>-76</x:v>
      </x:c>
      <x:c r="L245" s="8" t="n">
        <x:f>INDEX('Сводка'!$S$3:$S$397,V245)</x:f>
        <x:v>-75</x:v>
      </x:c>
      <x:c r="M245" s="8" t="n">
        <x:f>INDEX($K$388:$N$400,W245,1)*EXP(INDEX($K$388:$N$400,W245,2)*((J245-$T$405+1)/1000))</x:f>
        <x:v>171.15357948074646</x:v>
      </x:c>
      <x:c r="N245" s="8" t="n">
        <x:f>K245-M245</x:f>
        <x:v>-247.15357948074646</x:v>
      </x:c>
      <x:c r="O245" s="8" t="n">
        <x:f>ABS(N245)</x:f>
        <x:v>247.15357948074646</x:v>
      </x:c>
      <x:c r="P245" s="8" t="n">
        <x:f>N245^2</x:f>
        <x:v>61084.89185014566</x:v>
      </x:c>
      <x:c r="Q245" s="8" t="n">
        <x:f>K245-L245</x:f>
        <x:v>-1</x:v>
      </x:c>
      <x:c r="R245" s="9" t="n">
        <x:f>IF(AND(INDEX('Сводка'!$T$3:$T$397,U245)=0,INDEX('Сводка'!$T$3:$T$397,V245)=0),1,0)</x:f>
        <x:v>1</x:v>
      </x:c>
      <x:c r="S245" s="9" t="n">
        <x:f>IF(AND(R245=1,O245&lt;=$G$13),1,0)</x:f>
        <x:v>0</x:v>
      </x:c>
      <x:c r="T245" s="10" t="n">
        <x:f>EOMONTH(J245-'Сводка'!$B$11,-1)</x:f>
        <x:v>46081</x:v>
      </x:c>
      <x:c r="U245" s="4" t="n">
        <x:f>MATCH(J245,'Сводка'!$R$3:$R$397,0)</x:f>
        <x:v>256</x:v>
      </x:c>
      <x:c r="V245" s="4" t="n">
        <x:f>MATCH(J245-'Сводка'!$B$11,'Сводка'!$R$3:$R$397,0)</x:f>
        <x:v>255</x:v>
      </x:c>
      <x:c r="W245" s="4" t="n">
        <x:f>MATCH(T245,$J$388:$J$400,0)</x:f>
        <x:v>9</x:v>
      </x:c>
      <x:c r="X245" s="3"/>
      <x:c r="Y245" s="3"/>
      <x:c r="Z245" s="3"/>
    </x:row>
    <x:row r="246" ht="15" customHeight="1">
      <x:c r="A246" s="3"/>
      <x:c r="B246" s="3"/>
      <x:c r="C246" s="3"/>
      <x:c r="D246" s="3"/>
      <x:c r="E246" s="3"/>
      <x:c r="F246" s="3"/>
      <x:c r="G246" s="3"/>
      <x:c r="H246" s="3"/>
      <x:c r="I246" s="3"/>
      <x:c r="J246" s="10" t="n">
        <x:v>46097</x:v>
      </x:c>
      <x:c r="K246" s="8" t="n">
        <x:f>INDEX('Сводка'!$S$3:$S$397,U246)</x:f>
        <x:v>-76</x:v>
      </x:c>
      <x:c r="L246" s="8" t="n">
        <x:f>INDEX('Сводка'!$S$3:$S$397,V246)</x:f>
        <x:v>-76</x:v>
      </x:c>
      <x:c r="M246" s="8" t="n">
        <x:f>INDEX($K$388:$N$400,W246,1)*EXP(INDEX($K$388:$N$400,W246,2)*((J246-$T$405+1)/1000))</x:f>
        <x:v>171.19249742231716</x:v>
      </x:c>
      <x:c r="N246" s="8" t="n">
        <x:f>K246-M246</x:f>
        <x:v>-247.19249742231716</x:v>
      </x:c>
      <x:c r="O246" s="8" t="n">
        <x:f>ABS(N246)</x:f>
        <x:v>247.19249742231716</x:v>
      </x:c>
      <x:c r="P246" s="8" t="n">
        <x:f>N246^2</x:f>
        <x:v>61104.130781882275</x:v>
      </x:c>
      <x:c r="Q246" s="8" t="n">
        <x:f>K246-L246</x:f>
        <x:v>0</x:v>
      </x:c>
      <x:c r="R246" s="9" t="n">
        <x:f>IF(AND(INDEX('Сводка'!$T$3:$T$397,U246)=0,INDEX('Сводка'!$T$3:$T$397,V246)=0),1,0)</x:f>
        <x:v>1</x:v>
      </x:c>
      <x:c r="S246" s="9" t="n">
        <x:f>IF(AND(R246=1,O246&lt;=$G$13),1,0)</x:f>
        <x:v>0</x:v>
      </x:c>
      <x:c r="T246" s="10" t="n">
        <x:f>EOMONTH(J246-'Сводка'!$B$11,-1)</x:f>
        <x:v>46081</x:v>
      </x:c>
      <x:c r="U246" s="4" t="n">
        <x:f>MATCH(J246,'Сводка'!$R$3:$R$397,0)</x:f>
        <x:v>257</x:v>
      </x:c>
      <x:c r="V246" s="4" t="n">
        <x:f>MATCH(J246-'Сводка'!$B$11,'Сводка'!$R$3:$R$397,0)</x:f>
        <x:v>256</x:v>
      </x:c>
      <x:c r="W246" s="4" t="n">
        <x:f>MATCH(T246,$J$388:$J$400,0)</x:f>
        <x:v>9</x:v>
      </x:c>
      <x:c r="X246" s="3"/>
      <x:c r="Y246" s="3"/>
      <x:c r="Z246" s="3"/>
    </x:row>
    <x:row r="247" ht="15" customHeight="1">
      <x:c r="A247" s="3"/>
      <x:c r="B247" s="3"/>
      <x:c r="C247" s="3"/>
      <x:c r="D247" s="3"/>
      <x:c r="E247" s="3"/>
      <x:c r="F247" s="3"/>
      <x:c r="G247" s="3"/>
      <x:c r="H247" s="3"/>
      <x:c r="I247" s="3"/>
      <x:c r="J247" s="10" t="n">
        <x:v>46098</x:v>
      </x:c>
      <x:c r="K247" s="8" t="n">
        <x:f>INDEX('Сводка'!$S$3:$S$397,U247)</x:f>
        <x:v>-76</x:v>
      </x:c>
      <x:c r="L247" s="8" t="n">
        <x:f>INDEX('Сводка'!$S$3:$S$397,V247)</x:f>
        <x:v>-76</x:v>
      </x:c>
      <x:c r="M247" s="8" t="n">
        <x:f>INDEX($K$388:$N$400,W247,1)*EXP(INDEX($K$388:$N$400,W247,2)*((J247-$T$405+1)/1000))</x:f>
        <x:v>171.23142421328606</x:v>
      </x:c>
      <x:c r="N247" s="8" t="n">
        <x:f>K247-M247</x:f>
        <x:v>-247.23142421328606</x:v>
      </x:c>
      <x:c r="O247" s="8" t="n">
        <x:f>ABS(N247)</x:f>
        <x:v>247.23142421328606</x:v>
      </x:c>
      <x:c r="P247" s="8" t="n">
        <x:f>N247^2</x:f>
        <x:v>61123.37711852981</x:v>
      </x:c>
      <x:c r="Q247" s="8" t="n">
        <x:f>K247-L247</x:f>
        <x:v>0</x:v>
      </x:c>
      <x:c r="R247" s="9" t="n">
        <x:f>IF(AND(INDEX('Сводка'!$T$3:$T$397,U247)=0,INDEX('Сводка'!$T$3:$T$397,V247)=0),1,0)</x:f>
        <x:v>1</x:v>
      </x:c>
      <x:c r="S247" s="9" t="n">
        <x:f>IF(AND(R247=1,O247&lt;=$G$13),1,0)</x:f>
        <x:v>0</x:v>
      </x:c>
      <x:c r="T247" s="10" t="n">
        <x:f>EOMONTH(J247-'Сводка'!$B$11,-1)</x:f>
        <x:v>46081</x:v>
      </x:c>
      <x:c r="U247" s="4" t="n">
        <x:f>MATCH(J247,'Сводка'!$R$3:$R$397,0)</x:f>
        <x:v>258</x:v>
      </x:c>
      <x:c r="V247" s="4" t="n">
        <x:f>MATCH(J247-'Сводка'!$B$11,'Сводка'!$R$3:$R$397,0)</x:f>
        <x:v>257</x:v>
      </x:c>
      <x:c r="W247" s="4" t="n">
        <x:f>MATCH(T247,$J$388:$J$400,0)</x:f>
        <x:v>9</x:v>
      </x:c>
      <x:c r="X247" s="3"/>
      <x:c r="Y247" s="3"/>
      <x:c r="Z247" s="3"/>
    </x:row>
    <x:row r="248" ht="15" customHeight="1">
      <x:c r="A248" s="3"/>
      <x:c r="B248" s="3"/>
      <x:c r="C248" s="3"/>
      <x:c r="D248" s="3"/>
      <x:c r="E248" s="3"/>
      <x:c r="F248" s="3"/>
      <x:c r="G248" s="3"/>
      <x:c r="H248" s="3"/>
      <x:c r="I248" s="3"/>
      <x:c r="J248" s="10" t="n">
        <x:v>46099</x:v>
      </x:c>
      <x:c r="K248" s="8" t="n">
        <x:f>INDEX('Сводка'!$S$3:$S$397,U248)</x:f>
        <x:v>-74</x:v>
      </x:c>
      <x:c r="L248" s="8" t="n">
        <x:f>INDEX('Сводка'!$S$3:$S$397,V248)</x:f>
        <x:v>-76</x:v>
      </x:c>
      <x:c r="M248" s="8" t="n">
        <x:f>INDEX($K$388:$N$400,W248,1)*EXP(INDEX($K$388:$N$400,W248,2)*((J248-$T$405+1)/1000))</x:f>
        <x:v>171.2703598556654</x:v>
      </x:c>
      <x:c r="N248" s="8" t="n">
        <x:f>K248-M248</x:f>
        <x:v>-245.2703598556654</x:v>
      </x:c>
      <x:c r="O248" s="8" t="n">
        <x:f>ABS(N248)</x:f>
        <x:v>245.2703598556654</x:v>
      </x:c>
      <x:c r="P248" s="8" t="n">
        <x:f>N248^2</x:f>
        <x:v>60157.5494237276</x:v>
      </x:c>
      <x:c r="Q248" s="8" t="n">
        <x:f>K248-L248</x:f>
        <x:v>2</x:v>
      </x:c>
      <x:c r="R248" s="9" t="n">
        <x:f>IF(AND(INDEX('Сводка'!$T$3:$T$397,U248)=0,INDEX('Сводка'!$T$3:$T$397,V248)=0),1,0)</x:f>
        <x:v>1</x:v>
      </x:c>
      <x:c r="S248" s="9" t="n">
        <x:f>IF(AND(R248=1,O248&lt;=$G$13),1,0)</x:f>
        <x:v>0</x:v>
      </x:c>
      <x:c r="T248" s="10" t="n">
        <x:f>EOMONTH(J248-'Сводка'!$B$11,-1)</x:f>
        <x:v>46081</x:v>
      </x:c>
      <x:c r="U248" s="4" t="n">
        <x:f>MATCH(J248,'Сводка'!$R$3:$R$397,0)</x:f>
        <x:v>259</x:v>
      </x:c>
      <x:c r="V248" s="4" t="n">
        <x:f>MATCH(J248-'Сводка'!$B$11,'Сводка'!$R$3:$R$397,0)</x:f>
        <x:v>258</x:v>
      </x:c>
      <x:c r="W248" s="4" t="n">
        <x:f>MATCH(T248,$J$388:$J$400,0)</x:f>
        <x:v>9</x:v>
      </x:c>
      <x:c r="X248" s="3"/>
      <x:c r="Y248" s="3"/>
      <x:c r="Z248" s="3"/>
    </x:row>
    <x:row r="249" ht="15" customHeight="1">
      <x:c r="A249" s="3"/>
      <x:c r="B249" s="3"/>
      <x:c r="C249" s="3"/>
      <x:c r="D249" s="3"/>
      <x:c r="E249" s="3"/>
      <x:c r="F249" s="3"/>
      <x:c r="G249" s="3"/>
      <x:c r="H249" s="3"/>
      <x:c r="I249" s="3"/>
      <x:c r="J249" s="10" t="n">
        <x:v>46100</x:v>
      </x:c>
      <x:c r="K249" s="8" t="n">
        <x:f>INDEX('Сводка'!$S$3:$S$397,U249)</x:f>
        <x:v>-73</x:v>
      </x:c>
      <x:c r="L249" s="8" t="n">
        <x:f>INDEX('Сводка'!$S$3:$S$397,V249)</x:f>
        <x:v>-74</x:v>
      </x:c>
      <x:c r="M249" s="8" t="n">
        <x:f>INDEX($K$388:$N$400,W249,1)*EXP(INDEX($K$388:$N$400,W249,2)*((J249-$T$405+1)/1000))</x:f>
        <x:v>171.3093043514678</x:v>
      </x:c>
      <x:c r="N249" s="8" t="n">
        <x:f>K249-M249</x:f>
        <x:v>-244.3093043514678</x:v>
      </x:c>
      <x:c r="O249" s="8" t="n">
        <x:f>ABS(N249)</x:f>
        <x:v>244.3093043514678</x:v>
      </x:c>
      <x:c r="P249" s="8" t="n">
        <x:f>N249^2</x:f>
        <x:v>59687.03619269813</x:v>
      </x:c>
      <x:c r="Q249" s="8" t="n">
        <x:f>K249-L249</x:f>
        <x:v>1</x:v>
      </x:c>
      <x:c r="R249" s="9" t="n">
        <x:f>IF(AND(INDEX('Сводка'!$T$3:$T$397,U249)=0,INDEX('Сводка'!$T$3:$T$397,V249)=0),1,0)</x:f>
        <x:v>1</x:v>
      </x:c>
      <x:c r="S249" s="9" t="n">
        <x:f>IF(AND(R249=1,O249&lt;=$G$13),1,0)</x:f>
        <x:v>0</x:v>
      </x:c>
      <x:c r="T249" s="10" t="n">
        <x:f>EOMONTH(J249-'Сводка'!$B$11,-1)</x:f>
        <x:v>46081</x:v>
      </x:c>
      <x:c r="U249" s="4" t="n">
        <x:f>MATCH(J249,'Сводка'!$R$3:$R$397,0)</x:f>
        <x:v>260</x:v>
      </x:c>
      <x:c r="V249" s="4" t="n">
        <x:f>MATCH(J249-'Сводка'!$B$11,'Сводка'!$R$3:$R$397,0)</x:f>
        <x:v>259</x:v>
      </x:c>
      <x:c r="W249" s="4" t="n">
        <x:f>MATCH(T249,$J$388:$J$400,0)</x:f>
        <x:v>9</x:v>
      </x:c>
      <x:c r="X249" s="3"/>
      <x:c r="Y249" s="3"/>
      <x:c r="Z249" s="3"/>
    </x:row>
    <x:row r="250" ht="15" customHeight="1">
      <x:c r="A250" s="3"/>
      <x:c r="B250" s="3"/>
      <x:c r="C250" s="3"/>
      <x:c r="D250" s="3"/>
      <x:c r="E250" s="3"/>
      <x:c r="F250" s="3"/>
      <x:c r="G250" s="3"/>
      <x:c r="H250" s="3"/>
      <x:c r="I250" s="3"/>
      <x:c r="J250" s="10" t="n">
        <x:v>46101</x:v>
      </x:c>
      <x:c r="K250" s="8" t="n">
        <x:f>INDEX('Сводка'!$S$3:$S$397,U250)</x:f>
        <x:v>-73</x:v>
      </x:c>
      <x:c r="L250" s="8" t="n">
        <x:f>INDEX('Сводка'!$S$3:$S$397,V250)</x:f>
        <x:v>-73</x:v>
      </x:c>
      <x:c r="M250" s="8" t="n">
        <x:f>INDEX($K$388:$N$400,W250,1)*EXP(INDEX($K$388:$N$400,W250,2)*((J250-$T$405+1)/1000))</x:f>
        <x:v>171.34825770270655</x:v>
      </x:c>
      <x:c r="N250" s="8" t="n">
        <x:f>K250-M250</x:f>
        <x:v>-244.34825770270655</x:v>
      </x:c>
      <x:c r="O250" s="8" t="n">
        <x:f>ABS(N250)</x:f>
        <x:v>244.34825770270655</x:v>
      </x:c>
      <x:c r="P250" s="8" t="n">
        <x:f>N250^2</x:f>
        <x:v>59706.07104234829</x:v>
      </x:c>
      <x:c r="Q250" s="8" t="n">
        <x:f>K250-L250</x:f>
        <x:v>0</x:v>
      </x:c>
      <x:c r="R250" s="9" t="n">
        <x:f>IF(AND(INDEX('Сводка'!$T$3:$T$397,U250)=0,INDEX('Сводка'!$T$3:$T$397,V250)=0),1,0)</x:f>
        <x:v>1</x:v>
      </x:c>
      <x:c r="S250" s="9" t="n">
        <x:f>IF(AND(R250=1,O250&lt;=$G$13),1,0)</x:f>
        <x:v>0</x:v>
      </x:c>
      <x:c r="T250" s="10" t="n">
        <x:f>EOMONTH(J250-'Сводка'!$B$11,-1)</x:f>
        <x:v>46081</x:v>
      </x:c>
      <x:c r="U250" s="4" t="n">
        <x:f>MATCH(J250,'Сводка'!$R$3:$R$397,0)</x:f>
        <x:v>261</x:v>
      </x:c>
      <x:c r="V250" s="4" t="n">
        <x:f>MATCH(J250-'Сводка'!$B$11,'Сводка'!$R$3:$R$397,0)</x:f>
        <x:v>260</x:v>
      </x:c>
      <x:c r="W250" s="4" t="n">
        <x:f>MATCH(T250,$J$388:$J$400,0)</x:f>
        <x:v>9</x:v>
      </x:c>
      <x:c r="X250" s="3"/>
      <x:c r="Y250" s="3"/>
      <x:c r="Z250" s="3"/>
    </x:row>
    <x:row r="251" ht="15" customHeight="1">
      <x:c r="A251" s="3"/>
      <x:c r="B251" s="3"/>
      <x:c r="C251" s="3"/>
      <x:c r="D251" s="3"/>
      <x:c r="E251" s="3"/>
      <x:c r="F251" s="3"/>
      <x:c r="G251" s="3"/>
      <x:c r="H251" s="3"/>
      <x:c r="I251" s="3"/>
      <x:c r="J251" s="10" t="n">
        <x:v>46102</x:v>
      </x:c>
      <x:c r="K251" s="8" t="n">
        <x:f>INDEX('Сводка'!$S$3:$S$397,U251)</x:f>
        <x:v>-71</x:v>
      </x:c>
      <x:c r="L251" s="8" t="n">
        <x:f>INDEX('Сводка'!$S$3:$S$397,V251)</x:f>
        <x:v>-73</x:v>
      </x:c>
      <x:c r="M251" s="8" t="n">
        <x:f>INDEX($K$388:$N$400,W251,1)*EXP(INDEX($K$388:$N$400,W251,2)*((J251-$T$405+1)/1000))</x:f>
        <x:v>171.3872199113951</x:v>
      </x:c>
      <x:c r="N251" s="8" t="n">
        <x:f>K251-M251</x:f>
        <x:v>-242.3872199113951</x:v>
      </x:c>
      <x:c r="O251" s="8" t="n">
        <x:f>ABS(N251)</x:f>
        <x:v>242.3872199113951</x:v>
      </x:c>
      <x:c r="P251" s="8" t="n">
        <x:f>N251^2</x:f>
        <x:v>58751.56437637501</x:v>
      </x:c>
      <x:c r="Q251" s="8" t="n">
        <x:f>K251-L251</x:f>
        <x:v>2</x:v>
      </x:c>
      <x:c r="R251" s="9" t="n">
        <x:f>IF(AND(INDEX('Сводка'!$T$3:$T$397,U251)=0,INDEX('Сводка'!$T$3:$T$397,V251)=0),1,0)</x:f>
        <x:v>1</x:v>
      </x:c>
      <x:c r="S251" s="9" t="n">
        <x:f>IF(AND(R251=1,O251&lt;=$G$13),1,0)</x:f>
        <x:v>0</x:v>
      </x:c>
      <x:c r="T251" s="10" t="n">
        <x:f>EOMONTH(J251-'Сводка'!$B$11,-1)</x:f>
        <x:v>46081</x:v>
      </x:c>
      <x:c r="U251" s="4" t="n">
        <x:f>MATCH(J251,'Сводка'!$R$3:$R$397,0)</x:f>
        <x:v>262</x:v>
      </x:c>
      <x:c r="V251" s="4" t="n">
        <x:f>MATCH(J251-'Сводка'!$B$11,'Сводка'!$R$3:$R$397,0)</x:f>
        <x:v>261</x:v>
      </x:c>
      <x:c r="W251" s="4" t="n">
        <x:f>MATCH(T251,$J$388:$J$400,0)</x:f>
        <x:v>9</x:v>
      </x:c>
      <x:c r="X251" s="3"/>
      <x:c r="Y251" s="3"/>
      <x:c r="Z251" s="3"/>
    </x:row>
    <x:row r="252" ht="15" customHeight="1">
      <x:c r="A252" s="3"/>
      <x:c r="B252" s="3"/>
      <x:c r="C252" s="3"/>
      <x:c r="D252" s="3"/>
      <x:c r="E252" s="3"/>
      <x:c r="F252" s="3"/>
      <x:c r="G252" s="3"/>
      <x:c r="H252" s="3"/>
      <x:c r="I252" s="3"/>
      <x:c r="J252" s="10" t="n">
        <x:v>46103</x:v>
      </x:c>
      <x:c r="K252" s="8" t="n">
        <x:f>INDEX('Сводка'!$S$3:$S$397,U252)</x:f>
        <x:v>-71</x:v>
      </x:c>
      <x:c r="L252" s="8" t="n">
        <x:f>INDEX('Сводка'!$S$3:$S$397,V252)</x:f>
        <x:v>-71</x:v>
      </x:c>
      <x:c r="M252" s="8" t="n">
        <x:f>INDEX($K$388:$N$400,W252,1)*EXP(INDEX($K$388:$N$400,W252,2)*((J252-$T$405+1)/1000))</x:f>
        <x:v>171.42619097954747</x:v>
      </x:c>
      <x:c r="N252" s="8" t="n">
        <x:f>K252-M252</x:f>
        <x:v>-242.42619097954747</x:v>
      </x:c>
      <x:c r="O252" s="8" t="n">
        <x:f>ABS(N252)</x:f>
        <x:v>242.42619097954747</x:v>
      </x:c>
      <x:c r="P252" s="8" t="n">
        <x:f>N252^2</x:f>
        <x:v>58770.45807285202</x:v>
      </x:c>
      <x:c r="Q252" s="8" t="n">
        <x:f>K252-L252</x:f>
        <x:v>0</x:v>
      </x:c>
      <x:c r="R252" s="9" t="n">
        <x:f>IF(AND(INDEX('Сводка'!$T$3:$T$397,U252)=0,INDEX('Сводка'!$T$3:$T$397,V252)=0),1,0)</x:f>
        <x:v>1</x:v>
      </x:c>
      <x:c r="S252" s="9" t="n">
        <x:f>IF(AND(R252=1,O252&lt;=$G$13),1,0)</x:f>
        <x:v>0</x:v>
      </x:c>
      <x:c r="T252" s="10" t="n">
        <x:f>EOMONTH(J252-'Сводка'!$B$11,-1)</x:f>
        <x:v>46081</x:v>
      </x:c>
      <x:c r="U252" s="4" t="n">
        <x:f>MATCH(J252,'Сводка'!$R$3:$R$397,0)</x:f>
        <x:v>263</x:v>
      </x:c>
      <x:c r="V252" s="4" t="n">
        <x:f>MATCH(J252-'Сводка'!$B$11,'Сводка'!$R$3:$R$397,0)</x:f>
        <x:v>262</x:v>
      </x:c>
      <x:c r="W252" s="4" t="n">
        <x:f>MATCH(T252,$J$388:$J$400,0)</x:f>
        <x:v>9</x:v>
      </x:c>
      <x:c r="X252" s="3"/>
      <x:c r="Y252" s="3"/>
      <x:c r="Z252" s="3"/>
    </x:row>
    <x:row r="253" ht="15" customHeight="1">
      <x:c r="A253" s="3"/>
      <x:c r="B253" s="3"/>
      <x:c r="C253" s="3"/>
      <x:c r="D253" s="3"/>
      <x:c r="E253" s="3"/>
      <x:c r="F253" s="3"/>
      <x:c r="G253" s="3"/>
      <x:c r="H253" s="3"/>
      <x:c r="I253" s="3"/>
      <x:c r="J253" s="10" t="n">
        <x:v>46104</x:v>
      </x:c>
      <x:c r="K253" s="8" t="n">
        <x:f>INDEX('Сводка'!$S$3:$S$397,U253)</x:f>
        <x:v>-71</x:v>
      </x:c>
      <x:c r="L253" s="8" t="n">
        <x:f>INDEX('Сводка'!$S$3:$S$397,V253)</x:f>
        <x:v>-71</x:v>
      </x:c>
      <x:c r="M253" s="8" t="n">
        <x:f>INDEX($K$388:$N$400,W253,1)*EXP(INDEX($K$388:$N$400,W253,2)*((J253-$T$405+1)/1000))</x:f>
        <x:v>171.4651709091784</x:v>
      </x:c>
      <x:c r="N253" s="8" t="n">
        <x:f>K253-M253</x:f>
        <x:v>-242.4651709091784</x:v>
      </x:c>
      <x:c r="O253" s="8" t="n">
        <x:f>ABS(N253)</x:f>
        <x:v>242.4651709091784</x:v>
      </x:c>
      <x:c r="P253" s="8" t="n">
        <x:f>N253^2</x:f>
        <x:v>58789.35910401709</x:v>
      </x:c>
      <x:c r="Q253" s="8" t="n">
        <x:f>K253-L253</x:f>
        <x:v>0</x:v>
      </x:c>
      <x:c r="R253" s="9" t="n">
        <x:f>IF(AND(INDEX('Сводка'!$T$3:$T$397,U253)=0,INDEX('Сводка'!$T$3:$T$397,V253)=0),1,0)</x:f>
        <x:v>1</x:v>
      </x:c>
      <x:c r="S253" s="9" t="n">
        <x:f>IF(AND(R253=1,O253&lt;=$G$13),1,0)</x:f>
        <x:v>0</x:v>
      </x:c>
      <x:c r="T253" s="10" t="n">
        <x:f>EOMONTH(J253-'Сводка'!$B$11,-1)</x:f>
        <x:v>46081</x:v>
      </x:c>
      <x:c r="U253" s="4" t="n">
        <x:f>MATCH(J253,'Сводка'!$R$3:$R$397,0)</x:f>
        <x:v>264</x:v>
      </x:c>
      <x:c r="V253" s="4" t="n">
        <x:f>MATCH(J253-'Сводка'!$B$11,'Сводка'!$R$3:$R$397,0)</x:f>
        <x:v>263</x:v>
      </x:c>
      <x:c r="W253" s="4" t="n">
        <x:f>MATCH(T253,$J$388:$J$400,0)</x:f>
        <x:v>9</x:v>
      </x:c>
      <x:c r="X253" s="3"/>
      <x:c r="Y253" s="3"/>
      <x:c r="Z253" s="3"/>
    </x:row>
    <x:row r="254" ht="15" customHeight="1">
      <x:c r="A254" s="3"/>
      <x:c r="B254" s="3"/>
      <x:c r="C254" s="3"/>
      <x:c r="D254" s="3"/>
      <x:c r="E254" s="3"/>
      <x:c r="F254" s="3"/>
      <x:c r="G254" s="3"/>
      <x:c r="H254" s="3"/>
      <x:c r="I254" s="3"/>
      <x:c r="J254" s="10" t="n">
        <x:v>46105</x:v>
      </x:c>
      <x:c r="K254" s="8" t="n">
        <x:f>INDEX('Сводка'!$S$3:$S$397,U254)</x:f>
        <x:v>-71</x:v>
      </x:c>
      <x:c r="L254" s="8" t="n">
        <x:f>INDEX('Сводка'!$S$3:$S$397,V254)</x:f>
        <x:v>-71</x:v>
      </x:c>
      <x:c r="M254" s="8" t="n">
        <x:f>INDEX($K$388:$N$400,W254,1)*EXP(INDEX($K$388:$N$400,W254,2)*((J254-$T$405+1)/1000))</x:f>
        <x:v>171.5041597023027</x:v>
      </x:c>
      <x:c r="N254" s="8" t="n">
        <x:f>K254-M254</x:f>
        <x:v>-242.5041597023027</x:v>
      </x:c>
      <x:c r="O254" s="8" t="n">
        <x:f>ABS(N254)</x:f>
        <x:v>242.5041597023027</x:v>
      </x:c>
      <x:c r="P254" s="8" t="n">
        <x:f>N254^2</x:f>
        <x:v>58808.267472919935</x:v>
      </x:c>
      <x:c r="Q254" s="8" t="n">
        <x:f>K254-L254</x:f>
        <x:v>0</x:v>
      </x:c>
      <x:c r="R254" s="9" t="n">
        <x:f>IF(AND(INDEX('Сводка'!$T$3:$T$397,U254)=0,INDEX('Сводка'!$T$3:$T$397,V254)=0),1,0)</x:f>
        <x:v>1</x:v>
      </x:c>
      <x:c r="S254" s="9" t="n">
        <x:f>IF(AND(R254=1,O254&lt;=$G$13),1,0)</x:f>
        <x:v>0</x:v>
      </x:c>
      <x:c r="T254" s="10" t="n">
        <x:f>EOMONTH(J254-'Сводка'!$B$11,-1)</x:f>
        <x:v>46081</x:v>
      </x:c>
      <x:c r="U254" s="4" t="n">
        <x:f>MATCH(J254,'Сводка'!$R$3:$R$397,0)</x:f>
        <x:v>265</x:v>
      </x:c>
      <x:c r="V254" s="4" t="n">
        <x:f>MATCH(J254-'Сводка'!$B$11,'Сводка'!$R$3:$R$397,0)</x:f>
        <x:v>264</x:v>
      </x:c>
      <x:c r="W254" s="4" t="n">
        <x:f>MATCH(T254,$J$388:$J$400,0)</x:f>
        <x:v>9</x:v>
      </x:c>
      <x:c r="X254" s="3"/>
      <x:c r="Y254" s="3"/>
      <x:c r="Z254" s="3"/>
    </x:row>
    <x:row r="255" ht="15" customHeight="1">
      <x:c r="A255" s="3"/>
      <x:c r="B255" s="3"/>
      <x:c r="C255" s="3"/>
      <x:c r="D255" s="3"/>
      <x:c r="E255" s="3"/>
      <x:c r="F255" s="3"/>
      <x:c r="G255" s="3"/>
      <x:c r="H255" s="3"/>
      <x:c r="I255" s="3"/>
      <x:c r="J255" s="10" t="n">
        <x:v>46106</x:v>
      </x:c>
      <x:c r="K255" s="8" t="n">
        <x:f>INDEX('Сводка'!$S$3:$S$397,U255)</x:f>
        <x:v>-72</x:v>
      </x:c>
      <x:c r="L255" s="8" t="n">
        <x:f>INDEX('Сводка'!$S$3:$S$397,V255)</x:f>
        <x:v>-71</x:v>
      </x:c>
      <x:c r="M255" s="8" t="n">
        <x:f>INDEX($K$388:$N$400,W255,1)*EXP(INDEX($K$388:$N$400,W255,2)*((J255-$T$405+1)/1000))</x:f>
        <x:v>171.54315736093582</x:v>
      </x:c>
      <x:c r="N255" s="8" t="n">
        <x:f>K255-M255</x:f>
        <x:v>-243.54315736093582</x:v>
      </x:c>
      <x:c r="O255" s="8" t="n">
        <x:f>ABS(N255)</x:f>
        <x:v>243.54315736093582</x:v>
      </x:c>
      <x:c r="P255" s="8" t="n">
        <x:f>N255^2</x:f>
        <x:v>59313.269497333546</x:v>
      </x:c>
      <x:c r="Q255" s="8" t="n">
        <x:f>K255-L255</x:f>
        <x:v>-1</x:v>
      </x:c>
      <x:c r="R255" s="9" t="n">
        <x:f>IF(AND(INDEX('Сводка'!$T$3:$T$397,U255)=0,INDEX('Сводка'!$T$3:$T$397,V255)=0),1,0)</x:f>
        <x:v>1</x:v>
      </x:c>
      <x:c r="S255" s="9" t="n">
        <x:f>IF(AND(R255=1,O255&lt;=$G$13),1,0)</x:f>
        <x:v>0</x:v>
      </x:c>
      <x:c r="T255" s="10" t="n">
        <x:f>EOMONTH(J255-'Сводка'!$B$11,-1)</x:f>
        <x:v>46081</x:v>
      </x:c>
      <x:c r="U255" s="4" t="n">
        <x:f>MATCH(J255,'Сводка'!$R$3:$R$397,0)</x:f>
        <x:v>266</x:v>
      </x:c>
      <x:c r="V255" s="4" t="n">
        <x:f>MATCH(J255-'Сводка'!$B$11,'Сводка'!$R$3:$R$397,0)</x:f>
        <x:v>265</x:v>
      </x:c>
      <x:c r="W255" s="4" t="n">
        <x:f>MATCH(T255,$J$388:$J$400,0)</x:f>
        <x:v>9</x:v>
      </x:c>
      <x:c r="X255" s="3"/>
      <x:c r="Y255" s="3"/>
      <x:c r="Z255" s="3"/>
    </x:row>
    <x:row r="256" ht="15" customHeight="1">
      <x:c r="A256" s="3"/>
      <x:c r="B256" s="3"/>
      <x:c r="C256" s="3"/>
      <x:c r="D256" s="3"/>
      <x:c r="E256" s="3"/>
      <x:c r="F256" s="3"/>
      <x:c r="G256" s="3"/>
      <x:c r="H256" s="3"/>
      <x:c r="I256" s="3"/>
      <x:c r="J256" s="10" t="n">
        <x:v>46107</x:v>
      </x:c>
      <x:c r="K256" s="8" t="n">
        <x:f>INDEX('Сводка'!$S$3:$S$397,U256)</x:f>
        <x:v>-72</x:v>
      </x:c>
      <x:c r="L256" s="8" t="n">
        <x:f>INDEX('Сводка'!$S$3:$S$397,V256)</x:f>
        <x:v>-72</x:v>
      </x:c>
      <x:c r="M256" s="8" t="n">
        <x:f>INDEX($K$388:$N$400,W256,1)*EXP(INDEX($K$388:$N$400,W256,2)*((J256-$T$405+1)/1000))</x:f>
        <x:v>171.58216388709377</x:v>
      </x:c>
      <x:c r="N256" s="8" t="n">
        <x:f>K256-M256</x:f>
        <x:v>-243.58216388709377</x:v>
      </x:c>
      <x:c r="O256" s="8" t="n">
        <x:f>ABS(N256)</x:f>
        <x:v>243.58216388709377</x:v>
      </x:c>
      <x:c r="P256" s="8" t="n">
        <x:f>N256^2</x:f>
        <x:v>59332.27056391901</x:v>
      </x:c>
      <x:c r="Q256" s="8" t="n">
        <x:f>K256-L256</x:f>
        <x:v>0</x:v>
      </x:c>
      <x:c r="R256" s="9" t="n">
        <x:f>IF(AND(INDEX('Сводка'!$T$3:$T$397,U256)=0,INDEX('Сводка'!$T$3:$T$397,V256)=0),1,0)</x:f>
        <x:v>1</x:v>
      </x:c>
      <x:c r="S256" s="9" t="n">
        <x:f>IF(AND(R256=1,O256&lt;=$G$13),1,0)</x:f>
        <x:v>0</x:v>
      </x:c>
      <x:c r="T256" s="10" t="n">
        <x:f>EOMONTH(J256-'Сводка'!$B$11,-1)</x:f>
        <x:v>46081</x:v>
      </x:c>
      <x:c r="U256" s="4" t="n">
        <x:f>MATCH(J256,'Сводка'!$R$3:$R$397,0)</x:f>
        <x:v>267</x:v>
      </x:c>
      <x:c r="V256" s="4" t="n">
        <x:f>MATCH(J256-'Сводка'!$B$11,'Сводка'!$R$3:$R$397,0)</x:f>
        <x:v>266</x:v>
      </x:c>
      <x:c r="W256" s="4" t="n">
        <x:f>MATCH(T256,$J$388:$J$400,0)</x:f>
        <x:v>9</x:v>
      </x:c>
      <x:c r="X256" s="3"/>
      <x:c r="Y256" s="3"/>
      <x:c r="Z256" s="3"/>
    </x:row>
    <x:row r="257" ht="15" customHeight="1">
      <x:c r="A257" s="3"/>
      <x:c r="B257" s="3"/>
      <x:c r="C257" s="3"/>
      <x:c r="D257" s="3"/>
      <x:c r="E257" s="3"/>
      <x:c r="F257" s="3"/>
      <x:c r="G257" s="3"/>
      <x:c r="H257" s="3"/>
      <x:c r="I257" s="3"/>
      <x:c r="J257" s="10" t="n">
        <x:v>46108</x:v>
      </x:c>
      <x:c r="K257" s="8" t="n">
        <x:f>INDEX('Сводка'!$S$3:$S$397,U257)</x:f>
        <x:v>-71</x:v>
      </x:c>
      <x:c r="L257" s="8" t="n">
        <x:f>INDEX('Сводка'!$S$3:$S$397,V257)</x:f>
        <x:v>-72</x:v>
      </x:c>
      <x:c r="M257" s="8" t="n">
        <x:f>INDEX($K$388:$N$400,W257,1)*EXP(INDEX($K$388:$N$400,W257,2)*((J257-$T$405+1)/1000))</x:f>
        <x:v>171.62117928279264</x:v>
      </x:c>
      <x:c r="N257" s="8" t="n">
        <x:f>K257-M257</x:f>
        <x:v>-242.62117928279264</x:v>
      </x:c>
      <x:c r="O257" s="8" t="n">
        <x:f>ABS(N257)</x:f>
        <x:v>242.62117928279264</x:v>
      </x:c>
      <x:c r="P257" s="8" t="n">
        <x:f>N257^2</x:f>
        <x:v>58865.03663657301</x:v>
      </x:c>
      <x:c r="Q257" s="8" t="n">
        <x:f>K257-L257</x:f>
        <x:v>1</x:v>
      </x:c>
      <x:c r="R257" s="9" t="n">
        <x:f>IF(AND(INDEX('Сводка'!$T$3:$T$397,U257)=0,INDEX('Сводка'!$T$3:$T$397,V257)=0),1,0)</x:f>
        <x:v>1</x:v>
      </x:c>
      <x:c r="S257" s="9" t="n">
        <x:f>IF(AND(R257=1,O257&lt;=$G$13),1,0)</x:f>
        <x:v>0</x:v>
      </x:c>
      <x:c r="T257" s="10" t="n">
        <x:f>EOMONTH(J257-'Сводка'!$B$11,-1)</x:f>
        <x:v>46081</x:v>
      </x:c>
      <x:c r="U257" s="4" t="n">
        <x:f>MATCH(J257,'Сводка'!$R$3:$R$397,0)</x:f>
        <x:v>268</x:v>
      </x:c>
      <x:c r="V257" s="4" t="n">
        <x:f>MATCH(J257-'Сводка'!$B$11,'Сводка'!$R$3:$R$397,0)</x:f>
        <x:v>267</x:v>
      </x:c>
      <x:c r="W257" s="4" t="n">
        <x:f>MATCH(T257,$J$388:$J$400,0)</x:f>
        <x:v>9</x:v>
      </x:c>
      <x:c r="X257" s="3"/>
      <x:c r="Y257" s="3"/>
      <x:c r="Z257" s="3"/>
    </x:row>
    <x:row r="258" ht="15" customHeight="1">
      <x:c r="A258" s="3"/>
      <x:c r="B258" s="3"/>
      <x:c r="C258" s="3"/>
      <x:c r="D258" s="3"/>
      <x:c r="E258" s="3"/>
      <x:c r="F258" s="3"/>
      <x:c r="G258" s="3"/>
      <x:c r="H258" s="3"/>
      <x:c r="I258" s="3"/>
      <x:c r="J258" s="10" t="n">
        <x:v>46109</x:v>
      </x:c>
      <x:c r="K258" s="8" t="n">
        <x:f>INDEX('Сводка'!$S$3:$S$397,U258)</x:f>
        <x:v>-71</x:v>
      </x:c>
      <x:c r="L258" s="8" t="n">
        <x:f>INDEX('Сводка'!$S$3:$S$397,V258)</x:f>
        <x:v>-71</x:v>
      </x:c>
      <x:c r="M258" s="8" t="n">
        <x:f>INDEX($K$388:$N$400,W258,1)*EXP(INDEX($K$388:$N$400,W258,2)*((J258-$T$405+1)/1000))</x:f>
        <x:v>171.66020355004952</x:v>
      </x:c>
      <x:c r="N258" s="8" t="n">
        <x:f>K258-M258</x:f>
        <x:v>-242.66020355004952</x:v>
      </x:c>
      <x:c r="O258" s="8" t="n">
        <x:f>ABS(N258)</x:f>
        <x:v>242.66020355004952</x:v>
      </x:c>
      <x:c r="P258" s="8" t="n">
        <x:f>N258^2</x:f>
        <x:v>58883.974386951464</x:v>
      </x:c>
      <x:c r="Q258" s="8" t="n">
        <x:f>K258-L258</x:f>
        <x:v>0</x:v>
      </x:c>
      <x:c r="R258" s="9" t="n">
        <x:f>IF(AND(INDEX('Сводка'!$T$3:$T$397,U258)=0,INDEX('Сводка'!$T$3:$T$397,V258)=0),1,0)</x:f>
        <x:v>1</x:v>
      </x:c>
      <x:c r="S258" s="9" t="n">
        <x:f>IF(AND(R258=1,O258&lt;=$G$13),1,0)</x:f>
        <x:v>0</x:v>
      </x:c>
      <x:c r="T258" s="10" t="n">
        <x:f>EOMONTH(J258-'Сводка'!$B$11,-1)</x:f>
        <x:v>46081</x:v>
      </x:c>
      <x:c r="U258" s="4" t="n">
        <x:f>MATCH(J258,'Сводка'!$R$3:$R$397,0)</x:f>
        <x:v>269</x:v>
      </x:c>
      <x:c r="V258" s="4" t="n">
        <x:f>MATCH(J258-'Сводка'!$B$11,'Сводка'!$R$3:$R$397,0)</x:f>
        <x:v>268</x:v>
      </x:c>
      <x:c r="W258" s="4" t="n">
        <x:f>MATCH(T258,$J$388:$J$400,0)</x:f>
        <x:v>9</x:v>
      </x:c>
      <x:c r="X258" s="3"/>
      <x:c r="Y258" s="3"/>
      <x:c r="Z258" s="3"/>
    </x:row>
    <x:row r="259" ht="15" customHeight="1">
      <x:c r="A259" s="3"/>
      <x:c r="B259" s="3"/>
      <x:c r="C259" s="3"/>
      <x:c r="D259" s="3"/>
      <x:c r="E259" s="3"/>
      <x:c r="F259" s="3"/>
      <x:c r="G259" s="3"/>
      <x:c r="H259" s="3"/>
      <x:c r="I259" s="3"/>
      <x:c r="J259" s="10" t="n">
        <x:v>46110</x:v>
      </x:c>
      <x:c r="K259" s="8" t="n">
        <x:f>INDEX('Сводка'!$S$3:$S$397,U259)</x:f>
        <x:v>-71</x:v>
      </x:c>
      <x:c r="L259" s="8" t="n">
        <x:f>INDEX('Сводка'!$S$3:$S$397,V259)</x:f>
        <x:v>-71</x:v>
      </x:c>
      <x:c r="M259" s="8" t="n">
        <x:f>INDEX($K$388:$N$400,W259,1)*EXP(INDEX($K$388:$N$400,W259,2)*((J259-$T$405+1)/1000))</x:f>
        <x:v>171.69923669088152</x:v>
      </x:c>
      <x:c r="N259" s="8" t="n">
        <x:f>K259-M259</x:f>
        <x:v>-242.69923669088152</x:v>
      </x:c>
      <x:c r="O259" s="8" t="n">
        <x:f>ABS(N259)</x:f>
        <x:v>242.69923669088152</x:v>
      </x:c>
      <x:c r="P259" s="8" t="n">
        <x:f>N259^2</x:f>
        <x:v>58902.91949033653</x:v>
      </x:c>
      <x:c r="Q259" s="8" t="n">
        <x:f>K259-L259</x:f>
        <x:v>0</x:v>
      </x:c>
      <x:c r="R259" s="9" t="n">
        <x:f>IF(AND(INDEX('Сводка'!$T$3:$T$397,U259)=0,INDEX('Сводка'!$T$3:$T$397,V259)=0),1,0)</x:f>
        <x:v>1</x:v>
      </x:c>
      <x:c r="S259" s="9" t="n">
        <x:f>IF(AND(R259=1,O259&lt;=$G$13),1,0)</x:f>
        <x:v>0</x:v>
      </x:c>
      <x:c r="T259" s="10" t="n">
        <x:f>EOMONTH(J259-'Сводка'!$B$11,-1)</x:f>
        <x:v>46081</x:v>
      </x:c>
      <x:c r="U259" s="4" t="n">
        <x:f>MATCH(J259,'Сводка'!$R$3:$R$397,0)</x:f>
        <x:v>270</x:v>
      </x:c>
      <x:c r="V259" s="4" t="n">
        <x:f>MATCH(J259-'Сводка'!$B$11,'Сводка'!$R$3:$R$397,0)</x:f>
        <x:v>269</x:v>
      </x:c>
      <x:c r="W259" s="4" t="n">
        <x:f>MATCH(T259,$J$388:$J$400,0)</x:f>
        <x:v>9</x:v>
      </x:c>
      <x:c r="X259" s="3"/>
      <x:c r="Y259" s="3"/>
      <x:c r="Z259" s="3"/>
    </x:row>
    <x:row r="260" ht="15" customHeight="1">
      <x:c r="A260" s="3"/>
      <x:c r="B260" s="3"/>
      <x:c r="C260" s="3"/>
      <x:c r="D260" s="3"/>
      <x:c r="E260" s="3"/>
      <x:c r="F260" s="3"/>
      <x:c r="G260" s="3"/>
      <x:c r="H260" s="3"/>
      <x:c r="I260" s="3"/>
      <x:c r="J260" s="10" t="n">
        <x:v>46111</x:v>
      </x:c>
      <x:c r="K260" s="8" t="n">
        <x:f>INDEX('Сводка'!$S$3:$S$397,U260)</x:f>
        <x:v>-69</x:v>
      </x:c>
      <x:c r="L260" s="8" t="n">
        <x:f>INDEX('Сводка'!$S$3:$S$397,V260)</x:f>
        <x:v>-71</x:v>
      </x:c>
      <x:c r="M260" s="8" t="n">
        <x:f>INDEX($K$388:$N$400,W260,1)*EXP(INDEX($K$388:$N$400,W260,2)*((J260-$T$405+1)/1000))</x:f>
        <x:v>171.73827870730653</x:v>
      </x:c>
      <x:c r="N260" s="8" t="n">
        <x:f>K260-M260</x:f>
        <x:v>-240.73827870730653</x:v>
      </x:c>
      <x:c r="O260" s="8" t="n">
        <x:f>ABS(N260)</x:f>
        <x:v>240.73827870730653</x:v>
      </x:c>
      <x:c r="P260" s="8" t="n">
        <x:f>N260^2</x:f>
        <x:v>57954.9188349568</x:v>
      </x:c>
      <x:c r="Q260" s="8" t="n">
        <x:f>K260-L260</x:f>
        <x:v>2</x:v>
      </x:c>
      <x:c r="R260" s="9" t="n">
        <x:f>IF(AND(INDEX('Сводка'!$T$3:$T$397,U260)=0,INDEX('Сводка'!$T$3:$T$397,V260)=0),1,0)</x:f>
        <x:v>1</x:v>
      </x:c>
      <x:c r="S260" s="9" t="n">
        <x:f>IF(AND(R260=1,O260&lt;=$G$13),1,0)</x:f>
        <x:v>0</x:v>
      </x:c>
      <x:c r="T260" s="10" t="n">
        <x:f>EOMONTH(J260-'Сводка'!$B$11,-1)</x:f>
        <x:v>46081</x:v>
      </x:c>
      <x:c r="U260" s="4" t="n">
        <x:f>MATCH(J260,'Сводка'!$R$3:$R$397,0)</x:f>
        <x:v>271</x:v>
      </x:c>
      <x:c r="V260" s="4" t="n">
        <x:f>MATCH(J260-'Сводка'!$B$11,'Сводка'!$R$3:$R$397,0)</x:f>
        <x:v>270</x:v>
      </x:c>
      <x:c r="W260" s="4" t="n">
        <x:f>MATCH(T260,$J$388:$J$400,0)</x:f>
        <x:v>9</x:v>
      </x:c>
      <x:c r="X260" s="3"/>
      <x:c r="Y260" s="3"/>
      <x:c r="Z260" s="3"/>
    </x:row>
    <x:row r="261" ht="15" customHeight="1">
      <x:c r="A261" s="3"/>
      <x:c r="B261" s="3"/>
      <x:c r="C261" s="3"/>
      <x:c r="D261" s="3"/>
      <x:c r="E261" s="3"/>
      <x:c r="F261" s="3"/>
      <x:c r="G261" s="3"/>
      <x:c r="H261" s="3"/>
      <x:c r="I261" s="3"/>
      <x:c r="J261" s="10" t="n">
        <x:v>46112</x:v>
      </x:c>
      <x:c r="K261" s="8" t="n">
        <x:f>INDEX('Сводка'!$S$3:$S$397,U261)</x:f>
        <x:v>-67</x:v>
      </x:c>
      <x:c r="L261" s="8" t="n">
        <x:f>INDEX('Сводка'!$S$3:$S$397,V261)</x:f>
        <x:v>-69</x:v>
      </x:c>
      <x:c r="M261" s="8" t="n">
        <x:f>INDEX($K$388:$N$400,W261,1)*EXP(INDEX($K$388:$N$400,W261,2)*((J261-$T$405+1)/1000))</x:f>
        <x:v>171.77732960134253</x:v>
      </x:c>
      <x:c r="N261" s="8" t="n">
        <x:f>K261-M261</x:f>
        <x:v>-238.77732960134253</x:v>
      </x:c>
      <x:c r="O261" s="8" t="n">
        <x:f>ABS(N261)</x:f>
        <x:v>238.77732960134253</x:v>
      </x:c>
      <x:c r="P261" s="8" t="n">
        <x:f>N261^2</x:f>
        <x:v>57014.61313154817</x:v>
      </x:c>
      <x:c r="Q261" s="8" t="n">
        <x:f>K261-L261</x:f>
        <x:v>2</x:v>
      </x:c>
      <x:c r="R261" s="9" t="n">
        <x:f>IF(AND(INDEX('Сводка'!$T$3:$T$397,U261)=0,INDEX('Сводка'!$T$3:$T$397,V261)=0),1,0)</x:f>
        <x:v>1</x:v>
      </x:c>
      <x:c r="S261" s="9" t="n">
        <x:f>IF(AND(R261=1,O261&lt;=$G$13),1,0)</x:f>
        <x:v>0</x:v>
      </x:c>
      <x:c r="T261" s="10" t="n">
        <x:f>EOMONTH(J261-'Сводка'!$B$11,-1)</x:f>
        <x:v>46081</x:v>
      </x:c>
      <x:c r="U261" s="4" t="n">
        <x:f>MATCH(J261,'Сводка'!$R$3:$R$397,0)</x:f>
        <x:v>272</x:v>
      </x:c>
      <x:c r="V261" s="4" t="n">
        <x:f>MATCH(J261-'Сводка'!$B$11,'Сводка'!$R$3:$R$397,0)</x:f>
        <x:v>271</x:v>
      </x:c>
      <x:c r="W261" s="4" t="n">
        <x:f>MATCH(T261,$J$388:$J$400,0)</x:f>
        <x:v>9</x:v>
      </x:c>
      <x:c r="X261" s="3"/>
      <x:c r="Y261" s="3"/>
      <x:c r="Z261" s="3"/>
    </x:row>
    <x:row r="262" ht="15" customHeight="1">
      <x:c r="A262" s="3"/>
      <x:c r="B262" s="3"/>
      <x:c r="C262" s="3"/>
      <x:c r="D262" s="3"/>
      <x:c r="E262" s="3"/>
      <x:c r="F262" s="3"/>
      <x:c r="G262" s="3"/>
      <x:c r="H262" s="3"/>
      <x:c r="I262" s="3"/>
      <x:c r="J262" s="10" t="n">
        <x:v>46113</x:v>
      </x:c>
      <x:c r="K262" s="8" t="n">
        <x:f>INDEX('Сводка'!$S$3:$S$397,U262)</x:f>
        <x:v>-65</x:v>
      </x:c>
      <x:c r="L262" s="8" t="n">
        <x:f>INDEX('Сводка'!$S$3:$S$397,V262)</x:f>
        <x:v>-67</x:v>
      </x:c>
      <x:c r="M262" s="8" t="n">
        <x:f>INDEX($K$388:$N$400,W262,1)*EXP(INDEX($K$388:$N$400,W262,2)*((J262-$T$405+1)/1000))</x:f>
        <x:v>171.81638937500819</x:v>
      </x:c>
      <x:c r="N262" s="8" t="n">
        <x:f>K262-M262</x:f>
        <x:v>-236.81638937500819</x:v>
      </x:c>
      <x:c r="O262" s="8" t="n">
        <x:f>ABS(N262)</x:f>
        <x:v>236.81638937500819</x:v>
      </x:c>
      <x:c r="P262" s="8" t="n">
        <x:f>N262^2</x:f>
        <x:v>56082.00227661549</x:v>
      </x:c>
      <x:c r="Q262" s="8" t="n">
        <x:f>K262-L262</x:f>
        <x:v>2</x:v>
      </x:c>
      <x:c r="R262" s="9" t="n">
        <x:f>IF(AND(INDEX('Сводка'!$T$3:$T$397,U262)=0,INDEX('Сводка'!$T$3:$T$397,V262)=0),1,0)</x:f>
        <x:v>1</x:v>
      </x:c>
      <x:c r="S262" s="9" t="n">
        <x:f>IF(AND(R262=1,O262&lt;=$G$13),1,0)</x:f>
        <x:v>0</x:v>
      </x:c>
      <x:c r="T262" s="10" t="n">
        <x:f>EOMONTH(J262-'Сводка'!$B$11,-1)</x:f>
        <x:v>46081</x:v>
      </x:c>
      <x:c r="U262" s="4" t="n">
        <x:f>MATCH(J262,'Сводка'!$R$3:$R$397,0)</x:f>
        <x:v>273</x:v>
      </x:c>
      <x:c r="V262" s="4" t="n">
        <x:f>MATCH(J262-'Сводка'!$B$11,'Сводка'!$R$3:$R$397,0)</x:f>
        <x:v>272</x:v>
      </x:c>
      <x:c r="W262" s="4" t="n">
        <x:f>MATCH(T262,$J$388:$J$400,0)</x:f>
        <x:v>9</x:v>
      </x:c>
      <x:c r="X262" s="3"/>
      <x:c r="Y262" s="3"/>
      <x:c r="Z262" s="3"/>
    </x:row>
    <x:row r="263" ht="15" customHeight="1">
      <x:c r="A263" s="3"/>
      <x:c r="B263" s="3"/>
      <x:c r="C263" s="3"/>
      <x:c r="D263" s="3"/>
      <x:c r="E263" s="3"/>
      <x:c r="F263" s="3"/>
      <x:c r="G263" s="3"/>
      <x:c r="H263" s="3"/>
      <x:c r="I263" s="3"/>
      <x:c r="J263" s="10" t="n">
        <x:v>46114</x:v>
      </x:c>
      <x:c r="K263" s="8" t="n">
        <x:f>INDEX('Сводка'!$S$3:$S$397,U263)</x:f>
        <x:v>-59</x:v>
      </x:c>
      <x:c r="L263" s="8" t="n">
        <x:f>INDEX('Сводка'!$S$3:$S$397,V263)</x:f>
        <x:v>-65</x:v>
      </x:c>
      <x:c r="M263" s="8" t="n">
        <x:f>INDEX($K$388:$N$400,W263,1)*EXP(INDEX($K$388:$N$400,W263,2)*((J263-$T$405+1)/1000))</x:f>
        <x:v>165.21150130600714</x:v>
      </x:c>
      <x:c r="N263" s="8" t="n">
        <x:f>K263-M263</x:f>
        <x:v>-224.21150130600714</x:v>
      </x:c>
      <x:c r="O263" s="8" t="n">
        <x:f>ABS(N263)</x:f>
        <x:v>224.21150130600714</x:v>
      </x:c>
      <x:c r="P263" s="8" t="n">
        <x:f>N263^2</x:f>
        <x:v>50270.79731789364</x:v>
      </x:c>
      <x:c r="Q263" s="8" t="n">
        <x:f>K263-L263</x:f>
        <x:v>6</x:v>
      </x:c>
      <x:c r="R263" s="9" t="n">
        <x:f>IF(AND(INDEX('Сводка'!$T$3:$T$397,U263)=0,INDEX('Сводка'!$T$3:$T$397,V263)=0),1,0)</x:f>
        <x:v>1</x:v>
      </x:c>
      <x:c r="S263" s="9" t="n">
        <x:f>IF(AND(R263=1,O263&lt;=$G$13),1,0)</x:f>
        <x:v>0</x:v>
      </x:c>
      <x:c r="T263" s="10" t="n">
        <x:f>EOMONTH(J263-'Сводка'!$B$11,-1)</x:f>
        <x:v>46112</x:v>
      </x:c>
      <x:c r="U263" s="4" t="n">
        <x:f>MATCH(J263,'Сводка'!$R$3:$R$397,0)</x:f>
        <x:v>274</x:v>
      </x:c>
      <x:c r="V263" s="4" t="n">
        <x:f>MATCH(J263-'Сводка'!$B$11,'Сводка'!$R$3:$R$397,0)</x:f>
        <x:v>273</x:v>
      </x:c>
      <x:c r="W263" s="4" t="n">
        <x:f>MATCH(T263,$J$388:$J$400,0)</x:f>
        <x:v>10</x:v>
      </x:c>
      <x:c r="X263" s="3"/>
      <x:c r="Y263" s="3"/>
      <x:c r="Z263" s="3"/>
    </x:row>
    <x:row r="264" ht="15" customHeight="1">
      <x:c r="A264" s="3"/>
      <x:c r="B264" s="3"/>
      <x:c r="C264" s="3"/>
      <x:c r="D264" s="3"/>
      <x:c r="E264" s="3"/>
      <x:c r="F264" s="3"/>
      <x:c r="G264" s="3"/>
      <x:c r="H264" s="3"/>
      <x:c r="I264" s="3"/>
      <x:c r="J264" s="10" t="n">
        <x:v>46115</x:v>
      </x:c>
      <x:c r="K264" s="8" t="n">
        <x:f>INDEX('Сводка'!$S$3:$S$397,U264)</x:f>
        <x:v>-52</x:v>
      </x:c>
      <x:c r="L264" s="8" t="n">
        <x:f>INDEX('Сводка'!$S$3:$S$397,V264)</x:f>
        <x:v>-59</x:v>
      </x:c>
      <x:c r="M264" s="8" t="n">
        <x:f>INDEX($K$388:$N$400,W264,1)*EXP(INDEX($K$388:$N$400,W264,2)*((J264-$T$405+1)/1000))</x:f>
        <x:v>165.24769586489376</x:v>
      </x:c>
      <x:c r="N264" s="8" t="n">
        <x:f>K264-M264</x:f>
        <x:v>-217.24769586489376</x:v>
      </x:c>
      <x:c r="O264" s="8" t="n">
        <x:f>ABS(N264)</x:f>
        <x:v>217.24769586489376</x:v>
      </x:c>
      <x:c r="P264" s="8" t="n">
        <x:f>N264^2</x:f>
        <x:v>47196.56135860537</x:v>
      </x:c>
      <x:c r="Q264" s="8" t="n">
        <x:f>K264-L264</x:f>
        <x:v>7</x:v>
      </x:c>
      <x:c r="R264" s="9" t="n">
        <x:f>IF(AND(INDEX('Сводка'!$T$3:$T$397,U264)=0,INDEX('Сводка'!$T$3:$T$397,V264)=0),1,0)</x:f>
        <x:v>1</x:v>
      </x:c>
      <x:c r="S264" s="9" t="n">
        <x:f>IF(AND(R264=1,O264&lt;=$G$13),1,0)</x:f>
        <x:v>0</x:v>
      </x:c>
      <x:c r="T264" s="10" t="n">
        <x:f>EOMONTH(J264-'Сводка'!$B$11,-1)</x:f>
        <x:v>46112</x:v>
      </x:c>
      <x:c r="U264" s="4" t="n">
        <x:f>MATCH(J264,'Сводка'!$R$3:$R$397,0)</x:f>
        <x:v>275</x:v>
      </x:c>
      <x:c r="V264" s="4" t="n">
        <x:f>MATCH(J264-'Сводка'!$B$11,'Сводка'!$R$3:$R$397,0)</x:f>
        <x:v>274</x:v>
      </x:c>
      <x:c r="W264" s="4" t="n">
        <x:f>MATCH(T264,$J$388:$J$400,0)</x:f>
        <x:v>10</x:v>
      </x:c>
      <x:c r="X264" s="3"/>
      <x:c r="Y264" s="3"/>
      <x:c r="Z264" s="3"/>
    </x:row>
    <x:row r="265" ht="15" customHeight="1">
      <x:c r="A265" s="3"/>
      <x:c r="B265" s="3"/>
      <x:c r="C265" s="3"/>
      <x:c r="D265" s="3"/>
      <x:c r="E265" s="3"/>
      <x:c r="F265" s="3"/>
      <x:c r="G265" s="3"/>
      <x:c r="H265" s="3"/>
      <x:c r="I265" s="3"/>
      <x:c r="J265" s="10" t="n">
        <x:v>46116</x:v>
      </x:c>
      <x:c r="K265" s="8" t="n">
        <x:f>INDEX('Сводка'!$S$3:$S$397,U265)</x:f>
        <x:v>-42</x:v>
      </x:c>
      <x:c r="L265" s="8" t="n">
        <x:f>INDEX('Сводка'!$S$3:$S$397,V265)</x:f>
        <x:v>-52</x:v>
      </x:c>
      <x:c r="M265" s="8" t="n">
        <x:f>INDEX($K$388:$N$400,W265,1)*EXP(INDEX($K$388:$N$400,W265,2)*((J265-$T$405+1)/1000))</x:f>
        <x:v>165.28389835328935</x:v>
      </x:c>
      <x:c r="N265" s="8" t="n">
        <x:f>K265-M265</x:f>
        <x:v>-207.28389835328935</x:v>
      </x:c>
      <x:c r="O265" s="8" t="n">
        <x:f>ABS(N265)</x:f>
        <x:v>207.28389835328935</x:v>
      </x:c>
      <x:c r="P265" s="8" t="n">
        <x:f>N265^2</x:f>
        <x:v>42966.61451653679</x:v>
      </x:c>
      <x:c r="Q265" s="8" t="n">
        <x:f>K265-L265</x:f>
        <x:v>10</x:v>
      </x:c>
      <x:c r="R265" s="9" t="n">
        <x:f>IF(AND(INDEX('Сводка'!$T$3:$T$397,U265)=0,INDEX('Сводка'!$T$3:$T$397,V265)=0),1,0)</x:f>
        <x:v>1</x:v>
      </x:c>
      <x:c r="S265" s="9" t="n">
        <x:f>IF(AND(R265=1,O265&lt;=$G$13),1,0)</x:f>
        <x:v>0</x:v>
      </x:c>
      <x:c r="T265" s="10" t="n">
        <x:f>EOMONTH(J265-'Сводка'!$B$11,-1)</x:f>
        <x:v>46112</x:v>
      </x:c>
      <x:c r="U265" s="4" t="n">
        <x:f>MATCH(J265,'Сводка'!$R$3:$R$397,0)</x:f>
        <x:v>276</x:v>
      </x:c>
      <x:c r="V265" s="4" t="n">
        <x:f>MATCH(J265-'Сводка'!$B$11,'Сводка'!$R$3:$R$397,0)</x:f>
        <x:v>275</x:v>
      </x:c>
      <x:c r="W265" s="4" t="n">
        <x:f>MATCH(T265,$J$388:$J$400,0)</x:f>
        <x:v>10</x:v>
      </x:c>
      <x:c r="X265" s="3"/>
      <x:c r="Y265" s="3"/>
      <x:c r="Z265" s="3"/>
    </x:row>
    <x:row r="266" ht="15" customHeight="1">
      <x:c r="A266" s="3"/>
      <x:c r="B266" s="3"/>
      <x:c r="C266" s="3"/>
      <x:c r="D266" s="3"/>
      <x:c r="E266" s="3"/>
      <x:c r="F266" s="3"/>
      <x:c r="G266" s="3"/>
      <x:c r="H266" s="3"/>
      <x:c r="I266" s="3"/>
      <x:c r="J266" s="10" t="n">
        <x:v>46117</x:v>
      </x:c>
      <x:c r="K266" s="8" t="n">
        <x:f>INDEX('Сводка'!$S$3:$S$397,U266)</x:f>
        <x:v>-35</x:v>
      </x:c>
      <x:c r="L266" s="8" t="n">
        <x:f>INDEX('Сводка'!$S$3:$S$397,V266)</x:f>
        <x:v>-42</x:v>
      </x:c>
      <x:c r="M266" s="8" t="n">
        <x:f>INDEX($K$388:$N$400,W266,1)*EXP(INDEX($K$388:$N$400,W266,2)*((J266-$T$405+1)/1000))</x:f>
        <x:v>165.32010877293126</x:v>
      </x:c>
      <x:c r="N266" s="8" t="n">
        <x:f>K266-M266</x:f>
        <x:v>-200.32010877293126</x:v>
      </x:c>
      <x:c r="O266" s="8" t="n">
        <x:f>ABS(N266)</x:f>
        <x:v>200.32010877293126</x:v>
      </x:c>
      <x:c r="P266" s="8" t="n">
        <x:f>N266^2</x:f>
        <x:v>40128.14597879901</x:v>
      </x:c>
      <x:c r="Q266" s="8" t="n">
        <x:f>K266-L266</x:f>
        <x:v>7</x:v>
      </x:c>
      <x:c r="R266" s="9" t="n">
        <x:f>IF(AND(INDEX('Сводка'!$T$3:$T$397,U266)=0,INDEX('Сводка'!$T$3:$T$397,V266)=0),1,0)</x:f>
        <x:v>1</x:v>
      </x:c>
      <x:c r="S266" s="9" t="n">
        <x:f>IF(AND(R266=1,O266&lt;=$G$13),1,0)</x:f>
        <x:v>0</x:v>
      </x:c>
      <x:c r="T266" s="10" t="n">
        <x:f>EOMONTH(J266-'Сводка'!$B$11,-1)</x:f>
        <x:v>46112</x:v>
      </x:c>
      <x:c r="U266" s="4" t="n">
        <x:f>MATCH(J266,'Сводка'!$R$3:$R$397,0)</x:f>
        <x:v>277</x:v>
      </x:c>
      <x:c r="V266" s="4" t="n">
        <x:f>MATCH(J266-'Сводка'!$B$11,'Сводка'!$R$3:$R$397,0)</x:f>
        <x:v>276</x:v>
      </x:c>
      <x:c r="W266" s="4" t="n">
        <x:f>MATCH(T266,$J$388:$J$400,0)</x:f>
        <x:v>10</x:v>
      </x:c>
      <x:c r="X266" s="3"/>
      <x:c r="Y266" s="3"/>
      <x:c r="Z266" s="3"/>
    </x:row>
    <x:row r="267" ht="15" customHeight="1">
      <x:c r="A267" s="3"/>
      <x:c r="B267" s="3"/>
      <x:c r="C267" s="3"/>
      <x:c r="D267" s="3"/>
      <x:c r="E267" s="3"/>
      <x:c r="F267" s="3"/>
      <x:c r="G267" s="3"/>
      <x:c r="H267" s="3"/>
      <x:c r="I267" s="3"/>
      <x:c r="J267" s="10" t="n">
        <x:v>46118</x:v>
      </x:c>
      <x:c r="K267" s="8" t="n">
        <x:f>INDEX('Сводка'!$S$3:$S$397,U267)</x:f>
        <x:v>-17</x:v>
      </x:c>
      <x:c r="L267" s="8" t="n">
        <x:f>INDEX('Сводка'!$S$3:$S$397,V267)</x:f>
        <x:v>-35</x:v>
      </x:c>
      <x:c r="M267" s="8" t="n">
        <x:f>INDEX($K$388:$N$400,W267,1)*EXP(INDEX($K$388:$N$400,W267,2)*((J267-$T$405+1)/1000))</x:f>
        <x:v>165.35632712555693</x:v>
      </x:c>
      <x:c r="N267" s="8" t="n">
        <x:f>K267-M267</x:f>
        <x:v>-182.35632712555693</x:v>
      </x:c>
      <x:c r="O267" s="8" t="n">
        <x:f>ABS(N267)</x:f>
        <x:v>182.35632712555693</x:v>
      </x:c>
      <x:c r="P267" s="8" t="n">
        <x:f>N267^2</x:f>
        <x:v>33253.83004272313</x:v>
      </x:c>
      <x:c r="Q267" s="8" t="n">
        <x:f>K267-L267</x:f>
        <x:v>18</x:v>
      </x:c>
      <x:c r="R267" s="9" t="n">
        <x:f>IF(AND(INDEX('Сводка'!$T$3:$T$397,U267)=0,INDEX('Сводка'!$T$3:$T$397,V267)=0),1,0)</x:f>
        <x:v>1</x:v>
      </x:c>
      <x:c r="S267" s="9" t="n">
        <x:f>IF(AND(R267=1,O267&lt;=$G$13),1,0)</x:f>
        <x:v>0</x:v>
      </x:c>
      <x:c r="T267" s="10" t="n">
        <x:f>EOMONTH(J267-'Сводка'!$B$11,-1)</x:f>
        <x:v>46112</x:v>
      </x:c>
      <x:c r="U267" s="4" t="n">
        <x:f>MATCH(J267,'Сводка'!$R$3:$R$397,0)</x:f>
        <x:v>278</x:v>
      </x:c>
      <x:c r="V267" s="4" t="n">
        <x:f>MATCH(J267-'Сводка'!$B$11,'Сводка'!$R$3:$R$397,0)</x:f>
        <x:v>277</x:v>
      </x:c>
      <x:c r="W267" s="4" t="n">
        <x:f>MATCH(T267,$J$388:$J$400,0)</x:f>
        <x:v>10</x:v>
      </x:c>
      <x:c r="X267" s="3"/>
      <x:c r="Y267" s="3"/>
      <x:c r="Z267" s="3"/>
    </x:row>
    <x:row r="268" ht="15" customHeight="1">
      <x:c r="A268" s="3"/>
      <x:c r="B268" s="3"/>
      <x:c r="C268" s="3"/>
      <x:c r="D268" s="3"/>
      <x:c r="E268" s="3"/>
      <x:c r="F268" s="3"/>
      <x:c r="G268" s="3"/>
      <x:c r="H268" s="3"/>
      <x:c r="I268" s="3"/>
      <x:c r="J268" s="10" t="n">
        <x:v>46119</x:v>
      </x:c>
      <x:c r="K268" s="8" t="n">
        <x:f>INDEX('Сводка'!$S$3:$S$397,U268)</x:f>
        <x:v>-3</x:v>
      </x:c>
      <x:c r="L268" s="8" t="n">
        <x:f>INDEX('Сводка'!$S$3:$S$397,V268)</x:f>
        <x:v>-17</x:v>
      </x:c>
      <x:c r="M268" s="8" t="n">
        <x:f>INDEX($K$388:$N$400,W268,1)*EXP(INDEX($K$388:$N$400,W268,2)*((J268-$T$405+1)/1000))</x:f>
        <x:v>165.3925534129044</x:v>
      </x:c>
      <x:c r="N268" s="8" t="n">
        <x:f>K268-M268</x:f>
        <x:v>-168.3925534129044</x:v>
      </x:c>
      <x:c r="O268" s="8" t="n">
        <x:f>ABS(N268)</x:f>
        <x:v>168.3925534129044</x:v>
      </x:c>
      <x:c r="P268" s="8" t="n">
        <x:f>N268^2</x:f>
        <x:v>28356.05204491786</x:v>
      </x:c>
      <x:c r="Q268" s="8" t="n">
        <x:f>K268-L268</x:f>
        <x:v>14</x:v>
      </x:c>
      <x:c r="R268" s="9" t="n">
        <x:f>IF(AND(INDEX('Сводка'!$T$3:$T$397,U268)=0,INDEX('Сводка'!$T$3:$T$397,V268)=0),1,0)</x:f>
        <x:v>1</x:v>
      </x:c>
      <x:c r="S268" s="9" t="n">
        <x:f>IF(AND(R268=1,O268&lt;=$G$13),1,0)</x:f>
        <x:v>0</x:v>
      </x:c>
      <x:c r="T268" s="10" t="n">
        <x:f>EOMONTH(J268-'Сводка'!$B$11,-1)</x:f>
        <x:v>46112</x:v>
      </x:c>
      <x:c r="U268" s="4" t="n">
        <x:f>MATCH(J268,'Сводка'!$R$3:$R$397,0)</x:f>
        <x:v>279</x:v>
      </x:c>
      <x:c r="V268" s="4" t="n">
        <x:f>MATCH(J268-'Сводка'!$B$11,'Сводка'!$R$3:$R$397,0)</x:f>
        <x:v>278</x:v>
      </x:c>
      <x:c r="W268" s="4" t="n">
        <x:f>MATCH(T268,$J$388:$J$400,0)</x:f>
        <x:v>10</x:v>
      </x:c>
      <x:c r="X268" s="3"/>
      <x:c r="Y268" s="3"/>
      <x:c r="Z268" s="3"/>
    </x:row>
    <x:row r="269" ht="15" customHeight="1">
      <x:c r="A269" s="3"/>
      <x:c r="B269" s="3"/>
      <x:c r="C269" s="3"/>
      <x:c r="D269" s="3"/>
      <x:c r="E269" s="3"/>
      <x:c r="F269" s="3"/>
      <x:c r="G269" s="3"/>
      <x:c r="H269" s="3"/>
      <x:c r="I269" s="3"/>
      <x:c r="J269" s="10" t="n">
        <x:v>46120</x:v>
      </x:c>
      <x:c r="K269" s="8" t="n">
        <x:f>INDEX('Сводка'!$S$3:$S$397,U269)</x:f>
        <x:v>17</x:v>
      </x:c>
      <x:c r="L269" s="8" t="n">
        <x:f>INDEX('Сводка'!$S$3:$S$397,V269)</x:f>
        <x:v>-3</x:v>
      </x:c>
      <x:c r="M269" s="8" t="n">
        <x:f>INDEX($K$388:$N$400,W269,1)*EXP(INDEX($K$388:$N$400,W269,2)*((J269-$T$405+1)/1000))</x:f>
        <x:v>165.428787636712</x:v>
      </x:c>
      <x:c r="N269" s="8" t="n">
        <x:f>K269-M269</x:f>
        <x:v>-148.428787636712</x:v>
      </x:c>
      <x:c r="O269" s="8" t="n">
        <x:f>ABS(N269)</x:f>
        <x:v>148.428787636712</x:v>
      </x:c>
      <x:c r="P269" s="8" t="n">
        <x:f>N269^2</x:f>
        <x:v>22031.10499930415</x:v>
      </x:c>
      <x:c r="Q269" s="8" t="n">
        <x:f>K269-L269</x:f>
        <x:v>20</x:v>
      </x:c>
      <x:c r="R269" s="9" t="n">
        <x:f>IF(AND(INDEX('Сводка'!$T$3:$T$397,U269)=0,INDEX('Сводка'!$T$3:$T$397,V269)=0),1,0)</x:f>
        <x:v>1</x:v>
      </x:c>
      <x:c r="S269" s="9" t="n">
        <x:f>IF(AND(R269=1,O269&lt;=$G$13),1,0)</x:f>
        <x:v>0</x:v>
      </x:c>
      <x:c r="T269" s="10" t="n">
        <x:f>EOMONTH(J269-'Сводка'!$B$11,-1)</x:f>
        <x:v>46112</x:v>
      </x:c>
      <x:c r="U269" s="4" t="n">
        <x:f>MATCH(J269,'Сводка'!$R$3:$R$397,0)</x:f>
        <x:v>280</x:v>
      </x:c>
      <x:c r="V269" s="4" t="n">
        <x:f>MATCH(J269-'Сводка'!$B$11,'Сводка'!$R$3:$R$397,0)</x:f>
        <x:v>279</x:v>
      </x:c>
      <x:c r="W269" s="4" t="n">
        <x:f>MATCH(T269,$J$388:$J$400,0)</x:f>
        <x:v>10</x:v>
      </x:c>
      <x:c r="X269" s="3"/>
      <x:c r="Y269" s="3"/>
      <x:c r="Z269" s="3"/>
    </x:row>
    <x:row r="270" ht="15" customHeight="1">
      <x:c r="A270" s="3"/>
      <x:c r="B270" s="3"/>
      <x:c r="C270" s="3"/>
      <x:c r="D270" s="3"/>
      <x:c r="E270" s="3"/>
      <x:c r="F270" s="3"/>
      <x:c r="G270" s="3"/>
      <x:c r="H270" s="3"/>
      <x:c r="I270" s="3"/>
      <x:c r="J270" s="10" t="n">
        <x:v>46121</x:v>
      </x:c>
      <x:c r="K270" s="8" t="n">
        <x:f>INDEX('Сводка'!$S$3:$S$397,U270)</x:f>
        <x:v>44</x:v>
      </x:c>
      <x:c r="L270" s="8" t="n">
        <x:f>INDEX('Сводка'!$S$3:$S$397,V270)</x:f>
        <x:v>17</x:v>
      </x:c>
      <x:c r="M270" s="8" t="n">
        <x:f>INDEX($K$388:$N$400,W270,1)*EXP(INDEX($K$388:$N$400,W270,2)*((J270-$T$405+1)/1000))</x:f>
        <x:v>165.46502979871843</x:v>
      </x:c>
      <x:c r="N270" s="8" t="n">
        <x:f>K270-M270</x:f>
        <x:v>-121.46502979871843</x:v>
      </x:c>
      <x:c r="O270" s="8" t="n">
        <x:f>ABS(N270)</x:f>
        <x:v>121.46502979871843</x:v>
      </x:c>
      <x:c r="P270" s="8" t="n">
        <x:f>N270^2</x:f>
        <x:v>14753.753464003557</x:v>
      </x:c>
      <x:c r="Q270" s="8" t="n">
        <x:f>K270-L270</x:f>
        <x:v>27</x:v>
      </x:c>
      <x:c r="R270" s="9" t="n">
        <x:f>IF(AND(INDEX('Сводка'!$T$3:$T$397,U270)=0,INDEX('Сводка'!$T$3:$T$397,V270)=0),1,0)</x:f>
        <x:v>1</x:v>
      </x:c>
      <x:c r="S270" s="9" t="n">
        <x:f>IF(AND(R270=1,O270&lt;=$G$13),1,0)</x:f>
        <x:v>0</x:v>
      </x:c>
      <x:c r="T270" s="10" t="n">
        <x:f>EOMONTH(J270-'Сводка'!$B$11,-1)</x:f>
        <x:v>46112</x:v>
      </x:c>
      <x:c r="U270" s="4" t="n">
        <x:f>MATCH(J270,'Сводка'!$R$3:$R$397,0)</x:f>
        <x:v>281</x:v>
      </x:c>
      <x:c r="V270" s="4" t="n">
        <x:f>MATCH(J270-'Сводка'!$B$11,'Сводка'!$R$3:$R$397,0)</x:f>
        <x:v>280</x:v>
      </x:c>
      <x:c r="W270" s="4" t="n">
        <x:f>MATCH(T270,$J$388:$J$400,0)</x:f>
        <x:v>10</x:v>
      </x:c>
      <x:c r="X270" s="3"/>
      <x:c r="Y270" s="3"/>
      <x:c r="Z270" s="3"/>
    </x:row>
    <x:row r="271" ht="15" customHeight="1">
      <x:c r="A271" s="3"/>
      <x:c r="B271" s="3"/>
      <x:c r="C271" s="3"/>
      <x:c r="D271" s="3"/>
      <x:c r="E271" s="3"/>
      <x:c r="F271" s="3"/>
      <x:c r="G271" s="3"/>
      <x:c r="H271" s="3"/>
      <x:c r="I271" s="3"/>
      <x:c r="J271" s="10" t="n">
        <x:v>46122</x:v>
      </x:c>
      <x:c r="K271" s="8" t="n">
        <x:f>INDEX('Сводка'!$S$3:$S$397,U271)</x:f>
        <x:v>82</x:v>
      </x:c>
      <x:c r="L271" s="8" t="n">
        <x:f>INDEX('Сводка'!$S$3:$S$397,V271)</x:f>
        <x:v>44</x:v>
      </x:c>
      <x:c r="M271" s="8" t="n">
        <x:f>INDEX($K$388:$N$400,W271,1)*EXP(INDEX($K$388:$N$400,W271,2)*((J271-$T$405+1)/1000))</x:f>
        <x:v>165.50127990066278</x:v>
      </x:c>
      <x:c r="N271" s="8" t="n">
        <x:f>K271-M271</x:f>
        <x:v>-83.50127990066278</x:v>
      </x:c>
      <x:c r="O271" s="8" t="n">
        <x:f>ABS(N271)</x:f>
        <x:v>83.50127990066278</x:v>
      </x:c>
      <x:c r="P271" s="8" t="n">
        <x:f>N271^2</x:f>
        <x:v>6972.46374504883</x:v>
      </x:c>
      <x:c r="Q271" s="8" t="n">
        <x:f>K271-L271</x:f>
        <x:v>38</x:v>
      </x:c>
      <x:c r="R271" s="9" t="n">
        <x:f>IF(AND(INDEX('Сводка'!$T$3:$T$397,U271)=0,INDEX('Сводка'!$T$3:$T$397,V271)=0),1,0)</x:f>
        <x:v>1</x:v>
      </x:c>
      <x:c r="S271" s="9" t="n">
        <x:f>IF(AND(R271=1,O271&lt;=$G$13),1,0)</x:f>
        <x:v>0</x:v>
      </x:c>
      <x:c r="T271" s="10" t="n">
        <x:f>EOMONTH(J271-'Сводка'!$B$11,-1)</x:f>
        <x:v>46112</x:v>
      </x:c>
      <x:c r="U271" s="4" t="n">
        <x:f>MATCH(J271,'Сводка'!$R$3:$R$397,0)</x:f>
        <x:v>282</x:v>
      </x:c>
      <x:c r="V271" s="4" t="n">
        <x:f>MATCH(J271-'Сводка'!$B$11,'Сводка'!$R$3:$R$397,0)</x:f>
        <x:v>281</x:v>
      </x:c>
      <x:c r="W271" s="4" t="n">
        <x:f>MATCH(T271,$J$388:$J$400,0)</x:f>
        <x:v>10</x:v>
      </x:c>
      <x:c r="X271" s="3"/>
      <x:c r="Y271" s="3"/>
      <x:c r="Z271" s="3"/>
    </x:row>
    <x:row r="272" ht="15" customHeight="1">
      <x:c r="A272" s="3"/>
      <x:c r="B272" s="3"/>
      <x:c r="C272" s="3"/>
      <x:c r="D272" s="3"/>
      <x:c r="E272" s="3"/>
      <x:c r="F272" s="3"/>
      <x:c r="G272" s="3"/>
      <x:c r="H272" s="3"/>
      <x:c r="I272" s="3"/>
      <x:c r="J272" s="10" t="n">
        <x:v>46123</x:v>
      </x:c>
      <x:c r="K272" s="8" t="n">
        <x:f>INDEX('Сводка'!$S$3:$S$397,U272)</x:f>
        <x:v>96</x:v>
      </x:c>
      <x:c r="L272" s="8" t="n">
        <x:f>INDEX('Сводка'!$S$3:$S$397,V272)</x:f>
        <x:v>82</x:v>
      </x:c>
      <x:c r="M272" s="8" t="n">
        <x:f>INDEX($K$388:$N$400,W272,1)*EXP(INDEX($K$388:$N$400,W272,2)*((J272-$T$405+1)/1000))</x:f>
        <x:v>165.5375379442846</x:v>
      </x:c>
      <x:c r="N272" s="8" t="n">
        <x:f>K272-M272</x:f>
        <x:v>-69.5375379442846</x:v>
      </x:c>
      <x:c r="O272" s="8" t="n">
        <x:f>ABS(N272)</x:f>
        <x:v>69.5375379442846</x:v>
      </x:c>
      <x:c r="P272" s="8" t="n">
        <x:f>N272^2</x:f>
        <x:v>4835.4691833528195</x:v>
      </x:c>
      <x:c r="Q272" s="8" t="n">
        <x:f>K272-L272</x:f>
        <x:v>14</x:v>
      </x:c>
      <x:c r="R272" s="9" t="n">
        <x:f>IF(AND(INDEX('Сводка'!$T$3:$T$397,U272)=0,INDEX('Сводка'!$T$3:$T$397,V272)=0),1,0)</x:f>
        <x:v>1</x:v>
      </x:c>
      <x:c r="S272" s="9" t="n">
        <x:f>IF(AND(R272=1,O272&lt;=$G$13),1,0)</x:f>
        <x:v>0</x:v>
      </x:c>
      <x:c r="T272" s="10" t="n">
        <x:f>EOMONTH(J272-'Сводка'!$B$11,-1)</x:f>
        <x:v>46112</x:v>
      </x:c>
      <x:c r="U272" s="4" t="n">
        <x:f>MATCH(J272,'Сводка'!$R$3:$R$397,0)</x:f>
        <x:v>283</x:v>
      </x:c>
      <x:c r="V272" s="4" t="n">
        <x:f>MATCH(J272-'Сводка'!$B$11,'Сводка'!$R$3:$R$397,0)</x:f>
        <x:v>282</x:v>
      </x:c>
      <x:c r="W272" s="4" t="n">
        <x:f>MATCH(T272,$J$388:$J$400,0)</x:f>
        <x:v>10</x:v>
      </x:c>
      <x:c r="X272" s="3"/>
      <x:c r="Y272" s="3"/>
      <x:c r="Z272" s="3"/>
    </x:row>
    <x:row r="273" ht="15" customHeight="1">
      <x:c r="A273" s="3"/>
      <x:c r="B273" s="3"/>
      <x:c r="C273" s="3"/>
      <x:c r="D273" s="3"/>
      <x:c r="E273" s="3"/>
      <x:c r="F273" s="3"/>
      <x:c r="G273" s="3"/>
      <x:c r="H273" s="3"/>
      <x:c r="I273" s="3"/>
      <x:c r="J273" s="10" t="n">
        <x:v>46124</x:v>
      </x:c>
      <x:c r="K273" s="8" t="n">
        <x:f>INDEX('Сводка'!$S$3:$S$397,U273)</x:f>
        <x:v>163</x:v>
      </x:c>
      <x:c r="L273" s="8" t="n">
        <x:f>INDEX('Сводка'!$S$3:$S$397,V273)</x:f>
        <x:v>96</x:v>
      </x:c>
      <x:c r="M273" s="8" t="n">
        <x:f>INDEX($K$388:$N$400,W273,1)*EXP(INDEX($K$388:$N$400,W273,2)*((J273-$T$405+1)/1000))</x:f>
        <x:v>165.57380393132362</x:v>
      </x:c>
      <x:c r="N273" s="8" t="n">
        <x:f>K273-M273</x:f>
        <x:v>-2.5738039313236243</x:v>
      </x:c>
      <x:c r="O273" s="8" t="n">
        <x:f>ABS(N273)</x:f>
        <x:v>2.5738039313236243</x:v>
      </x:c>
      <x:c r="P273" s="8" t="n">
        <x:f>N273^2</x:f>
        <x:v>6.624466676896944</x:v>
      </x:c>
      <x:c r="Q273" s="8" t="n">
        <x:f>K273-L273</x:f>
        <x:v>67</x:v>
      </x:c>
      <x:c r="R273" s="9" t="n">
        <x:f>IF(AND(INDEX('Сводка'!$T$3:$T$397,U273)=0,INDEX('Сводка'!$T$3:$T$397,V273)=0),1,0)</x:f>
        <x:v>1</x:v>
      </x:c>
      <x:c r="S273" s="9" t="n">
        <x:f>IF(AND(R273=1,O273&lt;=$G$13),1,0)</x:f>
        <x:v>1</x:v>
      </x:c>
      <x:c r="T273" s="10" t="n">
        <x:f>EOMONTH(J273-'Сводка'!$B$11,-1)</x:f>
        <x:v>46112</x:v>
      </x:c>
      <x:c r="U273" s="4" t="n">
        <x:f>MATCH(J273,'Сводка'!$R$3:$R$397,0)</x:f>
        <x:v>284</x:v>
      </x:c>
      <x:c r="V273" s="4" t="n">
        <x:f>MATCH(J273-'Сводка'!$B$11,'Сводка'!$R$3:$R$397,0)</x:f>
        <x:v>283</x:v>
      </x:c>
      <x:c r="W273" s="4" t="n">
        <x:f>MATCH(T273,$J$388:$J$400,0)</x:f>
        <x:v>10</x:v>
      </x:c>
      <x:c r="X273" s="3"/>
      <x:c r="Y273" s="3"/>
      <x:c r="Z273" s="3"/>
    </x:row>
    <x:row r="274" ht="15" customHeight="1">
      <x:c r="A274" s="3"/>
      <x:c r="B274" s="3"/>
      <x:c r="C274" s="3"/>
      <x:c r="D274" s="3"/>
      <x:c r="E274" s="3"/>
      <x:c r="F274" s="3"/>
      <x:c r="G274" s="3"/>
      <x:c r="H274" s="3"/>
      <x:c r="I274" s="3"/>
      <x:c r="J274" s="10" t="n">
        <x:v>46125</x:v>
      </x:c>
      <x:c r="K274" s="8" t="n">
        <x:f>INDEX('Сводка'!$S$3:$S$397,U274)</x:f>
        <x:v>100</x:v>
      </x:c>
      <x:c r="L274" s="8" t="n">
        <x:f>INDEX('Сводка'!$S$3:$S$397,V274)</x:f>
        <x:v>163</x:v>
      </x:c>
      <x:c r="M274" s="8" t="n">
        <x:f>INDEX($K$388:$N$400,W274,1)*EXP(INDEX($K$388:$N$400,W274,2)*((J274-$T$405+1)/1000))</x:f>
        <x:v>165.6100778635202</x:v>
      </x:c>
      <x:c r="N274" s="8" t="n">
        <x:f>K274-M274</x:f>
        <x:v>-65.61007786352019</x:v>
      </x:c>
      <x:c r="O274" s="8" t="n">
        <x:f>ABS(N274)</x:f>
        <x:v>65.61007786352019</x:v>
      </x:c>
      <x:c r="P274" s="8" t="n">
        <x:f>N274^2</x:f>
        <x:v>4304.682317257182</x:v>
      </x:c>
      <x:c r="Q274" s="8" t="n">
        <x:f>K274-L274</x:f>
        <x:v>-63</x:v>
      </x:c>
      <x:c r="R274" s="9" t="n">
        <x:f>IF(AND(INDEX('Сводка'!$T$3:$T$397,U274)=0,INDEX('Сводка'!$T$3:$T$397,V274)=0),1,0)</x:f>
        <x:v>1</x:v>
      </x:c>
      <x:c r="S274" s="9" t="n">
        <x:f>IF(AND(R274=1,O274&lt;=$G$13),1,0)</x:f>
        <x:v>0</x:v>
      </x:c>
      <x:c r="T274" s="10" t="n">
        <x:f>EOMONTH(J274-'Сводка'!$B$11,-1)</x:f>
        <x:v>46112</x:v>
      </x:c>
      <x:c r="U274" s="4" t="n">
        <x:f>MATCH(J274,'Сводка'!$R$3:$R$397,0)</x:f>
        <x:v>285</x:v>
      </x:c>
      <x:c r="V274" s="4" t="n">
        <x:f>MATCH(J274-'Сводка'!$B$11,'Сводка'!$R$3:$R$397,0)</x:f>
        <x:v>284</x:v>
      </x:c>
      <x:c r="W274" s="4" t="n">
        <x:f>MATCH(T274,$J$388:$J$400,0)</x:f>
        <x:v>10</x:v>
      </x:c>
      <x:c r="X274" s="3"/>
      <x:c r="Y274" s="3"/>
      <x:c r="Z274" s="3"/>
    </x:row>
    <x:row r="275" ht="15" customHeight="1">
      <x:c r="A275" s="3"/>
      <x:c r="B275" s="3"/>
      <x:c r="C275" s="3"/>
      <x:c r="D275" s="3"/>
      <x:c r="E275" s="3"/>
      <x:c r="F275" s="3"/>
      <x:c r="G275" s="3"/>
      <x:c r="H275" s="3"/>
      <x:c r="I275" s="3"/>
      <x:c r="J275" s="10" t="n">
        <x:v>46126</x:v>
      </x:c>
      <x:c r="K275" s="8" t="n">
        <x:f>INDEX('Сводка'!$S$3:$S$397,U275)</x:f>
        <x:v>36</x:v>
      </x:c>
      <x:c r="L275" s="8" t="n">
        <x:f>INDEX('Сводка'!$S$3:$S$397,V275)</x:f>
        <x:v>100</x:v>
      </x:c>
      <x:c r="M275" s="8" t="n">
        <x:f>INDEX($K$388:$N$400,W275,1)*EXP(INDEX($K$388:$N$400,W275,2)*((J275-$T$405+1)/1000))</x:f>
        <x:v>165.64635974261495</x:v>
      </x:c>
      <x:c r="N275" s="8" t="n">
        <x:f>K275-M275</x:f>
        <x:v>-129.64635974261495</x:v>
      </x:c>
      <x:c r="O275" s="8" t="n">
        <x:f>ABS(N275)</x:f>
        <x:v>129.64635974261495</x:v>
      </x:c>
      <x:c r="P275" s="8" t="n">
        <x:f>N275^2</x:f>
        <x:v>16808.17859451153</x:v>
      </x:c>
      <x:c r="Q275" s="8" t="n">
        <x:f>K275-L275</x:f>
        <x:v>-64</x:v>
      </x:c>
      <x:c r="R275" s="9" t="n">
        <x:f>IF(AND(INDEX('Сводка'!$T$3:$T$397,U275)=0,INDEX('Сводка'!$T$3:$T$397,V275)=0),1,0)</x:f>
        <x:v>1</x:v>
      </x:c>
      <x:c r="S275" s="9" t="n">
        <x:f>IF(AND(R275=1,O275&lt;=$G$13),1,0)</x:f>
        <x:v>0</x:v>
      </x:c>
      <x:c r="T275" s="10" t="n">
        <x:f>EOMONTH(J275-'Сводка'!$B$11,-1)</x:f>
        <x:v>46112</x:v>
      </x:c>
      <x:c r="U275" s="4" t="n">
        <x:f>MATCH(J275,'Сводка'!$R$3:$R$397,0)</x:f>
        <x:v>286</x:v>
      </x:c>
      <x:c r="V275" s="4" t="n">
        <x:f>MATCH(J275-'Сводка'!$B$11,'Сводка'!$R$3:$R$397,0)</x:f>
        <x:v>285</x:v>
      </x:c>
      <x:c r="W275" s="4" t="n">
        <x:f>MATCH(T275,$J$388:$J$400,0)</x:f>
        <x:v>10</x:v>
      </x:c>
      <x:c r="X275" s="3"/>
      <x:c r="Y275" s="3"/>
      <x:c r="Z275" s="3"/>
    </x:row>
    <x:row r="276" ht="15" customHeight="1">
      <x:c r="A276" s="3"/>
      <x:c r="B276" s="3"/>
      <x:c r="C276" s="3"/>
      <x:c r="D276" s="3"/>
      <x:c r="E276" s="3"/>
      <x:c r="F276" s="3"/>
      <x:c r="G276" s="3"/>
      <x:c r="H276" s="3"/>
      <x:c r="I276" s="3"/>
      <x:c r="J276" s="10" t="n">
        <x:v>46127</x:v>
      </x:c>
      <x:c r="K276" s="8" t="n">
        <x:f>INDEX('Сводка'!$S$3:$S$397,U276)</x:f>
        <x:v>-4</x:v>
      </x:c>
      <x:c r="L276" s="8" t="n">
        <x:f>INDEX('Сводка'!$S$3:$S$397,V276)</x:f>
        <x:v>36</x:v>
      </x:c>
      <x:c r="M276" s="8" t="n">
        <x:f>INDEX($K$388:$N$400,W276,1)*EXP(INDEX($K$388:$N$400,W276,2)*((J276-$T$405+1)/1000))</x:f>
        <x:v>165.6826495703489</x:v>
      </x:c>
      <x:c r="N276" s="8" t="n">
        <x:f>K276-M276</x:f>
        <x:v>-169.6826495703489</x:v>
      </x:c>
      <x:c r="O276" s="8" t="n">
        <x:f>ABS(N276)</x:f>
        <x:v>169.6826495703489</x:v>
      </x:c>
      <x:c r="P276" s="8" t="n">
        <x:f>N276^2</x:f>
        <x:v>28792.201565213825</x:v>
      </x:c>
      <x:c r="Q276" s="8" t="n">
        <x:f>K276-L276</x:f>
        <x:v>-40</x:v>
      </x:c>
      <x:c r="R276" s="9" t="n">
        <x:f>IF(AND(INDEX('Сводка'!$T$3:$T$397,U276)=0,INDEX('Сводка'!$T$3:$T$397,V276)=0),1,0)</x:f>
        <x:v>1</x:v>
      </x:c>
      <x:c r="S276" s="9" t="n">
        <x:f>IF(AND(R276=1,O276&lt;=$G$13),1,0)</x:f>
        <x:v>0</x:v>
      </x:c>
      <x:c r="T276" s="10" t="n">
        <x:f>EOMONTH(J276-'Сводка'!$B$11,-1)</x:f>
        <x:v>46112</x:v>
      </x:c>
      <x:c r="U276" s="4" t="n">
        <x:f>MATCH(J276,'Сводка'!$R$3:$R$397,0)</x:f>
        <x:v>287</x:v>
      </x:c>
      <x:c r="V276" s="4" t="n">
        <x:f>MATCH(J276-'Сводка'!$B$11,'Сводка'!$R$3:$R$397,0)</x:f>
        <x:v>286</x:v>
      </x:c>
      <x:c r="W276" s="4" t="n">
        <x:f>MATCH(T276,$J$388:$J$400,0)</x:f>
        <x:v>10</x:v>
      </x:c>
      <x:c r="X276" s="3"/>
      <x:c r="Y276" s="3"/>
      <x:c r="Z276" s="3"/>
    </x:row>
    <x:row r="277" ht="15" customHeight="1">
      <x:c r="A277" s="3"/>
      <x:c r="B277" s="3"/>
      <x:c r="C277" s="3"/>
      <x:c r="D277" s="3"/>
      <x:c r="E277" s="3"/>
      <x:c r="F277" s="3"/>
      <x:c r="G277" s="3"/>
      <x:c r="H277" s="3"/>
      <x:c r="I277" s="3"/>
      <x:c r="J277" s="10" t="n">
        <x:v>46128</x:v>
      </x:c>
      <x:c r="K277" s="8" t="n">
        <x:f>INDEX('Сводка'!$S$3:$S$397,U277)</x:f>
        <x:v>-14</x:v>
      </x:c>
      <x:c r="L277" s="8" t="n">
        <x:f>INDEX('Сводка'!$S$3:$S$397,V277)</x:f>
        <x:v>-4</x:v>
      </x:c>
      <x:c r="M277" s="8" t="n">
        <x:f>INDEX($K$388:$N$400,W277,1)*EXP(INDEX($K$388:$N$400,W277,2)*((J277-$T$405+1)/1000))</x:f>
        <x:v>165.71894734846333</x:v>
      </x:c>
      <x:c r="N277" s="8" t="n">
        <x:f>K277-M277</x:f>
        <x:v>-179.71894734846333</x:v>
      </x:c>
      <x:c r="O277" s="8" t="n">
        <x:f>ABS(N277)</x:f>
        <x:v>179.71894734846333</x:v>
      </x:c>
      <x:c r="P277" s="8" t="n">
        <x:f>N277^2</x:f>
        <x:v>32298.900036039737</x:v>
      </x:c>
      <x:c r="Q277" s="8" t="n">
        <x:f>K277-L277</x:f>
        <x:v>-10</x:v>
      </x:c>
      <x:c r="R277" s="9" t="n">
        <x:f>IF(AND(INDEX('Сводка'!$T$3:$T$397,U277)=0,INDEX('Сводка'!$T$3:$T$397,V277)=0),1,0)</x:f>
        <x:v>1</x:v>
      </x:c>
      <x:c r="S277" s="9" t="n">
        <x:f>IF(AND(R277=1,O277&lt;=$G$13),1,0)</x:f>
        <x:v>0</x:v>
      </x:c>
      <x:c r="T277" s="10" t="n">
        <x:f>EOMONTH(J277-'Сводка'!$B$11,-1)</x:f>
        <x:v>46112</x:v>
      </x:c>
      <x:c r="U277" s="4" t="n">
        <x:f>MATCH(J277,'Сводка'!$R$3:$R$397,0)</x:f>
        <x:v>288</x:v>
      </x:c>
      <x:c r="V277" s="4" t="n">
        <x:f>MATCH(J277-'Сводка'!$B$11,'Сводка'!$R$3:$R$397,0)</x:f>
        <x:v>287</x:v>
      </x:c>
      <x:c r="W277" s="4" t="n">
        <x:f>MATCH(T277,$J$388:$J$400,0)</x:f>
        <x:v>10</x:v>
      </x:c>
      <x:c r="X277" s="3"/>
      <x:c r="Y277" s="3"/>
      <x:c r="Z277" s="3"/>
    </x:row>
    <x:row r="278" ht="15" customHeight="1">
      <x:c r="A278" s="3"/>
      <x:c r="B278" s="3"/>
      <x:c r="C278" s="3"/>
      <x:c r="D278" s="3"/>
      <x:c r="E278" s="3"/>
      <x:c r="F278" s="3"/>
      <x:c r="G278" s="3"/>
      <x:c r="H278" s="3"/>
      <x:c r="I278" s="3"/>
      <x:c r="J278" s="10" t="n">
        <x:v>46129</x:v>
      </x:c>
      <x:c r="K278" s="8" t="n">
        <x:f>INDEX('Сводка'!$S$3:$S$397,U278)</x:f>
        <x:v>-6</x:v>
      </x:c>
      <x:c r="L278" s="8" t="n">
        <x:f>INDEX('Сводка'!$S$3:$S$397,V278)</x:f>
        <x:v>-14</x:v>
      </x:c>
      <x:c r="M278" s="8" t="n">
        <x:f>INDEX($K$388:$N$400,W278,1)*EXP(INDEX($K$388:$N$400,W278,2)*((J278-$T$405+1)/1000))</x:f>
        <x:v>165.75525307870006</x:v>
      </x:c>
      <x:c r="N278" s="8" t="n">
        <x:f>K278-M278</x:f>
        <x:v>-171.75525307870006</x:v>
      </x:c>
      <x:c r="O278" s="8" t="n">
        <x:f>ABS(N278)</x:f>
        <x:v>171.75525307870006</x:v>
      </x:c>
      <x:c r="P278" s="8" t="n">
        <x:f>N278^2</x:f>
        <x:v>29499.866960128307</x:v>
      </x:c>
      <x:c r="Q278" s="8" t="n">
        <x:f>K278-L278</x:f>
        <x:v>8</x:v>
      </x:c>
      <x:c r="R278" s="9" t="n">
        <x:f>IF(AND(INDEX('Сводка'!$T$3:$T$397,U278)=0,INDEX('Сводка'!$T$3:$T$397,V278)=0),1,0)</x:f>
        <x:v>1</x:v>
      </x:c>
      <x:c r="S278" s="9" t="n">
        <x:f>IF(AND(R278=1,O278&lt;=$G$13),1,0)</x:f>
        <x:v>0</x:v>
      </x:c>
      <x:c r="T278" s="10" t="n">
        <x:f>EOMONTH(J278-'Сводка'!$B$11,-1)</x:f>
        <x:v>46112</x:v>
      </x:c>
      <x:c r="U278" s="4" t="n">
        <x:f>MATCH(J278,'Сводка'!$R$3:$R$397,0)</x:f>
        <x:v>289</x:v>
      </x:c>
      <x:c r="V278" s="4" t="n">
        <x:f>MATCH(J278-'Сводка'!$B$11,'Сводка'!$R$3:$R$397,0)</x:f>
        <x:v>288</x:v>
      </x:c>
      <x:c r="W278" s="4" t="n">
        <x:f>MATCH(T278,$J$388:$J$400,0)</x:f>
        <x:v>10</x:v>
      </x:c>
      <x:c r="X278" s="3"/>
      <x:c r="Y278" s="3"/>
      <x:c r="Z278" s="3"/>
    </x:row>
    <x:row r="279" ht="15" customHeight="1">
      <x:c r="A279" s="3"/>
      <x:c r="B279" s="3"/>
      <x:c r="C279" s="3"/>
      <x:c r="D279" s="3"/>
      <x:c r="E279" s="3"/>
      <x:c r="F279" s="3"/>
      <x:c r="G279" s="3"/>
      <x:c r="H279" s="3"/>
      <x:c r="I279" s="3"/>
      <x:c r="J279" s="10" t="n">
        <x:v>46130</x:v>
      </x:c>
      <x:c r="K279" s="8" t="n">
        <x:f>INDEX('Сводка'!$S$3:$S$397,U279)</x:f>
        <x:v>-4</x:v>
      </x:c>
      <x:c r="L279" s="8" t="n">
        <x:f>INDEX('Сводка'!$S$3:$S$397,V279)</x:f>
        <x:v>-6</x:v>
      </x:c>
      <x:c r="M279" s="8" t="n">
        <x:f>INDEX($K$388:$N$400,W279,1)*EXP(INDEX($K$388:$N$400,W279,2)*((J279-$T$405+1)/1000))</x:f>
        <x:v>165.79156676280138</x:v>
      </x:c>
      <x:c r="N279" s="8" t="n">
        <x:f>K279-M279</x:f>
        <x:v>-169.79156676280138</x:v>
      </x:c>
      <x:c r="O279" s="8" t="n">
        <x:f>ABS(N279)</x:f>
        <x:v>169.79156676280138</x:v>
      </x:c>
      <x:c r="P279" s="8" t="n">
        <x:f>N279^2</x:f>
        <x:v>28829.17614376684</x:v>
      </x:c>
      <x:c r="Q279" s="8" t="n">
        <x:f>K279-L279</x:f>
        <x:v>2</x:v>
      </x:c>
      <x:c r="R279" s="9" t="n">
        <x:f>IF(AND(INDEX('Сводка'!$T$3:$T$397,U279)=0,INDEX('Сводка'!$T$3:$T$397,V279)=0),1,0)</x:f>
        <x:v>1</x:v>
      </x:c>
      <x:c r="S279" s="9" t="n">
        <x:f>IF(AND(R279=1,O279&lt;=$G$13),1,0)</x:f>
        <x:v>0</x:v>
      </x:c>
      <x:c r="T279" s="10" t="n">
        <x:f>EOMONTH(J279-'Сводка'!$B$11,-1)</x:f>
        <x:v>46112</x:v>
      </x:c>
      <x:c r="U279" s="4" t="n">
        <x:f>MATCH(J279,'Сводка'!$R$3:$R$397,0)</x:f>
        <x:v>290</x:v>
      </x:c>
      <x:c r="V279" s="4" t="n">
        <x:f>MATCH(J279-'Сводка'!$B$11,'Сводка'!$R$3:$R$397,0)</x:f>
        <x:v>289</x:v>
      </x:c>
      <x:c r="W279" s="4" t="n">
        <x:f>MATCH(T279,$J$388:$J$400,0)</x:f>
        <x:v>10</x:v>
      </x:c>
      <x:c r="X279" s="3"/>
      <x:c r="Y279" s="3"/>
      <x:c r="Z279" s="3"/>
    </x:row>
    <x:row r="280" ht="15" customHeight="1">
      <x:c r="A280" s="3"/>
      <x:c r="B280" s="3"/>
      <x:c r="C280" s="3"/>
      <x:c r="D280" s="3"/>
      <x:c r="E280" s="3"/>
      <x:c r="F280" s="3"/>
      <x:c r="G280" s="3"/>
      <x:c r="H280" s="3"/>
      <x:c r="I280" s="3"/>
      <x:c r="J280" s="10" t="n">
        <x:v>46131</x:v>
      </x:c>
      <x:c r="K280" s="8" t="n">
        <x:f>INDEX('Сводка'!$S$3:$S$397,U280)</x:f>
        <x:v>64</x:v>
      </x:c>
      <x:c r="L280" s="8" t="n">
        <x:f>INDEX('Сводка'!$S$3:$S$397,V280)</x:f>
        <x:v>-4</x:v>
      </x:c>
      <x:c r="M280" s="8" t="n">
        <x:f>INDEX($K$388:$N$400,W280,1)*EXP(INDEX($K$388:$N$400,W280,2)*((J280-$T$405+1)/1000))</x:f>
        <x:v>165.82788840250961</x:v>
      </x:c>
      <x:c r="N280" s="8" t="n">
        <x:f>K280-M280</x:f>
        <x:v>-101.82788840250961</x:v>
      </x:c>
      <x:c r="O280" s="8" t="n">
        <x:f>ABS(N280)</x:f>
        <x:v>101.82788840250961</x:v>
      </x:c>
      <x:c r="P280" s="8" t="n">
        <x:f>N280^2</x:f>
        <x:v>10368.918856513952</x:v>
      </x:c>
      <x:c r="Q280" s="8" t="n">
        <x:f>K280-L280</x:f>
        <x:v>68</x:v>
      </x:c>
      <x:c r="R280" s="9" t="n">
        <x:f>IF(AND(INDEX('Сводка'!$T$3:$T$397,U280)=0,INDEX('Сводка'!$T$3:$T$397,V280)=0),1,0)</x:f>
        <x:v>1</x:v>
      </x:c>
      <x:c r="S280" s="9" t="n">
        <x:f>IF(AND(R280=1,O280&lt;=$G$13),1,0)</x:f>
        <x:v>0</x:v>
      </x:c>
      <x:c r="T280" s="10" t="n">
        <x:f>EOMONTH(J280-'Сводка'!$B$11,-1)</x:f>
        <x:v>46112</x:v>
      </x:c>
      <x:c r="U280" s="4" t="n">
        <x:f>MATCH(J280,'Сводка'!$R$3:$R$397,0)</x:f>
        <x:v>291</x:v>
      </x:c>
      <x:c r="V280" s="4" t="n">
        <x:f>MATCH(J280-'Сводка'!$B$11,'Сводка'!$R$3:$R$397,0)</x:f>
        <x:v>290</x:v>
      </x:c>
      <x:c r="W280" s="4" t="n">
        <x:f>MATCH(T280,$J$388:$J$400,0)</x:f>
        <x:v>10</x:v>
      </x:c>
      <x:c r="X280" s="3"/>
      <x:c r="Y280" s="3"/>
      <x:c r="Z280" s="3"/>
    </x:row>
    <x:row r="281" ht="15" customHeight="1">
      <x:c r="A281" s="3"/>
      <x:c r="B281" s="3"/>
      <x:c r="C281" s="3"/>
      <x:c r="D281" s="3"/>
      <x:c r="E281" s="3"/>
      <x:c r="F281" s="3"/>
      <x:c r="G281" s="3"/>
      <x:c r="H281" s="3"/>
      <x:c r="I281" s="3"/>
      <x:c r="J281" s="10" t="n">
        <x:v>46132</x:v>
      </x:c>
      <x:c r="K281" s="8" t="n">
        <x:f>INDEX('Сводка'!$S$3:$S$397,U281)</x:f>
        <x:v>82</x:v>
      </x:c>
      <x:c r="L281" s="8" t="n">
        <x:f>INDEX('Сводка'!$S$3:$S$397,V281)</x:f>
        <x:v>64</x:v>
      </x:c>
      <x:c r="M281" s="8" t="n">
        <x:f>INDEX($K$388:$N$400,W281,1)*EXP(INDEX($K$388:$N$400,W281,2)*((J281-$T$405+1)/1000))</x:f>
        <x:v>165.8642179995678</x:v>
      </x:c>
      <x:c r="N281" s="8" t="n">
        <x:f>K281-M281</x:f>
        <x:v>-83.86421799956781</x:v>
      </x:c>
      <x:c r="O281" s="8" t="n">
        <x:f>ABS(N281)</x:f>
        <x:v>83.86421799956781</x:v>
      </x:c>
      <x:c r="P281" s="8" t="n">
        <x:f>N281^2</x:f>
        <x:v>7033.207060679034</x:v>
      </x:c>
      <x:c r="Q281" s="8" t="n">
        <x:f>K281-L281</x:f>
        <x:v>18</x:v>
      </x:c>
      <x:c r="R281" s="9" t="n">
        <x:f>IF(AND(INDEX('Сводка'!$T$3:$T$397,U281)=0,INDEX('Сводка'!$T$3:$T$397,V281)=0),1,0)</x:f>
        <x:v>1</x:v>
      </x:c>
      <x:c r="S281" s="9" t="n">
        <x:f>IF(AND(R281=1,O281&lt;=$G$13),1,0)</x:f>
        <x:v>0</x:v>
      </x:c>
      <x:c r="T281" s="10" t="n">
        <x:f>EOMONTH(J281-'Сводка'!$B$11,-1)</x:f>
        <x:v>46112</x:v>
      </x:c>
      <x:c r="U281" s="4" t="n">
        <x:f>MATCH(J281,'Сводка'!$R$3:$R$397,0)</x:f>
        <x:v>292</x:v>
      </x:c>
      <x:c r="V281" s="4" t="n">
        <x:f>MATCH(J281-'Сводка'!$B$11,'Сводка'!$R$3:$R$397,0)</x:f>
        <x:v>291</x:v>
      </x:c>
      <x:c r="W281" s="4" t="n">
        <x:f>MATCH(T281,$J$388:$J$400,0)</x:f>
        <x:v>10</x:v>
      </x:c>
      <x:c r="X281" s="3"/>
      <x:c r="Y281" s="3"/>
      <x:c r="Z281" s="3"/>
    </x:row>
    <x:row r="282" ht="15" customHeight="1">
      <x:c r="A282" s="3"/>
      <x:c r="B282" s="3"/>
      <x:c r="C282" s="3"/>
      <x:c r="D282" s="3"/>
      <x:c r="E282" s="3"/>
      <x:c r="F282" s="3"/>
      <x:c r="G282" s="3"/>
      <x:c r="H282" s="3"/>
      <x:c r="I282" s="3"/>
      <x:c r="J282" s="10" t="n">
        <x:v>46133</x:v>
      </x:c>
      <x:c r="K282" s="8" t="n">
        <x:f>INDEX('Сводка'!$S$3:$S$397,U282)</x:f>
        <x:v>64</x:v>
      </x:c>
      <x:c r="L282" s="8" t="n">
        <x:f>INDEX('Сводка'!$S$3:$S$397,V282)</x:f>
        <x:v>82</x:v>
      </x:c>
      <x:c r="M282" s="8" t="n">
        <x:f>INDEX($K$388:$N$400,W282,1)*EXP(INDEX($K$388:$N$400,W282,2)*((J282-$T$405+1)/1000))</x:f>
        <x:v>165.90055555571925</x:v>
      </x:c>
      <x:c r="N282" s="8" t="n">
        <x:f>K282-M282</x:f>
        <x:v>-101.90055555571925</x:v>
      </x:c>
      <x:c r="O282" s="8" t="n">
        <x:f>ABS(N282)</x:f>
        <x:v>101.90055555571925</x:v>
      </x:c>
      <x:c r="P282" s="8" t="n">
        <x:f>N282^2</x:f>
        <x:v>10383.723222564226</x:v>
      </x:c>
      <x:c r="Q282" s="8" t="n">
        <x:f>K282-L282</x:f>
        <x:v>-18</x:v>
      </x:c>
      <x:c r="R282" s="9" t="n">
        <x:f>IF(AND(INDEX('Сводка'!$T$3:$T$397,U282)=0,INDEX('Сводка'!$T$3:$T$397,V282)=0),1,0)</x:f>
        <x:v>1</x:v>
      </x:c>
      <x:c r="S282" s="9" t="n">
        <x:f>IF(AND(R282=1,O282&lt;=$G$13),1,0)</x:f>
        <x:v>0</x:v>
      </x:c>
      <x:c r="T282" s="10" t="n">
        <x:f>EOMONTH(J282-'Сводка'!$B$11,-1)</x:f>
        <x:v>46112</x:v>
      </x:c>
      <x:c r="U282" s="4" t="n">
        <x:f>MATCH(J282,'Сводка'!$R$3:$R$397,0)</x:f>
        <x:v>293</x:v>
      </x:c>
      <x:c r="V282" s="4" t="n">
        <x:f>MATCH(J282-'Сводка'!$B$11,'Сводка'!$R$3:$R$397,0)</x:f>
        <x:v>292</x:v>
      </x:c>
      <x:c r="W282" s="4" t="n">
        <x:f>MATCH(T282,$J$388:$J$400,0)</x:f>
        <x:v>10</x:v>
      </x:c>
      <x:c r="X282" s="3"/>
      <x:c r="Y282" s="3"/>
      <x:c r="Z282" s="3"/>
    </x:row>
    <x:row r="283" ht="15" customHeight="1">
      <x:c r="A283" s="3"/>
      <x:c r="B283" s="3"/>
      <x:c r="C283" s="3"/>
      <x:c r="D283" s="3"/>
      <x:c r="E283" s="3"/>
      <x:c r="F283" s="3"/>
      <x:c r="G283" s="3"/>
      <x:c r="H283" s="3"/>
      <x:c r="I283" s="3"/>
      <x:c r="J283" s="10" t="n">
        <x:v>46134</x:v>
      </x:c>
      <x:c r="K283" s="8" t="n">
        <x:f>INDEX('Сводка'!$S$3:$S$397,U283)</x:f>
        <x:v>63</x:v>
      </x:c>
      <x:c r="L283" s="8" t="n">
        <x:f>INDEX('Сводка'!$S$3:$S$397,V283)</x:f>
        <x:v>64</x:v>
      </x:c>
      <x:c r="M283" s="8" t="n">
        <x:f>INDEX($K$388:$N$400,W283,1)*EXP(INDEX($K$388:$N$400,W283,2)*((J283-$T$405+1)/1000))</x:f>
        <x:v>165.93690107270754</x:v>
      </x:c>
      <x:c r="N283" s="8" t="n">
        <x:f>K283-M283</x:f>
        <x:v>-102.93690107270754</x:v>
      </x:c>
      <x:c r="O283" s="8" t="n">
        <x:f>ABS(N283)</x:f>
        <x:v>102.93690107270754</x:v>
      </x:c>
      <x:c r="P283" s="8" t="n">
        <x:f>N283^2</x:f>
        <x:v>10596.005602452378</x:v>
      </x:c>
      <x:c r="Q283" s="8" t="n">
        <x:f>K283-L283</x:f>
        <x:v>-1</x:v>
      </x:c>
      <x:c r="R283" s="9" t="n">
        <x:f>IF(AND(INDEX('Сводка'!$T$3:$T$397,U283)=0,INDEX('Сводка'!$T$3:$T$397,V283)=0),1,0)</x:f>
        <x:v>1</x:v>
      </x:c>
      <x:c r="S283" s="9" t="n">
        <x:f>IF(AND(R283=1,O283&lt;=$G$13),1,0)</x:f>
        <x:v>0</x:v>
      </x:c>
      <x:c r="T283" s="10" t="n">
        <x:f>EOMONTH(J283-'Сводка'!$B$11,-1)</x:f>
        <x:v>46112</x:v>
      </x:c>
      <x:c r="U283" s="4" t="n">
        <x:f>MATCH(J283,'Сводка'!$R$3:$R$397,0)</x:f>
        <x:v>294</x:v>
      </x:c>
      <x:c r="V283" s="4" t="n">
        <x:f>MATCH(J283-'Сводка'!$B$11,'Сводка'!$R$3:$R$397,0)</x:f>
        <x:v>293</x:v>
      </x:c>
      <x:c r="W283" s="4" t="n">
        <x:f>MATCH(T283,$J$388:$J$400,0)</x:f>
        <x:v>10</x:v>
      </x:c>
      <x:c r="X283" s="3"/>
      <x:c r="Y283" s="3"/>
      <x:c r="Z283" s="3"/>
    </x:row>
    <x:row r="284" ht="15" customHeight="1">
      <x:c r="A284" s="3"/>
      <x:c r="B284" s="3"/>
      <x:c r="C284" s="3"/>
      <x:c r="D284" s="3"/>
      <x:c r="E284" s="3"/>
      <x:c r="F284" s="3"/>
      <x:c r="G284" s="3"/>
      <x:c r="H284" s="3"/>
      <x:c r="I284" s="3"/>
      <x:c r="J284" s="10" t="n">
        <x:v>46135</x:v>
      </x:c>
      <x:c r="K284" s="8" t="n">
        <x:f>INDEX('Сводка'!$S$3:$S$397,U284)</x:f>
        <x:v>55</x:v>
      </x:c>
      <x:c r="L284" s="8" t="n">
        <x:f>INDEX('Сводка'!$S$3:$S$397,V284)</x:f>
        <x:v>63</x:v>
      </x:c>
      <x:c r="M284" s="8" t="n">
        <x:f>INDEX($K$388:$N$400,W284,1)*EXP(INDEX($K$388:$N$400,W284,2)*((J284-$T$405+1)/1000))</x:f>
        <x:v>165.97325455227679</x:v>
      </x:c>
      <x:c r="N284" s="8" t="n">
        <x:f>K284-M284</x:f>
        <x:v>-110.97325455227679</x:v>
      </x:c>
      <x:c r="O284" s="8" t="n">
        <x:f>ABS(N284)</x:f>
        <x:v>110.97325455227679</x:v>
      </x:c>
      <x:c r="P284" s="8" t="n">
        <x:f>N284^2</x:f>
        <x:v>12315.06322592442</x:v>
      </x:c>
      <x:c r="Q284" s="8" t="n">
        <x:f>K284-L284</x:f>
        <x:v>-8</x:v>
      </x:c>
      <x:c r="R284" s="9" t="n">
        <x:f>IF(AND(INDEX('Сводка'!$T$3:$T$397,U284)=0,INDEX('Сводка'!$T$3:$T$397,V284)=0),1,0)</x:f>
        <x:v>1</x:v>
      </x:c>
      <x:c r="S284" s="9" t="n">
        <x:f>IF(AND(R284=1,O284&lt;=$G$13),1,0)</x:f>
        <x:v>0</x:v>
      </x:c>
      <x:c r="T284" s="10" t="n">
        <x:f>EOMONTH(J284-'Сводка'!$B$11,-1)</x:f>
        <x:v>46112</x:v>
      </x:c>
      <x:c r="U284" s="4" t="n">
        <x:f>MATCH(J284,'Сводка'!$R$3:$R$397,0)</x:f>
        <x:v>295</x:v>
      </x:c>
      <x:c r="V284" s="4" t="n">
        <x:f>MATCH(J284-'Сводка'!$B$11,'Сводка'!$R$3:$R$397,0)</x:f>
        <x:v>294</x:v>
      </x:c>
      <x:c r="W284" s="4" t="n">
        <x:f>MATCH(T284,$J$388:$J$400,0)</x:f>
        <x:v>10</x:v>
      </x:c>
      <x:c r="X284" s="3"/>
      <x:c r="Y284" s="3"/>
      <x:c r="Z284" s="3"/>
    </x:row>
    <x:row r="285" ht="15" customHeight="1">
      <x:c r="A285" s="3"/>
      <x:c r="B285" s="3"/>
      <x:c r="C285" s="3"/>
      <x:c r="D285" s="3"/>
      <x:c r="E285" s="3"/>
      <x:c r="F285" s="3"/>
      <x:c r="G285" s="3"/>
      <x:c r="H285" s="3"/>
      <x:c r="I285" s="3"/>
      <x:c r="J285" s="10" t="n">
        <x:v>46136</x:v>
      </x:c>
      <x:c r="K285" s="8" t="n">
        <x:f>INDEX('Сводка'!$S$3:$S$397,U285)</x:f>
        <x:v>53</x:v>
      </x:c>
      <x:c r="L285" s="8" t="n">
        <x:f>INDEX('Сводка'!$S$3:$S$397,V285)</x:f>
        <x:v>55</x:v>
      </x:c>
      <x:c r="M285" s="8" t="n">
        <x:f>INDEX($K$388:$N$400,W285,1)*EXP(INDEX($K$388:$N$400,W285,2)*((J285-$T$405+1)/1000))</x:f>
        <x:v>166.00961599617153</x:v>
      </x:c>
      <x:c r="N285" s="8" t="n">
        <x:f>K285-M285</x:f>
        <x:v>-113.00961599617153</x:v>
      </x:c>
      <x:c r="O285" s="8" t="n">
        <x:f>ABS(N285)</x:f>
        <x:v>113.00961599617153</x:v>
      </x:c>
      <x:c r="P285" s="8" t="n">
        <x:f>N285^2</x:f>
        <x:v>12771.173307602148</x:v>
      </x:c>
      <x:c r="Q285" s="8" t="n">
        <x:f>K285-L285</x:f>
        <x:v>-2</x:v>
      </x:c>
      <x:c r="R285" s="9" t="n">
        <x:f>IF(AND(INDEX('Сводка'!$T$3:$T$397,U285)=0,INDEX('Сводка'!$T$3:$T$397,V285)=0),1,0)</x:f>
        <x:v>1</x:v>
      </x:c>
      <x:c r="S285" s="9" t="n">
        <x:f>IF(AND(R285=1,O285&lt;=$G$13),1,0)</x:f>
        <x:v>0</x:v>
      </x:c>
      <x:c r="T285" s="10" t="n">
        <x:f>EOMONTH(J285-'Сводка'!$B$11,-1)</x:f>
        <x:v>46112</x:v>
      </x:c>
      <x:c r="U285" s="4" t="n">
        <x:f>MATCH(J285,'Сводка'!$R$3:$R$397,0)</x:f>
        <x:v>296</x:v>
      </x:c>
      <x:c r="V285" s="4" t="n">
        <x:f>MATCH(J285-'Сводка'!$B$11,'Сводка'!$R$3:$R$397,0)</x:f>
        <x:v>295</x:v>
      </x:c>
      <x:c r="W285" s="4" t="n">
        <x:f>MATCH(T285,$J$388:$J$400,0)</x:f>
        <x:v>10</x:v>
      </x:c>
      <x:c r="X285" s="3"/>
      <x:c r="Y285" s="3"/>
      <x:c r="Z285" s="3"/>
    </x:row>
    <x:row r="286" ht="15" customHeight="1">
      <x:c r="A286" s="3"/>
      <x:c r="B286" s="3"/>
      <x:c r="C286" s="3"/>
      <x:c r="D286" s="3"/>
      <x:c r="E286" s="3"/>
      <x:c r="F286" s="3"/>
      <x:c r="G286" s="3"/>
      <x:c r="H286" s="3"/>
      <x:c r="I286" s="3"/>
      <x:c r="J286" s="10" t="n">
        <x:v>46137</x:v>
      </x:c>
      <x:c r="K286" s="8" t="n">
        <x:f>INDEX('Сводка'!$S$3:$S$397,U286)</x:f>
        <x:v>58</x:v>
      </x:c>
      <x:c r="L286" s="8" t="n">
        <x:f>INDEX('Сводка'!$S$3:$S$397,V286)</x:f>
        <x:v>53</x:v>
      </x:c>
      <x:c r="M286" s="8" t="n">
        <x:f>INDEX($K$388:$N$400,W286,1)*EXP(INDEX($K$388:$N$400,W286,2)*((J286-$T$405+1)/1000))</x:f>
        <x:v>166.04598540613637</x:v>
      </x:c>
      <x:c r="N286" s="8" t="n">
        <x:f>K286-M286</x:f>
        <x:v>-108.04598540613637</x:v>
      </x:c>
      <x:c r="O286" s="8" t="n">
        <x:f>ABS(N286)</x:f>
        <x:v>108.04598540613637</x:v>
      </x:c>
      <x:c r="P286" s="8" t="n">
        <x:f>N286^2</x:f>
        <x:v>11673.934962383033</x:v>
      </x:c>
      <x:c r="Q286" s="8" t="n">
        <x:f>K286-L286</x:f>
        <x:v>5</x:v>
      </x:c>
      <x:c r="R286" s="9" t="n">
        <x:f>IF(AND(INDEX('Сводка'!$T$3:$T$397,U286)=0,INDEX('Сводка'!$T$3:$T$397,V286)=0),1,0)</x:f>
        <x:v>1</x:v>
      </x:c>
      <x:c r="S286" s="9" t="n">
        <x:f>IF(AND(R286=1,O286&lt;=$G$13),1,0)</x:f>
        <x:v>0</x:v>
      </x:c>
      <x:c r="T286" s="10" t="n">
        <x:f>EOMONTH(J286-'Сводка'!$B$11,-1)</x:f>
        <x:v>46112</x:v>
      </x:c>
      <x:c r="U286" s="4" t="n">
        <x:f>MATCH(J286,'Сводка'!$R$3:$R$397,0)</x:f>
        <x:v>297</x:v>
      </x:c>
      <x:c r="V286" s="4" t="n">
        <x:f>MATCH(J286-'Сводка'!$B$11,'Сводка'!$R$3:$R$397,0)</x:f>
        <x:v>296</x:v>
      </x:c>
      <x:c r="W286" s="4" t="n">
        <x:f>MATCH(T286,$J$388:$J$400,0)</x:f>
        <x:v>10</x:v>
      </x:c>
      <x:c r="X286" s="3"/>
      <x:c r="Y286" s="3"/>
      <x:c r="Z286" s="3"/>
    </x:row>
    <x:row r="287" ht="15" customHeight="1">
      <x:c r="A287" s="3"/>
      <x:c r="B287" s="3"/>
      <x:c r="C287" s="3"/>
      <x:c r="D287" s="3"/>
      <x:c r="E287" s="3"/>
      <x:c r="F287" s="3"/>
      <x:c r="G287" s="3"/>
      <x:c r="H287" s="3"/>
      <x:c r="I287" s="3"/>
      <x:c r="J287" s="10" t="n">
        <x:v>46138</x:v>
      </x:c>
      <x:c r="K287" s="8" t="n">
        <x:f>INDEX('Сводка'!$S$3:$S$397,U287)</x:f>
        <x:v>58</x:v>
      </x:c>
      <x:c r="L287" s="8" t="n">
        <x:f>INDEX('Сводка'!$S$3:$S$397,V287)</x:f>
        <x:v>58</x:v>
      </x:c>
      <x:c r="M287" s="8" t="n">
        <x:f>INDEX($K$388:$N$400,W287,1)*EXP(INDEX($K$388:$N$400,W287,2)*((J287-$T$405+1)/1000))</x:f>
        <x:v>166.0823627839167</x:v>
      </x:c>
      <x:c r="N287" s="8" t="n">
        <x:f>K287-M287</x:f>
        <x:v>-108.0823627839167</x:v>
      </x:c>
      <x:c r="O287" s="8" t="n">
        <x:f>ABS(N287)</x:f>
        <x:v>108.0823627839167</x:v>
      </x:c>
      <x:c r="P287" s="8" t="n">
        <x:f>N287^2</x:f>
        <x:v>11681.79714495418</x:v>
      </x:c>
      <x:c r="Q287" s="8" t="n">
        <x:f>K287-L287</x:f>
        <x:v>0</x:v>
      </x:c>
      <x:c r="R287" s="9" t="n">
        <x:f>IF(AND(INDEX('Сводка'!$T$3:$T$397,U287)=0,INDEX('Сводка'!$T$3:$T$397,V287)=0),1,0)</x:f>
        <x:v>1</x:v>
      </x:c>
      <x:c r="S287" s="9" t="n">
        <x:f>IF(AND(R287=1,O287&lt;=$G$13),1,0)</x:f>
        <x:v>0</x:v>
      </x:c>
      <x:c r="T287" s="10" t="n">
        <x:f>EOMONTH(J287-'Сводка'!$B$11,-1)</x:f>
        <x:v>46112</x:v>
      </x:c>
      <x:c r="U287" s="4" t="n">
        <x:f>MATCH(J287,'Сводка'!$R$3:$R$397,0)</x:f>
        <x:v>298</x:v>
      </x:c>
      <x:c r="V287" s="4" t="n">
        <x:f>MATCH(J287-'Сводка'!$B$11,'Сводка'!$R$3:$R$397,0)</x:f>
        <x:v>297</x:v>
      </x:c>
      <x:c r="W287" s="4" t="n">
        <x:f>MATCH(T287,$J$388:$J$400,0)</x:f>
        <x:v>10</x:v>
      </x:c>
      <x:c r="X287" s="3"/>
      <x:c r="Y287" s="3"/>
      <x:c r="Z287" s="3"/>
    </x:row>
    <x:row r="288" ht="15" customHeight="1">
      <x:c r="A288" s="3"/>
      <x:c r="B288" s="3"/>
      <x:c r="C288" s="3"/>
      <x:c r="D288" s="3"/>
      <x:c r="E288" s="3"/>
      <x:c r="F288" s="3"/>
      <x:c r="G288" s="3"/>
      <x:c r="H288" s="3"/>
      <x:c r="I288" s="3"/>
      <x:c r="J288" s="10" t="n">
        <x:v>46139</x:v>
      </x:c>
      <x:c r="K288" s="8" t="n">
        <x:f>INDEX('Сводка'!$S$3:$S$397,U288)</x:f>
        <x:v>61</x:v>
      </x:c>
      <x:c r="L288" s="8" t="n">
        <x:f>INDEX('Сводка'!$S$3:$S$397,V288)</x:f>
        <x:v>58</x:v>
      </x:c>
      <x:c r="M288" s="8" t="n">
        <x:f>INDEX($K$388:$N$400,W288,1)*EXP(INDEX($K$388:$N$400,W288,2)*((J288-$T$405+1)/1000))</x:f>
        <x:v>166.1187481312581</x:v>
      </x:c>
      <x:c r="N288" s="8" t="n">
        <x:f>K288-M288</x:f>
        <x:v>-105.11874813125809</x:v>
      </x:c>
      <x:c r="O288" s="8" t="n">
        <x:f>ABS(N288)</x:f>
        <x:v>105.11874813125809</x:v>
      </x:c>
      <x:c r="P288" s="8" t="n">
        <x:f>N288^2</x:f>
        <x:v>11049.951208682876</x:v>
      </x:c>
      <x:c r="Q288" s="8" t="n">
        <x:f>K288-L288</x:f>
        <x:v>3</x:v>
      </x:c>
      <x:c r="R288" s="9" t="n">
        <x:f>IF(AND(INDEX('Сводка'!$T$3:$T$397,U288)=0,INDEX('Сводка'!$T$3:$T$397,V288)=0),1,0)</x:f>
        <x:v>1</x:v>
      </x:c>
      <x:c r="S288" s="9" t="n">
        <x:f>IF(AND(R288=1,O288&lt;=$G$13),1,0)</x:f>
        <x:v>0</x:v>
      </x:c>
      <x:c r="T288" s="10" t="n">
        <x:f>EOMONTH(J288-'Сводка'!$B$11,-1)</x:f>
        <x:v>46112</x:v>
      </x:c>
      <x:c r="U288" s="4" t="n">
        <x:f>MATCH(J288,'Сводка'!$R$3:$R$397,0)</x:f>
        <x:v>299</x:v>
      </x:c>
      <x:c r="V288" s="4" t="n">
        <x:f>MATCH(J288-'Сводка'!$B$11,'Сводка'!$R$3:$R$397,0)</x:f>
        <x:v>298</x:v>
      </x:c>
      <x:c r="W288" s="4" t="n">
        <x:f>MATCH(T288,$J$388:$J$400,0)</x:f>
        <x:v>10</x:v>
      </x:c>
      <x:c r="X288" s="3"/>
      <x:c r="Y288" s="3"/>
      <x:c r="Z288" s="3"/>
    </x:row>
    <x:row r="289" ht="15" customHeight="1">
      <x:c r="A289" s="3"/>
      <x:c r="B289" s="3"/>
      <x:c r="C289" s="3"/>
      <x:c r="D289" s="3"/>
      <x:c r="E289" s="3"/>
      <x:c r="F289" s="3"/>
      <x:c r="G289" s="3"/>
      <x:c r="H289" s="3"/>
      <x:c r="I289" s="3"/>
      <x:c r="J289" s="10" t="n">
        <x:v>46140</x:v>
      </x:c>
      <x:c r="K289" s="8" t="n">
        <x:f>INDEX('Сводка'!$S$3:$S$397,U289)</x:f>
        <x:v>47</x:v>
      </x:c>
      <x:c r="L289" s="8" t="n">
        <x:f>INDEX('Сводка'!$S$3:$S$397,V289)</x:f>
        <x:v>61</x:v>
      </x:c>
      <x:c r="M289" s="8" t="n">
        <x:f>INDEX($K$388:$N$400,W289,1)*EXP(INDEX($K$388:$N$400,W289,2)*((J289-$T$405+1)/1000))</x:f>
        <x:v>166.1551414499065</x:v>
      </x:c>
      <x:c r="N289" s="8" t="n">
        <x:f>K289-M289</x:f>
        <x:v>-119.1551414499065</x:v>
      </x:c>
      <x:c r="O289" s="8" t="n">
        <x:f>ABS(N289)</x:f>
        <x:v>119.1551414499065</x:v>
      </x:c>
      <x:c r="P289" s="8" t="n">
        <x:f>N289^2</x:f>
        <x:v>14197.947733947225</x:v>
      </x:c>
      <x:c r="Q289" s="8" t="n">
        <x:f>K289-L289</x:f>
        <x:v>-14</x:v>
      </x:c>
      <x:c r="R289" s="9" t="n">
        <x:f>IF(AND(INDEX('Сводка'!$T$3:$T$397,U289)=0,INDEX('Сводка'!$T$3:$T$397,V289)=0),1,0)</x:f>
        <x:v>1</x:v>
      </x:c>
      <x:c r="S289" s="9" t="n">
        <x:f>IF(AND(R289=1,O289&lt;=$G$13),1,0)</x:f>
        <x:v>0</x:v>
      </x:c>
      <x:c r="T289" s="10" t="n">
        <x:f>EOMONTH(J289-'Сводка'!$B$11,-1)</x:f>
        <x:v>46112</x:v>
      </x:c>
      <x:c r="U289" s="4" t="n">
        <x:f>MATCH(J289,'Сводка'!$R$3:$R$397,0)</x:f>
        <x:v>300</x:v>
      </x:c>
      <x:c r="V289" s="4" t="n">
        <x:f>MATCH(J289-'Сводка'!$B$11,'Сводка'!$R$3:$R$397,0)</x:f>
        <x:v>299</x:v>
      </x:c>
      <x:c r="W289" s="4" t="n">
        <x:f>MATCH(T289,$J$388:$J$400,0)</x:f>
        <x:v>10</x:v>
      </x:c>
      <x:c r="X289" s="3"/>
      <x:c r="Y289" s="3"/>
      <x:c r="Z289" s="3"/>
    </x:row>
    <x:row r="290" ht="15" customHeight="1">
      <x:c r="A290" s="3"/>
      <x:c r="B290" s="3"/>
      <x:c r="C290" s="3"/>
      <x:c r="D290" s="3"/>
      <x:c r="E290" s="3"/>
      <x:c r="F290" s="3"/>
      <x:c r="G290" s="3"/>
      <x:c r="H290" s="3"/>
      <x:c r="I290" s="3"/>
      <x:c r="J290" s="10" t="n">
        <x:v>46141</x:v>
      </x:c>
      <x:c r="K290" s="8" t="n">
        <x:f>INDEX('Сводка'!$S$3:$S$397,U290)</x:f>
        <x:v>37</x:v>
      </x:c>
      <x:c r="L290" s="8" t="n">
        <x:f>INDEX('Сводка'!$S$3:$S$397,V290)</x:f>
        <x:v>47</x:v>
      </x:c>
      <x:c r="M290" s="8" t="n">
        <x:f>INDEX($K$388:$N$400,W290,1)*EXP(INDEX($K$388:$N$400,W290,2)*((J290-$T$405+1)/1000))</x:f>
        <x:v>166.1915427416082</x:v>
      </x:c>
      <x:c r="N290" s="8" t="n">
        <x:f>K290-M290</x:f>
        <x:v>-129.1915427416082</x:v>
      </x:c>
      <x:c r="O290" s="8" t="n">
        <x:f>ABS(N290)</x:f>
        <x:v>129.1915427416082</x:v>
      </x:c>
      <x:c r="P290" s="8" t="n">
        <x:f>N290^2</x:f>
        <x:v>16690.454715956777</x:v>
      </x:c>
      <x:c r="Q290" s="8" t="n">
        <x:f>K290-L290</x:f>
        <x:v>-10</x:v>
      </x:c>
      <x:c r="R290" s="9" t="n">
        <x:f>IF(AND(INDEX('Сводка'!$T$3:$T$397,U290)=0,INDEX('Сводка'!$T$3:$T$397,V290)=0),1,0)</x:f>
        <x:v>1</x:v>
      </x:c>
      <x:c r="S290" s="9" t="n">
        <x:f>IF(AND(R290=1,O290&lt;=$G$13),1,0)</x:f>
        <x:v>0</x:v>
      </x:c>
      <x:c r="T290" s="10" t="n">
        <x:f>EOMONTH(J290-'Сводка'!$B$11,-1)</x:f>
        <x:v>46112</x:v>
      </x:c>
      <x:c r="U290" s="4" t="n">
        <x:f>MATCH(J290,'Сводка'!$R$3:$R$397,0)</x:f>
        <x:v>301</x:v>
      </x:c>
      <x:c r="V290" s="4" t="n">
        <x:f>MATCH(J290-'Сводка'!$B$11,'Сводка'!$R$3:$R$397,0)</x:f>
        <x:v>300</x:v>
      </x:c>
      <x:c r="W290" s="4" t="n">
        <x:f>MATCH(T290,$J$388:$J$400,0)</x:f>
        <x:v>10</x:v>
      </x:c>
      <x:c r="X290" s="3"/>
      <x:c r="Y290" s="3"/>
      <x:c r="Z290" s="3"/>
    </x:row>
    <x:row r="291" ht="15" customHeight="1">
      <x:c r="A291" s="3"/>
      <x:c r="B291" s="3"/>
      <x:c r="C291" s="3"/>
      <x:c r="D291" s="3"/>
      <x:c r="E291" s="3"/>
      <x:c r="F291" s="3"/>
      <x:c r="G291" s="3"/>
      <x:c r="H291" s="3"/>
      <x:c r="I291" s="3"/>
      <x:c r="J291" s="10" t="n">
        <x:v>46142</x:v>
      </x:c>
      <x:c r="K291" s="8" t="n">
        <x:f>INDEX('Сводка'!$S$3:$S$397,U291)</x:f>
        <x:v>33</x:v>
      </x:c>
      <x:c r="L291" s="8" t="n">
        <x:f>INDEX('Сводка'!$S$3:$S$397,V291)</x:f>
        <x:v>37</x:v>
      </x:c>
      <x:c r="M291" s="8" t="n">
        <x:f>INDEX($K$388:$N$400,W291,1)*EXP(INDEX($K$388:$N$400,W291,2)*((J291-$T$405+1)/1000))</x:f>
        <x:v>166.22795200810998</x:v>
      </x:c>
      <x:c r="N291" s="8" t="n">
        <x:f>K291-M291</x:f>
        <x:v>-133.22795200810998</x:v>
      </x:c>
      <x:c r="O291" s="8" t="n">
        <x:f>ABS(N291)</x:f>
        <x:v>133.22795200810998</x:v>
      </x:c>
      <x:c r="P291" s="8" t="n">
        <x:f>N291^2</x:f>
        <x:v>17749.687196275256</x:v>
      </x:c>
      <x:c r="Q291" s="8" t="n">
        <x:f>K291-L291</x:f>
        <x:v>-4</x:v>
      </x:c>
      <x:c r="R291" s="9" t="n">
        <x:f>IF(AND(INDEX('Сводка'!$T$3:$T$397,U291)=0,INDEX('Сводка'!$T$3:$T$397,V291)=0),1,0)</x:f>
        <x:v>1</x:v>
      </x:c>
      <x:c r="S291" s="9" t="n">
        <x:f>IF(AND(R291=1,O291&lt;=$G$13),1,0)</x:f>
        <x:v>0</x:v>
      </x:c>
      <x:c r="T291" s="10" t="n">
        <x:f>EOMONTH(J291-'Сводка'!$B$11,-1)</x:f>
        <x:v>46112</x:v>
      </x:c>
      <x:c r="U291" s="4" t="n">
        <x:f>MATCH(J291,'Сводка'!$R$3:$R$397,0)</x:f>
        <x:v>302</x:v>
      </x:c>
      <x:c r="V291" s="4" t="n">
        <x:f>MATCH(J291-'Сводка'!$B$11,'Сводка'!$R$3:$R$397,0)</x:f>
        <x:v>301</x:v>
      </x:c>
      <x:c r="W291" s="4" t="n">
        <x:f>MATCH(T291,$J$388:$J$400,0)</x:f>
        <x:v>10</x:v>
      </x:c>
      <x:c r="X291" s="3"/>
      <x:c r="Y291" s="3"/>
      <x:c r="Z291" s="3"/>
    </x:row>
    <x:row r="292" ht="15" customHeight="1">
      <x:c r="A292" s="3"/>
      <x:c r="B292" s="3"/>
      <x:c r="C292" s="3"/>
      <x:c r="D292" s="3"/>
      <x:c r="E292" s="3"/>
      <x:c r="F292" s="3"/>
      <x:c r="G292" s="3"/>
      <x:c r="H292" s="3"/>
      <x:c r="I292" s="3"/>
      <x:c r="J292" s="10" t="n">
        <x:v>46143</x:v>
      </x:c>
      <x:c r="K292" s="8" t="n">
        <x:f>INDEX('Сводка'!$S$3:$S$397,U292)</x:f>
        <x:v>44</x:v>
      </x:c>
      <x:c r="L292" s="8" t="n">
        <x:f>INDEX('Сводка'!$S$3:$S$397,V292)</x:f>
        <x:v>33</x:v>
      </x:c>
      <x:c r="M292" s="8" t="n">
        <x:f>INDEX($K$388:$N$400,W292,1)*EXP(INDEX($K$388:$N$400,W292,2)*((J292-$T$405+1)/1000))</x:f>
        <x:v>166.26436925115908</x:v>
      </x:c>
      <x:c r="N292" s="8" t="n">
        <x:f>K292-M292</x:f>
        <x:v>-122.26436925115908</x:v>
      </x:c>
      <x:c r="O292" s="8" t="n">
        <x:f>ABS(N292)</x:f>
        <x:v>122.26436925115908</x:v>
      </x:c>
      <x:c r="P292" s="8" t="n">
        <x:f>N292^2</x:f>
        <x:v>14948.575988383775</x:v>
      </x:c>
      <x:c r="Q292" s="8" t="n">
        <x:f>K292-L292</x:f>
        <x:v>11</x:v>
      </x:c>
      <x:c r="R292" s="9" t="n">
        <x:f>IF(AND(INDEX('Сводка'!$T$3:$T$397,U292)=0,INDEX('Сводка'!$T$3:$T$397,V292)=0),1,0)</x:f>
        <x:v>1</x:v>
      </x:c>
      <x:c r="S292" s="9" t="n">
        <x:f>IF(AND(R292=1,O292&lt;=$G$13),1,0)</x:f>
        <x:v>0</x:v>
      </x:c>
      <x:c r="T292" s="10" t="n">
        <x:f>EOMONTH(J292-'Сводка'!$B$11,-1)</x:f>
        <x:v>46112</x:v>
      </x:c>
      <x:c r="U292" s="4" t="n">
        <x:f>MATCH(J292,'Сводка'!$R$3:$R$397,0)</x:f>
        <x:v>303</x:v>
      </x:c>
      <x:c r="V292" s="4" t="n">
        <x:f>MATCH(J292-'Сводка'!$B$11,'Сводка'!$R$3:$R$397,0)</x:f>
        <x:v>302</x:v>
      </x:c>
      <x:c r="W292" s="4" t="n">
        <x:f>MATCH(T292,$J$388:$J$400,0)</x:f>
        <x:v>10</x:v>
      </x:c>
      <x:c r="X292" s="3"/>
      <x:c r="Y292" s="3"/>
      <x:c r="Z292" s="3"/>
    </x:row>
    <x:row r="293" ht="15" customHeight="1">
      <x:c r="A293" s="3"/>
      <x:c r="B293" s="3"/>
      <x:c r="C293" s="3"/>
      <x:c r="D293" s="3"/>
      <x:c r="E293" s="3"/>
      <x:c r="F293" s="3"/>
      <x:c r="G293" s="3"/>
      <x:c r="H293" s="3"/>
      <x:c r="I293" s="3"/>
      <x:c r="J293" s="10" t="n">
        <x:v>46144</x:v>
      </x:c>
      <x:c r="K293" s="8" t="n">
        <x:f>INDEX('Сводка'!$S$3:$S$397,U293)</x:f>
        <x:v>61</x:v>
      </x:c>
      <x:c r="L293" s="8" t="n">
        <x:f>INDEX('Сводка'!$S$3:$S$397,V293)</x:f>
        <x:v>44</x:v>
      </x:c>
      <x:c r="M293" s="8" t="n">
        <x:f>INDEX($K$388:$N$400,W293,1)*EXP(INDEX($K$388:$N$400,W293,2)*((J293-$T$405+1)/1000))</x:f>
        <x:v>162.7668961562932</x:v>
      </x:c>
      <x:c r="N293" s="8" t="n">
        <x:f>K293-M293</x:f>
        <x:v>-101.7668961562932</x:v>
      </x:c>
      <x:c r="O293" s="8" t="n">
        <x:f>ABS(N293)</x:f>
        <x:v>101.7668961562932</x:v>
      </x:c>
      <x:c r="P293" s="8" t="n">
        <x:f>N293^2</x:f>
        <x:v>10356.501153285764</x:v>
      </x:c>
      <x:c r="Q293" s="8" t="n">
        <x:f>K293-L293</x:f>
        <x:v>17</x:v>
      </x:c>
      <x:c r="R293" s="9" t="n">
        <x:f>IF(AND(INDEX('Сводка'!$T$3:$T$397,U293)=0,INDEX('Сводка'!$T$3:$T$397,V293)=0),1,0)</x:f>
        <x:v>1</x:v>
      </x:c>
      <x:c r="S293" s="9" t="n">
        <x:f>IF(AND(R293=1,O293&lt;=$G$13),1,0)</x:f>
        <x:v>0</x:v>
      </x:c>
      <x:c r="T293" s="10" t="n">
        <x:f>EOMONTH(J293-'Сводка'!$B$11,-1)</x:f>
        <x:v>46142</x:v>
      </x:c>
      <x:c r="U293" s="4" t="n">
        <x:f>MATCH(J293,'Сводка'!$R$3:$R$397,0)</x:f>
        <x:v>304</x:v>
      </x:c>
      <x:c r="V293" s="4" t="n">
        <x:f>MATCH(J293-'Сводка'!$B$11,'Сводка'!$R$3:$R$397,0)</x:f>
        <x:v>303</x:v>
      </x:c>
      <x:c r="W293" s="4" t="n">
        <x:f>MATCH(T293,$J$388:$J$400,0)</x:f>
        <x:v>11</x:v>
      </x:c>
      <x:c r="X293" s="3"/>
      <x:c r="Y293" s="3"/>
      <x:c r="Z293" s="3"/>
    </x:row>
    <x:row r="294" ht="15" customHeight="1">
      <x:c r="A294" s="3"/>
      <x:c r="B294" s="3"/>
      <x:c r="C294" s="3"/>
      <x:c r="D294" s="3"/>
      <x:c r="E294" s="3"/>
      <x:c r="F294" s="3"/>
      <x:c r="G294" s="3"/>
      <x:c r="H294" s="3"/>
      <x:c r="I294" s="3"/>
      <x:c r="J294" s="10" t="n">
        <x:v>46145</x:v>
      </x:c>
      <x:c r="K294" s="8" t="n">
        <x:f>INDEX('Сводка'!$S$3:$S$397,U294)</x:f>
        <x:v>76</x:v>
      </x:c>
      <x:c r="L294" s="8" t="n">
        <x:f>INDEX('Сводка'!$S$3:$S$397,V294)</x:f>
        <x:v>61</x:v>
      </x:c>
      <x:c r="M294" s="8" t="n">
        <x:f>INDEX($K$388:$N$400,W294,1)*EXP(INDEX($K$388:$N$400,W294,2)*((J294-$T$405+1)/1000))</x:f>
        <x:v>162.80183470159054</x:v>
      </x:c>
      <x:c r="N294" s="8" t="n">
        <x:f>K294-M294</x:f>
        <x:v>-86.80183470159054</x:v>
      </x:c>
      <x:c r="O294" s="8" t="n">
        <x:f>ABS(N294)</x:f>
        <x:v>86.80183470159054</x:v>
      </x:c>
      <x:c r="P294" s="8" t="n">
        <x:f>N294^2</x:f>
        <x:v>7534.558507562247</x:v>
      </x:c>
      <x:c r="Q294" s="8" t="n">
        <x:f>K294-L294</x:f>
        <x:v>15</x:v>
      </x:c>
      <x:c r="R294" s="9" t="n">
        <x:f>IF(AND(INDEX('Сводка'!$T$3:$T$397,U294)=0,INDEX('Сводка'!$T$3:$T$397,V294)=0),1,0)</x:f>
        <x:v>1</x:v>
      </x:c>
      <x:c r="S294" s="9" t="n">
        <x:f>IF(AND(R294=1,O294&lt;=$G$13),1,0)</x:f>
        <x:v>0</x:v>
      </x:c>
      <x:c r="T294" s="10" t="n">
        <x:f>EOMONTH(J294-'Сводка'!$B$11,-1)</x:f>
        <x:v>46142</x:v>
      </x:c>
      <x:c r="U294" s="4" t="n">
        <x:f>MATCH(J294,'Сводка'!$R$3:$R$397,0)</x:f>
        <x:v>305</x:v>
      </x:c>
      <x:c r="V294" s="4" t="n">
        <x:f>MATCH(J294-'Сводка'!$B$11,'Сводка'!$R$3:$R$397,0)</x:f>
        <x:v>304</x:v>
      </x:c>
      <x:c r="W294" s="4" t="n">
        <x:f>MATCH(T294,$J$388:$J$400,0)</x:f>
        <x:v>11</x:v>
      </x:c>
      <x:c r="X294" s="3"/>
      <x:c r="Y294" s="3"/>
      <x:c r="Z294" s="3"/>
    </x:row>
    <x:row r="295" ht="15" customHeight="1">
      <x:c r="A295" s="3"/>
      <x:c r="B295" s="3"/>
      <x:c r="C295" s="3"/>
      <x:c r="D295" s="3"/>
      <x:c r="E295" s="3"/>
      <x:c r="F295" s="3"/>
      <x:c r="G295" s="3"/>
      <x:c r="H295" s="3"/>
      <x:c r="I295" s="3"/>
      <x:c r="J295" s="10" t="n">
        <x:v>46146</x:v>
      </x:c>
      <x:c r="K295" s="8" t="n">
        <x:f>INDEX('Сводка'!$S$3:$S$397,U295)</x:f>
        <x:v>83</x:v>
      </x:c>
      <x:c r="L295" s="8" t="n">
        <x:f>INDEX('Сводка'!$S$3:$S$397,V295)</x:f>
        <x:v>76</x:v>
      </x:c>
      <x:c r="M295" s="8" t="n">
        <x:f>INDEX($K$388:$N$400,W295,1)*EXP(INDEX($K$388:$N$400,W295,2)*((J295-$T$405+1)/1000))</x:f>
        <x:v>162.83678074658218</x:v>
      </x:c>
      <x:c r="N295" s="8" t="n">
        <x:f>K295-M295</x:f>
        <x:v>-79.83678074658218</x:v>
      </x:c>
      <x:c r="O295" s="8" t="n">
        <x:f>ABS(N295)</x:f>
        <x:v>79.83678074658218</x:v>
      </x:c>
      <x:c r="P295" s="8" t="n">
        <x:f>N295^2</x:f>
        <x:v>6373.911559977835</x:v>
      </x:c>
      <x:c r="Q295" s="8" t="n">
        <x:f>K295-L295</x:f>
        <x:v>7</x:v>
      </x:c>
      <x:c r="R295" s="9" t="n">
        <x:f>IF(AND(INDEX('Сводка'!$T$3:$T$397,U295)=0,INDEX('Сводка'!$T$3:$T$397,V295)=0),1,0)</x:f>
        <x:v>1</x:v>
      </x:c>
      <x:c r="S295" s="9" t="n">
        <x:f>IF(AND(R295=1,O295&lt;=$G$13),1,0)</x:f>
        <x:v>0</x:v>
      </x:c>
      <x:c r="T295" s="10" t="n">
        <x:f>EOMONTH(J295-'Сводка'!$B$11,-1)</x:f>
        <x:v>46142</x:v>
      </x:c>
      <x:c r="U295" s="4" t="n">
        <x:f>MATCH(J295,'Сводка'!$R$3:$R$397,0)</x:f>
        <x:v>306</x:v>
      </x:c>
      <x:c r="V295" s="4" t="n">
        <x:f>MATCH(J295-'Сводка'!$B$11,'Сводка'!$R$3:$R$397,0)</x:f>
        <x:v>305</x:v>
      </x:c>
      <x:c r="W295" s="4" t="n">
        <x:f>MATCH(T295,$J$388:$J$400,0)</x:f>
        <x:v>11</x:v>
      </x:c>
      <x:c r="X295" s="3"/>
      <x:c r="Y295" s="3"/>
      <x:c r="Z295" s="3"/>
    </x:row>
    <x:row r="296" ht="15" customHeight="1">
      <x:c r="A296" s="3"/>
      <x:c r="B296" s="3"/>
      <x:c r="C296" s="3"/>
      <x:c r="D296" s="3"/>
      <x:c r="E296" s="3"/>
      <x:c r="F296" s="3"/>
      <x:c r="G296" s="3"/>
      <x:c r="H296" s="3"/>
      <x:c r="I296" s="3"/>
      <x:c r="J296" s="10" t="n">
        <x:v>46147</x:v>
      </x:c>
      <x:c r="K296" s="8" t="n">
        <x:f>INDEX('Сводка'!$S$3:$S$397,U296)</x:f>
        <x:v>87</x:v>
      </x:c>
      <x:c r="L296" s="8" t="n">
        <x:f>INDEX('Сводка'!$S$3:$S$397,V296)</x:f>
        <x:v>83</x:v>
      </x:c>
      <x:c r="M296" s="8" t="n">
        <x:f>INDEX($K$388:$N$400,W296,1)*EXP(INDEX($K$388:$N$400,W296,2)*((J296-$T$405+1)/1000))</x:f>
        <x:v>162.8717342928778</x:v>
      </x:c>
      <x:c r="N296" s="8" t="n">
        <x:f>K296-M296</x:f>
        <x:v>-75.87173429287779</x:v>
      </x:c>
      <x:c r="O296" s="8" t="n">
        <x:f>ABS(N296)</x:f>
        <x:v>75.87173429287779</x:v>
      </x:c>
      <x:c r="P296" s="8" t="n">
        <x:f>N296^2</x:f>
        <x:v>5756.520064609048</x:v>
      </x:c>
      <x:c r="Q296" s="8" t="n">
        <x:f>K296-L296</x:f>
        <x:v>4</x:v>
      </x:c>
      <x:c r="R296" s="9" t="n">
        <x:f>IF(AND(INDEX('Сводка'!$T$3:$T$397,U296)=0,INDEX('Сводка'!$T$3:$T$397,V296)=0),1,0)</x:f>
        <x:v>1</x:v>
      </x:c>
      <x:c r="S296" s="9" t="n">
        <x:f>IF(AND(R296=1,O296&lt;=$G$13),1,0)</x:f>
        <x:v>0</x:v>
      </x:c>
      <x:c r="T296" s="10" t="n">
        <x:f>EOMONTH(J296-'Сводка'!$B$11,-1)</x:f>
        <x:v>46142</x:v>
      </x:c>
      <x:c r="U296" s="4" t="n">
        <x:f>MATCH(J296,'Сводка'!$R$3:$R$397,0)</x:f>
        <x:v>307</x:v>
      </x:c>
      <x:c r="V296" s="4" t="n">
        <x:f>MATCH(J296-'Сводка'!$B$11,'Сводка'!$R$3:$R$397,0)</x:f>
        <x:v>306</x:v>
      </x:c>
      <x:c r="W296" s="4" t="n">
        <x:f>MATCH(T296,$J$388:$J$400,0)</x:f>
        <x:v>11</x:v>
      </x:c>
      <x:c r="X296" s="3"/>
      <x:c r="Y296" s="3"/>
      <x:c r="Z296" s="3"/>
    </x:row>
    <x:row r="297" ht="15" customHeight="1">
      <x:c r="A297" s="3"/>
      <x:c r="B297" s="3"/>
      <x:c r="C297" s="3"/>
      <x:c r="D297" s="3"/>
      <x:c r="E297" s="3"/>
      <x:c r="F297" s="3"/>
      <x:c r="G297" s="3"/>
      <x:c r="H297" s="3"/>
      <x:c r="I297" s="3"/>
      <x:c r="J297" s="10" t="n">
        <x:v>46148</x:v>
      </x:c>
      <x:c r="K297" s="8" t="n">
        <x:f>INDEX('Сводка'!$S$3:$S$397,U297)</x:f>
        <x:v>92</x:v>
      </x:c>
      <x:c r="L297" s="8" t="n">
        <x:f>INDEX('Сводка'!$S$3:$S$397,V297)</x:f>
        <x:v>87</x:v>
      </x:c>
      <x:c r="M297" s="8" t="n">
        <x:f>INDEX($K$388:$N$400,W297,1)*EXP(INDEX($K$388:$N$400,W297,2)*((J297-$T$405+1)/1000))</x:f>
        <x:v>162.9066953420876</x:v>
      </x:c>
      <x:c r="N297" s="8" t="n">
        <x:f>K297-M297</x:f>
        <x:v>-70.9066953420876</x:v>
      </x:c>
      <x:c r="O297" s="8" t="n">
        <x:f>ABS(N297)</x:f>
        <x:v>70.9066953420876</x:v>
      </x:c>
      <x:c r="P297" s="8" t="n">
        <x:f>N297^2</x:f>
        <x:v>5027.759444335627</x:v>
      </x:c>
      <x:c r="Q297" s="8" t="n">
        <x:f>K297-L297</x:f>
        <x:v>5</x:v>
      </x:c>
      <x:c r="R297" s="9" t="n">
        <x:f>IF(AND(INDEX('Сводка'!$T$3:$T$397,U297)=0,INDEX('Сводка'!$T$3:$T$397,V297)=0),1,0)</x:f>
        <x:v>1</x:v>
      </x:c>
      <x:c r="S297" s="9" t="n">
        <x:f>IF(AND(R297=1,O297&lt;=$G$13),1,0)</x:f>
        <x:v>0</x:v>
      </x:c>
      <x:c r="T297" s="10" t="n">
        <x:f>EOMONTH(J297-'Сводка'!$B$11,-1)</x:f>
        <x:v>46142</x:v>
      </x:c>
      <x:c r="U297" s="4" t="n">
        <x:f>MATCH(J297,'Сводка'!$R$3:$R$397,0)</x:f>
        <x:v>308</x:v>
      </x:c>
      <x:c r="V297" s="4" t="n">
        <x:f>MATCH(J297-'Сводка'!$B$11,'Сводка'!$R$3:$R$397,0)</x:f>
        <x:v>307</x:v>
      </x:c>
      <x:c r="W297" s="4" t="n">
        <x:f>MATCH(T297,$J$388:$J$400,0)</x:f>
        <x:v>11</x:v>
      </x:c>
      <x:c r="X297" s="3"/>
      <x:c r="Y297" s="3"/>
      <x:c r="Z297" s="3"/>
    </x:row>
    <x:row r="298" ht="15" customHeight="1">
      <x:c r="A298" s="3"/>
      <x:c r="B298" s="3"/>
      <x:c r="C298" s="3"/>
      <x:c r="D298" s="3"/>
      <x:c r="E298" s="3"/>
      <x:c r="F298" s="3"/>
      <x:c r="G298" s="3"/>
      <x:c r="H298" s="3"/>
      <x:c r="I298" s="3"/>
      <x:c r="J298" s="10" t="n">
        <x:v>46149</x:v>
      </x:c>
      <x:c r="K298" s="8" t="n">
        <x:f>INDEX('Сводка'!$S$3:$S$397,U298)</x:f>
        <x:v>99</x:v>
      </x:c>
      <x:c r="L298" s="8" t="n">
        <x:f>INDEX('Сводка'!$S$3:$S$397,V298)</x:f>
        <x:v>92</x:v>
      </x:c>
      <x:c r="M298" s="8" t="n">
        <x:f>INDEX($K$388:$N$400,W298,1)*EXP(INDEX($K$388:$N$400,W298,2)*((J298-$T$405+1)/1000))</x:f>
        <x:v>162.94166389582224</x:v>
      </x:c>
      <x:c r="N298" s="8" t="n">
        <x:f>K298-M298</x:f>
        <x:v>-63.941663895822245</x:v>
      </x:c>
      <x:c r="O298" s="8" t="n">
        <x:f>ABS(N298)</x:f>
        <x:v>63.941663895822245</x:v>
      </x:c>
      <x:c r="P298" s="8" t="n">
        <x:f>N298^2</x:f>
        <x:v>4088.536381766298</x:v>
      </x:c>
      <x:c r="Q298" s="8" t="n">
        <x:f>K298-L298</x:f>
        <x:v>7</x:v>
      </x:c>
      <x:c r="R298" s="9" t="n">
        <x:f>IF(AND(INDEX('Сводка'!$T$3:$T$397,U298)=0,INDEX('Сводка'!$T$3:$T$397,V298)=0),1,0)</x:f>
        <x:v>1</x:v>
      </x:c>
      <x:c r="S298" s="9" t="n">
        <x:f>IF(AND(R298=1,O298&lt;=$G$13),1,0)</x:f>
        <x:v>0</x:v>
      </x:c>
      <x:c r="T298" s="10" t="n">
        <x:f>EOMONTH(J298-'Сводка'!$B$11,-1)</x:f>
        <x:v>46142</x:v>
      </x:c>
      <x:c r="U298" s="4" t="n">
        <x:f>MATCH(J298,'Сводка'!$R$3:$R$397,0)</x:f>
        <x:v>309</x:v>
      </x:c>
      <x:c r="V298" s="4" t="n">
        <x:f>MATCH(J298-'Сводка'!$B$11,'Сводка'!$R$3:$R$397,0)</x:f>
        <x:v>308</x:v>
      </x:c>
      <x:c r="W298" s="4" t="n">
        <x:f>MATCH(T298,$J$388:$J$400,0)</x:f>
        <x:v>11</x:v>
      </x:c>
      <x:c r="X298" s="3"/>
      <x:c r="Y298" s="3"/>
      <x:c r="Z298" s="3"/>
    </x:row>
    <x:row r="299" ht="15" customHeight="1">
      <x:c r="A299" s="3"/>
      <x:c r="B299" s="3"/>
      <x:c r="C299" s="3"/>
      <x:c r="D299" s="3"/>
      <x:c r="E299" s="3"/>
      <x:c r="F299" s="3"/>
      <x:c r="G299" s="3"/>
      <x:c r="H299" s="3"/>
      <x:c r="I299" s="3"/>
      <x:c r="J299" s="10" t="n">
        <x:v>46150</x:v>
      </x:c>
      <x:c r="K299" s="8" t="n">
        <x:f>INDEX('Сводка'!$S$3:$S$397,U299)</x:f>
        <x:v>108</x:v>
      </x:c>
      <x:c r="L299" s="8" t="n">
        <x:f>INDEX('Сводка'!$S$3:$S$397,V299)</x:f>
        <x:v>99</x:v>
      </x:c>
      <x:c r="M299" s="8" t="n">
        <x:f>INDEX($K$388:$N$400,W299,1)*EXP(INDEX($K$388:$N$400,W299,2)*((J299-$T$405+1)/1000))</x:f>
        <x:v>162.97663995569246</x:v>
      </x:c>
      <x:c r="N299" s="8" t="n">
        <x:f>K299-M299</x:f>
        <x:v>-54.97663995569246</x:v>
      </x:c>
      <x:c r="O299" s="8" t="n">
        <x:f>ABS(N299)</x:f>
        <x:v>54.97663995569246</x:v>
      </x:c>
      <x:c r="P299" s="8" t="n">
        <x:f>N299^2</x:f>
        <x:v>3022.430940817841</x:v>
      </x:c>
      <x:c r="Q299" s="8" t="n">
        <x:f>K299-L299</x:f>
        <x:v>9</x:v>
      </x:c>
      <x:c r="R299" s="9" t="n">
        <x:f>IF(AND(INDEX('Сводка'!$T$3:$T$397,U299)=0,INDEX('Сводка'!$T$3:$T$397,V299)=0),1,0)</x:f>
        <x:v>1</x:v>
      </x:c>
      <x:c r="S299" s="9" t="n">
        <x:f>IF(AND(R299=1,O299&lt;=$G$13),1,0)</x:f>
        <x:v>0</x:v>
      </x:c>
      <x:c r="T299" s="10" t="n">
        <x:f>EOMONTH(J299-'Сводка'!$B$11,-1)</x:f>
        <x:v>46142</x:v>
      </x:c>
      <x:c r="U299" s="4" t="n">
        <x:f>MATCH(J299,'Сводка'!$R$3:$R$397,0)</x:f>
        <x:v>310</x:v>
      </x:c>
      <x:c r="V299" s="4" t="n">
        <x:f>MATCH(J299-'Сводка'!$B$11,'Сводка'!$R$3:$R$397,0)</x:f>
        <x:v>309</x:v>
      </x:c>
      <x:c r="W299" s="4" t="n">
        <x:f>MATCH(T299,$J$388:$J$400,0)</x:f>
        <x:v>11</x:v>
      </x:c>
      <x:c r="X299" s="3"/>
      <x:c r="Y299" s="3"/>
      <x:c r="Z299" s="3"/>
    </x:row>
    <x:row r="300" ht="15" customHeight="1">
      <x:c r="A300" s="3"/>
      <x:c r="B300" s="3"/>
      <x:c r="C300" s="3"/>
      <x:c r="D300" s="3"/>
      <x:c r="E300" s="3"/>
      <x:c r="F300" s="3"/>
      <x:c r="G300" s="3"/>
      <x:c r="H300" s="3"/>
      <x:c r="I300" s="3"/>
      <x:c r="J300" s="10" t="n">
        <x:v>46151</x:v>
      </x:c>
      <x:c r="K300" s="8" t="n">
        <x:f>INDEX('Сводка'!$S$3:$S$397,U300)</x:f>
        <x:v>120</x:v>
      </x:c>
      <x:c r="L300" s="8" t="n">
        <x:f>INDEX('Сводка'!$S$3:$S$397,V300)</x:f>
        <x:v>108</x:v>
      </x:c>
      <x:c r="M300" s="8" t="n">
        <x:f>INDEX($K$388:$N$400,W300,1)*EXP(INDEX($K$388:$N$400,W300,2)*((J300-$T$405+1)/1000))</x:f>
        <x:v>163.01162352330948</x:v>
      </x:c>
      <x:c r="N300" s="8" t="n">
        <x:f>K300-M300</x:f>
        <x:v>-43.01162352330948</x:v>
      </x:c>
      <x:c r="O300" s="8" t="n">
        <x:f>ABS(N300)</x:f>
        <x:v>43.01162352330948</x:v>
      </x:c>
      <x:c r="P300" s="8" t="n">
        <x:f>N300^2</x:f>
        <x:v>1849.9997581109096</x:v>
      </x:c>
      <x:c r="Q300" s="8" t="n">
        <x:f>K300-L300</x:f>
        <x:v>12</x:v>
      </x:c>
      <x:c r="R300" s="9" t="n">
        <x:f>IF(AND(INDEX('Сводка'!$T$3:$T$397,U300)=0,INDEX('Сводка'!$T$3:$T$397,V300)=0),1,0)</x:f>
        <x:v>1</x:v>
      </x:c>
      <x:c r="S300" s="9" t="n">
        <x:f>IF(AND(R300=1,O300&lt;=$G$13),1,0)</x:f>
        <x:v>0</x:v>
      </x:c>
      <x:c r="T300" s="10" t="n">
        <x:f>EOMONTH(J300-'Сводка'!$B$11,-1)</x:f>
        <x:v>46142</x:v>
      </x:c>
      <x:c r="U300" s="4" t="n">
        <x:f>MATCH(J300,'Сводка'!$R$3:$R$397,0)</x:f>
        <x:v>311</x:v>
      </x:c>
      <x:c r="V300" s="4" t="n">
        <x:f>MATCH(J300-'Сводка'!$B$11,'Сводка'!$R$3:$R$397,0)</x:f>
        <x:v>310</x:v>
      </x:c>
      <x:c r="W300" s="4" t="n">
        <x:f>MATCH(T300,$J$388:$J$400,0)</x:f>
        <x:v>11</x:v>
      </x:c>
      <x:c r="X300" s="3"/>
      <x:c r="Y300" s="3"/>
      <x:c r="Z300" s="3"/>
    </x:row>
    <x:row r="301" ht="15" customHeight="1">
      <x:c r="A301" s="3"/>
      <x:c r="B301" s="3"/>
      <x:c r="C301" s="3"/>
      <x:c r="D301" s="3"/>
      <x:c r="E301" s="3"/>
      <x:c r="F301" s="3"/>
      <x:c r="G301" s="3"/>
      <x:c r="H301" s="3"/>
      <x:c r="I301" s="3"/>
      <x:c r="J301" s="10" t="n">
        <x:v>46152</x:v>
      </x:c>
      <x:c r="K301" s="8" t="n">
        <x:f>INDEX('Сводка'!$S$3:$S$397,U301)</x:f>
        <x:v>137</x:v>
      </x:c>
      <x:c r="L301" s="8" t="n">
        <x:f>INDEX('Сводка'!$S$3:$S$397,V301)</x:f>
        <x:v>120</x:v>
      </x:c>
      <x:c r="M301" s="8" t="n">
        <x:f>INDEX($K$388:$N$400,W301,1)*EXP(INDEX($K$388:$N$400,W301,2)*((J301-$T$405+1)/1000))</x:f>
        <x:v>163.04661460028507</x:v>
      </x:c>
      <x:c r="N301" s="8" t="n">
        <x:f>K301-M301</x:f>
        <x:v>-26.046614600285068</x:v>
      </x:c>
      <x:c r="O301" s="8" t="n">
        <x:f>ABS(N301)</x:f>
        <x:v>26.046614600285068</x:v>
      </x:c>
      <x:c r="P301" s="8" t="n">
        <x:f>N301^2</x:f>
        <x:v>678.4261321357833</x:v>
      </x:c>
      <x:c r="Q301" s="8" t="n">
        <x:f>K301-L301</x:f>
        <x:v>17</x:v>
      </x:c>
      <x:c r="R301" s="9" t="n">
        <x:f>IF(AND(INDEX('Сводка'!$T$3:$T$397,U301)=0,INDEX('Сводка'!$T$3:$T$397,V301)=0),1,0)</x:f>
        <x:v>1</x:v>
      </x:c>
      <x:c r="S301" s="9" t="n">
        <x:f>IF(AND(R301=1,O301&lt;=$G$13),1,0)</x:f>
        <x:v>0</x:v>
      </x:c>
      <x:c r="T301" s="10" t="n">
        <x:f>EOMONTH(J301-'Сводка'!$B$11,-1)</x:f>
        <x:v>46142</x:v>
      </x:c>
      <x:c r="U301" s="4" t="n">
        <x:f>MATCH(J301,'Сводка'!$R$3:$R$397,0)</x:f>
        <x:v>312</x:v>
      </x:c>
      <x:c r="V301" s="4" t="n">
        <x:f>MATCH(J301-'Сводка'!$B$11,'Сводка'!$R$3:$R$397,0)</x:f>
        <x:v>311</x:v>
      </x:c>
      <x:c r="W301" s="4" t="n">
        <x:f>MATCH(T301,$J$388:$J$400,0)</x:f>
        <x:v>11</x:v>
      </x:c>
      <x:c r="X301" s="3"/>
      <x:c r="Y301" s="3"/>
      <x:c r="Z301" s="3"/>
    </x:row>
    <x:row r="302" ht="15" customHeight="1">
      <x:c r="A302" s="3"/>
      <x:c r="B302" s="3"/>
      <x:c r="C302" s="3"/>
      <x:c r="D302" s="3"/>
      <x:c r="E302" s="3"/>
      <x:c r="F302" s="3"/>
      <x:c r="G302" s="3"/>
      <x:c r="H302" s="3"/>
      <x:c r="I302" s="3"/>
      <x:c r="J302" s="10" t="n">
        <x:v>46153</x:v>
      </x:c>
      <x:c r="K302" s="8" t="n">
        <x:f>INDEX('Сводка'!$S$3:$S$397,U302)</x:f>
        <x:v>152</x:v>
      </x:c>
      <x:c r="L302" s="8" t="n">
        <x:f>INDEX('Сводка'!$S$3:$S$397,V302)</x:f>
        <x:v>137</x:v>
      </x:c>
      <x:c r="M302" s="8" t="n">
        <x:f>INDEX($K$388:$N$400,W302,1)*EXP(INDEX($K$388:$N$400,W302,2)*((J302-$T$405+1)/1000))</x:f>
        <x:v>163.08161318823085</x:v>
      </x:c>
      <x:c r="N302" s="8" t="n">
        <x:f>K302-M302</x:f>
        <x:v>-11.081613188230847</x:v>
      </x:c>
      <x:c r="O302" s="8" t="n">
        <x:f>ABS(N302)</x:f>
        <x:v>11.081613188230847</x:v>
      </x:c>
      <x:c r="P302" s="8" t="n">
        <x:f>N302^2</x:f>
        <x:v>122.80215085357183</x:v>
      </x:c>
      <x:c r="Q302" s="8" t="n">
        <x:f>K302-L302</x:f>
        <x:v>15</x:v>
      </x:c>
      <x:c r="R302" s="9" t="n">
        <x:f>IF(AND(INDEX('Сводка'!$T$3:$T$397,U302)=0,INDEX('Сводка'!$T$3:$T$397,V302)=0),1,0)</x:f>
        <x:v>1</x:v>
      </x:c>
      <x:c r="S302" s="9" t="n">
        <x:f>IF(AND(R302=1,O302&lt;=$G$13),1,0)</x:f>
        <x:v>0</x:v>
      </x:c>
      <x:c r="T302" s="10" t="n">
        <x:f>EOMONTH(J302-'Сводка'!$B$11,-1)</x:f>
        <x:v>46142</x:v>
      </x:c>
      <x:c r="U302" s="4" t="n">
        <x:f>MATCH(J302,'Сводка'!$R$3:$R$397,0)</x:f>
        <x:v>313</x:v>
      </x:c>
      <x:c r="V302" s="4" t="n">
        <x:f>MATCH(J302-'Сводка'!$B$11,'Сводка'!$R$3:$R$397,0)</x:f>
        <x:v>312</x:v>
      </x:c>
      <x:c r="W302" s="4" t="n">
        <x:f>MATCH(T302,$J$388:$J$400,0)</x:f>
        <x:v>11</x:v>
      </x:c>
      <x:c r="X302" s="3"/>
      <x:c r="Y302" s="3"/>
      <x:c r="Z302" s="3"/>
    </x:row>
    <x:row r="303" ht="15" customHeight="1">
      <x:c r="A303" s="3"/>
      <x:c r="B303" s="3"/>
      <x:c r="C303" s="3"/>
      <x:c r="D303" s="3"/>
      <x:c r="E303" s="3"/>
      <x:c r="F303" s="3"/>
      <x:c r="G303" s="3"/>
      <x:c r="H303" s="3"/>
      <x:c r="I303" s="3"/>
      <x:c r="J303" s="10" t="n">
        <x:v>46154</x:v>
      </x:c>
      <x:c r="K303" s="8" t="n">
        <x:f>INDEX('Сводка'!$S$3:$S$397,U303)</x:f>
        <x:v>160</x:v>
      </x:c>
      <x:c r="L303" s="8" t="n">
        <x:f>INDEX('Сводка'!$S$3:$S$397,V303)</x:f>
        <x:v>152</x:v>
      </x:c>
      <x:c r="M303" s="8" t="n">
        <x:f>INDEX($K$388:$N$400,W303,1)*EXP(INDEX($K$388:$N$400,W303,2)*((J303-$T$405+1)/1000))</x:f>
        <x:v>163.11661928875927</x:v>
      </x:c>
      <x:c r="N303" s="8" t="n">
        <x:f>K303-M303</x:f>
        <x:v>-3.116619288759267</x:v>
      </x:c>
      <x:c r="O303" s="8" t="n">
        <x:f>ABS(N303)</x:f>
        <x:v>3.116619288759267</x:v>
      </x:c>
      <x:c r="P303" s="8" t="n">
        <x:f>N303^2</x:f>
        <x:v>9.71331579106632</x:v>
      </x:c>
      <x:c r="Q303" s="8" t="n">
        <x:f>K303-L303</x:f>
        <x:v>8</x:v>
      </x:c>
      <x:c r="R303" s="9" t="n">
        <x:f>IF(AND(INDEX('Сводка'!$T$3:$T$397,U303)=0,INDEX('Сводка'!$T$3:$T$397,V303)=0),1,0)</x:f>
        <x:v>1</x:v>
      </x:c>
      <x:c r="S303" s="9" t="n">
        <x:f>IF(AND(R303=1,O303&lt;=$G$13),1,0)</x:f>
        <x:v>1</x:v>
      </x:c>
      <x:c r="T303" s="10" t="n">
        <x:f>EOMONTH(J303-'Сводка'!$B$11,-1)</x:f>
        <x:v>46142</x:v>
      </x:c>
      <x:c r="U303" s="4" t="n">
        <x:f>MATCH(J303,'Сводка'!$R$3:$R$397,0)</x:f>
        <x:v>314</x:v>
      </x:c>
      <x:c r="V303" s="4" t="n">
        <x:f>MATCH(J303-'Сводка'!$B$11,'Сводка'!$R$3:$R$397,0)</x:f>
        <x:v>313</x:v>
      </x:c>
      <x:c r="W303" s="4" t="n">
        <x:f>MATCH(T303,$J$388:$J$400,0)</x:f>
        <x:v>11</x:v>
      </x:c>
      <x:c r="X303" s="3"/>
      <x:c r="Y303" s="3"/>
      <x:c r="Z303" s="3"/>
    </x:row>
    <x:row r="304" ht="15" customHeight="1">
      <x:c r="A304" s="3"/>
      <x:c r="B304" s="3"/>
      <x:c r="C304" s="3"/>
      <x:c r="D304" s="3"/>
      <x:c r="E304" s="3"/>
      <x:c r="F304" s="3"/>
      <x:c r="G304" s="3"/>
      <x:c r="H304" s="3"/>
      <x:c r="I304" s="3"/>
      <x:c r="J304" s="10" t="n">
        <x:v>46155</x:v>
      </x:c>
      <x:c r="K304" s="8" t="n">
        <x:f>INDEX('Сводка'!$S$3:$S$397,U304)</x:f>
        <x:v>162</x:v>
      </x:c>
      <x:c r="L304" s="8" t="n">
        <x:f>INDEX('Сводка'!$S$3:$S$397,V304)</x:f>
        <x:v>160</x:v>
      </x:c>
      <x:c r="M304" s="8" t="n">
        <x:f>INDEX($K$388:$N$400,W304,1)*EXP(INDEX($K$388:$N$400,W304,2)*((J304-$T$405+1)/1000))</x:f>
        <x:v>163.15163290348286</x:v>
      </x:c>
      <x:c r="N304" s="8" t="n">
        <x:f>K304-M304</x:f>
        <x:v>-1.151632903482863</x:v>
      </x:c>
      <x:c r="O304" s="8" t="n">
        <x:f>ABS(N304)</x:f>
        <x:v>1.151632903482863</x:v>
      </x:c>
      <x:c r="P304" s="8" t="n">
        <x:f>N304^2</x:f>
        <x:v>1.3262583443843692</x:v>
      </x:c>
      <x:c r="Q304" s="8" t="n">
        <x:f>K304-L304</x:f>
        <x:v>2</x:v>
      </x:c>
      <x:c r="R304" s="9" t="n">
        <x:f>IF(AND(INDEX('Сводка'!$T$3:$T$397,U304)=0,INDEX('Сводка'!$T$3:$T$397,V304)=0),1,0)</x:f>
        <x:v>1</x:v>
      </x:c>
      <x:c r="S304" s="9" t="n">
        <x:f>IF(AND(R304=1,O304&lt;=$G$13),1,0)</x:f>
        <x:v>1</x:v>
      </x:c>
      <x:c r="T304" s="10" t="n">
        <x:f>EOMONTH(J304-'Сводка'!$B$11,-1)</x:f>
        <x:v>46142</x:v>
      </x:c>
      <x:c r="U304" s="4" t="n">
        <x:f>MATCH(J304,'Сводка'!$R$3:$R$397,0)</x:f>
        <x:v>315</x:v>
      </x:c>
      <x:c r="V304" s="4" t="n">
        <x:f>MATCH(J304-'Сводка'!$B$11,'Сводка'!$R$3:$R$397,0)</x:f>
        <x:v>314</x:v>
      </x:c>
      <x:c r="W304" s="4" t="n">
        <x:f>MATCH(T304,$J$388:$J$400,0)</x:f>
        <x:v>11</x:v>
      </x:c>
      <x:c r="X304" s="3"/>
      <x:c r="Y304" s="3"/>
      <x:c r="Z304" s="3"/>
    </x:row>
    <x:row r="305" ht="15" customHeight="1">
      <x:c r="A305" s="3"/>
      <x:c r="B305" s="3"/>
      <x:c r="C305" s="3"/>
      <x:c r="D305" s="3"/>
      <x:c r="E305" s="3"/>
      <x:c r="F305" s="3"/>
      <x:c r="G305" s="3"/>
      <x:c r="H305" s="3"/>
      <x:c r="I305" s="3"/>
      <x:c r="J305" s="10" t="n">
        <x:v>46156</x:v>
      </x:c>
      <x:c r="K305" s="8" t="n">
        <x:f>INDEX('Сводка'!$S$3:$S$397,U305)</x:f>
        <x:v>161</x:v>
      </x:c>
      <x:c r="L305" s="8" t="n">
        <x:f>INDEX('Сводка'!$S$3:$S$397,V305)</x:f>
        <x:v>162</x:v>
      </x:c>
      <x:c r="M305" s="8" t="n">
        <x:f>INDEX($K$388:$N$400,W305,1)*EXP(INDEX($K$388:$N$400,W305,2)*((J305-$T$405+1)/1000))</x:f>
        <x:v>163.18665403401465</x:v>
      </x:c>
      <x:c r="N305" s="8" t="n">
        <x:f>K305-M305</x:f>
        <x:v>-2.1866540340146514</x:v>
      </x:c>
      <x:c r="O305" s="8" t="n">
        <x:f>ABS(N305)</x:f>
        <x:v>2.1866540340146514</x:v>
      </x:c>
      <x:c r="P305" s="8" t="n">
        <x:f>N305^2</x:f>
        <x:v>4.781455864472548</x:v>
      </x:c>
      <x:c r="Q305" s="8" t="n">
        <x:f>K305-L305</x:f>
        <x:v>-1</x:v>
      </x:c>
      <x:c r="R305" s="9" t="n">
        <x:f>IF(AND(INDEX('Сводка'!$T$3:$T$397,U305)=0,INDEX('Сводка'!$T$3:$T$397,V305)=0),1,0)</x:f>
        <x:v>1</x:v>
      </x:c>
      <x:c r="S305" s="9" t="n">
        <x:f>IF(AND(R305=1,O305&lt;=$G$13),1,0)</x:f>
        <x:v>1</x:v>
      </x:c>
      <x:c r="T305" s="10" t="n">
        <x:f>EOMONTH(J305-'Сводка'!$B$11,-1)</x:f>
        <x:v>46142</x:v>
      </x:c>
      <x:c r="U305" s="4" t="n">
        <x:f>MATCH(J305,'Сводка'!$R$3:$R$397,0)</x:f>
        <x:v>316</x:v>
      </x:c>
      <x:c r="V305" s="4" t="n">
        <x:f>MATCH(J305-'Сводка'!$B$11,'Сводка'!$R$3:$R$397,0)</x:f>
        <x:v>315</x:v>
      </x:c>
      <x:c r="W305" s="4" t="n">
        <x:f>MATCH(T305,$J$388:$J$400,0)</x:f>
        <x:v>11</x:v>
      </x:c>
      <x:c r="X305" s="3"/>
      <x:c r="Y305" s="3"/>
      <x:c r="Z305" s="3"/>
    </x:row>
    <x:row r="306" ht="15" customHeight="1">
      <x:c r="A306" s="3"/>
      <x:c r="B306" s="3"/>
      <x:c r="C306" s="3"/>
      <x:c r="D306" s="3"/>
      <x:c r="E306" s="3"/>
      <x:c r="F306" s="3"/>
      <x:c r="G306" s="3"/>
      <x:c r="H306" s="3"/>
      <x:c r="I306" s="3"/>
      <x:c r="J306" s="10" t="n">
        <x:v>46157</x:v>
      </x:c>
      <x:c r="K306" s="8" t="n">
        <x:f>INDEX('Сводка'!$S$3:$S$397,U306)</x:f>
        <x:v>154</x:v>
      </x:c>
      <x:c r="L306" s="8" t="n">
        <x:f>INDEX('Сводка'!$S$3:$S$397,V306)</x:f>
        <x:v>161</x:v>
      </x:c>
      <x:c r="M306" s="8" t="n">
        <x:f>INDEX($K$388:$N$400,W306,1)*EXP(INDEX($K$388:$N$400,W306,2)*((J306-$T$405+1)/1000))</x:f>
        <x:v>163.22168268196782</x:v>
      </x:c>
      <x:c r="N306" s="8" t="n">
        <x:f>K306-M306</x:f>
        <x:v>-9.22168268196782</x:v>
      </x:c>
      <x:c r="O306" s="8" t="n">
        <x:f>ABS(N306)</x:f>
        <x:v>9.22168268196782</x:v>
      </x:c>
      <x:c r="P306" s="8" t="n">
        <x:f>N306^2</x:f>
        <x:v>85.03943148690522</x:v>
      </x:c>
      <x:c r="Q306" s="8" t="n">
        <x:f>K306-L306</x:f>
        <x:v>-7</x:v>
      </x:c>
      <x:c r="R306" s="9" t="n">
        <x:f>IF(AND(INDEX('Сводка'!$T$3:$T$397,U306)=0,INDEX('Сводка'!$T$3:$T$397,V306)=0),1,0)</x:f>
        <x:v>1</x:v>
      </x:c>
      <x:c r="S306" s="9" t="n">
        <x:f>IF(AND(R306=1,O306&lt;=$G$13),1,0)</x:f>
        <x:v>0</x:v>
      </x:c>
      <x:c r="T306" s="10" t="n">
        <x:f>EOMONTH(J306-'Сводка'!$B$11,-1)</x:f>
        <x:v>46142</x:v>
      </x:c>
      <x:c r="U306" s="4" t="n">
        <x:f>MATCH(J306,'Сводка'!$R$3:$R$397,0)</x:f>
        <x:v>317</x:v>
      </x:c>
      <x:c r="V306" s="4" t="n">
        <x:f>MATCH(J306-'Сводка'!$B$11,'Сводка'!$R$3:$R$397,0)</x:f>
        <x:v>316</x:v>
      </x:c>
      <x:c r="W306" s="4" t="n">
        <x:f>MATCH(T306,$J$388:$J$400,0)</x:f>
        <x:v>11</x:v>
      </x:c>
      <x:c r="X306" s="3"/>
      <x:c r="Y306" s="3"/>
      <x:c r="Z306" s="3"/>
    </x:row>
    <x:row r="307" ht="15" customHeight="1">
      <x:c r="A307" s="3"/>
      <x:c r="B307" s="3"/>
      <x:c r="C307" s="3"/>
      <x:c r="D307" s="3"/>
      <x:c r="E307" s="3"/>
      <x:c r="F307" s="3"/>
      <x:c r="G307" s="3"/>
      <x:c r="H307" s="3"/>
      <x:c r="I307" s="3"/>
      <x:c r="J307" s="10" t="n">
        <x:v>46158</x:v>
      </x:c>
      <x:c r="K307" s="8" t="n">
        <x:f>INDEX('Сводка'!$S$3:$S$397,U307)</x:f>
        <x:v>148</x:v>
      </x:c>
      <x:c r="L307" s="8" t="n">
        <x:f>INDEX('Сводка'!$S$3:$S$397,V307)</x:f>
        <x:v>154</x:v>
      </x:c>
      <x:c r="M307" s="8" t="n">
        <x:f>INDEX($K$388:$N$400,W307,1)*EXP(INDEX($K$388:$N$400,W307,2)*((J307-$T$405+1)/1000))</x:f>
        <x:v>163.2567188489561</x:v>
      </x:c>
      <x:c r="N307" s="8" t="n">
        <x:f>K307-M307</x:f>
        <x:v>-15.256718848956098</x:v>
      </x:c>
      <x:c r="O307" s="8" t="n">
        <x:f>ABS(N307)</x:f>
        <x:v>15.256718848956098</x:v>
      </x:c>
      <x:c r="P307" s="8" t="n">
        <x:f>N307^2</x:f>
        <x:v>232.76747003609228</x:v>
      </x:c>
      <x:c r="Q307" s="8" t="n">
        <x:f>K307-L307</x:f>
        <x:v>-6</x:v>
      </x:c>
      <x:c r="R307" s="9" t="n">
        <x:f>IF(AND(INDEX('Сводка'!$T$3:$T$397,U307)=0,INDEX('Сводка'!$T$3:$T$397,V307)=0),1,0)</x:f>
        <x:v>1</x:v>
      </x:c>
      <x:c r="S307" s="9" t="n">
        <x:f>IF(AND(R307=1,O307&lt;=$G$13),1,0)</x:f>
        <x:v>0</x:v>
      </x:c>
      <x:c r="T307" s="10" t="n">
        <x:f>EOMONTH(J307-'Сводка'!$B$11,-1)</x:f>
        <x:v>46142</x:v>
      </x:c>
      <x:c r="U307" s="4" t="n">
        <x:f>MATCH(J307,'Сводка'!$R$3:$R$397,0)</x:f>
        <x:v>318</x:v>
      </x:c>
      <x:c r="V307" s="4" t="n">
        <x:f>MATCH(J307-'Сводка'!$B$11,'Сводка'!$R$3:$R$397,0)</x:f>
        <x:v>317</x:v>
      </x:c>
      <x:c r="W307" s="4" t="n">
        <x:f>MATCH(T307,$J$388:$J$400,0)</x:f>
        <x:v>11</x:v>
      </x:c>
      <x:c r="X307" s="3"/>
      <x:c r="Y307" s="3"/>
      <x:c r="Z307" s="3"/>
    </x:row>
    <x:row r="308" ht="15" customHeight="1">
      <x:c r="A308" s="3"/>
      <x:c r="B308" s="3"/>
      <x:c r="C308" s="3"/>
      <x:c r="D308" s="3"/>
      <x:c r="E308" s="3"/>
      <x:c r="F308" s="3"/>
      <x:c r="G308" s="3"/>
      <x:c r="H308" s="3"/>
      <x:c r="I308" s="3"/>
      <x:c r="J308" s="10" t="n">
        <x:v>46159</x:v>
      </x:c>
      <x:c r="K308" s="8" t="n">
        <x:f>INDEX('Сводка'!$S$3:$S$397,U308)</x:f>
        <x:v>141</x:v>
      </x:c>
      <x:c r="L308" s="8" t="n">
        <x:f>INDEX('Сводка'!$S$3:$S$397,V308)</x:f>
        <x:v>148</x:v>
      </x:c>
      <x:c r="M308" s="8" t="n">
        <x:f>INDEX($K$388:$N$400,W308,1)*EXP(INDEX($K$388:$N$400,W308,2)*((J308-$T$405+1)/1000))</x:f>
        <x:v>163.29176253659352</x:v>
      </x:c>
      <x:c r="N308" s="8" t="n">
        <x:f>K308-M308</x:f>
        <x:v>-22.291762536593524</x:v>
      </x:c>
      <x:c r="O308" s="8" t="n">
        <x:f>ABS(N308)</x:f>
        <x:v>22.291762536593524</x:v>
      </x:c>
      <x:c r="P308" s="8" t="n">
        <x:f>N308^2</x:f>
        <x:v>496.9226769878745</x:v>
      </x:c>
      <x:c r="Q308" s="8" t="n">
        <x:f>K308-L308</x:f>
        <x:v>-7</x:v>
      </x:c>
      <x:c r="R308" s="9" t="n">
        <x:f>IF(AND(INDEX('Сводка'!$T$3:$T$397,U308)=0,INDEX('Сводка'!$T$3:$T$397,V308)=0),1,0)</x:f>
        <x:v>1</x:v>
      </x:c>
      <x:c r="S308" s="9" t="n">
        <x:f>IF(AND(R308=1,O308&lt;=$G$13),1,0)</x:f>
        <x:v>0</x:v>
      </x:c>
      <x:c r="T308" s="10" t="n">
        <x:f>EOMONTH(J308-'Сводка'!$B$11,-1)</x:f>
        <x:v>46142</x:v>
      </x:c>
      <x:c r="U308" s="4" t="n">
        <x:f>MATCH(J308,'Сводка'!$R$3:$R$397,0)</x:f>
        <x:v>319</x:v>
      </x:c>
      <x:c r="V308" s="4" t="n">
        <x:f>MATCH(J308-'Сводка'!$B$11,'Сводка'!$R$3:$R$397,0)</x:f>
        <x:v>318</x:v>
      </x:c>
      <x:c r="W308" s="4" t="n">
        <x:f>MATCH(T308,$J$388:$J$400,0)</x:f>
        <x:v>11</x:v>
      </x:c>
      <x:c r="X308" s="3"/>
      <x:c r="Y308" s="3"/>
      <x:c r="Z308" s="3"/>
    </x:row>
    <x:row r="309" ht="15" customHeight="1">
      <x:c r="A309" s="3"/>
      <x:c r="B309" s="3"/>
      <x:c r="C309" s="3"/>
      <x:c r="D309" s="3"/>
      <x:c r="E309" s="3"/>
      <x:c r="F309" s="3"/>
      <x:c r="G309" s="3"/>
      <x:c r="H309" s="3"/>
      <x:c r="I309" s="3"/>
      <x:c r="J309" s="10" t="n">
        <x:v>46160</x:v>
      </x:c>
      <x:c r="K309" s="8" t="n">
        <x:f>INDEX('Сводка'!$S$3:$S$397,U309)</x:f>
        <x:v>139</x:v>
      </x:c>
      <x:c r="L309" s="8" t="n">
        <x:f>INDEX('Сводка'!$S$3:$S$397,V309)</x:f>
        <x:v>141</x:v>
      </x:c>
      <x:c r="M309" s="8" t="n">
        <x:f>INDEX($K$388:$N$400,W309,1)*EXP(INDEX($K$388:$N$400,W309,2)*((J309-$T$405+1)/1000))</x:f>
        <x:v>163.32681374649428</x:v>
      </x:c>
      <x:c r="N309" s="8" t="n">
        <x:f>K309-M309</x:f>
        <x:v>-24.32681374649428</x:v>
      </x:c>
      <x:c r="O309" s="8" t="n">
        <x:f>ABS(N309)</x:f>
        <x:v>24.32681374649428</x:v>
      </x:c>
      <x:c r="P309" s="8" t="n">
        <x:f>N309^2</x:f>
        <x:v>591.7938670566231</x:v>
      </x:c>
      <x:c r="Q309" s="8" t="n">
        <x:f>K309-L309</x:f>
        <x:v>-2</x:v>
      </x:c>
      <x:c r="R309" s="9" t="n">
        <x:f>IF(AND(INDEX('Сводка'!$T$3:$T$397,U309)=0,INDEX('Сводка'!$T$3:$T$397,V309)=0),1,0)</x:f>
        <x:v>1</x:v>
      </x:c>
      <x:c r="S309" s="9" t="n">
        <x:f>IF(AND(R309=1,O309&lt;=$G$13),1,0)</x:f>
        <x:v>0</x:v>
      </x:c>
      <x:c r="T309" s="10" t="n">
        <x:f>EOMONTH(J309-'Сводка'!$B$11,-1)</x:f>
        <x:v>46142</x:v>
      </x:c>
      <x:c r="U309" s="4" t="n">
        <x:f>MATCH(J309,'Сводка'!$R$3:$R$397,0)</x:f>
        <x:v>320</x:v>
      </x:c>
      <x:c r="V309" s="4" t="n">
        <x:f>MATCH(J309-'Сводка'!$B$11,'Сводка'!$R$3:$R$397,0)</x:f>
        <x:v>319</x:v>
      </x:c>
      <x:c r="W309" s="4" t="n">
        <x:f>MATCH(T309,$J$388:$J$400,0)</x:f>
        <x:v>11</x:v>
      </x:c>
      <x:c r="X309" s="3"/>
      <x:c r="Y309" s="3"/>
      <x:c r="Z309" s="3"/>
    </x:row>
    <x:row r="310" ht="15" customHeight="1">
      <x:c r="A310" s="3"/>
      <x:c r="B310" s="3"/>
      <x:c r="C310" s="3"/>
      <x:c r="D310" s="3"/>
      <x:c r="E310" s="3"/>
      <x:c r="F310" s="3"/>
      <x:c r="G310" s="3"/>
      <x:c r="H310" s="3"/>
      <x:c r="I310" s="3"/>
      <x:c r="J310" s="10" t="n">
        <x:v>46161</x:v>
      </x:c>
      <x:c r="K310" s="8" t="n">
        <x:f>INDEX('Сводка'!$S$3:$S$397,U310)</x:f>
        <x:v>135</x:v>
      </x:c>
      <x:c r="L310" s="8" t="n">
        <x:f>INDEX('Сводка'!$S$3:$S$397,V310)</x:f>
        <x:v>139</x:v>
      </x:c>
      <x:c r="M310" s="8" t="n">
        <x:f>INDEX($K$388:$N$400,W310,1)*EXP(INDEX($K$388:$N$400,W310,2)*((J310-$T$405+1)/1000))</x:f>
        <x:v>163.36187248027315</x:v>
      </x:c>
      <x:c r="N310" s="8" t="n">
        <x:f>K310-M310</x:f>
        <x:v>-28.36187248027315</x:v>
      </x:c>
      <x:c r="O310" s="8" t="n">
        <x:f>ABS(N310)</x:f>
        <x:v>28.36187248027315</x:v>
      </x:c>
      <x:c r="P310" s="8" t="n">
        <x:f>N310^2</x:f>
        <x:v>804.3958105872754</x:v>
      </x:c>
      <x:c r="Q310" s="8" t="n">
        <x:f>K310-L310</x:f>
        <x:v>-4</x:v>
      </x:c>
      <x:c r="R310" s="9" t="n">
        <x:f>IF(AND(INDEX('Сводка'!$T$3:$T$397,U310)=0,INDEX('Сводка'!$T$3:$T$397,V310)=0),1,0)</x:f>
        <x:v>1</x:v>
      </x:c>
      <x:c r="S310" s="9" t="n">
        <x:f>IF(AND(R310=1,O310&lt;=$G$13),1,0)</x:f>
        <x:v>0</x:v>
      </x:c>
      <x:c r="T310" s="10" t="n">
        <x:f>EOMONTH(J310-'Сводка'!$B$11,-1)</x:f>
        <x:v>46142</x:v>
      </x:c>
      <x:c r="U310" s="4" t="n">
        <x:f>MATCH(J310,'Сводка'!$R$3:$R$397,0)</x:f>
        <x:v>321</x:v>
      </x:c>
      <x:c r="V310" s="4" t="n">
        <x:f>MATCH(J310-'Сводка'!$B$11,'Сводка'!$R$3:$R$397,0)</x:f>
        <x:v>320</x:v>
      </x:c>
      <x:c r="W310" s="4" t="n">
        <x:f>MATCH(T310,$J$388:$J$400,0)</x:f>
        <x:v>11</x:v>
      </x:c>
      <x:c r="X310" s="3"/>
      <x:c r="Y310" s="3"/>
      <x:c r="Z310" s="3"/>
    </x:row>
    <x:row r="311" ht="15" customHeight="1">
      <x:c r="A311" s="3"/>
      <x:c r="B311" s="3"/>
      <x:c r="C311" s="3"/>
      <x:c r="D311" s="3"/>
      <x:c r="E311" s="3"/>
      <x:c r="F311" s="3"/>
      <x:c r="G311" s="3"/>
      <x:c r="H311" s="3"/>
      <x:c r="I311" s="3"/>
      <x:c r="J311" s="10" t="n">
        <x:v>46162</x:v>
      </x:c>
      <x:c r="K311" s="8" t="n">
        <x:f>INDEX('Сводка'!$S$3:$S$397,U311)</x:f>
        <x:v>135</x:v>
      </x:c>
      <x:c r="L311" s="8" t="n">
        <x:f>INDEX('Сводка'!$S$3:$S$397,V311)</x:f>
        <x:v>135</x:v>
      </x:c>
      <x:c r="M311" s="8" t="n">
        <x:f>INDEX($K$388:$N$400,W311,1)*EXP(INDEX($K$388:$N$400,W311,2)*((J311-$T$405+1)/1000))</x:f>
        <x:v>163.39693873954516</x:v>
      </x:c>
      <x:c r="N311" s="8" t="n">
        <x:f>K311-M311</x:f>
        <x:v>-28.396938739545163</x:v>
      </x:c>
      <x:c r="O311" s="8" t="n">
        <x:f>ABS(N311)</x:f>
        <x:v>28.396938739545163</x:v>
      </x:c>
      <x:c r="P311" s="8" t="n">
        <x:f>N311^2</x:f>
        <x:v>806.3861297774808</x:v>
      </x:c>
      <x:c r="Q311" s="8" t="n">
        <x:f>K311-L311</x:f>
        <x:v>0</x:v>
      </x:c>
      <x:c r="R311" s="9" t="n">
        <x:f>IF(AND(INDEX('Сводка'!$T$3:$T$397,U311)=0,INDEX('Сводка'!$T$3:$T$397,V311)=0),1,0)</x:f>
        <x:v>1</x:v>
      </x:c>
      <x:c r="S311" s="9" t="n">
        <x:f>IF(AND(R311=1,O311&lt;=$G$13),1,0)</x:f>
        <x:v>0</x:v>
      </x:c>
      <x:c r="T311" s="10" t="n">
        <x:f>EOMONTH(J311-'Сводка'!$B$11,-1)</x:f>
        <x:v>46142</x:v>
      </x:c>
      <x:c r="U311" s="4" t="n">
        <x:f>MATCH(J311,'Сводка'!$R$3:$R$397,0)</x:f>
        <x:v>322</x:v>
      </x:c>
      <x:c r="V311" s="4" t="n">
        <x:f>MATCH(J311-'Сводка'!$B$11,'Сводка'!$R$3:$R$397,0)</x:f>
        <x:v>321</x:v>
      </x:c>
      <x:c r="W311" s="4" t="n">
        <x:f>MATCH(T311,$J$388:$J$400,0)</x:f>
        <x:v>11</x:v>
      </x:c>
      <x:c r="X311" s="3"/>
      <x:c r="Y311" s="3"/>
      <x:c r="Z311" s="3"/>
    </x:row>
    <x:row r="312" ht="15" customHeight="1">
      <x:c r="A312" s="3"/>
      <x:c r="B312" s="3"/>
      <x:c r="C312" s="3"/>
      <x:c r="D312" s="3"/>
      <x:c r="E312" s="3"/>
      <x:c r="F312" s="3"/>
      <x:c r="G312" s="3"/>
      <x:c r="H312" s="3"/>
      <x:c r="I312" s="3"/>
      <x:c r="J312" s="10" t="n">
        <x:v>46163</x:v>
      </x:c>
      <x:c r="K312" s="8" t="n">
        <x:f>INDEX('Сводка'!$S$3:$S$397,U312)</x:f>
        <x:v>134</x:v>
      </x:c>
      <x:c r="L312" s="8" t="n">
        <x:f>INDEX('Сводка'!$S$3:$S$397,V312)</x:f>
        <x:v>135</x:v>
      </x:c>
      <x:c r="M312" s="8" t="n">
        <x:f>INDEX($K$388:$N$400,W312,1)*EXP(INDEX($K$388:$N$400,W312,2)*((J312-$T$405+1)/1000))</x:f>
        <x:v>163.43201252592567</x:v>
      </x:c>
      <x:c r="N312" s="8" t="n">
        <x:f>K312-M312</x:f>
        <x:v>-29.43201252592567</x:v>
      </x:c>
      <x:c r="O312" s="8" t="n">
        <x:f>ABS(N312)</x:f>
        <x:v>29.43201252592567</x:v>
      </x:c>
      <x:c r="P312" s="8" t="n">
        <x:f>N312^2</x:f>
        <x:v>866.2433613262456</x:v>
      </x:c>
      <x:c r="Q312" s="8" t="n">
        <x:f>K312-L312</x:f>
        <x:v>-1</x:v>
      </x:c>
      <x:c r="R312" s="9" t="n">
        <x:f>IF(AND(INDEX('Сводка'!$T$3:$T$397,U312)=0,INDEX('Сводка'!$T$3:$T$397,V312)=0),1,0)</x:f>
        <x:v>1</x:v>
      </x:c>
      <x:c r="S312" s="9" t="n">
        <x:f>IF(AND(R312=1,O312&lt;=$G$13),1,0)</x:f>
        <x:v>0</x:v>
      </x:c>
      <x:c r="T312" s="10" t="n">
        <x:f>EOMONTH(J312-'Сводка'!$B$11,-1)</x:f>
        <x:v>46142</x:v>
      </x:c>
      <x:c r="U312" s="4" t="n">
        <x:f>MATCH(J312,'Сводка'!$R$3:$R$397,0)</x:f>
        <x:v>323</x:v>
      </x:c>
      <x:c r="V312" s="4" t="n">
        <x:f>MATCH(J312-'Сводка'!$B$11,'Сводка'!$R$3:$R$397,0)</x:f>
        <x:v>322</x:v>
      </x:c>
      <x:c r="W312" s="4" t="n">
        <x:f>MATCH(T312,$J$388:$J$400,0)</x:f>
        <x:v>11</x:v>
      </x:c>
      <x:c r="X312" s="3"/>
      <x:c r="Y312" s="3"/>
      <x:c r="Z312" s="3"/>
    </x:row>
    <x:row r="313" ht="15" customHeight="1">
      <x:c r="A313" s="3"/>
      <x:c r="B313" s="3"/>
      <x:c r="C313" s="3"/>
      <x:c r="D313" s="3"/>
      <x:c r="E313" s="3"/>
      <x:c r="F313" s="3"/>
      <x:c r="G313" s="3"/>
      <x:c r="H313" s="3"/>
      <x:c r="I313" s="3"/>
      <x:c r="J313" s="10" t="n">
        <x:v>46164</x:v>
      </x:c>
      <x:c r="K313" s="8" t="n">
        <x:f>INDEX('Сводка'!$S$3:$S$397,U313)</x:f>
        <x:v>131</x:v>
      </x:c>
      <x:c r="L313" s="8" t="n">
        <x:f>INDEX('Сводка'!$S$3:$S$397,V313)</x:f>
        <x:v>134</x:v>
      </x:c>
      <x:c r="M313" s="8" t="n">
        <x:f>INDEX($K$388:$N$400,W313,1)*EXP(INDEX($K$388:$N$400,W313,2)*((J313-$T$405+1)/1000))</x:f>
        <x:v>163.4670938410304</x:v>
      </x:c>
      <x:c r="N313" s="8" t="n">
        <x:f>K313-M313</x:f>
        <x:v>-32.46709384103039</x:v>
      </x:c>
      <x:c r="O313" s="8" t="n">
        <x:f>ABS(N313)</x:f>
        <x:v>32.46709384103039</x:v>
      </x:c>
      <x:c r="P313" s="8" t="n">
        <x:f>N313^2</x:f>
        <x:v>1054.1121824822735</x:v>
      </x:c>
      <x:c r="Q313" s="8" t="n">
        <x:f>K313-L313</x:f>
        <x:v>-3</x:v>
      </x:c>
      <x:c r="R313" s="9" t="n">
        <x:f>IF(AND(INDEX('Сводка'!$T$3:$T$397,U313)=0,INDEX('Сводка'!$T$3:$T$397,V313)=0),1,0)</x:f>
        <x:v>1</x:v>
      </x:c>
      <x:c r="S313" s="9" t="n">
        <x:f>IF(AND(R313=1,O313&lt;=$G$13),1,0)</x:f>
        <x:v>0</x:v>
      </x:c>
      <x:c r="T313" s="10" t="n">
        <x:f>EOMONTH(J313-'Сводка'!$B$11,-1)</x:f>
        <x:v>46142</x:v>
      </x:c>
      <x:c r="U313" s="4" t="n">
        <x:f>MATCH(J313,'Сводка'!$R$3:$R$397,0)</x:f>
        <x:v>324</x:v>
      </x:c>
      <x:c r="V313" s="4" t="n">
        <x:f>MATCH(J313-'Сводка'!$B$11,'Сводка'!$R$3:$R$397,0)</x:f>
        <x:v>323</x:v>
      </x:c>
      <x:c r="W313" s="4" t="n">
        <x:f>MATCH(T313,$J$388:$J$400,0)</x:f>
        <x:v>11</x:v>
      </x:c>
      <x:c r="X313" s="3"/>
      <x:c r="Y313" s="3"/>
      <x:c r="Z313" s="3"/>
    </x:row>
    <x:row r="314" ht="15" customHeight="1">
      <x:c r="A314" s="3"/>
      <x:c r="B314" s="3"/>
      <x:c r="C314" s="3"/>
      <x:c r="D314" s="3"/>
      <x:c r="E314" s="3"/>
      <x:c r="F314" s="3"/>
      <x:c r="G314" s="3"/>
      <x:c r="H314" s="3"/>
      <x:c r="I314" s="3"/>
      <x:c r="J314" s="10" t="n">
        <x:v>46165</x:v>
      </x:c>
      <x:c r="K314" s="8" t="n">
        <x:f>INDEX('Сводка'!$S$3:$S$397,U314)</x:f>
        <x:v>126</x:v>
      </x:c>
      <x:c r="L314" s="8" t="n">
        <x:f>INDEX('Сводка'!$S$3:$S$397,V314)</x:f>
        <x:v>131</x:v>
      </x:c>
      <x:c r="M314" s="8" t="n">
        <x:f>INDEX($K$388:$N$400,W314,1)*EXP(INDEX($K$388:$N$400,W314,2)*((J314-$T$405+1)/1000))</x:f>
        <x:v>163.50218268647544</x:v>
      </x:c>
      <x:c r="N314" s="8" t="n">
        <x:f>K314-M314</x:f>
        <x:v>-37.502182686475436</x:v>
      </x:c>
      <x:c r="O314" s="8" t="n">
        <x:f>ABS(N314)</x:f>
        <x:v>37.502182686475436</x:v>
      </x:c>
      <x:c r="P314" s="8" t="n">
        <x:f>N314^2</x:f>
        <x:v>1406.413706249778</x:v>
      </x:c>
      <x:c r="Q314" s="8" t="n">
        <x:f>K314-L314</x:f>
        <x:v>-5</x:v>
      </x:c>
      <x:c r="R314" s="9" t="n">
        <x:f>IF(AND(INDEX('Сводка'!$T$3:$T$397,U314)=0,INDEX('Сводка'!$T$3:$T$397,V314)=0),1,0)</x:f>
        <x:v>1</x:v>
      </x:c>
      <x:c r="S314" s="9" t="n">
        <x:f>IF(AND(R314=1,O314&lt;=$G$13),1,0)</x:f>
        <x:v>0</x:v>
      </x:c>
      <x:c r="T314" s="10" t="n">
        <x:f>EOMONTH(J314-'Сводка'!$B$11,-1)</x:f>
        <x:v>46142</x:v>
      </x:c>
      <x:c r="U314" s="4" t="n">
        <x:f>MATCH(J314,'Сводка'!$R$3:$R$397,0)</x:f>
        <x:v>325</x:v>
      </x:c>
      <x:c r="V314" s="4" t="n">
        <x:f>MATCH(J314-'Сводка'!$B$11,'Сводка'!$R$3:$R$397,0)</x:f>
        <x:v>324</x:v>
      </x:c>
      <x:c r="W314" s="4" t="n">
        <x:f>MATCH(T314,$J$388:$J$400,0)</x:f>
        <x:v>11</x:v>
      </x:c>
      <x:c r="X314" s="3"/>
      <x:c r="Y314" s="3"/>
      <x:c r="Z314" s="3"/>
    </x:row>
    <x:row r="315" ht="15" customHeight="1">
      <x:c r="A315" s="3"/>
      <x:c r="B315" s="3"/>
      <x:c r="C315" s="3"/>
      <x:c r="D315" s="3"/>
      <x:c r="E315" s="3"/>
      <x:c r="F315" s="3"/>
      <x:c r="G315" s="3"/>
      <x:c r="H315" s="3"/>
      <x:c r="I315" s="3"/>
      <x:c r="J315" s="10" t="n">
        <x:v>46166</x:v>
      </x:c>
      <x:c r="K315" s="8" t="n">
        <x:f>INDEX('Сводка'!$S$3:$S$397,U315)</x:f>
        <x:v>119</x:v>
      </x:c>
      <x:c r="L315" s="8" t="n">
        <x:f>INDEX('Сводка'!$S$3:$S$397,V315)</x:f>
        <x:v>126</x:v>
      </x:c>
      <x:c r="M315" s="8" t="n">
        <x:f>INDEX($K$388:$N$400,W315,1)*EXP(INDEX($K$388:$N$400,W315,2)*((J315-$T$405+1)/1000))</x:f>
        <x:v>163.53727906387718</x:v>
      </x:c>
      <x:c r="N315" s="8" t="n">
        <x:f>K315-M315</x:f>
        <x:v>-44.53727906387718</x:v>
      </x:c>
      <x:c r="O315" s="8" t="n">
        <x:f>ABS(N315)</x:f>
        <x:v>44.53727906387718</x:v>
      </x:c>
      <x:c r="P315" s="8" t="n">
        <x:f>N315^2</x:f>
        <x:v>1983.5692264136726</x:v>
      </x:c>
      <x:c r="Q315" s="8" t="n">
        <x:f>K315-L315</x:f>
        <x:v>-7</x:v>
      </x:c>
      <x:c r="R315" s="9" t="n">
        <x:f>IF(AND(INDEX('Сводка'!$T$3:$T$397,U315)=0,INDEX('Сводка'!$T$3:$T$397,V315)=0),1,0)</x:f>
        <x:v>1</x:v>
      </x:c>
      <x:c r="S315" s="9" t="n">
        <x:f>IF(AND(R315=1,O315&lt;=$G$13),1,0)</x:f>
        <x:v>0</x:v>
      </x:c>
      <x:c r="T315" s="10" t="n">
        <x:f>EOMONTH(J315-'Сводка'!$B$11,-1)</x:f>
        <x:v>46142</x:v>
      </x:c>
      <x:c r="U315" s="4" t="n">
        <x:f>MATCH(J315,'Сводка'!$R$3:$R$397,0)</x:f>
        <x:v>326</x:v>
      </x:c>
      <x:c r="V315" s="4" t="n">
        <x:f>MATCH(J315-'Сводка'!$B$11,'Сводка'!$R$3:$R$397,0)</x:f>
        <x:v>325</x:v>
      </x:c>
      <x:c r="W315" s="4" t="n">
        <x:f>MATCH(T315,$J$388:$J$400,0)</x:f>
        <x:v>11</x:v>
      </x:c>
      <x:c r="X315" s="3"/>
      <x:c r="Y315" s="3"/>
      <x:c r="Z315" s="3"/>
    </x:row>
    <x:row r="316" ht="15" customHeight="1">
      <x:c r="A316" s="3"/>
      <x:c r="B316" s="3"/>
      <x:c r="C316" s="3"/>
      <x:c r="D316" s="3"/>
      <x:c r="E316" s="3"/>
      <x:c r="F316" s="3"/>
      <x:c r="G316" s="3"/>
      <x:c r="H316" s="3"/>
      <x:c r="I316" s="3"/>
      <x:c r="J316" s="10" t="n">
        <x:v>46167</x:v>
      </x:c>
      <x:c r="K316" s="8" t="n">
        <x:f>INDEX('Сводка'!$S$3:$S$397,U316)</x:f>
        <x:v>114</x:v>
      </x:c>
      <x:c r="L316" s="8" t="n">
        <x:f>INDEX('Сводка'!$S$3:$S$397,V316)</x:f>
        <x:v>119</x:v>
      </x:c>
      <x:c r="M316" s="8" t="n">
        <x:f>INDEX($K$388:$N$400,W316,1)*EXP(INDEX($K$388:$N$400,W316,2)*((J316-$T$405+1)/1000))</x:f>
        <x:v>163.57238297485236</x:v>
      </x:c>
      <x:c r="N316" s="8" t="n">
        <x:f>K316-M316</x:f>
        <x:v>-49.57238297485236</x:v>
      </x:c>
      <x:c r="O316" s="8" t="n">
        <x:f>ABS(N316)</x:f>
        <x:v>49.57238297485236</x:v>
      </x:c>
      <x:c r="P316" s="8" t="n">
        <x:f>N316^2</x:f>
        <x:v>2457.421153805432</x:v>
      </x:c>
      <x:c r="Q316" s="8" t="n">
        <x:f>K316-L316</x:f>
        <x:v>-5</x:v>
      </x:c>
      <x:c r="R316" s="9" t="n">
        <x:f>IF(AND(INDEX('Сводка'!$T$3:$T$397,U316)=0,INDEX('Сводка'!$T$3:$T$397,V316)=0),1,0)</x:f>
        <x:v>1</x:v>
      </x:c>
      <x:c r="S316" s="9" t="n">
        <x:f>IF(AND(R316=1,O316&lt;=$G$13),1,0)</x:f>
        <x:v>0</x:v>
      </x:c>
      <x:c r="T316" s="10" t="n">
        <x:f>EOMONTH(J316-'Сводка'!$B$11,-1)</x:f>
        <x:v>46142</x:v>
      </x:c>
      <x:c r="U316" s="4" t="n">
        <x:f>MATCH(J316,'Сводка'!$R$3:$R$397,0)</x:f>
        <x:v>327</x:v>
      </x:c>
      <x:c r="V316" s="4" t="n">
        <x:f>MATCH(J316-'Сводка'!$B$11,'Сводка'!$R$3:$R$397,0)</x:f>
        <x:v>326</x:v>
      </x:c>
      <x:c r="W316" s="4" t="n">
        <x:f>MATCH(T316,$J$388:$J$400,0)</x:f>
        <x:v>11</x:v>
      </x:c>
      <x:c r="X316" s="3"/>
      <x:c r="Y316" s="3"/>
      <x:c r="Z316" s="3"/>
    </x:row>
    <x:row r="317" ht="15" customHeight="1">
      <x:c r="A317" s="3"/>
      <x:c r="B317" s="3"/>
      <x:c r="C317" s="3"/>
      <x:c r="D317" s="3"/>
      <x:c r="E317" s="3"/>
      <x:c r="F317" s="3"/>
      <x:c r="G317" s="3"/>
      <x:c r="H317" s="3"/>
      <x:c r="I317" s="3"/>
      <x:c r="J317" s="10" t="n">
        <x:v>46168</x:v>
      </x:c>
      <x:c r="K317" s="8" t="n">
        <x:f>INDEX('Сводка'!$S$3:$S$397,U317)</x:f>
        <x:v>106</x:v>
      </x:c>
      <x:c r="L317" s="8" t="n">
        <x:f>INDEX('Сводка'!$S$3:$S$397,V317)</x:f>
        <x:v>114</x:v>
      </x:c>
      <x:c r="M317" s="8" t="n">
        <x:f>INDEX($K$388:$N$400,W317,1)*EXP(INDEX($K$388:$N$400,W317,2)*((J317-$T$405+1)/1000))</x:f>
        <x:v>163.6074944210182</x:v>
      </x:c>
      <x:c r="N317" s="8" t="n">
        <x:f>K317-M317</x:f>
        <x:v>-57.6074944210182</x:v>
      </x:c>
      <x:c r="O317" s="8" t="n">
        <x:f>ABS(N317)</x:f>
        <x:v>57.6074944210182</x:v>
      </x:c>
      <x:c r="P317" s="8" t="n">
        <x:f>N317^2</x:f>
        <x:v>3318.6234134676433</x:v>
      </x:c>
      <x:c r="Q317" s="8" t="n">
        <x:f>K317-L317</x:f>
        <x:v>-8</x:v>
      </x:c>
      <x:c r="R317" s="9" t="n">
        <x:f>IF(AND(INDEX('Сводка'!$T$3:$T$397,U317)=0,INDEX('Сводка'!$T$3:$T$397,V317)=0),1,0)</x:f>
        <x:v>1</x:v>
      </x:c>
      <x:c r="S317" s="9" t="n">
        <x:f>IF(AND(R317=1,O317&lt;=$G$13),1,0)</x:f>
        <x:v>0</x:v>
      </x:c>
      <x:c r="T317" s="10" t="n">
        <x:f>EOMONTH(J317-'Сводка'!$B$11,-1)</x:f>
        <x:v>46142</x:v>
      </x:c>
      <x:c r="U317" s="4" t="n">
        <x:f>MATCH(J317,'Сводка'!$R$3:$R$397,0)</x:f>
        <x:v>328</x:v>
      </x:c>
      <x:c r="V317" s="4" t="n">
        <x:f>MATCH(J317-'Сводка'!$B$11,'Сводка'!$R$3:$R$397,0)</x:f>
        <x:v>327</x:v>
      </x:c>
      <x:c r="W317" s="4" t="n">
        <x:f>MATCH(T317,$J$388:$J$400,0)</x:f>
        <x:v>11</x:v>
      </x:c>
      <x:c r="X317" s="3"/>
      <x:c r="Y317" s="3"/>
      <x:c r="Z317" s="3"/>
    </x:row>
    <x:row r="318" ht="15" customHeight="1">
      <x:c r="A318" s="3"/>
      <x:c r="B318" s="3"/>
      <x:c r="C318" s="3"/>
      <x:c r="D318" s="3"/>
      <x:c r="E318" s="3"/>
      <x:c r="F318" s="3"/>
      <x:c r="G318" s="3"/>
      <x:c r="H318" s="3"/>
      <x:c r="I318" s="3"/>
      <x:c r="J318" s="10" t="n">
        <x:v>46169</x:v>
      </x:c>
      <x:c r="K318" s="8" t="n">
        <x:f>INDEX('Сводка'!$S$3:$S$397,U318)</x:f>
        <x:v>101</x:v>
      </x:c>
      <x:c r="L318" s="8" t="n">
        <x:f>INDEX('Сводка'!$S$3:$S$397,V318)</x:f>
        <x:v>106</x:v>
      </x:c>
      <x:c r="M318" s="8" t="n">
        <x:f>INDEX($K$388:$N$400,W318,1)*EXP(INDEX($K$388:$N$400,W318,2)*((J318-$T$405+1)/1000))</x:f>
        <x:v>163.64261340399202</x:v>
      </x:c>
      <x:c r="N318" s="8" t="n">
        <x:f>K318-M318</x:f>
        <x:v>-62.642613403992016</x:v>
      </x:c>
      <x:c r="O318" s="8" t="n">
        <x:f>ABS(N318)</x:f>
        <x:v>62.642613403992016</x:v>
      </x:c>
      <x:c r="P318" s="8" t="n">
        <x:f>N318^2</x:f>
        <x:v>3924.097014082</x:v>
      </x:c>
      <x:c r="Q318" s="8" t="n">
        <x:f>K318-L318</x:f>
        <x:v>-5</x:v>
      </x:c>
      <x:c r="R318" s="9" t="n">
        <x:f>IF(AND(INDEX('Сводка'!$T$3:$T$397,U318)=0,INDEX('Сводка'!$T$3:$T$397,V318)=0),1,0)</x:f>
        <x:v>1</x:v>
      </x:c>
      <x:c r="S318" s="9" t="n">
        <x:f>IF(AND(R318=1,O318&lt;=$G$13),1,0)</x:f>
        <x:v>0</x:v>
      </x:c>
      <x:c r="T318" s="10" t="n">
        <x:f>EOMONTH(J318-'Сводка'!$B$11,-1)</x:f>
        <x:v>46142</x:v>
      </x:c>
      <x:c r="U318" s="4" t="n">
        <x:f>MATCH(J318,'Сводка'!$R$3:$R$397,0)</x:f>
        <x:v>329</x:v>
      </x:c>
      <x:c r="V318" s="4" t="n">
        <x:f>MATCH(J318-'Сводка'!$B$11,'Сводка'!$R$3:$R$397,0)</x:f>
        <x:v>328</x:v>
      </x:c>
      <x:c r="W318" s="4" t="n">
        <x:f>MATCH(T318,$J$388:$J$400,0)</x:f>
        <x:v>11</x:v>
      </x:c>
      <x:c r="X318" s="3"/>
      <x:c r="Y318" s="3"/>
      <x:c r="Z318" s="3"/>
    </x:row>
    <x:row r="319" ht="15" customHeight="1">
      <x:c r="A319" s="3"/>
      <x:c r="B319" s="3"/>
      <x:c r="C319" s="3"/>
      <x:c r="D319" s="3"/>
      <x:c r="E319" s="3"/>
      <x:c r="F319" s="3"/>
      <x:c r="G319" s="3"/>
      <x:c r="H319" s="3"/>
      <x:c r="I319" s="3"/>
      <x:c r="J319" s="10" t="n">
        <x:v>46170</x:v>
      </x:c>
      <x:c r="K319" s="8" t="n">
        <x:f>INDEX('Сводка'!$S$3:$S$397,U319)</x:f>
        <x:v>95</x:v>
      </x:c>
      <x:c r="L319" s="8" t="n">
        <x:f>INDEX('Сводка'!$S$3:$S$397,V319)</x:f>
        <x:v>101</x:v>
      </x:c>
      <x:c r="M319" s="8" t="n">
        <x:f>INDEX($K$388:$N$400,W319,1)*EXP(INDEX($K$388:$N$400,W319,2)*((J319-$T$405+1)/1000))</x:f>
        <x:v>163.67773992539173</x:v>
      </x:c>
      <x:c r="N319" s="8" t="n">
        <x:f>K319-M319</x:f>
        <x:v>-68.67773992539173</x:v>
      </x:c>
      <x:c r="O319" s="8" t="n">
        <x:f>ABS(N319)</x:f>
        <x:v>68.67773992539173</x:v>
      </x:c>
      <x:c r="P319" s="8" t="n">
        <x:f>N319^2</x:f>
        <x:v>4716.631961259745</x:v>
      </x:c>
      <x:c r="Q319" s="8" t="n">
        <x:f>K319-L319</x:f>
        <x:v>-6</x:v>
      </x:c>
      <x:c r="R319" s="9" t="n">
        <x:f>IF(AND(INDEX('Сводка'!$T$3:$T$397,U319)=0,INDEX('Сводка'!$T$3:$T$397,V319)=0),1,0)</x:f>
        <x:v>1</x:v>
      </x:c>
      <x:c r="S319" s="9" t="n">
        <x:f>IF(AND(R319=1,O319&lt;=$G$13),1,0)</x:f>
        <x:v>0</x:v>
      </x:c>
      <x:c r="T319" s="10" t="n">
        <x:f>EOMONTH(J319-'Сводка'!$B$11,-1)</x:f>
        <x:v>46142</x:v>
      </x:c>
      <x:c r="U319" s="4" t="n">
        <x:f>MATCH(J319,'Сводка'!$R$3:$R$397,0)</x:f>
        <x:v>330</x:v>
      </x:c>
      <x:c r="V319" s="4" t="n">
        <x:f>MATCH(J319-'Сводка'!$B$11,'Сводка'!$R$3:$R$397,0)</x:f>
        <x:v>329</x:v>
      </x:c>
      <x:c r="W319" s="4" t="n">
        <x:f>MATCH(T319,$J$388:$J$400,0)</x:f>
        <x:v>11</x:v>
      </x:c>
      <x:c r="X319" s="3"/>
      <x:c r="Y319" s="3"/>
      <x:c r="Z319" s="3"/>
    </x:row>
    <x:row r="320" ht="15" customHeight="1">
      <x:c r="A320" s="3"/>
      <x:c r="B320" s="3"/>
      <x:c r="C320" s="3"/>
      <x:c r="D320" s="3"/>
      <x:c r="E320" s="3"/>
      <x:c r="F320" s="3"/>
      <x:c r="G320" s="3"/>
      <x:c r="H320" s="3"/>
      <x:c r="I320" s="3"/>
      <x:c r="J320" s="10" t="n">
        <x:v>46171</x:v>
      </x:c>
      <x:c r="K320" s="8" t="n">
        <x:f>INDEX('Сводка'!$S$3:$S$397,U320)</x:f>
        <x:v>85</x:v>
      </x:c>
      <x:c r="L320" s="8" t="n">
        <x:f>INDEX('Сводка'!$S$3:$S$397,V320)</x:f>
        <x:v>95</x:v>
      </x:c>
      <x:c r="M320" s="8" t="n">
        <x:f>INDEX($K$388:$N$400,W320,1)*EXP(INDEX($K$388:$N$400,W320,2)*((J320-$T$405+1)/1000))</x:f>
        <x:v>163.7128739868354</x:v>
      </x:c>
      <x:c r="N320" s="8" t="n">
        <x:f>K320-M320</x:f>
        <x:v>-78.7128739868354</x:v>
      </x:c>
      <x:c r="O320" s="8" t="n">
        <x:f>ABS(N320)</x:f>
        <x:v>78.7128739868354</x:v>
      </x:c>
      <x:c r="P320" s="8" t="n">
        <x:f>N320^2</x:f>
        <x:v>6195.71653126743</x:v>
      </x:c>
      <x:c r="Q320" s="8" t="n">
        <x:f>K320-L320</x:f>
        <x:v>-10</x:v>
      </x:c>
      <x:c r="R320" s="9" t="n">
        <x:f>IF(AND(INDEX('Сводка'!$T$3:$T$397,U320)=0,INDEX('Сводка'!$T$3:$T$397,V320)=0),1,0)</x:f>
        <x:v>1</x:v>
      </x:c>
      <x:c r="S320" s="9" t="n">
        <x:f>IF(AND(R320=1,O320&lt;=$G$13),1,0)</x:f>
        <x:v>0</x:v>
      </x:c>
      <x:c r="T320" s="10" t="n">
        <x:f>EOMONTH(J320-'Сводка'!$B$11,-1)</x:f>
        <x:v>46142</x:v>
      </x:c>
      <x:c r="U320" s="4" t="n">
        <x:f>MATCH(J320,'Сводка'!$R$3:$R$397,0)</x:f>
        <x:v>331</x:v>
      </x:c>
      <x:c r="V320" s="4" t="n">
        <x:f>MATCH(J320-'Сводка'!$B$11,'Сводка'!$R$3:$R$397,0)</x:f>
        <x:v>330</x:v>
      </x:c>
      <x:c r="W320" s="4" t="n">
        <x:f>MATCH(T320,$J$388:$J$400,0)</x:f>
        <x:v>11</x:v>
      </x:c>
      <x:c r="X320" s="3"/>
      <x:c r="Y320" s="3"/>
      <x:c r="Z320" s="3"/>
    </x:row>
    <x:row r="321" ht="15" customHeight="1">
      <x:c r="A321" s="3"/>
      <x:c r="B321" s="3"/>
      <x:c r="C321" s="3"/>
      <x:c r="D321" s="3"/>
      <x:c r="E321" s="3"/>
      <x:c r="F321" s="3"/>
      <x:c r="G321" s="3"/>
      <x:c r="H321" s="3"/>
      <x:c r="I321" s="3"/>
      <x:c r="J321" s="10" t="n">
        <x:v>46172</x:v>
      </x:c>
      <x:c r="K321" s="8" t="n">
        <x:f>INDEX('Сводка'!$S$3:$S$397,U321)</x:f>
        <x:v>77</x:v>
      </x:c>
      <x:c r="L321" s="8" t="n">
        <x:f>INDEX('Сводка'!$S$3:$S$397,V321)</x:f>
        <x:v>85</x:v>
      </x:c>
      <x:c r="M321" s="8" t="n">
        <x:f>INDEX($K$388:$N$400,W321,1)*EXP(INDEX($K$388:$N$400,W321,2)*((J321-$T$405+1)/1000))</x:f>
        <x:v>163.74801558994164</x:v>
      </x:c>
      <x:c r="N321" s="8" t="n">
        <x:f>K321-M321</x:f>
        <x:v>-86.74801558994164</x:v>
      </x:c>
      <x:c r="O321" s="8" t="n">
        <x:f>ABS(N321)</x:f>
        <x:v>86.74801558994164</x:v>
      </x:c>
      <x:c r="P321" s="8" t="n">
        <x:f>N321^2</x:f>
        <x:v>7525.218208792759</x:v>
      </x:c>
      <x:c r="Q321" s="8" t="n">
        <x:f>K321-L321</x:f>
        <x:v>-8</x:v>
      </x:c>
      <x:c r="R321" s="9" t="n">
        <x:f>IF(AND(INDEX('Сводка'!$T$3:$T$397,U321)=0,INDEX('Сводка'!$T$3:$T$397,V321)=0),1,0)</x:f>
        <x:v>1</x:v>
      </x:c>
      <x:c r="S321" s="9" t="n">
        <x:f>IF(AND(R321=1,O321&lt;=$G$13),1,0)</x:f>
        <x:v>0</x:v>
      </x:c>
      <x:c r="T321" s="10" t="n">
        <x:f>EOMONTH(J321-'Сводка'!$B$11,-1)</x:f>
        <x:v>46142</x:v>
      </x:c>
      <x:c r="U321" s="4" t="n">
        <x:f>MATCH(J321,'Сводка'!$R$3:$R$397,0)</x:f>
        <x:v>332</x:v>
      </x:c>
      <x:c r="V321" s="4" t="n">
        <x:f>MATCH(J321-'Сводка'!$B$11,'Сводка'!$R$3:$R$397,0)</x:f>
        <x:v>331</x:v>
      </x:c>
      <x:c r="W321" s="4" t="n">
        <x:f>MATCH(T321,$J$388:$J$400,0)</x:f>
        <x:v>11</x:v>
      </x:c>
      <x:c r="X321" s="3"/>
      <x:c r="Y321" s="3"/>
      <x:c r="Z321" s="3"/>
    </x:row>
    <x:row r="322" ht="15" customHeight="1">
      <x:c r="A322" s="3"/>
      <x:c r="B322" s="3"/>
      <x:c r="C322" s="3"/>
      <x:c r="D322" s="3"/>
      <x:c r="E322" s="3"/>
      <x:c r="F322" s="3"/>
      <x:c r="G322" s="3"/>
      <x:c r="H322" s="3"/>
      <x:c r="I322" s="3"/>
      <x:c r="J322" s="10" t="n">
        <x:v>46173</x:v>
      </x:c>
      <x:c r="K322" s="8" t="n">
        <x:f>INDEX('Сводка'!$S$3:$S$397,U322)</x:f>
        <x:v>70</x:v>
      </x:c>
      <x:c r="L322" s="8" t="n">
        <x:f>INDEX('Сводка'!$S$3:$S$397,V322)</x:f>
        <x:v>77</x:v>
      </x:c>
      <x:c r="M322" s="8" t="n">
        <x:f>INDEX($K$388:$N$400,W322,1)*EXP(INDEX($K$388:$N$400,W322,2)*((J322-$T$405+1)/1000))</x:f>
        <x:v>163.78316473632916</x:v>
      </x:c>
      <x:c r="N322" s="8" t="n">
        <x:f>K322-M322</x:f>
        <x:v>-93.78316473632916</x:v>
      </x:c>
      <x:c r="O322" s="8" t="n">
        <x:f>ABS(N322)</x:f>
        <x:v>93.78316473632916</x:v>
      </x:c>
      <x:c r="P322" s="8" t="n">
        <x:f>N322^2</x:f>
        <x:v>8795.281987961453</x:v>
      </x:c>
      <x:c r="Q322" s="8" t="n">
        <x:f>K322-L322</x:f>
        <x:v>-7</x:v>
      </x:c>
      <x:c r="R322" s="9" t="n">
        <x:f>IF(AND(INDEX('Сводка'!$T$3:$T$397,U322)=0,INDEX('Сводка'!$T$3:$T$397,V322)=0),1,0)</x:f>
        <x:v>1</x:v>
      </x:c>
      <x:c r="S322" s="9" t="n">
        <x:f>IF(AND(R322=1,O322&lt;=$G$13),1,0)</x:f>
        <x:v>0</x:v>
      </x:c>
      <x:c r="T322" s="10" t="n">
        <x:f>EOMONTH(J322-'Сводка'!$B$11,-1)</x:f>
        <x:v>46142</x:v>
      </x:c>
      <x:c r="U322" s="4" t="n">
        <x:f>MATCH(J322,'Сводка'!$R$3:$R$397,0)</x:f>
        <x:v>333</x:v>
      </x:c>
      <x:c r="V322" s="4" t="n">
        <x:f>MATCH(J322-'Сводка'!$B$11,'Сводка'!$R$3:$R$397,0)</x:f>
        <x:v>332</x:v>
      </x:c>
      <x:c r="W322" s="4" t="n">
        <x:f>MATCH(T322,$J$388:$J$400,0)</x:f>
        <x:v>11</x:v>
      </x:c>
      <x:c r="X322" s="3"/>
      <x:c r="Y322" s="3"/>
      <x:c r="Z322" s="3"/>
    </x:row>
    <x:row r="323" ht="15" customHeight="1">
      <x:c r="A323" s="3"/>
      <x:c r="B323" s="3"/>
      <x:c r="C323" s="3"/>
      <x:c r="D323" s="3"/>
      <x:c r="E323" s="3"/>
      <x:c r="F323" s="3"/>
      <x:c r="G323" s="3"/>
      <x:c r="H323" s="3"/>
      <x:c r="I323" s="3"/>
      <x:c r="J323" s="10" t="n">
        <x:v>46174</x:v>
      </x:c>
      <x:c r="K323" s="8" t="n">
        <x:f>INDEX('Сводка'!$S$3:$S$397,U323)</x:f>
        <x:v>64</x:v>
      </x:c>
      <x:c r="L323" s="8" t="n">
        <x:f>INDEX('Сводка'!$S$3:$S$397,V323)</x:f>
        <x:v>70</x:v>
      </x:c>
      <x:c r="M323" s="8" t="n">
        <x:f>INDEX($K$388:$N$400,W323,1)*EXP(INDEX($K$388:$N$400,W323,2)*((J323-$T$405+1)/1000))</x:f>
        <x:v>163.8183214276172</x:v>
      </x:c>
      <x:c r="N323" s="8" t="n">
        <x:f>K323-M323</x:f>
        <x:v>-99.8183214276172</x:v>
      </x:c>
      <x:c r="O323" s="8" t="n">
        <x:f>ABS(N323)</x:f>
        <x:v>99.8183214276172</x:v>
      </x:c>
      <x:c r="P323" s="8" t="n">
        <x:f>N323^2</x:f>
        <x:v>9963.697292627105</x:v>
      </x:c>
      <x:c r="Q323" s="8" t="n">
        <x:f>K323-L323</x:f>
        <x:v>-6</x:v>
      </x:c>
      <x:c r="R323" s="9" t="n">
        <x:f>IF(AND(INDEX('Сводка'!$T$3:$T$397,U323)=0,INDEX('Сводка'!$T$3:$T$397,V323)=0),1,0)</x:f>
        <x:v>1</x:v>
      </x:c>
      <x:c r="S323" s="9" t="n">
        <x:f>IF(AND(R323=1,O323&lt;=$G$13),1,0)</x:f>
        <x:v>0</x:v>
      </x:c>
      <x:c r="T323" s="10" t="n">
        <x:f>EOMONTH(J323-'Сводка'!$B$11,-1)</x:f>
        <x:v>46142</x:v>
      </x:c>
      <x:c r="U323" s="4" t="n">
        <x:f>MATCH(J323,'Сводка'!$R$3:$R$397,0)</x:f>
        <x:v>334</x:v>
      </x:c>
      <x:c r="V323" s="4" t="n">
        <x:f>MATCH(J323-'Сводка'!$B$11,'Сводка'!$R$3:$R$397,0)</x:f>
        <x:v>333</x:v>
      </x:c>
      <x:c r="W323" s="4" t="n">
        <x:f>MATCH(T323,$J$388:$J$400,0)</x:f>
        <x:v>11</x:v>
      </x:c>
      <x:c r="X323" s="3"/>
      <x:c r="Y323" s="3"/>
      <x:c r="Z323" s="3"/>
    </x:row>
    <x:row r="324" ht="15" customHeight="1">
      <x:c r="A324" s="3"/>
      <x:c r="B324" s="3"/>
      <x:c r="C324" s="3"/>
      <x:c r="D324" s="3"/>
      <x:c r="E324" s="3"/>
      <x:c r="F324" s="3"/>
      <x:c r="G324" s="3"/>
      <x:c r="H324" s="3"/>
      <x:c r="I324" s="3"/>
      <x:c r="J324" s="10" t="n">
        <x:v>46175</x:v>
      </x:c>
      <x:c r="K324" s="8" t="n">
        <x:f>INDEX('Сводка'!$S$3:$S$397,U324)</x:f>
        <x:v>62</x:v>
      </x:c>
      <x:c r="L324" s="8" t="n">
        <x:f>INDEX('Сводка'!$S$3:$S$397,V324)</x:f>
        <x:v>64</x:v>
      </x:c>
      <x:c r="M324" s="8" t="n">
        <x:f>INDEX($K$388:$N$400,W324,1)*EXP(INDEX($K$388:$N$400,W324,2)*((J324-$T$405+1)/1000))</x:f>
        <x:v>162.5583402312739</x:v>
      </x:c>
      <x:c r="N324" s="8" t="n">
        <x:f>K324-M324</x:f>
        <x:v>-100.55834023127389</x:v>
      </x:c>
      <x:c r="O324" s="8" t="n">
        <x:f>ABS(N324)</x:f>
        <x:v>100.55834023127389</x:v>
      </x:c>
      <x:c r="P324" s="8" t="n">
        <x:f>N324^2</x:f>
        <x:v>10111.979790068637</x:v>
      </x:c>
      <x:c r="Q324" s="8" t="n">
        <x:f>K324-L324</x:f>
        <x:v>-2</x:v>
      </x:c>
      <x:c r="R324" s="9" t="n">
        <x:f>IF(AND(INDEX('Сводка'!$T$3:$T$397,U324)=0,INDEX('Сводка'!$T$3:$T$397,V324)=0),1,0)</x:f>
        <x:v>1</x:v>
      </x:c>
      <x:c r="S324" s="9" t="n">
        <x:f>IF(AND(R324=1,O324&lt;=$G$13),1,0)</x:f>
        <x:v>0</x:v>
      </x:c>
      <x:c r="T324" s="10" t="n">
        <x:f>EOMONTH(J324-'Сводка'!$B$11,-1)</x:f>
        <x:v>46173</x:v>
      </x:c>
      <x:c r="U324" s="4" t="n">
        <x:f>MATCH(J324,'Сводка'!$R$3:$R$397,0)</x:f>
        <x:v>335</x:v>
      </x:c>
      <x:c r="V324" s="4" t="n">
        <x:f>MATCH(J324-'Сводка'!$B$11,'Сводка'!$R$3:$R$397,0)</x:f>
        <x:v>334</x:v>
      </x:c>
      <x:c r="W324" s="4" t="n">
        <x:f>MATCH(T324,$J$388:$J$400,0)</x:f>
        <x:v>12</x:v>
      </x:c>
      <x:c r="X324" s="3"/>
      <x:c r="Y324" s="3"/>
      <x:c r="Z324" s="3"/>
    </x:row>
    <x:row r="325" ht="15" customHeight="1">
      <x:c r="A325" s="3"/>
      <x:c r="B325" s="3"/>
      <x:c r="C325" s="3"/>
      <x:c r="D325" s="3"/>
      <x:c r="E325" s="3"/>
      <x:c r="F325" s="3"/>
      <x:c r="G325" s="3"/>
      <x:c r="H325" s="3"/>
      <x:c r="I325" s="3"/>
      <x:c r="J325" s="10" t="n">
        <x:v>46176</x:v>
      </x:c>
      <x:c r="K325" s="8" t="n">
        <x:f>INDEX('Сводка'!$S$3:$S$397,U325)</x:f>
        <x:v>61</x:v>
      </x:c>
      <x:c r="L325" s="8" t="n">
        <x:f>INDEX('Сводка'!$S$3:$S$397,V325)</x:f>
        <x:v>62</x:v>
      </x:c>
      <x:c r="M325" s="8" t="n">
        <x:f>INDEX($K$388:$N$400,W325,1)*EXP(INDEX($K$388:$N$400,W325,2)*((J325-$T$405+1)/1000))</x:f>
        <x:v>162.59297066522154</x:v>
      </x:c>
      <x:c r="N325" s="8" t="n">
        <x:f>K325-M325</x:f>
        <x:v>-101.59297066522154</x:v>
      </x:c>
      <x:c r="O325" s="8" t="n">
        <x:f>ABS(N325)</x:f>
        <x:v>101.59297066522154</x:v>
      </x:c>
      <x:c r="P325" s="8" t="n">
        <x:f>N325^2</x:f>
        <x:v>10321.131688584564</x:v>
      </x:c>
      <x:c r="Q325" s="8" t="n">
        <x:f>K325-L325</x:f>
        <x:v>-1</x:v>
      </x:c>
      <x:c r="R325" s="9" t="n">
        <x:f>IF(AND(INDEX('Сводка'!$T$3:$T$397,U325)=0,INDEX('Сводка'!$T$3:$T$397,V325)=0),1,0)</x:f>
        <x:v>1</x:v>
      </x:c>
      <x:c r="S325" s="9" t="n">
        <x:f>IF(AND(R325=1,O325&lt;=$G$13),1,0)</x:f>
        <x:v>0</x:v>
      </x:c>
      <x:c r="T325" s="10" t="n">
        <x:f>EOMONTH(J325-'Сводка'!$B$11,-1)</x:f>
        <x:v>46173</x:v>
      </x:c>
      <x:c r="U325" s="4" t="n">
        <x:f>MATCH(J325,'Сводка'!$R$3:$R$397,0)</x:f>
        <x:v>336</x:v>
      </x:c>
      <x:c r="V325" s="4" t="n">
        <x:f>MATCH(J325-'Сводка'!$B$11,'Сводка'!$R$3:$R$397,0)</x:f>
        <x:v>335</x:v>
      </x:c>
      <x:c r="W325" s="4" t="n">
        <x:f>MATCH(T325,$J$388:$J$400,0)</x:f>
        <x:v>12</x:v>
      </x:c>
      <x:c r="X325" s="3"/>
      <x:c r="Y325" s="3"/>
      <x:c r="Z325" s="3"/>
    </x:row>
    <x:row r="326" ht="15" customHeight="1">
      <x:c r="A326" s="3"/>
      <x:c r="B326" s="3"/>
      <x:c r="C326" s="3"/>
      <x:c r="D326" s="3"/>
      <x:c r="E326" s="3"/>
      <x:c r="F326" s="3"/>
      <x:c r="G326" s="3"/>
      <x:c r="H326" s="3"/>
      <x:c r="I326" s="3"/>
      <x:c r="J326" s="10" t="n">
        <x:v>46177</x:v>
      </x:c>
      <x:c r="K326" s="8" t="n">
        <x:f>INDEX('Сводка'!$S$3:$S$397,U326)</x:f>
        <x:v>75</x:v>
      </x:c>
      <x:c r="L326" s="8" t="n">
        <x:f>INDEX('Сводка'!$S$3:$S$397,V326)</x:f>
        <x:v>61</x:v>
      </x:c>
      <x:c r="M326" s="8" t="n">
        <x:f>INDEX($K$388:$N$400,W326,1)*EXP(INDEX($K$388:$N$400,W326,2)*((J326-$T$405+1)/1000))</x:f>
        <x:v>162.6276084766249</x:v>
      </x:c>
      <x:c r="N326" s="8" t="n">
        <x:f>K326-M326</x:f>
        <x:v>-87.62760847662491</x:v>
      </x:c>
      <x:c r="O326" s="8" t="n">
        <x:f>ABS(N326)</x:f>
        <x:v>87.62760847662491</x:v>
      </x:c>
      <x:c r="P326" s="8" t="n">
        <x:f>N326^2</x:f>
        <x:v>7678.597767332666</x:v>
      </x:c>
      <x:c r="Q326" s="8" t="n">
        <x:f>K326-L326</x:f>
        <x:v>14</x:v>
      </x:c>
      <x:c r="R326" s="9" t="n">
        <x:f>IF(AND(INDEX('Сводка'!$T$3:$T$397,U326)=0,INDEX('Сводка'!$T$3:$T$397,V326)=0),1,0)</x:f>
        <x:v>1</x:v>
      </x:c>
      <x:c r="S326" s="9" t="n">
        <x:f>IF(AND(R326=1,O326&lt;=$G$13),1,0)</x:f>
        <x:v>0</x:v>
      </x:c>
      <x:c r="T326" s="10" t="n">
        <x:f>EOMONTH(J326-'Сводка'!$B$11,-1)</x:f>
        <x:v>46173</x:v>
      </x:c>
      <x:c r="U326" s="4" t="n">
        <x:f>MATCH(J326,'Сводка'!$R$3:$R$397,0)</x:f>
        <x:v>337</x:v>
      </x:c>
      <x:c r="V326" s="4" t="n">
        <x:f>MATCH(J326-'Сводка'!$B$11,'Сводка'!$R$3:$R$397,0)</x:f>
        <x:v>336</x:v>
      </x:c>
      <x:c r="W326" s="4" t="n">
        <x:f>MATCH(T326,$J$388:$J$400,0)</x:f>
        <x:v>12</x:v>
      </x:c>
      <x:c r="X326" s="3"/>
      <x:c r="Y326" s="3"/>
      <x:c r="Z326" s="3"/>
    </x:row>
    <x:row r="327" ht="15" customHeight="1">
      <x:c r="A327" s="3"/>
      <x:c r="B327" s="3"/>
      <x:c r="C327" s="3"/>
      <x:c r="D327" s="3"/>
      <x:c r="E327" s="3"/>
      <x:c r="F327" s="3"/>
      <x:c r="G327" s="3"/>
      <x:c r="H327" s="3"/>
      <x:c r="I327" s="3"/>
      <x:c r="J327" s="10" t="n">
        <x:v>46178</x:v>
      </x:c>
      <x:c r="K327" s="8" t="n">
        <x:f>INDEX('Сводка'!$S$3:$S$397,U327)</x:f>
        <x:v>94</x:v>
      </x:c>
      <x:c r="L327" s="8" t="n">
        <x:f>INDEX('Сводка'!$S$3:$S$397,V327)</x:f>
        <x:v>75</x:v>
      </x:c>
      <x:c r="M327" s="8" t="n">
        <x:f>INDEX($K$388:$N$400,W327,1)*EXP(INDEX($K$388:$N$400,W327,2)*((J327-$T$405+1)/1000))</x:f>
        <x:v>162.66225366705567</x:v>
      </x:c>
      <x:c r="N327" s="8" t="n">
        <x:f>K327-M327</x:f>
        <x:v>-68.66225366705567</x:v>
      </x:c>
      <x:c r="O327" s="8" t="n">
        <x:f>ABS(N327)</x:f>
        <x:v>68.66225366705567</x:v>
      </x:c>
      <x:c r="P327" s="8" t="n">
        <x:f>N327^2</x:f>
        <x:v>4714.505078639099</x:v>
      </x:c>
      <x:c r="Q327" s="8" t="n">
        <x:f>K327-L327</x:f>
        <x:v>19</x:v>
      </x:c>
      <x:c r="R327" s="9" t="n">
        <x:f>IF(AND(INDEX('Сводка'!$T$3:$T$397,U327)=0,INDEX('Сводка'!$T$3:$T$397,V327)=0),1,0)</x:f>
        <x:v>1</x:v>
      </x:c>
      <x:c r="S327" s="9" t="n">
        <x:f>IF(AND(R327=1,O327&lt;=$G$13),1,0)</x:f>
        <x:v>0</x:v>
      </x:c>
      <x:c r="T327" s="10" t="n">
        <x:f>EOMONTH(J327-'Сводка'!$B$11,-1)</x:f>
        <x:v>46173</x:v>
      </x:c>
      <x:c r="U327" s="4" t="n">
        <x:f>MATCH(J327,'Сводка'!$R$3:$R$397,0)</x:f>
        <x:v>338</x:v>
      </x:c>
      <x:c r="V327" s="4" t="n">
        <x:f>MATCH(J327-'Сводка'!$B$11,'Сводка'!$R$3:$R$397,0)</x:f>
        <x:v>337</x:v>
      </x:c>
      <x:c r="W327" s="4" t="n">
        <x:f>MATCH(T327,$J$388:$J$400,0)</x:f>
        <x:v>12</x:v>
      </x:c>
      <x:c r="X327" s="3"/>
      <x:c r="Y327" s="3"/>
      <x:c r="Z327" s="3"/>
    </x:row>
    <x:row r="328" ht="15" customHeight="1">
      <x:c r="A328" s="3"/>
      <x:c r="B328" s="3"/>
      <x:c r="C328" s="3"/>
      <x:c r="D328" s="3"/>
      <x:c r="E328" s="3"/>
      <x:c r="F328" s="3"/>
      <x:c r="G328" s="3"/>
      <x:c r="H328" s="3"/>
      <x:c r="I328" s="3"/>
      <x:c r="J328" s="10" t="n">
        <x:v>46179</x:v>
      </x:c>
      <x:c r="K328" s="8" t="n">
        <x:f>INDEX('Сводка'!$S$3:$S$397,U328)</x:f>
        <x:v>116</x:v>
      </x:c>
      <x:c r="L328" s="8" t="n">
        <x:f>INDEX('Сводка'!$S$3:$S$397,V328)</x:f>
        <x:v>94</x:v>
      </x:c>
      <x:c r="M328" s="8" t="n">
        <x:f>INDEX($K$388:$N$400,W328,1)*EXP(INDEX($K$388:$N$400,W328,2)*((J328-$T$405+1)/1000))</x:f>
        <x:v>162.69690623808572</x:v>
      </x:c>
      <x:c r="N328" s="8" t="n">
        <x:f>K328-M328</x:f>
        <x:v>-46.69690623808572</x:v>
      </x:c>
      <x:c r="O328" s="8" t="n">
        <x:f>ABS(N328)</x:f>
        <x:v>46.69690623808572</x:v>
      </x:c>
      <x:c r="P328" s="8" t="n">
        <x:f>N328^2</x:f>
        <x:v>2180.601052208569</x:v>
      </x:c>
      <x:c r="Q328" s="8" t="n">
        <x:f>K328-L328</x:f>
        <x:v>22</x:v>
      </x:c>
      <x:c r="R328" s="9" t="n">
        <x:f>IF(AND(INDEX('Сводка'!$T$3:$T$397,U328)=0,INDEX('Сводка'!$T$3:$T$397,V328)=0),1,0)</x:f>
        <x:v>1</x:v>
      </x:c>
      <x:c r="S328" s="9" t="n">
        <x:f>IF(AND(R328=1,O328&lt;=$G$13),1,0)</x:f>
        <x:v>0</x:v>
      </x:c>
      <x:c r="T328" s="10" t="n">
        <x:f>EOMONTH(J328-'Сводка'!$B$11,-1)</x:f>
        <x:v>46173</x:v>
      </x:c>
      <x:c r="U328" s="4" t="n">
        <x:f>MATCH(J328,'Сводка'!$R$3:$R$397,0)</x:f>
        <x:v>339</x:v>
      </x:c>
      <x:c r="V328" s="4" t="n">
        <x:f>MATCH(J328-'Сводка'!$B$11,'Сводка'!$R$3:$R$397,0)</x:f>
        <x:v>338</x:v>
      </x:c>
      <x:c r="W328" s="4" t="n">
        <x:f>MATCH(T328,$J$388:$J$400,0)</x:f>
        <x:v>12</x:v>
      </x:c>
      <x:c r="X328" s="3"/>
      <x:c r="Y328" s="3"/>
      <x:c r="Z328" s="3"/>
    </x:row>
    <x:row r="329" ht="15" customHeight="1">
      <x:c r="A329" s="3"/>
      <x:c r="B329" s="3"/>
      <x:c r="C329" s="3"/>
      <x:c r="D329" s="3"/>
      <x:c r="E329" s="3"/>
      <x:c r="F329" s="3"/>
      <x:c r="G329" s="3"/>
      <x:c r="H329" s="3"/>
      <x:c r="I329" s="3"/>
      <x:c r="J329" s="10" t="n">
        <x:v>46180</x:v>
      </x:c>
      <x:c r="K329" s="8" t="n">
        <x:f>INDEX('Сводка'!$S$3:$S$397,U329)</x:f>
        <x:v>128</x:v>
      </x:c>
      <x:c r="L329" s="8" t="n">
        <x:f>INDEX('Сводка'!$S$3:$S$397,V329)</x:f>
        <x:v>116</x:v>
      </x:c>
      <x:c r="M329" s="8" t="n">
        <x:f>INDEX($K$388:$N$400,W329,1)*EXP(INDEX($K$388:$N$400,W329,2)*((J329-$T$405+1)/1000))</x:f>
        <x:v>162.73156619128738</x:v>
      </x:c>
      <x:c r="N329" s="8" t="n">
        <x:f>K329-M329</x:f>
        <x:v>-34.731566191287385</x:v>
      </x:c>
      <x:c r="O329" s="8" t="n">
        <x:f>ABS(N329)</x:f>
        <x:v>34.731566191287385</x:v>
      </x:c>
      <x:c r="P329" s="8" t="n">
        <x:f>N329^2</x:f>
        <x:v>1206.2816900997768</x:v>
      </x:c>
      <x:c r="Q329" s="8" t="n">
        <x:f>K329-L329</x:f>
        <x:v>12</x:v>
      </x:c>
      <x:c r="R329" s="9" t="n">
        <x:f>IF(AND(INDEX('Сводка'!$T$3:$T$397,U329)=0,INDEX('Сводка'!$T$3:$T$397,V329)=0),1,0)</x:f>
        <x:v>1</x:v>
      </x:c>
      <x:c r="S329" s="9" t="n">
        <x:f>IF(AND(R329=1,O329&lt;=$G$13),1,0)</x:f>
        <x:v>0</x:v>
      </x:c>
      <x:c r="T329" s="10" t="n">
        <x:f>EOMONTH(J329-'Сводка'!$B$11,-1)</x:f>
        <x:v>46173</x:v>
      </x:c>
      <x:c r="U329" s="4" t="n">
        <x:f>MATCH(J329,'Сводка'!$R$3:$R$397,0)</x:f>
        <x:v>340</x:v>
      </x:c>
      <x:c r="V329" s="4" t="n">
        <x:f>MATCH(J329-'Сводка'!$B$11,'Сводка'!$R$3:$R$397,0)</x:f>
        <x:v>339</x:v>
      </x:c>
      <x:c r="W329" s="4" t="n">
        <x:f>MATCH(T329,$J$388:$J$400,0)</x:f>
        <x:v>12</x:v>
      </x:c>
      <x:c r="X329" s="3"/>
      <x:c r="Y329" s="3"/>
      <x:c r="Z329" s="3"/>
    </x:row>
    <x:row r="330" ht="15" customHeight="1">
      <x:c r="A330" s="3"/>
      <x:c r="B330" s="3"/>
      <x:c r="C330" s="3"/>
      <x:c r="D330" s="3"/>
      <x:c r="E330" s="3"/>
      <x:c r="F330" s="3"/>
      <x:c r="G330" s="3"/>
      <x:c r="H330" s="3"/>
      <x:c r="I330" s="3"/>
      <x:c r="J330" s="10" t="n">
        <x:v>46181</x:v>
      </x:c>
      <x:c r="K330" s="8" t="n">
        <x:f>INDEX('Сводка'!$S$3:$S$397,U330)</x:f>
        <x:v>132</x:v>
      </x:c>
      <x:c r="L330" s="8" t="n">
        <x:f>INDEX('Сводка'!$S$3:$S$397,V330)</x:f>
        <x:v>128</x:v>
      </x:c>
      <x:c r="M330" s="8" t="n">
        <x:f>INDEX($K$388:$N$400,W330,1)*EXP(INDEX($K$388:$N$400,W330,2)*((J330-$T$405+1)/1000))</x:f>
        <x:v>162.7662335282335</x:v>
      </x:c>
      <x:c r="N330" s="8" t="n">
        <x:f>K330-M330</x:f>
        <x:v>-30.7662335282335</x:v>
      </x:c>
      <x:c r="O330" s="8" t="n">
        <x:f>ABS(N330)</x:f>
        <x:v>30.7662335282335</x:v>
      </x:c>
      <x:c r="P330" s="8" t="n">
        <x:f>N330^2</x:f>
        <x:v>946.5611255137991</x:v>
      </x:c>
      <x:c r="Q330" s="8" t="n">
        <x:f>K330-L330</x:f>
        <x:v>4</x:v>
      </x:c>
      <x:c r="R330" s="9" t="n">
        <x:f>IF(AND(INDEX('Сводка'!$T$3:$T$397,U330)=0,INDEX('Сводка'!$T$3:$T$397,V330)=0),1,0)</x:f>
        <x:v>1</x:v>
      </x:c>
      <x:c r="S330" s="9" t="n">
        <x:f>IF(AND(R330=1,O330&lt;=$G$13),1,0)</x:f>
        <x:v>0</x:v>
      </x:c>
      <x:c r="T330" s="10" t="n">
        <x:f>EOMONTH(J330-'Сводка'!$B$11,-1)</x:f>
        <x:v>46173</x:v>
      </x:c>
      <x:c r="U330" s="4" t="n">
        <x:f>MATCH(J330,'Сводка'!$R$3:$R$397,0)</x:f>
        <x:v>341</x:v>
      </x:c>
      <x:c r="V330" s="4" t="n">
        <x:f>MATCH(J330-'Сводка'!$B$11,'Сводка'!$R$3:$R$397,0)</x:f>
        <x:v>340</x:v>
      </x:c>
      <x:c r="W330" s="4" t="n">
        <x:f>MATCH(T330,$J$388:$J$400,0)</x:f>
        <x:v>12</x:v>
      </x:c>
      <x:c r="X330" s="3"/>
      <x:c r="Y330" s="3"/>
      <x:c r="Z330" s="3"/>
    </x:row>
    <x:row r="331" ht="15" customHeight="1">
      <x:c r="A331" s="3"/>
      <x:c r="B331" s="3"/>
      <x:c r="C331" s="3"/>
      <x:c r="D331" s="3"/>
      <x:c r="E331" s="3"/>
      <x:c r="F331" s="3"/>
      <x:c r="G331" s="3"/>
      <x:c r="H331" s="3"/>
      <x:c r="I331" s="3"/>
      <x:c r="J331" s="10" t="n">
        <x:v>46182</x:v>
      </x:c>
      <x:c r="K331" s="8" t="n">
        <x:f>INDEX('Сводка'!$S$3:$S$397,U331)</x:f>
        <x:v>131</x:v>
      </x:c>
      <x:c r="L331" s="8" t="n">
        <x:f>INDEX('Сводка'!$S$3:$S$397,V331)</x:f>
        <x:v>132</x:v>
      </x:c>
      <x:c r="M331" s="8" t="n">
        <x:f>INDEX($K$388:$N$400,W331,1)*EXP(INDEX($K$388:$N$400,W331,2)*((J331-$T$405+1)/1000))</x:f>
        <x:v>162.80090825049683</x:v>
      </x:c>
      <x:c r="N331" s="8" t="n">
        <x:f>K331-M331</x:f>
        <x:v>-31.800908250496832</x:v>
      </x:c>
      <x:c r="O331" s="8" t="n">
        <x:f>ABS(N331)</x:f>
        <x:v>31.800908250496832</x:v>
      </x:c>
      <x:c r="P331" s="8" t="n">
        <x:f>N331^2</x:f>
        <x:v>1011.2977655565174</x:v>
      </x:c>
      <x:c r="Q331" s="8" t="n">
        <x:f>K331-L331</x:f>
        <x:v>-1</x:v>
      </x:c>
      <x:c r="R331" s="9" t="n">
        <x:f>IF(AND(INDEX('Сводка'!$T$3:$T$397,U331)=0,INDEX('Сводка'!$T$3:$T$397,V331)=0),1,0)</x:f>
        <x:v>1</x:v>
      </x:c>
      <x:c r="S331" s="9" t="n">
        <x:f>IF(AND(R331=1,O331&lt;=$G$13),1,0)</x:f>
        <x:v>0</x:v>
      </x:c>
      <x:c r="T331" s="10" t="n">
        <x:f>EOMONTH(J331-'Сводка'!$B$11,-1)</x:f>
        <x:v>46173</x:v>
      </x:c>
      <x:c r="U331" s="4" t="n">
        <x:f>MATCH(J331,'Сводка'!$R$3:$R$397,0)</x:f>
        <x:v>342</x:v>
      </x:c>
      <x:c r="V331" s="4" t="n">
        <x:f>MATCH(J331-'Сводка'!$B$11,'Сводка'!$R$3:$R$397,0)</x:f>
        <x:v>341</x:v>
      </x:c>
      <x:c r="W331" s="4" t="n">
        <x:f>MATCH(T331,$J$388:$J$400,0)</x:f>
        <x:v>12</x:v>
      </x:c>
      <x:c r="X331" s="3"/>
      <x:c r="Y331" s="3"/>
      <x:c r="Z331" s="3"/>
    </x:row>
    <x:row r="332" ht="15" customHeight="1">
      <x:c r="A332" s="3"/>
      <x:c r="B332" s="3"/>
      <x:c r="C332" s="3"/>
      <x:c r="D332" s="3"/>
      <x:c r="E332" s="3"/>
      <x:c r="F332" s="3"/>
      <x:c r="G332" s="3"/>
      <x:c r="H332" s="3"/>
      <x:c r="I332" s="3"/>
      <x:c r="J332" s="10" t="n">
        <x:v>46183</x:v>
      </x:c>
      <x:c r="K332" s="8" t="n">
        <x:f>INDEX('Сводка'!$S$3:$S$397,U332)</x:f>
        <x:v>128</x:v>
      </x:c>
      <x:c r="L332" s="8" t="n">
        <x:f>INDEX('Сводка'!$S$3:$S$397,V332)</x:f>
        <x:v>131</x:v>
      </x:c>
      <x:c r="M332" s="8" t="n">
        <x:f>INDEX($K$388:$N$400,W332,1)*EXP(INDEX($K$388:$N$400,W332,2)*((J332-$T$405+1)/1000))</x:f>
        <x:v>162.83559035965072</x:v>
      </x:c>
      <x:c r="N332" s="8" t="n">
        <x:f>K332-M332</x:f>
        <x:v>-34.83559035965072</x:v>
      </x:c>
      <x:c r="O332" s="8" t="n">
        <x:f>ABS(N332)</x:f>
        <x:v>34.83559035965072</x:v>
      </x:c>
      <x:c r="P332" s="8" t="n">
        <x:f>N332^2</x:f>
        <x:v>1213.5183557053904</x:v>
      </x:c>
      <x:c r="Q332" s="8" t="n">
        <x:f>K332-L332</x:f>
        <x:v>-3</x:v>
      </x:c>
      <x:c r="R332" s="9" t="n">
        <x:f>IF(AND(INDEX('Сводка'!$T$3:$T$397,U332)=0,INDEX('Сводка'!$T$3:$T$397,V332)=0),1,0)</x:f>
        <x:v>1</x:v>
      </x:c>
      <x:c r="S332" s="9" t="n">
        <x:f>IF(AND(R332=1,O332&lt;=$G$13),1,0)</x:f>
        <x:v>0</x:v>
      </x:c>
      <x:c r="T332" s="10" t="n">
        <x:f>EOMONTH(J332-'Сводка'!$B$11,-1)</x:f>
        <x:v>46173</x:v>
      </x:c>
      <x:c r="U332" s="4" t="n">
        <x:f>MATCH(J332,'Сводка'!$R$3:$R$397,0)</x:f>
        <x:v>343</x:v>
      </x:c>
      <x:c r="V332" s="4" t="n">
        <x:f>MATCH(J332-'Сводка'!$B$11,'Сводка'!$R$3:$R$397,0)</x:f>
        <x:v>342</x:v>
      </x:c>
      <x:c r="W332" s="4" t="n">
        <x:f>MATCH(T332,$J$388:$J$400,0)</x:f>
        <x:v>12</x:v>
      </x:c>
      <x:c r="X332" s="3"/>
      <x:c r="Y332" s="3"/>
      <x:c r="Z332" s="3"/>
    </x:row>
    <x:row r="333" ht="15" customHeight="1">
      <x:c r="A333" s="3"/>
      <x:c r="B333" s="3"/>
      <x:c r="C333" s="3"/>
      <x:c r="D333" s="3"/>
      <x:c r="E333" s="3"/>
      <x:c r="F333" s="3"/>
      <x:c r="G333" s="3"/>
      <x:c r="H333" s="3"/>
      <x:c r="I333" s="3"/>
      <x:c r="J333" s="10" t="n">
        <x:v>46184</x:v>
      </x:c>
      <x:c r="K333" s="8" t="n">
        <x:f>INDEX('Сводка'!$S$3:$S$397,U333)</x:f>
        <x:v>128</x:v>
      </x:c>
      <x:c r="L333" s="8" t="n">
        <x:f>INDEX('Сводка'!$S$3:$S$397,V333)</x:f>
        <x:v>128</x:v>
      </x:c>
      <x:c r="M333" s="8" t="n">
        <x:f>INDEX($K$388:$N$400,W333,1)*EXP(INDEX($K$388:$N$400,W333,2)*((J333-$T$405+1)/1000))</x:f>
        <x:v>162.87027985726903</x:v>
      </x:c>
      <x:c r="N333" s="8" t="n">
        <x:f>K333-M333</x:f>
        <x:v>-34.870279857269026</x:v>
      </x:c>
      <x:c r="O333" s="8" t="n">
        <x:f>ABS(N333)</x:f>
        <x:v>34.870279857269026</x:v>
      </x:c>
      <x:c r="P333" s="8" t="n">
        <x:f>N333^2</x:f>
        <x:v>1215.936417324262</x:v>
      </x:c>
      <x:c r="Q333" s="8" t="n">
        <x:f>K333-L333</x:f>
        <x:v>0</x:v>
      </x:c>
      <x:c r="R333" s="9" t="n">
        <x:f>IF(AND(INDEX('Сводка'!$T$3:$T$397,U333)=0,INDEX('Сводка'!$T$3:$T$397,V333)=0),1,0)</x:f>
        <x:v>1</x:v>
      </x:c>
      <x:c r="S333" s="9" t="n">
        <x:f>IF(AND(R333=1,O333&lt;=$G$13),1,0)</x:f>
        <x:v>0</x:v>
      </x:c>
      <x:c r="T333" s="10" t="n">
        <x:f>EOMONTH(J333-'Сводка'!$B$11,-1)</x:f>
        <x:v>46173</x:v>
      </x:c>
      <x:c r="U333" s="4" t="n">
        <x:f>MATCH(J333,'Сводка'!$R$3:$R$397,0)</x:f>
        <x:v>344</x:v>
      </x:c>
      <x:c r="V333" s="4" t="n">
        <x:f>MATCH(J333-'Сводка'!$B$11,'Сводка'!$R$3:$R$397,0)</x:f>
        <x:v>343</x:v>
      </x:c>
      <x:c r="W333" s="4" t="n">
        <x:f>MATCH(T333,$J$388:$J$400,0)</x:f>
        <x:v>12</x:v>
      </x:c>
      <x:c r="X333" s="3"/>
      <x:c r="Y333" s="3"/>
      <x:c r="Z333" s="3"/>
    </x:row>
    <x:row r="334" ht="15" customHeight="1">
      <x:c r="A334" s="3"/>
      <x:c r="B334" s="3"/>
      <x:c r="C334" s="3"/>
      <x:c r="D334" s="3"/>
      <x:c r="E334" s="3"/>
      <x:c r="F334" s="3"/>
      <x:c r="G334" s="3"/>
      <x:c r="H334" s="3"/>
      <x:c r="I334" s="3"/>
      <x:c r="J334" s="10" t="n">
        <x:v>46185</x:v>
      </x:c>
      <x:c r="K334" s="8" t="n">
        <x:f>INDEX('Сводка'!$S$3:$S$397,U334)</x:f>
        <x:v>123</x:v>
      </x:c>
      <x:c r="L334" s="8" t="n">
        <x:f>INDEX('Сводка'!$S$3:$S$397,V334)</x:f>
        <x:v>128</x:v>
      </x:c>
      <x:c r="M334" s="8" t="n">
        <x:f>INDEX($K$388:$N$400,W334,1)*EXP(INDEX($K$388:$N$400,W334,2)*((J334-$T$405+1)/1000))</x:f>
        <x:v>162.9049767449255</x:v>
      </x:c>
      <x:c r="N334" s="8" t="n">
        <x:f>K334-M334</x:f>
        <x:v>-39.904976744925506</x:v>
      </x:c>
      <x:c r="O334" s="8" t="n">
        <x:f>ABS(N334)</x:f>
        <x:v>39.904976744925506</x:v>
      </x:c>
      <x:c r="P334" s="8" t="n">
        <x:f>N334^2</x:f>
        <x:v>1592.4071690130454</x:v>
      </x:c>
      <x:c r="Q334" s="8" t="n">
        <x:f>K334-L334</x:f>
        <x:v>-5</x:v>
      </x:c>
      <x:c r="R334" s="9" t="n">
        <x:f>IF(AND(INDEX('Сводка'!$T$3:$T$397,U334)=0,INDEX('Сводка'!$T$3:$T$397,V334)=0),1,0)</x:f>
        <x:v>1</x:v>
      </x:c>
      <x:c r="S334" s="9" t="n">
        <x:f>IF(AND(R334=1,O334&lt;=$G$13),1,0)</x:f>
        <x:v>0</x:v>
      </x:c>
      <x:c r="T334" s="10" t="n">
        <x:f>EOMONTH(J334-'Сводка'!$B$11,-1)</x:f>
        <x:v>46173</x:v>
      </x:c>
      <x:c r="U334" s="4" t="n">
        <x:f>MATCH(J334,'Сводка'!$R$3:$R$397,0)</x:f>
        <x:v>345</x:v>
      </x:c>
      <x:c r="V334" s="4" t="n">
        <x:f>MATCH(J334-'Сводка'!$B$11,'Сводка'!$R$3:$R$397,0)</x:f>
        <x:v>344</x:v>
      </x:c>
      <x:c r="W334" s="4" t="n">
        <x:f>MATCH(T334,$J$388:$J$400,0)</x:f>
        <x:v>12</x:v>
      </x:c>
      <x:c r="X334" s="3"/>
      <x:c r="Y334" s="3"/>
      <x:c r="Z334" s="3"/>
    </x:row>
    <x:row r="335" ht="15" customHeight="1">
      <x:c r="A335" s="3"/>
      <x:c r="B335" s="3"/>
      <x:c r="C335" s="3"/>
      <x:c r="D335" s="3"/>
      <x:c r="E335" s="3"/>
      <x:c r="F335" s="3"/>
      <x:c r="G335" s="3"/>
      <x:c r="H335" s="3"/>
      <x:c r="I335" s="3"/>
      <x:c r="J335" s="10" t="n">
        <x:v>46186</x:v>
      </x:c>
      <x:c r="K335" s="8" t="n">
        <x:f>INDEX('Сводка'!$S$3:$S$397,U335)</x:f>
        <x:v>128</x:v>
      </x:c>
      <x:c r="L335" s="8" t="n">
        <x:f>INDEX('Сводка'!$S$3:$S$397,V335)</x:f>
        <x:v>123</x:v>
      </x:c>
      <x:c r="M335" s="8" t="n">
        <x:f>INDEX($K$388:$N$400,W335,1)*EXP(INDEX($K$388:$N$400,W335,2)*((J335-$T$405+1)/1000))</x:f>
        <x:v>162.9396810241946</x:v>
      </x:c>
      <x:c r="N335" s="8" t="n">
        <x:f>K335-M335</x:f>
        <x:v>-34.93968102419461</x:v>
      </x:c>
      <x:c r="O335" s="8" t="n">
        <x:f>ABS(N335)</x:f>
        <x:v>34.93968102419461</x:v>
      </x:c>
      <x:c r="P335" s="8" t="n">
        <x:f>N335^2</x:f>
        <x:v>1220.7813100724652</x:v>
      </x:c>
      <x:c r="Q335" s="8" t="n">
        <x:f>K335-L335</x:f>
        <x:v>5</x:v>
      </x:c>
      <x:c r="R335" s="9" t="n">
        <x:f>IF(AND(INDEX('Сводка'!$T$3:$T$397,U335)=0,INDEX('Сводка'!$T$3:$T$397,V335)=0),1,0)</x:f>
        <x:v>1</x:v>
      </x:c>
      <x:c r="S335" s="9" t="n">
        <x:f>IF(AND(R335=1,O335&lt;=$G$13),1,0)</x:f>
        <x:v>0</x:v>
      </x:c>
      <x:c r="T335" s="10" t="n">
        <x:f>EOMONTH(J335-'Сводка'!$B$11,-1)</x:f>
        <x:v>46173</x:v>
      </x:c>
      <x:c r="U335" s="4" t="n">
        <x:f>MATCH(J335,'Сводка'!$R$3:$R$397,0)</x:f>
        <x:v>346</x:v>
      </x:c>
      <x:c r="V335" s="4" t="n">
        <x:f>MATCH(J335-'Сводка'!$B$11,'Сводка'!$R$3:$R$397,0)</x:f>
        <x:v>345</x:v>
      </x:c>
      <x:c r="W335" s="4" t="n">
        <x:f>MATCH(T335,$J$388:$J$400,0)</x:f>
        <x:v>12</x:v>
      </x:c>
      <x:c r="X335" s="3"/>
      <x:c r="Y335" s="3"/>
      <x:c r="Z335" s="3"/>
    </x:row>
    <x:row r="336" ht="15" customHeight="1">
      <x:c r="A336" s="3"/>
      <x:c r="B336" s="3"/>
      <x:c r="C336" s="3"/>
      <x:c r="D336" s="3"/>
      <x:c r="E336" s="3"/>
      <x:c r="F336" s="3"/>
      <x:c r="G336" s="3"/>
      <x:c r="H336" s="3"/>
      <x:c r="I336" s="3"/>
      <x:c r="J336" s="10" t="n">
        <x:v>46187</x:v>
      </x:c>
      <x:c r="K336" s="8" t="n">
        <x:f>INDEX('Сводка'!$S$3:$S$397,U336)</x:f>
        <x:v>138</x:v>
      </x:c>
      <x:c r="L336" s="8" t="n">
        <x:f>INDEX('Сводка'!$S$3:$S$397,V336)</x:f>
        <x:v>128</x:v>
      </x:c>
      <x:c r="M336" s="8" t="n">
        <x:f>INDEX($K$388:$N$400,W336,1)*EXP(INDEX($K$388:$N$400,W336,2)*((J336-$T$405+1)/1000))</x:f>
        <x:v>162.974392696651</x:v>
      </x:c>
      <x:c r="N336" s="8" t="n">
        <x:f>K336-M336</x:f>
        <x:v>-24.974392696650995</x:v>
      </x:c>
      <x:c r="O336" s="8" t="n">
        <x:f>ABS(N336)</x:f>
        <x:v>24.974392696650995</x:v>
      </x:c>
      <x:c r="P336" s="8" t="n">
        <x:f>N336^2</x:f>
        <x:v>623.7202905665346</x:v>
      </x:c>
      <x:c r="Q336" s="8" t="n">
        <x:f>K336-L336</x:f>
        <x:v>10</x:v>
      </x:c>
      <x:c r="R336" s="9" t="n">
        <x:f>IF(AND(INDEX('Сводка'!$T$3:$T$397,U336)=0,INDEX('Сводка'!$T$3:$T$397,V336)=0),1,0)</x:f>
        <x:v>1</x:v>
      </x:c>
      <x:c r="S336" s="9" t="n">
        <x:f>IF(AND(R336=1,O336&lt;=$G$13),1,0)</x:f>
        <x:v>0</x:v>
      </x:c>
      <x:c r="T336" s="10" t="n">
        <x:f>EOMONTH(J336-'Сводка'!$B$11,-1)</x:f>
        <x:v>46173</x:v>
      </x:c>
      <x:c r="U336" s="4" t="n">
        <x:f>MATCH(J336,'Сводка'!$R$3:$R$397,0)</x:f>
        <x:v>347</x:v>
      </x:c>
      <x:c r="V336" s="4" t="n">
        <x:f>MATCH(J336-'Сводка'!$B$11,'Сводка'!$R$3:$R$397,0)</x:f>
        <x:v>346</x:v>
      </x:c>
      <x:c r="W336" s="4" t="n">
        <x:f>MATCH(T336,$J$388:$J$400,0)</x:f>
        <x:v>12</x:v>
      </x:c>
      <x:c r="X336" s="3"/>
      <x:c r="Y336" s="3"/>
      <x:c r="Z336" s="3"/>
    </x:row>
    <x:row r="337" ht="15" customHeight="1">
      <x:c r="A337" s="3"/>
      <x:c r="B337" s="3"/>
      <x:c r="C337" s="3"/>
      <x:c r="D337" s="3"/>
      <x:c r="E337" s="3"/>
      <x:c r="F337" s="3"/>
      <x:c r="G337" s="3"/>
      <x:c r="H337" s="3"/>
      <x:c r="I337" s="3"/>
      <x:c r="J337" s="10" t="n">
        <x:v>46188</x:v>
      </x:c>
      <x:c r="K337" s="8" t="n">
        <x:f>INDEX('Сводка'!$S$3:$S$397,U337)</x:f>
        <x:v>147</x:v>
      </x:c>
      <x:c r="L337" s="8" t="n">
        <x:f>INDEX('Сводка'!$S$3:$S$397,V337)</x:f>
        <x:v>138</x:v>
      </x:c>
      <x:c r="M337" s="8" t="n">
        <x:f>INDEX($K$388:$N$400,W337,1)*EXP(INDEX($K$388:$N$400,W337,2)*((J337-$T$405+1)/1000))</x:f>
        <x:v>163.00911176386967</x:v>
      </x:c>
      <x:c r="N337" s="8" t="n">
        <x:f>K337-M337</x:f>
        <x:v>-16.00911176386967</x:v>
      </x:c>
      <x:c r="O337" s="8" t="n">
        <x:f>ABS(N337)</x:f>
        <x:v>16.00911176386967</x:v>
      </x:c>
      <x:c r="P337" s="8" t="n">
        <x:f>N337^2</x:f>
        <x:v>256.29165946807024</x:v>
      </x:c>
      <x:c r="Q337" s="8" t="n">
        <x:f>K337-L337</x:f>
        <x:v>9</x:v>
      </x:c>
      <x:c r="R337" s="9" t="n">
        <x:f>IF(AND(INDEX('Сводка'!$T$3:$T$397,U337)=0,INDEX('Сводка'!$T$3:$T$397,V337)=0),1,0)</x:f>
        <x:v>1</x:v>
      </x:c>
      <x:c r="S337" s="9" t="n">
        <x:f>IF(AND(R337=1,O337&lt;=$G$13),1,0)</x:f>
        <x:v>0</x:v>
      </x:c>
      <x:c r="T337" s="10" t="n">
        <x:f>EOMONTH(J337-'Сводка'!$B$11,-1)</x:f>
        <x:v>46173</x:v>
      </x:c>
      <x:c r="U337" s="4" t="n">
        <x:f>MATCH(J337,'Сводка'!$R$3:$R$397,0)</x:f>
        <x:v>348</x:v>
      </x:c>
      <x:c r="V337" s="4" t="n">
        <x:f>MATCH(J337-'Сводка'!$B$11,'Сводка'!$R$3:$R$397,0)</x:f>
        <x:v>347</x:v>
      </x:c>
      <x:c r="W337" s="4" t="n">
        <x:f>MATCH(T337,$J$388:$J$400,0)</x:f>
        <x:v>12</x:v>
      </x:c>
      <x:c r="X337" s="3"/>
      <x:c r="Y337" s="3"/>
      <x:c r="Z337" s="3"/>
    </x:row>
    <x:row r="338" ht="15" customHeight="1">
      <x:c r="A338" s="3"/>
      <x:c r="B338" s="3"/>
      <x:c r="C338" s="3"/>
      <x:c r="D338" s="3"/>
      <x:c r="E338" s="3"/>
      <x:c r="F338" s="3"/>
      <x:c r="G338" s="3"/>
      <x:c r="H338" s="3"/>
      <x:c r="I338" s="3"/>
      <x:c r="J338" s="10" t="n">
        <x:v>46189</x:v>
      </x:c>
      <x:c r="K338" s="8" t="n">
        <x:f>INDEX('Сводка'!$S$3:$S$397,U338)</x:f>
        <x:v>154</x:v>
      </x:c>
      <x:c r="L338" s="8" t="n">
        <x:f>INDEX('Сводка'!$S$3:$S$397,V338)</x:f>
        <x:v>147</x:v>
      </x:c>
      <x:c r="M338" s="8" t="n">
        <x:f>INDEX($K$388:$N$400,W338,1)*EXP(INDEX($K$388:$N$400,W338,2)*((J338-$T$405+1)/1000))</x:f>
        <x:v>163.04383822742588</x:v>
      </x:c>
      <x:c r="N338" s="8" t="n">
        <x:f>K338-M338</x:f>
        <x:v>-9.04383822742588</x:v>
      </x:c>
      <x:c r="O338" s="8" t="n">
        <x:f>ABS(N338)</x:f>
        <x:v>9.04383822742588</x:v>
      </x:c>
      <x:c r="P338" s="8" t="n">
        <x:f>N338^2</x:f>
        <x:v>81.79100988384968</x:v>
      </x:c>
      <x:c r="Q338" s="8" t="n">
        <x:f>K338-L338</x:f>
        <x:v>7</x:v>
      </x:c>
      <x:c r="R338" s="9" t="n">
        <x:f>IF(AND(INDEX('Сводка'!$T$3:$T$397,U338)=0,INDEX('Сводка'!$T$3:$T$397,V338)=0),1,0)</x:f>
        <x:v>1</x:v>
      </x:c>
      <x:c r="S338" s="9" t="n">
        <x:f>IF(AND(R338=1,O338&lt;=$G$13),1,0)</x:f>
        <x:v>0</x:v>
      </x:c>
      <x:c r="T338" s="10" t="n">
        <x:f>EOMONTH(J338-'Сводка'!$B$11,-1)</x:f>
        <x:v>46173</x:v>
      </x:c>
      <x:c r="U338" s="4" t="n">
        <x:f>MATCH(J338,'Сводка'!$R$3:$R$397,0)</x:f>
        <x:v>349</x:v>
      </x:c>
      <x:c r="V338" s="4" t="n">
        <x:f>MATCH(J338-'Сводка'!$B$11,'Сводка'!$R$3:$R$397,0)</x:f>
        <x:v>348</x:v>
      </x:c>
      <x:c r="W338" s="4" t="n">
        <x:f>MATCH(T338,$J$388:$J$400,0)</x:f>
        <x:v>12</x:v>
      </x:c>
      <x:c r="X338" s="3"/>
      <x:c r="Y338" s="3"/>
      <x:c r="Z338" s="3"/>
    </x:row>
    <x:row r="339" ht="15" customHeight="1">
      <x:c r="A339" s="3"/>
      <x:c r="B339" s="3"/>
      <x:c r="C339" s="3"/>
      <x:c r="D339" s="3"/>
      <x:c r="E339" s="3"/>
      <x:c r="F339" s="3"/>
      <x:c r="G339" s="3"/>
      <x:c r="H339" s="3"/>
      <x:c r="I339" s="3"/>
      <x:c r="J339" s="10" t="n">
        <x:v>46190</x:v>
      </x:c>
      <x:c r="K339" s="8" t="n">
        <x:f>INDEX('Сводка'!$S$3:$S$397,U339)</x:f>
        <x:v>158</x:v>
      </x:c>
      <x:c r="L339" s="8" t="n">
        <x:f>INDEX('Сводка'!$S$3:$S$397,V339)</x:f>
        <x:v>154</x:v>
      </x:c>
      <x:c r="M339" s="8" t="n">
        <x:f>INDEX($K$388:$N$400,W339,1)*EXP(INDEX($K$388:$N$400,W339,2)*((J339-$T$405+1)/1000))</x:f>
        <x:v>163.07857208889538</x:v>
      </x:c>
      <x:c r="N339" s="8" t="n">
        <x:f>K339-M339</x:f>
        <x:v>-5.078572088895385</x:v>
      </x:c>
      <x:c r="O339" s="8" t="n">
        <x:f>ABS(N339)</x:f>
        <x:v>5.078572088895385</x:v>
      </x:c>
      <x:c r="P339" s="8" t="n">
        <x:f>N339^2</x:f>
        <x:v>25.79189446210723</x:v>
      </x:c>
      <x:c r="Q339" s="8" t="n">
        <x:f>K339-L339</x:f>
        <x:v>4</x:v>
      </x:c>
      <x:c r="R339" s="9" t="n">
        <x:f>IF(AND(INDEX('Сводка'!$T$3:$T$397,U339)=0,INDEX('Сводка'!$T$3:$T$397,V339)=0),1,0)</x:f>
        <x:v>1</x:v>
      </x:c>
      <x:c r="S339" s="9" t="n">
        <x:f>IF(AND(R339=1,O339&lt;=$G$13),1,0)</x:f>
        <x:v>1</x:v>
      </x:c>
      <x:c r="T339" s="10" t="n">
        <x:f>EOMONTH(J339-'Сводка'!$B$11,-1)</x:f>
        <x:v>46173</x:v>
      </x:c>
      <x:c r="U339" s="4" t="n">
        <x:f>MATCH(J339,'Сводка'!$R$3:$R$397,0)</x:f>
        <x:v>350</x:v>
      </x:c>
      <x:c r="V339" s="4" t="n">
        <x:f>MATCH(J339-'Сводка'!$B$11,'Сводка'!$R$3:$R$397,0)</x:f>
        <x:v>349</x:v>
      </x:c>
      <x:c r="W339" s="4" t="n">
        <x:f>MATCH(T339,$J$388:$J$400,0)</x:f>
        <x:v>12</x:v>
      </x:c>
      <x:c r="X339" s="3"/>
      <x:c r="Y339" s="3"/>
      <x:c r="Z339" s="3"/>
    </x:row>
    <x:row r="340" ht="15" customHeight="1">
      <x:c r="A340" s="3"/>
      <x:c r="B340" s="3"/>
      <x:c r="C340" s="3"/>
      <x:c r="D340" s="3"/>
      <x:c r="E340" s="3"/>
      <x:c r="F340" s="3"/>
      <x:c r="G340" s="3"/>
      <x:c r="H340" s="3"/>
      <x:c r="I340" s="3"/>
      <x:c r="J340" s="10" t="n">
        <x:v>46191</x:v>
      </x:c>
      <x:c r="K340" s="8" t="n">
        <x:f>INDEX('Сводка'!$S$3:$S$397,U340)</x:f>
        <x:v>166</x:v>
      </x:c>
      <x:c r="L340" s="8" t="n">
        <x:f>INDEX('Сводка'!$S$3:$S$397,V340)</x:f>
        <x:v>158</x:v>
      </x:c>
      <x:c r="M340" s="8" t="n">
        <x:f>INDEX($K$388:$N$400,W340,1)*EXP(INDEX($K$388:$N$400,W340,2)*((J340-$T$405+1)/1000))</x:f>
        <x:v>163.11331334985422</x:v>
      </x:c>
      <x:c r="N340" s="8" t="n">
        <x:f>K340-M340</x:f>
        <x:v>2.8866866501457764</x:v>
      </x:c>
      <x:c r="O340" s="8" t="n">
        <x:f>ABS(N340)</x:f>
        <x:v>2.8866866501457764</x:v>
      </x:c>
      <x:c r="P340" s="8" t="n">
        <x:f>N340^2</x:f>
        <x:v>8.332959816129843</x:v>
      </x:c>
      <x:c r="Q340" s="8" t="n">
        <x:f>K340-L340</x:f>
        <x:v>8</x:v>
      </x:c>
      <x:c r="R340" s="9" t="n">
        <x:f>IF(AND(INDEX('Сводка'!$T$3:$T$397,U340)=0,INDEX('Сводка'!$T$3:$T$397,V340)=0),1,0)</x:f>
        <x:v>1</x:v>
      </x:c>
      <x:c r="S340" s="9" t="n">
        <x:f>IF(AND(R340=1,O340&lt;=$G$13),1,0)</x:f>
        <x:v>1</x:v>
      </x:c>
      <x:c r="T340" s="10" t="n">
        <x:f>EOMONTH(J340-'Сводка'!$B$11,-1)</x:f>
        <x:v>46173</x:v>
      </x:c>
      <x:c r="U340" s="4" t="n">
        <x:f>MATCH(J340,'Сводка'!$R$3:$R$397,0)</x:f>
        <x:v>351</x:v>
      </x:c>
      <x:c r="V340" s="4" t="n">
        <x:f>MATCH(J340-'Сводка'!$B$11,'Сводка'!$R$3:$R$397,0)</x:f>
        <x:v>350</x:v>
      </x:c>
      <x:c r="W340" s="4" t="n">
        <x:f>MATCH(T340,$J$388:$J$400,0)</x:f>
        <x:v>12</x:v>
      </x:c>
      <x:c r="X340" s="3"/>
      <x:c r="Y340" s="3"/>
      <x:c r="Z340" s="3"/>
    </x:row>
    <x:row r="341" ht="15" customHeight="1">
      <x:c r="A341" s="3"/>
      <x:c r="B341" s="3"/>
      <x:c r="C341" s="3"/>
      <x:c r="D341" s="3"/>
      <x:c r="E341" s="3"/>
      <x:c r="F341" s="3"/>
      <x:c r="G341" s="3"/>
      <x:c r="H341" s="3"/>
      <x:c r="I341" s="3"/>
      <x:c r="J341" s="10" t="n">
        <x:v>46192</x:v>
      </x:c>
      <x:c r="K341" s="8" t="n">
        <x:f>INDEX('Сводка'!$S$3:$S$397,U341)</x:f>
        <x:v>170</x:v>
      </x:c>
      <x:c r="L341" s="8" t="n">
        <x:f>INDEX('Сводка'!$S$3:$S$397,V341)</x:f>
        <x:v>166</x:v>
      </x:c>
      <x:c r="M341" s="8" t="n">
        <x:f>INDEX($K$388:$N$400,W341,1)*EXP(INDEX($K$388:$N$400,W341,2)*((J341-$T$405+1)/1000))</x:f>
        <x:v>163.1480620118786</x:v>
      </x:c>
      <x:c r="N341" s="8" t="n">
        <x:f>K341-M341</x:f>
        <x:v>6.851937988121392</x:v>
      </x:c>
      <x:c r="O341" s="8" t="n">
        <x:f>ABS(N341)</x:f>
        <x:v>6.851937988121392</x:v>
      </x:c>
      <x:c r="P341" s="8" t="n">
        <x:f>N341^2</x:f>
        <x:v>46.94905419306103</x:v>
      </x:c>
      <x:c r="Q341" s="8" t="n">
        <x:f>K341-L341</x:f>
        <x:v>4</x:v>
      </x:c>
      <x:c r="R341" s="9" t="n">
        <x:f>IF(AND(INDEX('Сводка'!$T$3:$T$397,U341)=0,INDEX('Сводка'!$T$3:$T$397,V341)=0),1,0)</x:f>
        <x:v>1</x:v>
      </x:c>
      <x:c r="S341" s="9" t="n">
        <x:f>IF(AND(R341=1,O341&lt;=$G$13),1,0)</x:f>
        <x:v>1</x:v>
      </x:c>
      <x:c r="T341" s="10" t="n">
        <x:f>EOMONTH(J341-'Сводка'!$B$11,-1)</x:f>
        <x:v>46173</x:v>
      </x:c>
      <x:c r="U341" s="4" t="n">
        <x:f>MATCH(J341,'Сводка'!$R$3:$R$397,0)</x:f>
        <x:v>352</x:v>
      </x:c>
      <x:c r="V341" s="4" t="n">
        <x:f>MATCH(J341-'Сводка'!$B$11,'Сводка'!$R$3:$R$397,0)</x:f>
        <x:v>351</x:v>
      </x:c>
      <x:c r="W341" s="4" t="n">
        <x:f>MATCH(T341,$J$388:$J$400,0)</x:f>
        <x:v>12</x:v>
      </x:c>
      <x:c r="X341" s="3"/>
      <x:c r="Y341" s="3"/>
      <x:c r="Z341" s="3"/>
    </x:row>
    <x:row r="342" ht="15" customHeight="1">
      <x:c r="A342" s="3"/>
      <x:c r="B342" s="3"/>
      <x:c r="C342" s="3"/>
      <x:c r="D342" s="3"/>
      <x:c r="E342" s="3"/>
      <x:c r="F342" s="3"/>
      <x:c r="G342" s="3"/>
      <x:c r="H342" s="3"/>
      <x:c r="I342" s="3"/>
      <x:c r="J342" s="10" t="n">
        <x:v>46193</x:v>
      </x:c>
      <x:c r="K342" s="8" t="n">
        <x:f>INDEX('Сводка'!$S$3:$S$397,U342)</x:f>
        <x:v>171</x:v>
      </x:c>
      <x:c r="L342" s="8" t="n">
        <x:f>INDEX('Сводка'!$S$3:$S$397,V342)</x:f>
        <x:v>170</x:v>
      </x:c>
      <x:c r="M342" s="8" t="n">
        <x:f>INDEX($K$388:$N$400,W342,1)*EXP(INDEX($K$388:$N$400,W342,2)*((J342-$T$405+1)/1000))</x:f>
        <x:v>163.1828180765453</x:v>
      </x:c>
      <x:c r="N342" s="8" t="n">
        <x:f>K342-M342</x:f>
        <x:v>7.8171819234547115</x:v>
      </x:c>
      <x:c r="O342" s="8" t="n">
        <x:f>ABS(N342)</x:f>
        <x:v>7.8171819234547115</x:v>
      </x:c>
      <x:c r="P342" s="8" t="n">
        <x:f>N342^2</x:f>
        <x:v>61.1083332243871</x:v>
      </x:c>
      <x:c r="Q342" s="8" t="n">
        <x:f>K342-L342</x:f>
        <x:v>1</x:v>
      </x:c>
      <x:c r="R342" s="9" t="n">
        <x:f>IF(AND(INDEX('Сводка'!$T$3:$T$397,U342)=0,INDEX('Сводка'!$T$3:$T$397,V342)=0),1,0)</x:f>
        <x:v>1</x:v>
      </x:c>
      <x:c r="S342" s="9" t="n">
        <x:f>IF(AND(R342=1,O342&lt;=$G$13),1,0)</x:f>
        <x:v>0</x:v>
      </x:c>
      <x:c r="T342" s="10" t="n">
        <x:f>EOMONTH(J342-'Сводка'!$B$11,-1)</x:f>
        <x:v>46173</x:v>
      </x:c>
      <x:c r="U342" s="4" t="n">
        <x:f>MATCH(J342,'Сводка'!$R$3:$R$397,0)</x:f>
        <x:v>353</x:v>
      </x:c>
      <x:c r="V342" s="4" t="n">
        <x:f>MATCH(J342-'Сводка'!$B$11,'Сводка'!$R$3:$R$397,0)</x:f>
        <x:v>352</x:v>
      </x:c>
      <x:c r="W342" s="4" t="n">
        <x:f>MATCH(T342,$J$388:$J$400,0)</x:f>
        <x:v>12</x:v>
      </x:c>
      <x:c r="X342" s="3"/>
      <x:c r="Y342" s="3"/>
      <x:c r="Z342" s="3"/>
    </x:row>
    <x:row r="343" ht="15" customHeight="1">
      <x:c r="A343" s="3"/>
      <x:c r="B343" s="3"/>
      <x:c r="C343" s="3"/>
      <x:c r="D343" s="3"/>
      <x:c r="E343" s="3"/>
      <x:c r="F343" s="3"/>
      <x:c r="G343" s="3"/>
      <x:c r="H343" s="3"/>
      <x:c r="I343" s="3"/>
      <x:c r="J343" s="10" t="n">
        <x:v>46194</x:v>
      </x:c>
      <x:c r="K343" s="8" t="n">
        <x:f>INDEX('Сводка'!$S$3:$S$397,U343)</x:f>
        <x:v>169</x:v>
      </x:c>
      <x:c r="L343" s="8" t="n">
        <x:f>INDEX('Сводка'!$S$3:$S$397,V343)</x:f>
        <x:v>171</x:v>
      </x:c>
      <x:c r="M343" s="8" t="n">
        <x:f>INDEX($K$388:$N$400,W343,1)*EXP(INDEX($K$388:$N$400,W343,2)*((J343-$T$405+1)/1000))</x:f>
        <x:v>163.21758154543136</x:v>
      </x:c>
      <x:c r="N343" s="8" t="n">
        <x:f>K343-M343</x:f>
        <x:v>5.782418454568642</x:v>
      </x:c>
      <x:c r="O343" s="8" t="n">
        <x:f>ABS(N343)</x:f>
        <x:v>5.782418454568642</x:v>
      </x:c>
      <x:c r="P343" s="8" t="n">
        <x:f>N343^2</x:f>
        <x:v>33.436363183736006</x:v>
      </x:c>
      <x:c r="Q343" s="8" t="n">
        <x:f>K343-L343</x:f>
        <x:v>-2</x:v>
      </x:c>
      <x:c r="R343" s="9" t="n">
        <x:f>IF(AND(INDEX('Сводка'!$T$3:$T$397,U343)=0,INDEX('Сводка'!$T$3:$T$397,V343)=0),1,0)</x:f>
        <x:v>1</x:v>
      </x:c>
      <x:c r="S343" s="9" t="n">
        <x:f>IF(AND(R343=1,O343&lt;=$G$13),1,0)</x:f>
        <x:v>1</x:v>
      </x:c>
      <x:c r="T343" s="10" t="n">
        <x:f>EOMONTH(J343-'Сводка'!$B$11,-1)</x:f>
        <x:v>46173</x:v>
      </x:c>
      <x:c r="U343" s="4" t="n">
        <x:f>MATCH(J343,'Сводка'!$R$3:$R$397,0)</x:f>
        <x:v>354</x:v>
      </x:c>
      <x:c r="V343" s="4" t="n">
        <x:f>MATCH(J343-'Сводка'!$B$11,'Сводка'!$R$3:$R$397,0)</x:f>
        <x:v>353</x:v>
      </x:c>
      <x:c r="W343" s="4" t="n">
        <x:f>MATCH(T343,$J$388:$J$400,0)</x:f>
        <x:v>12</x:v>
      </x:c>
      <x:c r="X343" s="3"/>
      <x:c r="Y343" s="3"/>
      <x:c r="Z343" s="3"/>
    </x:row>
    <x:row r="344" ht="15" customHeight="1">
      <x:c r="A344" s="3"/>
      <x:c r="B344" s="3"/>
      <x:c r="C344" s="3"/>
      <x:c r="D344" s="3"/>
      <x:c r="E344" s="3"/>
      <x:c r="F344" s="3"/>
      <x:c r="G344" s="3"/>
      <x:c r="H344" s="3"/>
      <x:c r="I344" s="3"/>
      <x:c r="J344" s="10" t="n">
        <x:v>46195</x:v>
      </x:c>
      <x:c r="K344" s="8" t="n">
        <x:f>INDEX('Сводка'!$S$3:$S$397,U344)</x:f>
        <x:v>168</x:v>
      </x:c>
      <x:c r="L344" s="8" t="n">
        <x:f>INDEX('Сводка'!$S$3:$S$397,V344)</x:f>
        <x:v>169</x:v>
      </x:c>
      <x:c r="M344" s="8" t="n">
        <x:f>INDEX($K$388:$N$400,W344,1)*EXP(INDEX($K$388:$N$400,W344,2)*((J344-$T$405+1)/1000))</x:f>
        <x:v>163.252352420114</x:v>
      </x:c>
      <x:c r="N344" s="8" t="n">
        <x:f>K344-M344</x:f>
        <x:v>4.7476475798860065</x:v>
      </x:c>
      <x:c r="O344" s="8" t="n">
        <x:f>ABS(N344)</x:f>
        <x:v>4.7476475798860065</x:v>
      </x:c>
      <x:c r="P344" s="8" t="n">
        <x:f>N344^2</x:f>
        <x:v>22.540157542797456</x:v>
      </x:c>
      <x:c r="Q344" s="8" t="n">
        <x:f>K344-L344</x:f>
        <x:v>-1</x:v>
      </x:c>
      <x:c r="R344" s="9" t="n">
        <x:f>IF(AND(INDEX('Сводка'!$T$3:$T$397,U344)=0,INDEX('Сводка'!$T$3:$T$397,V344)=0),1,0)</x:f>
        <x:v>1</x:v>
      </x:c>
      <x:c r="S344" s="9" t="n">
        <x:f>IF(AND(R344=1,O344&lt;=$G$13),1,0)</x:f>
        <x:v>1</x:v>
      </x:c>
      <x:c r="T344" s="10" t="n">
        <x:f>EOMONTH(J344-'Сводка'!$B$11,-1)</x:f>
        <x:v>46173</x:v>
      </x:c>
      <x:c r="U344" s="4" t="n">
        <x:f>MATCH(J344,'Сводка'!$R$3:$R$397,0)</x:f>
        <x:v>355</x:v>
      </x:c>
      <x:c r="V344" s="4" t="n">
        <x:f>MATCH(J344-'Сводка'!$B$11,'Сводка'!$R$3:$R$397,0)</x:f>
        <x:v>354</x:v>
      </x:c>
      <x:c r="W344" s="4" t="n">
        <x:f>MATCH(T344,$J$388:$J$400,0)</x:f>
        <x:v>12</x:v>
      </x:c>
      <x:c r="X344" s="3"/>
      <x:c r="Y344" s="3"/>
      <x:c r="Z344" s="3"/>
    </x:row>
    <x:row r="345" ht="15" customHeight="1">
      <x:c r="A345" s="3"/>
      <x:c r="B345" s="3"/>
      <x:c r="C345" s="3"/>
      <x:c r="D345" s="3"/>
      <x:c r="E345" s="3"/>
      <x:c r="F345" s="3"/>
      <x:c r="G345" s="3"/>
      <x:c r="H345" s="3"/>
      <x:c r="I345" s="3"/>
      <x:c r="J345" s="10" t="n">
        <x:v>46196</x:v>
      </x:c>
      <x:c r="K345" s="8" t="n">
        <x:f>INDEX('Сводка'!$S$3:$S$397,U345)</x:f>
        <x:v>159</x:v>
      </x:c>
      <x:c r="L345" s="8" t="n">
        <x:f>INDEX('Сводка'!$S$3:$S$397,V345)</x:f>
        <x:v>168</x:v>
      </x:c>
      <x:c r="M345" s="8" t="n">
        <x:f>INDEX($K$388:$N$400,W345,1)*EXP(INDEX($K$388:$N$400,W345,2)*((J345-$T$405+1)/1000))</x:f>
        <x:v>163.287130702171</x:v>
      </x:c>
      <x:c r="N345" s="8" t="n">
        <x:f>K345-M345</x:f>
        <x:v>-4.287130702170998</x:v>
      </x:c>
      <x:c r="O345" s="8" t="n">
        <x:f>ABS(N345)</x:f>
        <x:v>4.287130702170998</x:v>
      </x:c>
      <x:c r="P345" s="8" t="n">
        <x:f>N345^2</x:f>
        <x:v>18.379489657497196</x:v>
      </x:c>
      <x:c r="Q345" s="8" t="n">
        <x:f>K345-L345</x:f>
        <x:v>-9</x:v>
      </x:c>
      <x:c r="R345" s="9" t="n">
        <x:f>IF(AND(INDEX('Сводка'!$T$3:$T$397,U345)=0,INDEX('Сводка'!$T$3:$T$397,V345)=0),1,0)</x:f>
        <x:v>1</x:v>
      </x:c>
      <x:c r="S345" s="9" t="n">
        <x:f>IF(AND(R345=1,O345&lt;=$G$13),1,0)</x:f>
        <x:v>1</x:v>
      </x:c>
      <x:c r="T345" s="10" t="n">
        <x:f>EOMONTH(J345-'Сводка'!$B$11,-1)</x:f>
        <x:v>46173</x:v>
      </x:c>
      <x:c r="U345" s="4" t="n">
        <x:f>MATCH(J345,'Сводка'!$R$3:$R$397,0)</x:f>
        <x:v>356</x:v>
      </x:c>
      <x:c r="V345" s="4" t="n">
        <x:f>MATCH(J345-'Сводка'!$B$11,'Сводка'!$R$3:$R$397,0)</x:f>
        <x:v>355</x:v>
      </x:c>
      <x:c r="W345" s="4" t="n">
        <x:f>MATCH(T345,$J$388:$J$400,0)</x:f>
        <x:v>12</x:v>
      </x:c>
      <x:c r="X345" s="3"/>
      <x:c r="Y345" s="3"/>
      <x:c r="Z345" s="3"/>
    </x:row>
    <x:row r="346" ht="15" customHeight="1">
      <x:c r="A346" s="3"/>
      <x:c r="B346" s="3"/>
      <x:c r="C346" s="3"/>
      <x:c r="D346" s="3"/>
      <x:c r="E346" s="3"/>
      <x:c r="F346" s="3"/>
      <x:c r="G346" s="3"/>
      <x:c r="H346" s="3"/>
      <x:c r="I346" s="3"/>
      <x:c r="J346" s="10" t="n">
        <x:v>46197</x:v>
      </x:c>
      <x:c r="K346" s="8" t="n">
        <x:f>INDEX('Сводка'!$S$3:$S$397,U346)</x:f>
        <x:v>151</x:v>
      </x:c>
      <x:c r="L346" s="8" t="n">
        <x:f>INDEX('Сводка'!$S$3:$S$397,V346)</x:f>
        <x:v>159</x:v>
      </x:c>
      <x:c r="M346" s="8" t="n">
        <x:f>INDEX($K$388:$N$400,W346,1)*EXP(INDEX($K$388:$N$400,W346,2)*((J346-$T$405+1)/1000))</x:f>
        <x:v>163.3219163931804</x:v>
      </x:c>
      <x:c r="N346" s="8" t="n">
        <x:f>K346-M346</x:f>
        <x:v>-12.321916393180402</x:v>
      </x:c>
      <x:c r="O346" s="8" t="n">
        <x:f>ABS(N346)</x:f>
        <x:v>12.321916393180402</x:v>
      </x:c>
      <x:c r="P346" s="8" t="n">
        <x:f>N346^2</x:f>
        <x:v>151.82962360052792</x:v>
      </x:c>
      <x:c r="Q346" s="8" t="n">
        <x:f>K346-L346</x:f>
        <x:v>-8</x:v>
      </x:c>
      <x:c r="R346" s="9" t="n">
        <x:f>IF(AND(INDEX('Сводка'!$T$3:$T$397,U346)=0,INDEX('Сводка'!$T$3:$T$397,V346)=0),1,0)</x:f>
        <x:v>1</x:v>
      </x:c>
      <x:c r="S346" s="9" t="n">
        <x:f>IF(AND(R346=1,O346&lt;=$G$13),1,0)</x:f>
        <x:v>0</x:v>
      </x:c>
      <x:c r="T346" s="10" t="n">
        <x:f>EOMONTH(J346-'Сводка'!$B$11,-1)</x:f>
        <x:v>46173</x:v>
      </x:c>
      <x:c r="U346" s="4" t="n">
        <x:f>MATCH(J346,'Сводка'!$R$3:$R$397,0)</x:f>
        <x:v>357</x:v>
      </x:c>
      <x:c r="V346" s="4" t="n">
        <x:f>MATCH(J346-'Сводка'!$B$11,'Сводка'!$R$3:$R$397,0)</x:f>
        <x:v>356</x:v>
      </x:c>
      <x:c r="W346" s="4" t="n">
        <x:f>MATCH(T346,$J$388:$J$400,0)</x:f>
        <x:v>12</x:v>
      </x:c>
      <x:c r="X346" s="3"/>
      <x:c r="Y346" s="3"/>
      <x:c r="Z346" s="3"/>
    </x:row>
    <x:row r="347" ht="15" customHeight="1">
      <x:c r="A347" s="3"/>
      <x:c r="B347" s="3"/>
      <x:c r="C347" s="3"/>
      <x:c r="D347" s="3"/>
      <x:c r="E347" s="3"/>
      <x:c r="F347" s="3"/>
      <x:c r="G347" s="3"/>
      <x:c r="H347" s="3"/>
      <x:c r="I347" s="3"/>
      <x:c r="J347" s="10" t="n">
        <x:v>46198</x:v>
      </x:c>
      <x:c r="K347" s="8" t="n">
        <x:f>INDEX('Сводка'!$S$3:$S$397,U347)</x:f>
        <x:v>144</x:v>
      </x:c>
      <x:c r="L347" s="8" t="n">
        <x:f>INDEX('Сводка'!$S$3:$S$397,V347)</x:f>
        <x:v>151</x:v>
      </x:c>
      <x:c r="M347" s="8" t="n">
        <x:f>INDEX($K$388:$N$400,W347,1)*EXP(INDEX($K$388:$N$400,W347,2)*((J347-$T$405+1)/1000))</x:f>
        <x:v>163.35670949472052</x:v>
      </x:c>
      <x:c r="N347" s="8" t="n">
        <x:f>K347-M347</x:f>
        <x:v>-19.35670949472052</x:v>
      </x:c>
      <x:c r="O347" s="8" t="n">
        <x:f>ABS(N347)</x:f>
        <x:v>19.35670949472052</x:v>
      </x:c>
      <x:c r="P347" s="8" t="n">
        <x:f>N347^2</x:f>
        <x:v>374.6822024630035</x:v>
      </x:c>
      <x:c r="Q347" s="8" t="n">
        <x:f>K347-L347</x:f>
        <x:v>-7</x:v>
      </x:c>
      <x:c r="R347" s="9" t="n">
        <x:f>IF(AND(INDEX('Сводка'!$T$3:$T$397,U347)=0,INDEX('Сводка'!$T$3:$T$397,V347)=0),1,0)</x:f>
        <x:v>1</x:v>
      </x:c>
      <x:c r="S347" s="9" t="n">
        <x:f>IF(AND(R347=1,O347&lt;=$G$13),1,0)</x:f>
        <x:v>0</x:v>
      </x:c>
      <x:c r="T347" s="10" t="n">
        <x:f>EOMONTH(J347-'Сводка'!$B$11,-1)</x:f>
        <x:v>46173</x:v>
      </x:c>
      <x:c r="U347" s="4" t="n">
        <x:f>MATCH(J347,'Сводка'!$R$3:$R$397,0)</x:f>
        <x:v>358</x:v>
      </x:c>
      <x:c r="V347" s="4" t="n">
        <x:f>MATCH(J347-'Сводка'!$B$11,'Сводка'!$R$3:$R$397,0)</x:f>
        <x:v>357</x:v>
      </x:c>
      <x:c r="W347" s="4" t="n">
        <x:f>MATCH(T347,$J$388:$J$400,0)</x:f>
        <x:v>12</x:v>
      </x:c>
      <x:c r="X347" s="3"/>
      <x:c r="Y347" s="3"/>
      <x:c r="Z347" s="3"/>
    </x:row>
    <x:row r="348" ht="15" customHeight="1">
      <x:c r="A348" s="3"/>
      <x:c r="B348" s="3"/>
      <x:c r="C348" s="3"/>
      <x:c r="D348" s="3"/>
      <x:c r="E348" s="3"/>
      <x:c r="F348" s="3"/>
      <x:c r="G348" s="3"/>
      <x:c r="H348" s="3"/>
      <x:c r="I348" s="3"/>
      <x:c r="J348" s="10" t="n">
        <x:v>46199</x:v>
      </x:c>
      <x:c r="K348" s="8" t="n">
        <x:f>INDEX('Сводка'!$S$3:$S$397,U348)</x:f>
        <x:v>139</x:v>
      </x:c>
      <x:c r="L348" s="8" t="n">
        <x:f>INDEX('Сводка'!$S$3:$S$397,V348)</x:f>
        <x:v>144</x:v>
      </x:c>
      <x:c r="M348" s="8" t="n">
        <x:f>INDEX($K$388:$N$400,W348,1)*EXP(INDEX($K$388:$N$400,W348,2)*((J348-$T$405+1)/1000))</x:f>
        <x:v>163.39151000837003</x:v>
      </x:c>
      <x:c r="N348" s="8" t="n">
        <x:f>K348-M348</x:f>
        <x:v>-24.391510008370034</x:v>
      </x:c>
      <x:c r="O348" s="8" t="n">
        <x:f>ABS(N348)</x:f>
        <x:v>24.391510008370034</x:v>
      </x:c>
      <x:c r="P348" s="8" t="n">
        <x:f>N348^2</x:f>
        <x:v>594.9457604884155</x:v>
      </x:c>
      <x:c r="Q348" s="8" t="n">
        <x:f>K348-L348</x:f>
        <x:v>-5</x:v>
      </x:c>
      <x:c r="R348" s="9" t="n">
        <x:f>IF(AND(INDEX('Сводка'!$T$3:$T$397,U348)=0,INDEX('Сводка'!$T$3:$T$397,V348)=0),1,0)</x:f>
        <x:v>1</x:v>
      </x:c>
      <x:c r="S348" s="9" t="n">
        <x:f>IF(AND(R348=1,O348&lt;=$G$13),1,0)</x:f>
        <x:v>0</x:v>
      </x:c>
      <x:c r="T348" s="10" t="n">
        <x:f>EOMONTH(J348-'Сводка'!$B$11,-1)</x:f>
        <x:v>46173</x:v>
      </x:c>
      <x:c r="U348" s="4" t="n">
        <x:f>MATCH(J348,'Сводка'!$R$3:$R$397,0)</x:f>
        <x:v>359</x:v>
      </x:c>
      <x:c r="V348" s="4" t="n">
        <x:f>MATCH(J348-'Сводка'!$B$11,'Сводка'!$R$3:$R$397,0)</x:f>
        <x:v>358</x:v>
      </x:c>
      <x:c r="W348" s="4" t="n">
        <x:f>MATCH(T348,$J$388:$J$400,0)</x:f>
        <x:v>12</x:v>
      </x:c>
      <x:c r="X348" s="3"/>
      <x:c r="Y348" s="3"/>
      <x:c r="Z348" s="3"/>
    </x:row>
    <x:row r="349" ht="15" customHeight="1">
      <x:c r="A349" s="3"/>
      <x:c r="B349" s="3"/>
      <x:c r="C349" s="3"/>
      <x:c r="D349" s="3"/>
      <x:c r="E349" s="3"/>
      <x:c r="F349" s="3"/>
      <x:c r="G349" s="3"/>
      <x:c r="H349" s="3"/>
      <x:c r="I349" s="3"/>
      <x:c r="J349" s="10" t="n">
        <x:v>46200</x:v>
      </x:c>
      <x:c r="K349" s="8" t="n">
        <x:f>INDEX('Сводка'!$S$3:$S$397,U349)</x:f>
        <x:v>136</x:v>
      </x:c>
      <x:c r="L349" s="8" t="n">
        <x:f>INDEX('Сводка'!$S$3:$S$397,V349)</x:f>
        <x:v>139</x:v>
      </x:c>
      <x:c r="M349" s="8" t="n">
        <x:f>INDEX($K$388:$N$400,W349,1)*EXP(INDEX($K$388:$N$400,W349,2)*((J349-$T$405+1)/1000))</x:f>
        <x:v>163.42631793570803</x:v>
      </x:c>
      <x:c r="N349" s="8" t="n">
        <x:f>K349-M349</x:f>
        <x:v>-27.426317935708028</x:v>
      </x:c>
      <x:c r="O349" s="8" t="n">
        <x:f>ABS(N349)</x:f>
        <x:v>27.426317935708028</x:v>
      </x:c>
      <x:c r="P349" s="8" t="n">
        <x:f>N349^2</x:f>
        <x:v>752.2029155105398</x:v>
      </x:c>
      <x:c r="Q349" s="8" t="n">
        <x:f>K349-L349</x:f>
        <x:v>-3</x:v>
      </x:c>
      <x:c r="R349" s="9" t="n">
        <x:f>IF(AND(INDEX('Сводка'!$T$3:$T$397,U349)=0,INDEX('Сводка'!$T$3:$T$397,V349)=0),1,0)</x:f>
        <x:v>1</x:v>
      </x:c>
      <x:c r="S349" s="9" t="n">
        <x:f>IF(AND(R349=1,O349&lt;=$G$13),1,0)</x:f>
        <x:v>0</x:v>
      </x:c>
      <x:c r="T349" s="10" t="n">
        <x:f>EOMONTH(J349-'Сводка'!$B$11,-1)</x:f>
        <x:v>46173</x:v>
      </x:c>
      <x:c r="U349" s="4" t="n">
        <x:f>MATCH(J349,'Сводка'!$R$3:$R$397,0)</x:f>
        <x:v>360</x:v>
      </x:c>
      <x:c r="V349" s="4" t="n">
        <x:f>MATCH(J349-'Сводка'!$B$11,'Сводка'!$R$3:$R$397,0)</x:f>
        <x:v>359</x:v>
      </x:c>
      <x:c r="W349" s="4" t="n">
        <x:f>MATCH(T349,$J$388:$J$400,0)</x:f>
        <x:v>12</x:v>
      </x:c>
      <x:c r="X349" s="3"/>
      <x:c r="Y349" s="3"/>
      <x:c r="Z349" s="3"/>
    </x:row>
    <x:row r="350" ht="15" customHeight="1">
      <x:c r="A350" s="3"/>
      <x:c r="B350" s="3"/>
      <x:c r="C350" s="3"/>
      <x:c r="D350" s="3"/>
      <x:c r="E350" s="3"/>
      <x:c r="F350" s="3"/>
      <x:c r="G350" s="3"/>
      <x:c r="H350" s="3"/>
      <x:c r="I350" s="3"/>
      <x:c r="J350" s="10" t="n">
        <x:v>46201</x:v>
      </x:c>
      <x:c r="K350" s="8" t="n">
        <x:f>INDEX('Сводка'!$S$3:$S$397,U350)</x:f>
        <x:v>127</x:v>
      </x:c>
      <x:c r="L350" s="8" t="n">
        <x:f>INDEX('Сводка'!$S$3:$S$397,V350)</x:f>
        <x:v>136</x:v>
      </x:c>
      <x:c r="M350" s="8" t="n">
        <x:f>INDEX($K$388:$N$400,W350,1)*EXP(INDEX($K$388:$N$400,W350,2)*((J350-$T$405+1)/1000))</x:f>
        <x:v>163.46113327831384</x:v>
      </x:c>
      <x:c r="N350" s="8" t="n">
        <x:f>K350-M350</x:f>
        <x:v>-36.46113327831384</x:v>
      </x:c>
      <x:c r="O350" s="8" t="n">
        <x:f>ABS(N350)</x:f>
        <x:v>36.46113327831384</x:v>
      </x:c>
      <x:c r="P350" s="8" t="n">
        <x:f>N350^2</x:f>
        <x:v>1329.4142399389648</x:v>
      </x:c>
      <x:c r="Q350" s="8" t="n">
        <x:f>K350-L350</x:f>
        <x:v>-9</x:v>
      </x:c>
      <x:c r="R350" s="9" t="n">
        <x:f>IF(AND(INDEX('Сводка'!$T$3:$T$397,U350)=0,INDEX('Сводка'!$T$3:$T$397,V350)=0),1,0)</x:f>
        <x:v>1</x:v>
      </x:c>
      <x:c r="S350" s="9" t="n">
        <x:f>IF(AND(R350=1,O350&lt;=$G$13),1,0)</x:f>
        <x:v>0</x:v>
      </x:c>
      <x:c r="T350" s="10" t="n">
        <x:f>EOMONTH(J350-'Сводка'!$B$11,-1)</x:f>
        <x:v>46173</x:v>
      </x:c>
      <x:c r="U350" s="4" t="n">
        <x:f>MATCH(J350,'Сводка'!$R$3:$R$397,0)</x:f>
        <x:v>361</x:v>
      </x:c>
      <x:c r="V350" s="4" t="n">
        <x:f>MATCH(J350-'Сводка'!$B$11,'Сводка'!$R$3:$R$397,0)</x:f>
        <x:v>360</x:v>
      </x:c>
      <x:c r="W350" s="4" t="n">
        <x:f>MATCH(T350,$J$388:$J$400,0)</x:f>
        <x:v>12</x:v>
      </x:c>
      <x:c r="X350" s="3"/>
      <x:c r="Y350" s="3"/>
      <x:c r="Z350" s="3"/>
    </x:row>
    <x:row r="351" ht="15" customHeight="1">
      <x:c r="A351" s="3"/>
      <x:c r="B351" s="3"/>
      <x:c r="C351" s="3"/>
      <x:c r="D351" s="3"/>
      <x:c r="E351" s="3"/>
      <x:c r="F351" s="3"/>
      <x:c r="G351" s="3"/>
      <x:c r="H351" s="3"/>
      <x:c r="I351" s="3"/>
      <x:c r="J351" s="10" t="n">
        <x:v>46202</x:v>
      </x:c>
      <x:c r="K351" s="8" t="n">
        <x:f>INDEX('Сводка'!$S$3:$S$397,U351)</x:f>
        <x:v>122</x:v>
      </x:c>
      <x:c r="L351" s="8" t="n">
        <x:f>INDEX('Сводка'!$S$3:$S$397,V351)</x:f>
        <x:v>127</x:v>
      </x:c>
      <x:c r="M351" s="8" t="n">
        <x:f>INDEX($K$388:$N$400,W351,1)*EXP(INDEX($K$388:$N$400,W351,2)*((J351-$T$405+1)/1000))</x:f>
        <x:v>163.49595603776714</x:v>
      </x:c>
      <x:c r="N351" s="8" t="n">
        <x:f>K351-M351</x:f>
        <x:v>-41.495956037767144</x:v>
      </x:c>
      <x:c r="O351" s="8" t="n">
        <x:f>ABS(N351)</x:f>
        <x:v>41.495956037767144</x:v>
      </x:c>
      <x:c r="P351" s="8" t="n">
        <x:f>N351^2</x:f>
        <x:v>1721.9143674883035</x:v>
      </x:c>
      <x:c r="Q351" s="8" t="n">
        <x:f>K351-L351</x:f>
        <x:v>-5</x:v>
      </x:c>
      <x:c r="R351" s="9" t="n">
        <x:f>IF(AND(INDEX('Сводка'!$T$3:$T$397,U351)=0,INDEX('Сводка'!$T$3:$T$397,V351)=0),1,0)</x:f>
        <x:v>1</x:v>
      </x:c>
      <x:c r="S351" s="9" t="n">
        <x:f>IF(AND(R351=1,O351&lt;=$G$13),1,0)</x:f>
        <x:v>0</x:v>
      </x:c>
      <x:c r="T351" s="10" t="n">
        <x:f>EOMONTH(J351-'Сводка'!$B$11,-1)</x:f>
        <x:v>46173</x:v>
      </x:c>
      <x:c r="U351" s="4" t="n">
        <x:f>MATCH(J351,'Сводка'!$R$3:$R$397,0)</x:f>
        <x:v>362</x:v>
      </x:c>
      <x:c r="V351" s="4" t="n">
        <x:f>MATCH(J351-'Сводка'!$B$11,'Сводка'!$R$3:$R$397,0)</x:f>
        <x:v>361</x:v>
      </x:c>
      <x:c r="W351" s="4" t="n">
        <x:f>MATCH(T351,$J$388:$J$400,0)</x:f>
        <x:v>12</x:v>
      </x:c>
      <x:c r="X351" s="3"/>
      <x:c r="Y351" s="3"/>
      <x:c r="Z351" s="3"/>
    </x:row>
    <x:row r="352" ht="15" customHeight="1">
      <x:c r="A352" s="3"/>
      <x:c r="B352" s="3"/>
      <x:c r="C352" s="3"/>
      <x:c r="D352" s="3"/>
      <x:c r="E352" s="3"/>
      <x:c r="F352" s="3"/>
      <x:c r="G352" s="3"/>
      <x:c r="H352" s="3"/>
      <x:c r="I352" s="3"/>
      <x:c r="J352" s="10" t="n">
        <x:v>46203</x:v>
      </x:c>
      <x:c r="K352" s="8" t="n">
        <x:f>INDEX('Сводка'!$S$3:$S$397,U352)</x:f>
        <x:v>116</x:v>
      </x:c>
      <x:c r="L352" s="8" t="n">
        <x:f>INDEX('Сводка'!$S$3:$S$397,V352)</x:f>
        <x:v>122</x:v>
      </x:c>
      <x:c r="M352" s="8" t="n">
        <x:f>INDEX($K$388:$N$400,W352,1)*EXP(INDEX($K$388:$N$400,W352,2)*((J352-$T$405+1)/1000))</x:f>
        <x:v>163.53078621564796</x:v>
      </x:c>
      <x:c r="N352" s="8" t="n">
        <x:f>K352-M352</x:f>
        <x:v>-47.530786215647964</x:v>
      </x:c>
      <x:c r="O352" s="8" t="n">
        <x:f>ABS(N352)</x:f>
        <x:v>47.530786215647964</x:v>
      </x:c>
      <x:c r="P352" s="8" t="n">
        <x:f>N352^2</x:f>
        <x:v>2259.1756382776307</x:v>
      </x:c>
      <x:c r="Q352" s="8" t="n">
        <x:f>K352-L352</x:f>
        <x:v>-6</x:v>
      </x:c>
      <x:c r="R352" s="9" t="n">
        <x:f>IF(AND(INDEX('Сводка'!$T$3:$T$397,U352)=0,INDEX('Сводка'!$T$3:$T$397,V352)=0),1,0)</x:f>
        <x:v>1</x:v>
      </x:c>
      <x:c r="S352" s="9" t="n">
        <x:f>IF(AND(R352=1,O352&lt;=$G$13),1,0)</x:f>
        <x:v>0</x:v>
      </x:c>
      <x:c r="T352" s="10" t="n">
        <x:f>EOMONTH(J352-'Сводка'!$B$11,-1)</x:f>
        <x:v>46173</x:v>
      </x:c>
      <x:c r="U352" s="4" t="n">
        <x:f>MATCH(J352,'Сводка'!$R$3:$R$397,0)</x:f>
        <x:v>363</x:v>
      </x:c>
      <x:c r="V352" s="4" t="n">
        <x:f>MATCH(J352-'Сводка'!$B$11,'Сводка'!$R$3:$R$397,0)</x:f>
        <x:v>362</x:v>
      </x:c>
      <x:c r="W352" s="4" t="n">
        <x:f>MATCH(T352,$J$388:$J$400,0)</x:f>
        <x:v>12</x:v>
      </x:c>
      <x:c r="X352" s="3"/>
      <x:c r="Y352" s="3"/>
      <x:c r="Z352" s="3"/>
    </x:row>
    <x:row r="353" ht="15" customHeight="1">
      <x:c r="A353" s="3"/>
      <x:c r="B353" s="3"/>
      <x:c r="C353" s="3"/>
      <x:c r="D353" s="3"/>
      <x:c r="E353" s="3"/>
      <x:c r="F353" s="3"/>
      <x:c r="G353" s="3"/>
      <x:c r="H353" s="3"/>
      <x:c r="I353" s="3"/>
      <x:c r="J353" s="10" t="n">
        <x:v>46204</x:v>
      </x:c>
      <x:c r="K353" s="8" t="n">
        <x:f>INDEX('Сводка'!$S$3:$S$397,U353)</x:f>
        <x:v>110</x:v>
      </x:c>
      <x:c r="L353" s="8" t="n">
        <x:f>INDEX('Сводка'!$S$3:$S$397,V353)</x:f>
        <x:v>116</x:v>
      </x:c>
      <x:c r="M353" s="8" t="n">
        <x:f>INDEX($K$388:$N$400,W353,1)*EXP(INDEX($K$388:$N$400,W353,2)*((J353-$T$405+1)/1000))</x:f>
        <x:v>163.56562381353686</x:v>
      </x:c>
      <x:c r="N353" s="8" t="n">
        <x:f>K353-M353</x:f>
        <x:v>-53.56562381353686</x:v>
      </x:c>
      <x:c r="O353" s="8" t="n">
        <x:f>ABS(N353)</x:f>
        <x:v>53.56562381353686</x:v>
      </x:c>
      <x:c r="P353" s="8" t="n">
        <x:f>N353^2</x:f>
        <x:v>2869.276054533347</x:v>
      </x:c>
      <x:c r="Q353" s="8" t="n">
        <x:f>K353-L353</x:f>
        <x:v>-6</x:v>
      </x:c>
      <x:c r="R353" s="9" t="n">
        <x:f>IF(AND(INDEX('Сводка'!$T$3:$T$397,U353)=0,INDEX('Сводка'!$T$3:$T$397,V353)=0),1,0)</x:f>
        <x:v>1</x:v>
      </x:c>
      <x:c r="S353" s="9" t="n">
        <x:f>IF(AND(R353=1,O353&lt;=$G$13),1,0)</x:f>
        <x:v>0</x:v>
      </x:c>
      <x:c r="T353" s="10" t="n">
        <x:f>EOMONTH(J353-'Сводка'!$B$11,-1)</x:f>
        <x:v>46173</x:v>
      </x:c>
      <x:c r="U353" s="4" t="n">
        <x:f>MATCH(J353,'Сводка'!$R$3:$R$397,0)</x:f>
        <x:v>364</x:v>
      </x:c>
      <x:c r="V353" s="4" t="n">
        <x:f>MATCH(J353-'Сводка'!$B$11,'Сводка'!$R$3:$R$397,0)</x:f>
        <x:v>363</x:v>
      </x:c>
      <x:c r="W353" s="4" t="n">
        <x:f>MATCH(T353,$J$388:$J$400,0)</x:f>
        <x:v>12</x:v>
      </x:c>
      <x:c r="X353" s="3"/>
      <x:c r="Y353" s="3"/>
      <x:c r="Z353" s="3"/>
    </x:row>
    <x:row r="354" ht="15" customHeight="1">
      <x:c r="A354" s="3"/>
      <x:c r="B354" s="3"/>
      <x:c r="C354" s="3"/>
      <x:c r="D354" s="3"/>
      <x:c r="E354" s="3"/>
      <x:c r="F354" s="3"/>
      <x:c r="G354" s="3"/>
      <x:c r="H354" s="3"/>
      <x:c r="I354" s="3"/>
      <x:c r="J354" s="10" t="n">
        <x:v>46205</x:v>
      </x:c>
      <x:c r="K354" s="8" t="n">
        <x:f>INDEX('Сводка'!$S$3:$S$397,U354)</x:f>
        <x:v>105</x:v>
      </x:c>
      <x:c r="L354" s="8" t="n">
        <x:f>INDEX('Сводка'!$S$3:$S$397,V354)</x:f>
        <x:v>110</x:v>
      </x:c>
      <x:c r="M354" s="8" t="n">
        <x:f>INDEX($K$388:$N$400,W354,1)*EXP(INDEX($K$388:$N$400,W354,2)*((J354-$T$405+1)/1000))</x:f>
        <x:v>162.7614969129484</x:v>
      </x:c>
      <x:c r="N354" s="8" t="n">
        <x:f>K354-M354</x:f>
        <x:v>-57.76149691294839</x:v>
      </x:c>
      <x:c r="O354" s="8" t="n">
        <x:f>ABS(N354)</x:f>
        <x:v>57.76149691294839</x:v>
      </x:c>
      <x:c r="P354" s="8" t="n">
        <x:f>N354^2</x:f>
        <x:v>3336.390525624546</x:v>
      </x:c>
      <x:c r="Q354" s="8" t="n">
        <x:f>K354-L354</x:f>
        <x:v>-5</x:v>
      </x:c>
      <x:c r="R354" s="9" t="n">
        <x:f>IF(AND(INDEX('Сводка'!$T$3:$T$397,U354)=0,INDEX('Сводка'!$T$3:$T$397,V354)=0),1,0)</x:f>
        <x:v>1</x:v>
      </x:c>
      <x:c r="S354" s="9" t="n">
        <x:f>IF(AND(R354=1,O354&lt;=$G$13),1,0)</x:f>
        <x:v>0</x:v>
      </x:c>
      <x:c r="T354" s="10" t="n">
        <x:f>EOMONTH(J354-'Сводка'!$B$11,-1)</x:f>
        <x:v>46203</x:v>
      </x:c>
      <x:c r="U354" s="4" t="n">
        <x:f>MATCH(J354,'Сводка'!$R$3:$R$397,0)</x:f>
        <x:v>365</x:v>
      </x:c>
      <x:c r="V354" s="4" t="n">
        <x:f>MATCH(J354-'Сводка'!$B$11,'Сводка'!$R$3:$R$397,0)</x:f>
        <x:v>364</x:v>
      </x:c>
      <x:c r="W354" s="4" t="n">
        <x:f>MATCH(T354,$J$388:$J$400,0)</x:f>
        <x:v>13</x:v>
      </x:c>
      <x:c r="X354" s="3"/>
      <x:c r="Y354" s="3"/>
      <x:c r="Z354" s="3"/>
    </x:row>
    <x:row r="355" ht="15" customHeight="1">
      <x:c r="A355" s="3"/>
      <x:c r="B355" s="3"/>
      <x:c r="C355" s="3"/>
      <x:c r="D355" s="3"/>
      <x:c r="E355" s="3"/>
      <x:c r="F355" s="3"/>
      <x:c r="G355" s="3"/>
      <x:c r="H355" s="3"/>
      <x:c r="I355" s="3"/>
      <x:c r="J355" s="10" t="n">
        <x:v>46206</x:v>
      </x:c>
      <x:c r="K355" s="8" t="n">
        <x:f>INDEX('Сводка'!$S$3:$S$397,U355)</x:f>
        <x:v>105</x:v>
      </x:c>
      <x:c r="L355" s="8" t="n">
        <x:f>INDEX('Сводка'!$S$3:$S$397,V355)</x:f>
        <x:v>105</x:v>
      </x:c>
      <x:c r="M355" s="8" t="n">
        <x:f>INDEX($K$388:$N$400,W355,1)*EXP(INDEX($K$388:$N$400,W355,2)*((J355-$T$405+1)/1000))</x:f>
        <x:v>162.79600056883254</x:v>
      </x:c>
      <x:c r="N355" s="8" t="n">
        <x:f>K355-M355</x:f>
        <x:v>-57.79600056883254</x:v>
      </x:c>
      <x:c r="O355" s="8" t="n">
        <x:f>ABS(N355)</x:f>
        <x:v>57.79600056883254</x:v>
      </x:c>
      <x:c r="P355" s="8" t="n">
        <x:f>N355^2</x:f>
        <x:v>3340.3776817524913</x:v>
      </x:c>
      <x:c r="Q355" s="8" t="n">
        <x:f>K355-L355</x:f>
        <x:v>0</x:v>
      </x:c>
      <x:c r="R355" s="9" t="n">
        <x:f>IF(AND(INDEX('Сводка'!$T$3:$T$397,U355)=0,INDEX('Сводка'!$T$3:$T$397,V355)=0),1,0)</x:f>
        <x:v>1</x:v>
      </x:c>
      <x:c r="S355" s="9" t="n">
        <x:f>IF(AND(R355=1,O355&lt;=$G$13),1,0)</x:f>
        <x:v>0</x:v>
      </x:c>
      <x:c r="T355" s="10" t="n">
        <x:f>EOMONTH(J355-'Сводка'!$B$11,-1)</x:f>
        <x:v>46203</x:v>
      </x:c>
      <x:c r="U355" s="4" t="n">
        <x:f>MATCH(J355,'Сводка'!$R$3:$R$397,0)</x:f>
        <x:v>366</x:v>
      </x:c>
      <x:c r="V355" s="4" t="n">
        <x:f>MATCH(J355-'Сводка'!$B$11,'Сводка'!$R$3:$R$397,0)</x:f>
        <x:v>365</x:v>
      </x:c>
      <x:c r="W355" s="4" t="n">
        <x:f>MATCH(T355,$J$388:$J$400,0)</x:f>
        <x:v>13</x:v>
      </x:c>
      <x:c r="X355" s="3"/>
      <x:c r="Y355" s="3"/>
      <x:c r="Z355" s="3"/>
    </x:row>
    <x:row r="356" ht="15" customHeight="1">
      <x:c r="A356" s="3"/>
      <x:c r="B356" s="3"/>
      <x:c r="C356" s="3"/>
      <x:c r="D356" s="3"/>
      <x:c r="E356" s="3"/>
      <x:c r="F356" s="3"/>
      <x:c r="G356" s="3"/>
      <x:c r="H356" s="3"/>
      <x:c r="I356" s="3"/>
      <x:c r="J356" s="10" t="n">
        <x:v>46207</x:v>
      </x:c>
      <x:c r="K356" s="8" t="n">
        <x:f>INDEX('Сводка'!$S$3:$S$397,U356)</x:f>
        <x:v>121</x:v>
      </x:c>
      <x:c r="L356" s="8" t="n">
        <x:f>INDEX('Сводка'!$S$3:$S$397,V356)</x:f>
        <x:v>105</x:v>
      </x:c>
      <x:c r="M356" s="8" t="n">
        <x:f>INDEX($K$388:$N$400,W356,1)*EXP(INDEX($K$388:$N$400,W356,2)*((J356-$T$405+1)/1000))</x:f>
        <x:v>162.83051153911416</x:v>
      </x:c>
      <x:c r="N356" s="8" t="n">
        <x:f>K356-M356</x:f>
        <x:v>-41.830511539114156</x:v>
      </x:c>
      <x:c r="O356" s="8" t="n">
        <x:f>ABS(N356)</x:f>
        <x:v>41.830511539114156</x:v>
      </x:c>
      <x:c r="P356" s="8" t="n">
        <x:f>N356^2</x:f>
        <x:v>1749.7916956239626</x:v>
      </x:c>
      <x:c r="Q356" s="8" t="n">
        <x:f>K356-L356</x:f>
        <x:v>16</x:v>
      </x:c>
      <x:c r="R356" s="9" t="n">
        <x:f>IF(AND(INDEX('Сводка'!$T$3:$T$397,U356)=0,INDEX('Сводка'!$T$3:$T$397,V356)=0),1,0)</x:f>
        <x:v>1</x:v>
      </x:c>
      <x:c r="S356" s="9" t="n">
        <x:f>IF(AND(R356=1,O356&lt;=$G$13),1,0)</x:f>
        <x:v>0</x:v>
      </x:c>
      <x:c r="T356" s="10" t="n">
        <x:f>EOMONTH(J356-'Сводка'!$B$11,-1)</x:f>
        <x:v>46203</x:v>
      </x:c>
      <x:c r="U356" s="4" t="n">
        <x:f>MATCH(J356,'Сводка'!$R$3:$R$397,0)</x:f>
        <x:v>367</x:v>
      </x:c>
      <x:c r="V356" s="4" t="n">
        <x:f>MATCH(J356-'Сводка'!$B$11,'Сводка'!$R$3:$R$397,0)</x:f>
        <x:v>366</x:v>
      </x:c>
      <x:c r="W356" s="4" t="n">
        <x:f>MATCH(T356,$J$388:$J$400,0)</x:f>
        <x:v>13</x:v>
      </x:c>
      <x:c r="X356" s="3"/>
      <x:c r="Y356" s="3"/>
      <x:c r="Z356" s="3"/>
    </x:row>
    <x:row r="357" ht="15" customHeight="1">
      <x:c r="A357" s="3"/>
      <x:c r="B357" s="3"/>
      <x:c r="C357" s="3"/>
      <x:c r="D357" s="3"/>
      <x:c r="E357" s="3"/>
      <x:c r="F357" s="3"/>
      <x:c r="G357" s="3"/>
      <x:c r="H357" s="3"/>
      <x:c r="I357" s="3"/>
      <x:c r="J357" s="10" t="n">
        <x:v>46208</x:v>
      </x:c>
      <x:c r="K357" s="8" t="n">
        <x:f>INDEX('Сводка'!$S$3:$S$397,U357)</x:f>
        <x:v>138</x:v>
      </x:c>
      <x:c r="L357" s="8" t="n">
        <x:f>INDEX('Сводка'!$S$3:$S$397,V357)</x:f>
        <x:v>121</x:v>
      </x:c>
      <x:c r="M357" s="8" t="n">
        <x:f>INDEX($K$388:$N$400,W357,1)*EXP(INDEX($K$388:$N$400,W357,2)*((J357-$T$405+1)/1000))</x:f>
        <x:v>162.8650298253436</x:v>
      </x:c>
      <x:c r="N357" s="8" t="n">
        <x:f>K357-M357</x:f>
        <x:v>-24.865029825343612</x:v>
      </x:c>
      <x:c r="O357" s="8" t="n">
        <x:f>ABS(N357)</x:f>
        <x:v>24.865029825343612</x:v>
      </x:c>
      <x:c r="P357" s="8" t="n">
        <x:f>N357^2</x:f>
        <x:v>618.2697082152274</x:v>
      </x:c>
      <x:c r="Q357" s="8" t="n">
        <x:f>K357-L357</x:f>
        <x:v>17</x:v>
      </x:c>
      <x:c r="R357" s="9" t="n">
        <x:f>IF(AND(INDEX('Сводка'!$T$3:$T$397,U357)=0,INDEX('Сводка'!$T$3:$T$397,V357)=0),1,0)</x:f>
        <x:v>1</x:v>
      </x:c>
      <x:c r="S357" s="9" t="n">
        <x:f>IF(AND(R357=1,O357&lt;=$G$13),1,0)</x:f>
        <x:v>0</x:v>
      </x:c>
      <x:c r="T357" s="10" t="n">
        <x:f>EOMONTH(J357-'Сводка'!$B$11,-1)</x:f>
        <x:v>46203</x:v>
      </x:c>
      <x:c r="U357" s="4" t="n">
        <x:f>MATCH(J357,'Сводка'!$R$3:$R$397,0)</x:f>
        <x:v>368</x:v>
      </x:c>
      <x:c r="V357" s="4" t="n">
        <x:f>MATCH(J357-'Сводка'!$B$11,'Сводка'!$R$3:$R$397,0)</x:f>
        <x:v>367</x:v>
      </x:c>
      <x:c r="W357" s="4" t="n">
        <x:f>MATCH(T357,$J$388:$J$400,0)</x:f>
        <x:v>13</x:v>
      </x:c>
      <x:c r="X357" s="3"/>
      <x:c r="Y357" s="3"/>
      <x:c r="Z357" s="3"/>
    </x:row>
    <x:row r="358" ht="15" customHeight="1">
      <x:c r="A358" s="3"/>
      <x:c r="B358" s="3"/>
      <x:c r="C358" s="3"/>
      <x:c r="D358" s="3"/>
      <x:c r="E358" s="3"/>
      <x:c r="F358" s="3"/>
      <x:c r="G358" s="3"/>
      <x:c r="H358" s="3"/>
      <x:c r="I358" s="3"/>
      <x:c r="J358" s="10" t="n">
        <x:v>46209</x:v>
      </x:c>
      <x:c r="K358" s="8" t="n">
        <x:f>INDEX('Сводка'!$S$3:$S$397,U358)</x:f>
        <x:v>149</x:v>
      </x:c>
      <x:c r="L358" s="8" t="n">
        <x:f>INDEX('Сводка'!$S$3:$S$397,V358)</x:f>
        <x:v>138</x:v>
      </x:c>
      <x:c r="M358" s="8" t="n">
        <x:f>INDEX($K$388:$N$400,W358,1)*EXP(INDEX($K$388:$N$400,W358,2)*((J358-$T$405+1)/1000))</x:f>
        <x:v>162.899555429072</x:v>
      </x:c>
      <x:c r="N358" s="8" t="n">
        <x:f>K358-M358</x:f>
        <x:v>-13.899555429071995</x:v>
      </x:c>
      <x:c r="O358" s="8" t="n">
        <x:f>ABS(N358)</x:f>
        <x:v>13.899555429071995</x:v>
      </x:c>
      <x:c r="P358" s="8" t="n">
        <x:f>N358^2</x:f>
        <x:v>193.19764112584477</x:v>
      </x:c>
      <x:c r="Q358" s="8" t="n">
        <x:f>K358-L358</x:f>
        <x:v>11</x:v>
      </x:c>
      <x:c r="R358" s="9" t="n">
        <x:f>IF(AND(INDEX('Сводка'!$T$3:$T$397,U358)=0,INDEX('Сводка'!$T$3:$T$397,V358)=0),1,0)</x:f>
        <x:v>1</x:v>
      </x:c>
      <x:c r="S358" s="9" t="n">
        <x:f>IF(AND(R358=1,O358&lt;=$G$13),1,0)</x:f>
        <x:v>0</x:v>
      </x:c>
      <x:c r="T358" s="10" t="n">
        <x:f>EOMONTH(J358-'Сводка'!$B$11,-1)</x:f>
        <x:v>46203</x:v>
      </x:c>
      <x:c r="U358" s="4" t="n">
        <x:f>MATCH(J358,'Сводка'!$R$3:$R$397,0)</x:f>
        <x:v>369</x:v>
      </x:c>
      <x:c r="V358" s="4" t="n">
        <x:f>MATCH(J358-'Сводка'!$B$11,'Сводка'!$R$3:$R$397,0)</x:f>
        <x:v>368</x:v>
      </x:c>
      <x:c r="W358" s="4" t="n">
        <x:f>MATCH(T358,$J$388:$J$400,0)</x:f>
        <x:v>13</x:v>
      </x:c>
      <x:c r="X358" s="3"/>
      <x:c r="Y358" s="3"/>
      <x:c r="Z358" s="3"/>
    </x:row>
    <x:row r="359" ht="15" customHeight="1">
      <x:c r="A359" s="3"/>
      <x:c r="B359" s="3"/>
      <x:c r="C359" s="3"/>
      <x:c r="D359" s="3"/>
      <x:c r="E359" s="3"/>
      <x:c r="F359" s="3"/>
      <x:c r="G359" s="3"/>
      <x:c r="H359" s="3"/>
      <x:c r="I359" s="3"/>
      <x:c r="J359" s="10" t="n">
        <x:v>46210</x:v>
      </x:c>
      <x:c r="K359" s="8" t="n">
        <x:f>INDEX('Сводка'!$S$3:$S$397,U359)</x:f>
        <x:v>158</x:v>
      </x:c>
      <x:c r="L359" s="8" t="n">
        <x:f>INDEX('Сводка'!$S$3:$S$397,V359)</x:f>
        <x:v>149</x:v>
      </x:c>
      <x:c r="M359" s="8" t="n">
        <x:f>INDEX($K$388:$N$400,W359,1)*EXP(INDEX($K$388:$N$400,W359,2)*((J359-$T$405+1)/1000))</x:f>
        <x:v>162.93408835185053</x:v>
      </x:c>
      <x:c r="N359" s="8" t="n">
        <x:f>K359-M359</x:f>
        <x:v>-4.934088351850534</x:v>
      </x:c>
      <x:c r="O359" s="8" t="n">
        <x:f>ABS(N359)</x:f>
        <x:v>4.934088351850534</x:v>
      </x:c>
      <x:c r="P359" s="8" t="n">
        <x:f>N359^2</x:f>
        <x:v>24.345227863867116</x:v>
      </x:c>
      <x:c r="Q359" s="8" t="n">
        <x:f>K359-L359</x:f>
        <x:v>9</x:v>
      </x:c>
      <x:c r="R359" s="9" t="n">
        <x:f>IF(AND(INDEX('Сводка'!$T$3:$T$397,U359)=0,INDEX('Сводка'!$T$3:$T$397,V359)=0),1,0)</x:f>
        <x:v>1</x:v>
      </x:c>
      <x:c r="S359" s="9" t="n">
        <x:f>IF(AND(R359=1,O359&lt;=$G$13),1,0)</x:f>
        <x:v>1</x:v>
      </x:c>
      <x:c r="T359" s="10" t="n">
        <x:f>EOMONTH(J359-'Сводка'!$B$11,-1)</x:f>
        <x:v>46203</x:v>
      </x:c>
      <x:c r="U359" s="4" t="n">
        <x:f>MATCH(J359,'Сводка'!$R$3:$R$397,0)</x:f>
        <x:v>370</x:v>
      </x:c>
      <x:c r="V359" s="4" t="n">
        <x:f>MATCH(J359-'Сводка'!$B$11,'Сводка'!$R$3:$R$397,0)</x:f>
        <x:v>369</x:v>
      </x:c>
      <x:c r="W359" s="4" t="n">
        <x:f>MATCH(T359,$J$388:$J$400,0)</x:f>
        <x:v>13</x:v>
      </x:c>
      <x:c r="X359" s="3"/>
      <x:c r="Y359" s="3"/>
      <x:c r="Z359" s="3"/>
    </x:row>
    <x:row r="360" ht="15" customHeight="1">
      <x:c r="A360" s="3"/>
      <x:c r="B360" s="3"/>
      <x:c r="C360" s="3"/>
      <x:c r="D360" s="3"/>
      <x:c r="E360" s="3"/>
      <x:c r="F360" s="3"/>
      <x:c r="G360" s="3"/>
      <x:c r="H360" s="3"/>
      <x:c r="I360" s="3"/>
      <x:c r="J360" s="10" t="n">
        <x:v>46211</x:v>
      </x:c>
      <x:c r="K360" s="8" t="n">
        <x:f>INDEX('Сводка'!$S$3:$S$397,U360)</x:f>
        <x:v>166</x:v>
      </x:c>
      <x:c r="L360" s="8" t="n">
        <x:f>INDEX('Сводка'!$S$3:$S$397,V360)</x:f>
        <x:v>158</x:v>
      </x:c>
      <x:c r="M360" s="8" t="n">
        <x:f>INDEX($K$388:$N$400,W360,1)*EXP(INDEX($K$388:$N$400,W360,2)*((J360-$T$405+1)/1000))</x:f>
        <x:v>162.96862859523068</x:v>
      </x:c>
      <x:c r="N360" s="8" t="n">
        <x:f>K360-M360</x:f>
        <x:v>3.0313714047693168</x:v>
      </x:c>
      <x:c r="O360" s="8" t="n">
        <x:f>ABS(N360)</x:f>
        <x:v>3.0313714047693168</x:v>
      </x:c>
      <x:c r="P360" s="8" t="n">
        <x:f>N360^2</x:f>
        <x:v>9.189212593653101</x:v>
      </x:c>
      <x:c r="Q360" s="8" t="n">
        <x:f>K360-L360</x:f>
        <x:v>8</x:v>
      </x:c>
      <x:c r="R360" s="9" t="n">
        <x:f>IF(AND(INDEX('Сводка'!$T$3:$T$397,U360)=0,INDEX('Сводка'!$T$3:$T$397,V360)=0),1,0)</x:f>
        <x:v>1</x:v>
      </x:c>
      <x:c r="S360" s="9" t="n">
        <x:f>IF(AND(R360=1,O360&lt;=$G$13),1,0)</x:f>
        <x:v>1</x:v>
      </x:c>
      <x:c r="T360" s="10" t="n">
        <x:f>EOMONTH(J360-'Сводка'!$B$11,-1)</x:f>
        <x:v>46203</x:v>
      </x:c>
      <x:c r="U360" s="4" t="n">
        <x:f>MATCH(J360,'Сводка'!$R$3:$R$397,0)</x:f>
        <x:v>371</x:v>
      </x:c>
      <x:c r="V360" s="4" t="n">
        <x:f>MATCH(J360-'Сводка'!$B$11,'Сводка'!$R$3:$R$397,0)</x:f>
        <x:v>370</x:v>
      </x:c>
      <x:c r="W360" s="4" t="n">
        <x:f>MATCH(T360,$J$388:$J$400,0)</x:f>
        <x:v>13</x:v>
      </x:c>
      <x:c r="X360" s="3"/>
      <x:c r="Y360" s="3"/>
      <x:c r="Z360" s="3"/>
    </x:row>
    <x:row r="361" ht="15" customHeight="1">
      <x:c r="A361" s="3"/>
      <x:c r="B361" s="3"/>
      <x:c r="C361" s="3"/>
      <x:c r="D361" s="3"/>
      <x:c r="E361" s="3"/>
      <x:c r="F361" s="3"/>
      <x:c r="G361" s="3"/>
      <x:c r="H361" s="3"/>
      <x:c r="I361" s="3"/>
      <x:c r="J361" s="10" t="n">
        <x:v>46212</x:v>
      </x:c>
      <x:c r="K361" s="8" t="n">
        <x:f>INDEX('Сводка'!$S$3:$S$397,U361)</x:f>
        <x:v>174</x:v>
      </x:c>
      <x:c r="L361" s="8" t="n">
        <x:f>INDEX('Сводка'!$S$3:$S$397,V361)</x:f>
        <x:v>166</x:v>
      </x:c>
      <x:c r="M361" s="8" t="n">
        <x:f>INDEX($K$388:$N$400,W361,1)*EXP(INDEX($K$388:$N$400,W361,2)*((J361-$T$405+1)/1000))</x:f>
        <x:v>163.00317616076438</x:v>
      </x:c>
      <x:c r="N361" s="8" t="n">
        <x:f>K361-M361</x:f>
        <x:v>10.996823839235617</x:v>
      </x:c>
      <x:c r="O361" s="8" t="n">
        <x:f>ABS(N361)</x:f>
        <x:v>10.996823839235617</x:v>
      </x:c>
      <x:c r="P361" s="8" t="n">
        <x:f>N361^2</x:f>
        <x:v>120.93013455118077</x:v>
      </x:c>
      <x:c r="Q361" s="8" t="n">
        <x:f>K361-L361</x:f>
        <x:v>8</x:v>
      </x:c>
      <x:c r="R361" s="9" t="n">
        <x:f>IF(AND(INDEX('Сводка'!$T$3:$T$397,U361)=0,INDEX('Сводка'!$T$3:$T$397,V361)=0),1,0)</x:f>
        <x:v>1</x:v>
      </x:c>
      <x:c r="S361" s="9" t="n">
        <x:f>IF(AND(R361=1,O361&lt;=$G$13),1,0)</x:f>
        <x:v>0</x:v>
      </x:c>
      <x:c r="T361" s="10" t="n">
        <x:f>EOMONTH(J361-'Сводка'!$B$11,-1)</x:f>
        <x:v>46203</x:v>
      </x:c>
      <x:c r="U361" s="4" t="n">
        <x:f>MATCH(J361,'Сводка'!$R$3:$R$397,0)</x:f>
        <x:v>372</x:v>
      </x:c>
      <x:c r="V361" s="4" t="n">
        <x:f>MATCH(J361-'Сводка'!$B$11,'Сводка'!$R$3:$R$397,0)</x:f>
        <x:v>371</x:v>
      </x:c>
      <x:c r="W361" s="4" t="n">
        <x:f>MATCH(T361,$J$388:$J$400,0)</x:f>
        <x:v>13</x:v>
      </x:c>
      <x:c r="X361" s="3"/>
      <x:c r="Y361" s="3"/>
      <x:c r="Z361" s="3"/>
    </x:row>
    <x:row r="362" ht="15" customHeight="1">
      <x:c r="A362" s="3"/>
      <x:c r="B362" s="3"/>
      <x:c r="C362" s="3"/>
      <x:c r="D362" s="3"/>
      <x:c r="E362" s="3"/>
      <x:c r="F362" s="3"/>
      <x:c r="G362" s="3"/>
      <x:c r="H362" s="3"/>
      <x:c r="I362" s="3"/>
      <x:c r="J362" s="10" t="n">
        <x:v>46213</x:v>
      </x:c>
      <x:c r="K362" s="8" t="n">
        <x:f>INDEX('Сводка'!$S$3:$S$397,U362)</x:f>
        <x:v>180</x:v>
      </x:c>
      <x:c r="L362" s="8" t="n">
        <x:f>INDEX('Сводка'!$S$3:$S$397,V362)</x:f>
        <x:v>174</x:v>
      </x:c>
      <x:c r="M362" s="8" t="n">
        <x:f>INDEX($K$388:$N$400,W362,1)*EXP(INDEX($K$388:$N$400,W362,2)*((J362-$T$405+1)/1000))</x:f>
        <x:v>163.0377310500039</x:v>
      </x:c>
      <x:c r="N362" s="8" t="n">
        <x:f>K362-M362</x:f>
        <x:v>16.962268949996087</x:v>
      </x:c>
      <x:c r="O362" s="8" t="n">
        <x:f>ABS(N362)</x:f>
        <x:v>16.962268949996087</x:v>
      </x:c>
      <x:c r="P362" s="8" t="n">
        <x:f>N362^2</x:f>
        <x:v>287.71856793200135</x:v>
      </x:c>
      <x:c r="Q362" s="8" t="n">
        <x:f>K362-L362</x:f>
        <x:v>6</x:v>
      </x:c>
      <x:c r="R362" s="9" t="n">
        <x:f>IF(AND(INDEX('Сводка'!$T$3:$T$397,U362)=0,INDEX('Сводка'!$T$3:$T$397,V362)=0),1,0)</x:f>
        <x:v>1</x:v>
      </x:c>
      <x:c r="S362" s="9" t="n">
        <x:f>IF(AND(R362=1,O362&lt;=$G$13),1,0)</x:f>
        <x:v>0</x:v>
      </x:c>
      <x:c r="T362" s="10" t="n">
        <x:f>EOMONTH(J362-'Сводка'!$B$11,-1)</x:f>
        <x:v>46203</x:v>
      </x:c>
      <x:c r="U362" s="4" t="n">
        <x:f>MATCH(J362,'Сводка'!$R$3:$R$397,0)</x:f>
        <x:v>373</x:v>
      </x:c>
      <x:c r="V362" s="4" t="n">
        <x:f>MATCH(J362-'Сводка'!$B$11,'Сводка'!$R$3:$R$397,0)</x:f>
        <x:v>372</x:v>
      </x:c>
      <x:c r="W362" s="4" t="n">
        <x:f>MATCH(T362,$J$388:$J$400,0)</x:f>
        <x:v>13</x:v>
      </x:c>
      <x:c r="X362" s="3"/>
      <x:c r="Y362" s="3"/>
      <x:c r="Z362" s="3"/>
    </x:row>
    <x:row r="363" ht="15" customHeight="1">
      <x:c r="A363" s="3"/>
      <x:c r="B363" s="3"/>
      <x:c r="C363" s="3"/>
      <x:c r="D363" s="3"/>
      <x:c r="E363" s="3"/>
      <x:c r="F363" s="3"/>
      <x:c r="G363" s="3"/>
      <x:c r="H363" s="3"/>
      <x:c r="I363" s="3"/>
      <x:c r="J363" s="10" t="n">
        <x:v>46214</x:v>
      </x:c>
      <x:c r="K363" s="8" t="n">
        <x:f>INDEX('Сводка'!$S$3:$S$397,U363)</x:f>
        <x:v>181</x:v>
      </x:c>
      <x:c r="L363" s="8" t="n">
        <x:f>INDEX('Сводка'!$S$3:$S$397,V363)</x:f>
        <x:v>180</x:v>
      </x:c>
      <x:c r="M363" s="8" t="n">
        <x:f>INDEX($K$388:$N$400,W363,1)*EXP(INDEX($K$388:$N$400,W363,2)*((J363-$T$405+1)/1000))</x:f>
        <x:v>163.0722932645016</x:v>
      </x:c>
      <x:c r="N363" s="8" t="n">
        <x:f>K363-M363</x:f>
        <x:v>17.92770673549839</x:v>
      </x:c>
      <x:c r="O363" s="8" t="n">
        <x:f>ABS(N363)</x:f>
        <x:v>17.92770673549839</x:v>
      </x:c>
      <x:c r="P363" s="8" t="n">
        <x:f>N363^2</x:f>
        <x:v>321.40266879403435</x:v>
      </x:c>
      <x:c r="Q363" s="8" t="n">
        <x:f>K363-L363</x:f>
        <x:v>1</x:v>
      </x:c>
      <x:c r="R363" s="9" t="n">
        <x:f>IF(AND(INDEX('Сводка'!$T$3:$T$397,U363)=0,INDEX('Сводка'!$T$3:$T$397,V363)=0),1,0)</x:f>
        <x:v>1</x:v>
      </x:c>
      <x:c r="S363" s="9" t="n">
        <x:f>IF(AND(R363=1,O363&lt;=$G$13),1,0)</x:f>
        <x:v>0</x:v>
      </x:c>
      <x:c r="T363" s="10" t="n">
        <x:f>EOMONTH(J363-'Сводка'!$B$11,-1)</x:f>
        <x:v>46203</x:v>
      </x:c>
      <x:c r="U363" s="4" t="n">
        <x:f>MATCH(J363,'Сводка'!$R$3:$R$397,0)</x:f>
        <x:v>374</x:v>
      </x:c>
      <x:c r="V363" s="4" t="n">
        <x:f>MATCH(J363-'Сводка'!$B$11,'Сводка'!$R$3:$R$397,0)</x:f>
        <x:v>373</x:v>
      </x:c>
      <x:c r="W363" s="4" t="n">
        <x:f>MATCH(T363,$J$388:$J$400,0)</x:f>
        <x:v>13</x:v>
      </x:c>
      <x:c r="X363" s="3"/>
      <x:c r="Y363" s="3"/>
      <x:c r="Z363" s="3"/>
    </x:row>
    <x:row r="364" ht="15" customHeight="1">
      <x:c r="A364" s="3"/>
      <x:c r="B364" s="3"/>
      <x:c r="C364" s="3"/>
      <x:c r="D364" s="3"/>
      <x:c r="E364" s="3"/>
      <x:c r="F364" s="3"/>
      <x:c r="G364" s="3"/>
      <x:c r="H364" s="3"/>
      <x:c r="I364" s="3"/>
      <x:c r="J364" s="10" t="n">
        <x:v>46215</x:v>
      </x:c>
      <x:c r="K364" s="8" t="n">
        <x:f>INDEX('Сводка'!$S$3:$S$397,U364)</x:f>
        <x:v>179</x:v>
      </x:c>
      <x:c r="L364" s="8" t="n">
        <x:f>INDEX('Сводка'!$S$3:$S$397,V364)</x:f>
        <x:v>181</x:v>
      </x:c>
      <x:c r="M364" s="8" t="n">
        <x:f>INDEX($K$388:$N$400,W364,1)*EXP(INDEX($K$388:$N$400,W364,2)*((J364-$T$405+1)/1000))</x:f>
        <x:v>163.10686280581055</x:v>
      </x:c>
      <x:c r="N364" s="8" t="n">
        <x:f>K364-M364</x:f>
        <x:v>15.89313719418945</x:v>
      </x:c>
      <x:c r="O364" s="8" t="n">
        <x:f>ABS(N364)</x:f>
        <x:v>15.89313719418945</x:v>
      </x:c>
      <x:c r="P364" s="8" t="n">
        <x:f>N364^2</x:f>
        <x:v>252.5918098733281</x:v>
      </x:c>
      <x:c r="Q364" s="8" t="n">
        <x:f>K364-L364</x:f>
        <x:v>-2</x:v>
      </x:c>
      <x:c r="R364" s="9" t="n">
        <x:f>IF(AND(INDEX('Сводка'!$T$3:$T$397,U364)=0,INDEX('Сводка'!$T$3:$T$397,V364)=0),1,0)</x:f>
        <x:v>1</x:v>
      </x:c>
      <x:c r="S364" s="9" t="n">
        <x:f>IF(AND(R364=1,O364&lt;=$G$13),1,0)</x:f>
        <x:v>0</x:v>
      </x:c>
      <x:c r="T364" s="10" t="n">
        <x:f>EOMONTH(J364-'Сводка'!$B$11,-1)</x:f>
        <x:v>46203</x:v>
      </x:c>
      <x:c r="U364" s="4" t="n">
        <x:f>MATCH(J364,'Сводка'!$R$3:$R$397,0)</x:f>
        <x:v>375</x:v>
      </x:c>
      <x:c r="V364" s="4" t="n">
        <x:f>MATCH(J364-'Сводка'!$B$11,'Сводка'!$R$3:$R$397,0)</x:f>
        <x:v>374</x:v>
      </x:c>
      <x:c r="W364" s="4" t="n">
        <x:f>MATCH(T364,$J$388:$J$400,0)</x:f>
        <x:v>13</x:v>
      </x:c>
      <x:c r="X364" s="3"/>
      <x:c r="Y364" s="3"/>
      <x:c r="Z364" s="3"/>
    </x:row>
    <x:row r="365" ht="15" customHeight="1">
      <x:c r="A365" s="3"/>
      <x:c r="B365" s="3"/>
      <x:c r="C365" s="3"/>
      <x:c r="D365" s="3"/>
      <x:c r="E365" s="3"/>
      <x:c r="F365" s="3"/>
      <x:c r="G365" s="3"/>
      <x:c r="H365" s="3"/>
      <x:c r="I365" s="3"/>
      <x:c r="J365" s="10" t="n">
        <x:v>46216</x:v>
      </x:c>
      <x:c r="K365" s="8" t="n">
        <x:f>INDEX('Сводка'!$S$3:$S$397,U365)</x:f>
        <x:v>182</x:v>
      </x:c>
      <x:c r="L365" s="8" t="n">
        <x:f>INDEX('Сводка'!$S$3:$S$397,V365)</x:f>
        <x:v>179</x:v>
      </x:c>
      <x:c r="M365" s="8" t="n">
        <x:f>INDEX($K$388:$N$400,W365,1)*EXP(INDEX($K$388:$N$400,W365,2)*((J365-$T$405+1)/1000))</x:f>
        <x:v>163.14143967548395</x:v>
      </x:c>
      <x:c r="N365" s="8" t="n">
        <x:f>K365-M365</x:f>
        <x:v>18.85856032451605</x:v>
      </x:c>
      <x:c r="O365" s="8" t="n">
        <x:f>ABS(N365)</x:f>
        <x:v>18.85856032451605</x:v>
      </x:c>
      <x:c r="P365" s="8" t="n">
        <x:f>N365^2</x:f>
        <x:v>355.64529751341087</x:v>
      </x:c>
      <x:c r="Q365" s="8" t="n">
        <x:f>K365-L365</x:f>
        <x:v>3</x:v>
      </x:c>
      <x:c r="R365" s="9" t="n">
        <x:f>IF(AND(INDEX('Сводка'!$T$3:$T$397,U365)=0,INDEX('Сводка'!$T$3:$T$397,V365)=0),1,0)</x:f>
        <x:v>1</x:v>
      </x:c>
      <x:c r="S365" s="9" t="n">
        <x:f>IF(AND(R365=1,O365&lt;=$G$13),1,0)</x:f>
        <x:v>0</x:v>
      </x:c>
      <x:c r="T365" s="10" t="n">
        <x:f>EOMONTH(J365-'Сводка'!$B$11,-1)</x:f>
        <x:v>46203</x:v>
      </x:c>
      <x:c r="U365" s="4" t="n">
        <x:f>MATCH(J365,'Сводка'!$R$3:$R$397,0)</x:f>
        <x:v>376</x:v>
      </x:c>
      <x:c r="V365" s="4" t="n">
        <x:f>MATCH(J365-'Сводка'!$B$11,'Сводка'!$R$3:$R$397,0)</x:f>
        <x:v>375</x:v>
      </x:c>
      <x:c r="W365" s="4" t="n">
        <x:f>MATCH(T365,$J$388:$J$400,0)</x:f>
        <x:v>13</x:v>
      </x:c>
      <x:c r="X365" s="3"/>
      <x:c r="Y365" s="3"/>
      <x:c r="Z365" s="3"/>
    </x:row>
    <x:row r="366" ht="15" customHeight="1">
      <x:c r="A366" s="3"/>
      <x:c r="B366" s="3"/>
      <x:c r="C366" s="3"/>
      <x:c r="D366" s="3"/>
      <x:c r="E366" s="3"/>
      <x:c r="F366" s="3"/>
      <x:c r="G366" s="3"/>
      <x:c r="H366" s="3"/>
      <x:c r="I366" s="3"/>
      <x:c r="J366" s="10" t="n">
        <x:v>46217</x:v>
      </x:c>
      <x:c r="K366" s="8" t="n">
        <x:f>INDEX('Сводка'!$S$3:$S$397,U366)</x:f>
        <x:v>191</x:v>
      </x:c>
      <x:c r="L366" s="8" t="n">
        <x:f>INDEX('Сводка'!$S$3:$S$397,V366)</x:f>
        <x:v>182</x:v>
      </x:c>
      <x:c r="M366" s="8" t="n">
        <x:f>INDEX($K$388:$N$400,W366,1)*EXP(INDEX($K$388:$N$400,W366,2)*((J366-$T$405+1)/1000))</x:f>
        <x:v>163.1760238750752</x:v>
      </x:c>
      <x:c r="N366" s="8" t="n">
        <x:f>K366-M366</x:f>
        <x:v>27.823976124924798</x:v>
      </x:c>
      <x:c r="O366" s="8" t="n">
        <x:f>ABS(N366)</x:f>
        <x:v>27.823976124924798</x:v>
      </x:c>
      <x:c r="P366" s="8" t="n">
        <x:f>N366^2</x:f>
        <x:v>774.1736474003851</x:v>
      </x:c>
      <x:c r="Q366" s="8" t="n">
        <x:f>K366-L366</x:f>
        <x:v>9</x:v>
      </x:c>
      <x:c r="R366" s="9" t="n">
        <x:f>IF(AND(INDEX('Сводка'!$T$3:$T$397,U366)=0,INDEX('Сводка'!$T$3:$T$397,V366)=0),1,0)</x:f>
        <x:v>1</x:v>
      </x:c>
      <x:c r="S366" s="9" t="n">
        <x:f>IF(AND(R366=1,O366&lt;=$G$13),1,0)</x:f>
        <x:v>0</x:v>
      </x:c>
      <x:c r="T366" s="10" t="n">
        <x:f>EOMONTH(J366-'Сводка'!$B$11,-1)</x:f>
        <x:v>46203</x:v>
      </x:c>
      <x:c r="U366" s="4" t="n">
        <x:f>MATCH(J366,'Сводка'!$R$3:$R$397,0)</x:f>
        <x:v>377</x:v>
      </x:c>
      <x:c r="V366" s="4" t="n">
        <x:f>MATCH(J366-'Сводка'!$B$11,'Сводка'!$R$3:$R$397,0)</x:f>
        <x:v>376</x:v>
      </x:c>
      <x:c r="W366" s="4" t="n">
        <x:f>MATCH(T366,$J$388:$J$400,0)</x:f>
        <x:v>13</x:v>
      </x:c>
      <x:c r="X366" s="3"/>
      <x:c r="Y366" s="3"/>
      <x:c r="Z366" s="3"/>
    </x:row>
    <x:row r="367" ht="15" customHeight="1">
      <x:c r="A367" s="3"/>
      <x:c r="B367" s="3"/>
      <x:c r="C367" s="3"/>
      <x:c r="D367" s="3"/>
      <x:c r="E367" s="3"/>
      <x:c r="F367" s="3"/>
      <x:c r="G367" s="3"/>
      <x:c r="H367" s="3"/>
      <x:c r="I367" s="3"/>
      <x:c r="J367" s="10" t="n">
        <x:v>46218</x:v>
      </x:c>
      <x:c r="K367" s="8" t="n">
        <x:f>INDEX('Сводка'!$S$3:$S$397,U367)</x:f>
        <x:v>206</x:v>
      </x:c>
      <x:c r="L367" s="8" t="n">
        <x:f>INDEX('Сводка'!$S$3:$S$397,V367)</x:f>
        <x:v>191</x:v>
      </x:c>
      <x:c r="M367" s="8" t="n">
        <x:f>INDEX($K$388:$N$400,W367,1)*EXP(INDEX($K$388:$N$400,W367,2)*((J367-$T$405+1)/1000))</x:f>
        <x:v>163.2106154061382</x:v>
      </x:c>
      <x:c r="N367" s="8" t="n">
        <x:f>K367-M367</x:f>
        <x:v>42.7893845938618</x:v>
      </x:c>
      <x:c r="O367" s="8" t="n">
        <x:f>ABS(N367)</x:f>
        <x:v>42.7893845938618</x:v>
      </x:c>
      <x:c r="P367" s="8" t="n">
        <x:f>N367^2</x:f>
        <x:v>1830.9314339214172</x:v>
      </x:c>
      <x:c r="Q367" s="8" t="n">
        <x:f>K367-L367</x:f>
        <x:v>15</x:v>
      </x:c>
      <x:c r="R367" s="9" t="n">
        <x:f>IF(AND(INDEX('Сводка'!$T$3:$T$397,U367)=0,INDEX('Сводка'!$T$3:$T$397,V367)=0),1,0)</x:f>
        <x:v>1</x:v>
      </x:c>
      <x:c r="S367" s="9" t="n">
        <x:f>IF(AND(R367=1,O367&lt;=$G$13),1,0)</x:f>
        <x:v>0</x:v>
      </x:c>
      <x:c r="T367" s="10" t="n">
        <x:f>EOMONTH(J367-'Сводка'!$B$11,-1)</x:f>
        <x:v>46203</x:v>
      </x:c>
      <x:c r="U367" s="4" t="n">
        <x:f>MATCH(J367,'Сводка'!$R$3:$R$397,0)</x:f>
        <x:v>378</x:v>
      </x:c>
      <x:c r="V367" s="4" t="n">
        <x:f>MATCH(J367-'Сводка'!$B$11,'Сводка'!$R$3:$R$397,0)</x:f>
        <x:v>377</x:v>
      </x:c>
      <x:c r="W367" s="4" t="n">
        <x:f>MATCH(T367,$J$388:$J$400,0)</x:f>
        <x:v>13</x:v>
      </x:c>
      <x:c r="X367" s="3"/>
      <x:c r="Y367" s="3"/>
      <x:c r="Z367" s="3"/>
    </x:row>
    <x:row r="368" ht="15" customHeight="1">
      <x:c r="A368" s="3"/>
      <x:c r="B368" s="3"/>
      <x:c r="C368" s="3"/>
      <x:c r="D368" s="3"/>
      <x:c r="E368" s="3"/>
      <x:c r="F368" s="3"/>
      <x:c r="G368" s="3"/>
      <x:c r="H368" s="3"/>
      <x:c r="I368" s="3"/>
      <x:c r="J368" s="10" t="n">
        <x:v>46219</x:v>
      </x:c>
      <x:c r="K368" s="8" t="n">
        <x:f>INDEX('Сводка'!$S$3:$S$397,U368)</x:f>
        <x:v>225</x:v>
      </x:c>
      <x:c r="L368" s="8" t="n">
        <x:f>INDEX('Сводка'!$S$3:$S$397,V368)</x:f>
        <x:v>206</x:v>
      </x:c>
      <x:c r="M368" s="8" t="n">
        <x:f>INDEX($K$388:$N$400,W368,1)*EXP(INDEX($K$388:$N$400,W368,2)*((J368-$T$405+1)/1000))</x:f>
        <x:v>163.2452142702272</x:v>
      </x:c>
      <x:c r="N368" s="8" t="n">
        <x:f>K368-M368</x:f>
        <x:v>61.754785729772806</x:v>
      </x:c>
      <x:c r="O368" s="8" t="n">
        <x:f>ABS(N368)</x:f>
        <x:v>61.754785729772806</x:v>
      </x:c>
      <x:c r="P368" s="8" t="n">
        <x:f>N368^2</x:f>
        <x:v>3813.653560530151</x:v>
      </x:c>
      <x:c r="Q368" s="8" t="n">
        <x:f>K368-L368</x:f>
        <x:v>19</x:v>
      </x:c>
      <x:c r="R368" s="9" t="n">
        <x:f>IF(AND(INDEX('Сводка'!$T$3:$T$397,U368)=0,INDEX('Сводка'!$T$3:$T$397,V368)=0),1,0)</x:f>
        <x:v>1</x:v>
      </x:c>
      <x:c r="S368" s="9" t="n">
        <x:f>IF(AND(R368=1,O368&lt;=$G$13),1,0)</x:f>
        <x:v>0</x:v>
      </x:c>
      <x:c r="T368" s="10" t="n">
        <x:f>EOMONTH(J368-'Сводка'!$B$11,-1)</x:f>
        <x:v>46203</x:v>
      </x:c>
      <x:c r="U368" s="4" t="n">
        <x:f>MATCH(J368,'Сводка'!$R$3:$R$397,0)</x:f>
        <x:v>379</x:v>
      </x:c>
      <x:c r="V368" s="4" t="n">
        <x:f>MATCH(J368-'Сводка'!$B$11,'Сводка'!$R$3:$R$397,0)</x:f>
        <x:v>378</x:v>
      </x:c>
      <x:c r="W368" s="4" t="n">
        <x:f>MATCH(T368,$J$388:$J$400,0)</x:f>
        <x:v>13</x:v>
      </x:c>
      <x:c r="X368" s="3"/>
      <x:c r="Y368" s="3"/>
      <x:c r="Z368" s="3"/>
    </x:row>
    <x:row r="369" ht="15" customHeight="1">
      <x:c r="A369" s="3"/>
      <x:c r="B369" s="3"/>
      <x:c r="C369" s="3"/>
      <x:c r="D369" s="3"/>
      <x:c r="E369" s="3"/>
      <x:c r="F369" s="3"/>
      <x:c r="G369" s="3"/>
      <x:c r="H369" s="3"/>
      <x:c r="I369" s="3"/>
      <x:c r="J369" s="10" t="n">
        <x:v>46220</x:v>
      </x:c>
      <x:c r="K369" s="8" t="n">
        <x:f>INDEX('Сводка'!$S$3:$S$397,U369)</x:f>
        <x:v>245</x:v>
      </x:c>
      <x:c r="L369" s="8" t="n">
        <x:f>INDEX('Сводка'!$S$3:$S$397,V369)</x:f>
        <x:v>225</x:v>
      </x:c>
      <x:c r="M369" s="8" t="n">
        <x:f>INDEX($K$388:$N$400,W369,1)*EXP(INDEX($K$388:$N$400,W369,2)*((J369-$T$405+1)/1000))</x:f>
        <x:v>163.27982046889673</x:v>
      </x:c>
      <x:c r="N369" s="8" t="n">
        <x:f>K369-M369</x:f>
        <x:v>81.72017953110327</x:v>
      </x:c>
      <x:c r="O369" s="8" t="n">
        <x:f>ABS(N369)</x:f>
        <x:v>81.72017953110327</x:v>
      </x:c>
      <x:c r="P369" s="8" t="n">
        <x:f>N369^2</x:f>
        <x:v>6678.18774259575</x:v>
      </x:c>
      <x:c r="Q369" s="8" t="n">
        <x:f>K369-L369</x:f>
        <x:v>20</x:v>
      </x:c>
      <x:c r="R369" s="9" t="n">
        <x:f>IF(AND(INDEX('Сводка'!$T$3:$T$397,U369)=0,INDEX('Сводка'!$T$3:$T$397,V369)=0),1,0)</x:f>
        <x:v>1</x:v>
      </x:c>
      <x:c r="S369" s="9" t="n">
        <x:f>IF(AND(R369=1,O369&lt;=$G$13),1,0)</x:f>
        <x:v>0</x:v>
      </x:c>
      <x:c r="T369" s="10" t="n">
        <x:f>EOMONTH(J369-'Сводка'!$B$11,-1)</x:f>
        <x:v>46203</x:v>
      </x:c>
      <x:c r="U369" s="4" t="n">
        <x:f>MATCH(J369,'Сводка'!$R$3:$R$397,0)</x:f>
        <x:v>380</x:v>
      </x:c>
      <x:c r="V369" s="4" t="n">
        <x:f>MATCH(J369-'Сводка'!$B$11,'Сводка'!$R$3:$R$397,0)</x:f>
        <x:v>379</x:v>
      </x:c>
      <x:c r="W369" s="4" t="n">
        <x:f>MATCH(T369,$J$388:$J$400,0)</x:f>
        <x:v>13</x:v>
      </x:c>
      <x:c r="X369" s="3"/>
      <x:c r="Y369" s="3"/>
      <x:c r="Z369" s="3"/>
    </x:row>
    <x:row r="370" ht="15" customHeight="1">
      <x:c r="A370" s="3"/>
      <x:c r="B370" s="3"/>
      <x:c r="C370" s="3"/>
      <x:c r="D370" s="3"/>
      <x:c r="E370" s="3"/>
      <x:c r="F370" s="3"/>
      <x:c r="G370" s="3"/>
      <x:c r="H370" s="3"/>
      <x:c r="I370" s="3"/>
      <x:c r="J370" s="10" t="n">
        <x:v>46221</x:v>
      </x:c>
      <x:c r="K370" s="8" t="n">
        <x:f>INDEX('Сводка'!$S$3:$S$397,U370)</x:f>
        <x:v>266</x:v>
      </x:c>
      <x:c r="L370" s="8" t="n">
        <x:f>INDEX('Сводка'!$S$3:$S$397,V370)</x:f>
        <x:v>245</x:v>
      </x:c>
      <x:c r="M370" s="8" t="n">
        <x:f>INDEX($K$388:$N$400,W370,1)*EXP(INDEX($K$388:$N$400,W370,2)*((J370-$T$405+1)/1000))</x:f>
        <x:v>163.31443400370156</x:v>
      </x:c>
      <x:c r="N370" s="8" t="n">
        <x:f>K370-M370</x:f>
        <x:v>102.68556599629844</x:v>
      </x:c>
      <x:c r="O370" s="8" t="n">
        <x:f>ABS(N370)</x:f>
        <x:v>102.68556599629844</x:v>
      </x:c>
      <x:c r="P370" s="8" t="n">
        <x:f>N370^2</x:f>
        <x:v>10544.325463980162</x:v>
      </x:c>
      <x:c r="Q370" s="8" t="n">
        <x:f>K370-L370</x:f>
        <x:v>21</x:v>
      </x:c>
      <x:c r="R370" s="9" t="n">
        <x:f>IF(AND(INDEX('Сводка'!$T$3:$T$397,U370)=0,INDEX('Сводка'!$T$3:$T$397,V370)=0),1,0)</x:f>
        <x:v>1</x:v>
      </x:c>
      <x:c r="S370" s="9" t="n">
        <x:f>IF(AND(R370=1,O370&lt;=$G$13),1,0)</x:f>
        <x:v>0</x:v>
      </x:c>
      <x:c r="T370" s="10" t="n">
        <x:f>EOMONTH(J370-'Сводка'!$B$11,-1)</x:f>
        <x:v>46203</x:v>
      </x:c>
      <x:c r="U370" s="4" t="n">
        <x:f>MATCH(J370,'Сводка'!$R$3:$R$397,0)</x:f>
        <x:v>381</x:v>
      </x:c>
      <x:c r="V370" s="4" t="n">
        <x:f>MATCH(J370-'Сводка'!$B$11,'Сводка'!$R$3:$R$397,0)</x:f>
        <x:v>380</x:v>
      </x:c>
      <x:c r="W370" s="4" t="n">
        <x:f>MATCH(T370,$J$388:$J$400,0)</x:f>
        <x:v>13</x:v>
      </x:c>
      <x:c r="X370" s="3"/>
      <x:c r="Y370" s="3"/>
      <x:c r="Z370" s="3"/>
    </x:row>
    <x:row r="371" ht="15" customHeight="1">
      <x:c r="A371" s="3"/>
      <x:c r="B371" s="3"/>
      <x:c r="C371" s="3"/>
      <x:c r="D371" s="3"/>
      <x:c r="E371" s="3"/>
      <x:c r="F371" s="3"/>
      <x:c r="G371" s="3"/>
      <x:c r="H371" s="3"/>
      <x:c r="I371" s="3"/>
      <x:c r="J371" s="10" t="n">
        <x:v>46222</x:v>
      </x:c>
      <x:c r="K371" s="8" t="n">
        <x:f>INDEX('Сводка'!$S$3:$S$397,U371)</x:f>
        <x:v>281</x:v>
      </x:c>
      <x:c r="L371" s="8" t="n">
        <x:f>INDEX('Сводка'!$S$3:$S$397,V371)</x:f>
        <x:v>266</x:v>
      </x:c>
      <x:c r="M371" s="8" t="n">
        <x:f>INDEX($K$388:$N$400,W371,1)*EXP(INDEX($K$388:$N$400,W371,2)*((J371-$T$405+1)/1000))</x:f>
        <x:v>163.34905487619693</x:v>
      </x:c>
      <x:c r="N371" s="8" t="n">
        <x:f>K371-M371</x:f>
        <x:v>117.65094512380307</x:v>
      </x:c>
      <x:c r="O371" s="8" t="n">
        <x:f>ABS(N371)</x:f>
        <x:v>117.65094512380307</x:v>
      </x:c>
      <x:c r="P371" s="8" t="n">
        <x:f>N371^2</x:f>
        <x:v>13841.744888524121</x:v>
      </x:c>
      <x:c r="Q371" s="8" t="n">
        <x:f>K371-L371</x:f>
        <x:v>15</x:v>
      </x:c>
      <x:c r="R371" s="9" t="n">
        <x:f>IF(AND(INDEX('Сводка'!$T$3:$T$397,U371)=0,INDEX('Сводка'!$T$3:$T$397,V371)=0),1,0)</x:f>
        <x:v>1</x:v>
      </x:c>
      <x:c r="S371" s="9" t="n">
        <x:f>IF(AND(R371=1,O371&lt;=$G$13),1,0)</x:f>
        <x:v>0</x:v>
      </x:c>
      <x:c r="T371" s="10" t="n">
        <x:f>EOMONTH(J371-'Сводка'!$B$11,-1)</x:f>
        <x:v>46203</x:v>
      </x:c>
      <x:c r="U371" s="4" t="n">
        <x:f>MATCH(J371,'Сводка'!$R$3:$R$397,0)</x:f>
        <x:v>382</x:v>
      </x:c>
      <x:c r="V371" s="4" t="n">
        <x:f>MATCH(J371-'Сводка'!$B$11,'Сводка'!$R$3:$R$397,0)</x:f>
        <x:v>381</x:v>
      </x:c>
      <x:c r="W371" s="4" t="n">
        <x:f>MATCH(T371,$J$388:$J$400,0)</x:f>
        <x:v>13</x:v>
      </x:c>
      <x:c r="X371" s="3"/>
      <x:c r="Y371" s="3"/>
      <x:c r="Z371" s="3"/>
    </x:row>
    <x:row r="372" ht="15" customHeight="1">
      <x:c r="A372" s="3"/>
      <x:c r="B372" s="3"/>
      <x:c r="C372" s="3"/>
      <x:c r="D372" s="3"/>
      <x:c r="E372" s="3"/>
      <x:c r="F372" s="3"/>
      <x:c r="G372" s="3"/>
      <x:c r="H372" s="3"/>
      <x:c r="I372" s="3"/>
      <x:c r="J372" s="10" t="n">
        <x:v>46223</x:v>
      </x:c>
      <x:c r="K372" s="8" t="n">
        <x:f>INDEX('Сводка'!$S$3:$S$397,U372)</x:f>
        <x:v>292</x:v>
      </x:c>
      <x:c r="L372" s="8" t="n">
        <x:f>INDEX('Сводка'!$S$3:$S$397,V372)</x:f>
        <x:v>281</x:v>
      </x:c>
      <x:c r="M372" s="8" t="n">
        <x:f>INDEX($K$388:$N$400,W372,1)*EXP(INDEX($K$388:$N$400,W372,2)*((J372-$T$405+1)/1000))</x:f>
        <x:v>163.3836830879384</x:v>
      </x:c>
      <x:c r="N372" s="8" t="n">
        <x:f>K372-M372</x:f>
        <x:v>128.6163169120616</x:v>
      </x:c>
      <x:c r="O372" s="8" t="n">
        <x:f>ABS(N372)</x:f>
        <x:v>128.6163169120616</x:v>
      </x:c>
      <x:c r="P372" s="8" t="n">
        <x:f>N372^2</x:f>
        <x:v>16542.15697602386</x:v>
      </x:c>
      <x:c r="Q372" s="8" t="n">
        <x:f>K372-L372</x:f>
        <x:v>11</x:v>
      </x:c>
      <x:c r="R372" s="9" t="n">
        <x:f>IF(AND(INDEX('Сводка'!$T$3:$T$397,U372)=0,INDEX('Сводка'!$T$3:$T$397,V372)=0),1,0)</x:f>
        <x:v>1</x:v>
      </x:c>
      <x:c r="S372" s="9" t="n">
        <x:f>IF(AND(R372=1,O372&lt;=$G$13),1,0)</x:f>
        <x:v>0</x:v>
      </x:c>
      <x:c r="T372" s="10" t="n">
        <x:f>EOMONTH(J372-'Сводка'!$B$11,-1)</x:f>
        <x:v>46203</x:v>
      </x:c>
      <x:c r="U372" s="4" t="n">
        <x:f>MATCH(J372,'Сводка'!$R$3:$R$397,0)</x:f>
        <x:v>383</x:v>
      </x:c>
      <x:c r="V372" s="4" t="n">
        <x:f>MATCH(J372-'Сводка'!$B$11,'Сводка'!$R$3:$R$397,0)</x:f>
        <x:v>382</x:v>
      </x:c>
      <x:c r="W372" s="4" t="n">
        <x:f>MATCH(T372,$J$388:$J$400,0)</x:f>
        <x:v>13</x:v>
      </x:c>
      <x:c r="X372" s="3"/>
      <x:c r="Y372" s="3"/>
      <x:c r="Z372" s="3"/>
    </x:row>
    <x:row r="373" ht="15" customHeight="1">
      <x:c r="A373" s="3"/>
      <x:c r="B373" s="3"/>
      <x:c r="C373" s="3"/>
      <x:c r="D373" s="3"/>
      <x:c r="E373" s="3"/>
      <x:c r="F373" s="3"/>
      <x:c r="G373" s="3"/>
      <x:c r="H373" s="3"/>
      <x:c r="I373" s="3"/>
      <x:c r="J373" s="10" t="n">
        <x:v>46224</x:v>
      </x:c>
      <x:c r="K373" s="8" t="n">
        <x:f>INDEX('Сводка'!$S$3:$S$397,U373)</x:f>
        <x:v>303</x:v>
      </x:c>
      <x:c r="L373" s="8" t="n">
        <x:f>INDEX('Сводка'!$S$3:$S$397,V373)</x:f>
        <x:v>292</x:v>
      </x:c>
      <x:c r="M373" s="8" t="n">
        <x:f>INDEX($K$388:$N$400,W373,1)*EXP(INDEX($K$388:$N$400,W373,2)*((J373-$T$405+1)/1000))</x:f>
        <x:v>163.4183186404817</x:v>
      </x:c>
      <x:c r="N373" s="8" t="n">
        <x:f>K373-M373</x:f>
        <x:v>139.5816813595183</x:v>
      </x:c>
      <x:c r="O373" s="8" t="n">
        <x:f>ABS(N373)</x:f>
        <x:v>139.5816813595183</x:v>
      </x:c>
      <x:c r="P373" s="8" t="n">
        <x:f>N373^2</x:f>
        <x:v>19483.045771150104</x:v>
      </x:c>
      <x:c r="Q373" s="8" t="n">
        <x:f>K373-L373</x:f>
        <x:v>11</x:v>
      </x:c>
      <x:c r="R373" s="9" t="n">
        <x:f>IF(AND(INDEX('Сводка'!$T$3:$T$397,U373)=0,INDEX('Сводка'!$T$3:$T$397,V373)=0),1,0)</x:f>
        <x:v>1</x:v>
      </x:c>
      <x:c r="S373" s="9" t="n">
        <x:f>IF(AND(R373=1,O373&lt;=$G$13),1,0)</x:f>
        <x:v>0</x:v>
      </x:c>
      <x:c r="T373" s="10" t="n">
        <x:f>EOMONTH(J373-'Сводка'!$B$11,-1)</x:f>
        <x:v>46203</x:v>
      </x:c>
      <x:c r="U373" s="4" t="n">
        <x:f>MATCH(J373,'Сводка'!$R$3:$R$397,0)</x:f>
        <x:v>384</x:v>
      </x:c>
      <x:c r="V373" s="4" t="n">
        <x:f>MATCH(J373-'Сводка'!$B$11,'Сводка'!$R$3:$R$397,0)</x:f>
        <x:v>383</x:v>
      </x:c>
      <x:c r="W373" s="4" t="n">
        <x:f>MATCH(T373,$J$388:$J$400,0)</x:f>
        <x:v>13</x:v>
      </x:c>
      <x:c r="X373" s="3"/>
      <x:c r="Y373" s="3"/>
      <x:c r="Z373" s="3"/>
    </x:row>
    <x:row r="374" ht="15" customHeight="1">
      <x:c r="A374" s="3"/>
      <x:c r="B374" s="3"/>
      <x:c r="C374" s="3"/>
      <x:c r="D374" s="3"/>
      <x:c r="E374" s="3"/>
      <x:c r="F374" s="3"/>
      <x:c r="G374" s="3"/>
      <x:c r="H374" s="3"/>
      <x:c r="I374" s="3"/>
      <x:c r="J374" s="10" t="n">
        <x:v>46225</x:v>
      </x:c>
      <x:c r="K374" s="8" t="n">
        <x:f>INDEX('Сводка'!$S$3:$S$397,U374)</x:f>
        <x:v>311</x:v>
      </x:c>
      <x:c r="L374" s="8" t="n">
        <x:f>INDEX('Сводка'!$S$3:$S$397,V374)</x:f>
        <x:v>303</x:v>
      </x:c>
      <x:c r="M374" s="8" t="n">
        <x:f>INDEX($K$388:$N$400,W374,1)*EXP(INDEX($K$388:$N$400,W374,2)*((J374-$T$405+1)/1000))</x:f>
        <x:v>163.452961535383</x:v>
      </x:c>
      <x:c r="N374" s="8" t="n">
        <x:f>K374-M374</x:f>
        <x:v>147.547038464617</x:v>
      </x:c>
      <x:c r="O374" s="8" t="n">
        <x:f>ABS(N374)</x:f>
        <x:v>147.547038464617</x:v>
      </x:c>
      <x:c r="P374" s="8" t="n">
        <x:f>N374^2</x:f>
        <x:v>21770.128559679168</x:v>
      </x:c>
      <x:c r="Q374" s="8" t="n">
        <x:f>K374-L374</x:f>
        <x:v>8</x:v>
      </x:c>
      <x:c r="R374" s="9" t="n">
        <x:f>IF(AND(INDEX('Сводка'!$T$3:$T$397,U374)=0,INDEX('Сводка'!$T$3:$T$397,V374)=0),1,0)</x:f>
        <x:v>1</x:v>
      </x:c>
      <x:c r="S374" s="9" t="n">
        <x:f>IF(AND(R374=1,O374&lt;=$G$13),1,0)</x:f>
        <x:v>0</x:v>
      </x:c>
      <x:c r="T374" s="10" t="n">
        <x:f>EOMONTH(J374-'Сводка'!$B$11,-1)</x:f>
        <x:v>46203</x:v>
      </x:c>
      <x:c r="U374" s="4" t="n">
        <x:f>MATCH(J374,'Сводка'!$R$3:$R$397,0)</x:f>
        <x:v>385</x:v>
      </x:c>
      <x:c r="V374" s="4" t="n">
        <x:f>MATCH(J374-'Сводка'!$B$11,'Сводка'!$R$3:$R$397,0)</x:f>
        <x:v>384</x:v>
      </x:c>
      <x:c r="W374" s="4" t="n">
        <x:f>MATCH(T374,$J$388:$J$400,0)</x:f>
        <x:v>13</x:v>
      </x:c>
      <x:c r="X374" s="3"/>
      <x:c r="Y374" s="3"/>
      <x:c r="Z374" s="3"/>
    </x:row>
    <x:row r="375" ht="15" customHeight="1">
      <x:c r="A375" s="3"/>
      <x:c r="B375" s="3"/>
      <x:c r="C375" s="3"/>
      <x:c r="D375" s="3"/>
      <x:c r="E375" s="3"/>
      <x:c r="F375" s="3"/>
      <x:c r="G375" s="3"/>
      <x:c r="H375" s="3"/>
      <x:c r="I375" s="3"/>
      <x:c r="J375" s="10" t="n">
        <x:v>46226</x:v>
      </x:c>
      <x:c r="K375" s="8" t="n">
        <x:f>INDEX('Сводка'!$S$3:$S$397,U375)</x:f>
        <x:v>328</x:v>
      </x:c>
      <x:c r="L375" s="8" t="n">
        <x:f>INDEX('Сводка'!$S$3:$S$397,V375)</x:f>
        <x:v>311</x:v>
      </x:c>
      <x:c r="M375" s="8" t="n">
        <x:f>INDEX($K$388:$N$400,W375,1)*EXP(INDEX($K$388:$N$400,W375,2)*((J375-$T$405+1)/1000))</x:f>
        <x:v>163.48761177419888</x:v>
      </x:c>
      <x:c r="N375" s="8" t="n">
        <x:f>K375-M375</x:f>
        <x:v>164.51238822580112</x:v>
      </x:c>
      <x:c r="O375" s="8" t="n">
        <x:f>ABS(N375)</x:f>
        <x:v>164.51238822580112</x:v>
      </x:c>
      <x:c r="P375" s="8" t="n">
        <x:f>N375^2</x:f>
        <x:v>27064.325879756707</x:v>
      </x:c>
      <x:c r="Q375" s="8" t="n">
        <x:f>K375-L375</x:f>
        <x:v>17</x:v>
      </x:c>
      <x:c r="R375" s="9" t="n">
        <x:f>IF(AND(INDEX('Сводка'!$T$3:$T$397,U375)=0,INDEX('Сводка'!$T$3:$T$397,V375)=0),1,0)</x:f>
        <x:v>1</x:v>
      </x:c>
      <x:c r="S375" s="9" t="n">
        <x:f>IF(AND(R375=1,O375&lt;=$G$13),1,0)</x:f>
        <x:v>0</x:v>
      </x:c>
      <x:c r="T375" s="10" t="n">
        <x:f>EOMONTH(J375-'Сводка'!$B$11,-1)</x:f>
        <x:v>46203</x:v>
      </x:c>
      <x:c r="U375" s="4" t="n">
        <x:f>MATCH(J375,'Сводка'!$R$3:$R$397,0)</x:f>
        <x:v>386</x:v>
      </x:c>
      <x:c r="V375" s="4" t="n">
        <x:f>MATCH(J375-'Сводка'!$B$11,'Сводка'!$R$3:$R$397,0)</x:f>
        <x:v>385</x:v>
      </x:c>
      <x:c r="W375" s="4" t="n">
        <x:f>MATCH(T375,$J$388:$J$400,0)</x:f>
        <x:v>13</x:v>
      </x:c>
      <x:c r="X375" s="3"/>
      <x:c r="Y375" s="3"/>
      <x:c r="Z375" s="3"/>
    </x:row>
    <x:row r="376" ht="15" customHeight="1">
      <x:c r="A376" s="3"/>
      <x:c r="B376" s="3"/>
      <x:c r="C376" s="3"/>
      <x:c r="D376" s="3"/>
      <x:c r="E376" s="3"/>
      <x:c r="F376" s="3"/>
      <x:c r="G376" s="3"/>
      <x:c r="H376" s="3"/>
      <x:c r="I376" s="3"/>
      <x:c r="J376" s="10" t="n">
        <x:v>46227</x:v>
      </x:c>
      <x:c r="K376" s="8" t="n">
        <x:f>INDEX('Сводка'!$S$3:$S$397,U376)</x:f>
        <x:v>340</x:v>
      </x:c>
      <x:c r="L376" s="8" t="n">
        <x:f>INDEX('Сводка'!$S$3:$S$397,V376)</x:f>
        <x:v>328</x:v>
      </x:c>
      <x:c r="M376" s="8" t="n">
        <x:f>INDEX($K$388:$N$400,W376,1)*EXP(INDEX($K$388:$N$400,W376,2)*((J376-$T$405+1)/1000))</x:f>
        <x:v>163.5222693584861</x:v>
      </x:c>
      <x:c r="N376" s="8" t="n">
        <x:f>K376-M376</x:f>
        <x:v>176.4777306415139</x:v>
      </x:c>
      <x:c r="O376" s="8" t="n">
        <x:f>ABS(N376)</x:f>
        <x:v>176.4777306415139</x:v>
      </x:c>
      <x:c r="P376" s="8" t="n">
        <x:f>N376^2</x:f>
        <x:v>31144.38941237873</x:v>
      </x:c>
      <x:c r="Q376" s="8" t="n">
        <x:f>K376-L376</x:f>
        <x:v>12</x:v>
      </x:c>
      <x:c r="R376" s="9" t="n">
        <x:f>IF(AND(INDEX('Сводка'!$T$3:$T$397,U376)=0,INDEX('Сводка'!$T$3:$T$397,V376)=0),1,0)</x:f>
        <x:v>1</x:v>
      </x:c>
      <x:c r="S376" s="9" t="n">
        <x:f>IF(AND(R376=1,O376&lt;=$G$13),1,0)</x:f>
        <x:v>0</x:v>
      </x:c>
      <x:c r="T376" s="10" t="n">
        <x:f>EOMONTH(J376-'Сводка'!$B$11,-1)</x:f>
        <x:v>46203</x:v>
      </x:c>
      <x:c r="U376" s="4" t="n">
        <x:f>MATCH(J376,'Сводка'!$R$3:$R$397,0)</x:f>
        <x:v>387</x:v>
      </x:c>
      <x:c r="V376" s="4" t="n">
        <x:f>MATCH(J376-'Сводка'!$B$11,'Сводка'!$R$3:$R$397,0)</x:f>
        <x:v>386</x:v>
      </x:c>
      <x:c r="W376" s="4" t="n">
        <x:f>MATCH(T376,$J$388:$J$400,0)</x:f>
        <x:v>13</x:v>
      </x:c>
      <x:c r="X376" s="3"/>
      <x:c r="Y376" s="3"/>
      <x:c r="Z376" s="3"/>
    </x:row>
    <x:row r="377" ht="15" customHeight="1">
      <x:c r="A377" s="3"/>
      <x:c r="B377" s="3"/>
      <x:c r="C377" s="3"/>
      <x:c r="D377" s="3"/>
      <x:c r="E377" s="3"/>
      <x:c r="F377" s="3"/>
      <x:c r="G377" s="3"/>
      <x:c r="H377" s="3"/>
      <x:c r="I377" s="3"/>
      <x:c r="J377" s="10" t="n">
        <x:v>46228</x:v>
      </x:c>
      <x:c r="K377" s="8" t="n">
        <x:f>INDEX('Сводка'!$S$3:$S$397,U377)</x:f>
        <x:v>350</x:v>
      </x:c>
      <x:c r="L377" s="8" t="n">
        <x:f>INDEX('Сводка'!$S$3:$S$397,V377)</x:f>
        <x:v>340</x:v>
      </x:c>
      <x:c r="M377" s="8" t="n">
        <x:f>INDEX($K$388:$N$400,W377,1)*EXP(INDEX($K$388:$N$400,W377,2)*((J377-$T$405+1)/1000))</x:f>
        <x:v>163.5569342898019</x:v>
      </x:c>
      <x:c r="N377" s="8" t="n">
        <x:f>K377-M377</x:f>
        <x:v>186.4430657101981</x:v>
      </x:c>
      <x:c r="O377" s="8" t="n">
        <x:f>ABS(N377)</x:f>
        <x:v>186.4430657101981</x:v>
      </x:c>
      <x:c r="P377" s="8" t="n">
        <x:f>N377^2</x:f>
        <x:v>34761.01675141725</x:v>
      </x:c>
      <x:c r="Q377" s="8" t="n">
        <x:f>K377-L377</x:f>
        <x:v>10</x:v>
      </x:c>
      <x:c r="R377" s="9" t="n">
        <x:f>IF(AND(INDEX('Сводка'!$T$3:$T$397,U377)=0,INDEX('Сводка'!$T$3:$T$397,V377)=0),1,0)</x:f>
        <x:v>1</x:v>
      </x:c>
      <x:c r="S377" s="9" t="n">
        <x:f>IF(AND(R377=1,O377&lt;=$G$13),1,0)</x:f>
        <x:v>0</x:v>
      </x:c>
      <x:c r="T377" s="10" t="n">
        <x:f>EOMONTH(J377-'Сводка'!$B$11,-1)</x:f>
        <x:v>46203</x:v>
      </x:c>
      <x:c r="U377" s="4" t="n">
        <x:f>MATCH(J377,'Сводка'!$R$3:$R$397,0)</x:f>
        <x:v>388</x:v>
      </x:c>
      <x:c r="V377" s="4" t="n">
        <x:f>MATCH(J377-'Сводка'!$B$11,'Сводка'!$R$3:$R$397,0)</x:f>
        <x:v>387</x:v>
      </x:c>
      <x:c r="W377" s="4" t="n">
        <x:f>MATCH(T377,$J$388:$J$400,0)</x:f>
        <x:v>13</x:v>
      </x:c>
      <x:c r="X377" s="3"/>
      <x:c r="Y377" s="3"/>
      <x:c r="Z377" s="3"/>
    </x:row>
    <x:row r="378" ht="15" customHeight="1">
      <x:c r="A378" s="3"/>
      <x:c r="B378" s="3"/>
      <x:c r="C378" s="3"/>
      <x:c r="D378" s="3"/>
      <x:c r="E378" s="3"/>
      <x:c r="F378" s="3"/>
      <x:c r="G378" s="3"/>
      <x:c r="H378" s="3"/>
      <x:c r="I378" s="3"/>
      <x:c r="J378" s="10" t="n">
        <x:v>46229</x:v>
      </x:c>
      <x:c r="K378" s="8" t="n">
        <x:f>INDEX('Сводка'!$S$3:$S$397,U378)</x:f>
        <x:v>361</x:v>
      </x:c>
      <x:c r="L378" s="8" t="n">
        <x:f>INDEX('Сводка'!$S$3:$S$397,V378)</x:f>
        <x:v>350</x:v>
      </x:c>
      <x:c r="M378" s="8" t="n">
        <x:f>INDEX($K$388:$N$400,W378,1)*EXP(INDEX($K$388:$N$400,W378,2)*((J378-$T$405+1)/1000))</x:f>
        <x:v>163.59160656970374</x:v>
      </x:c>
      <x:c r="N378" s="8" t="n">
        <x:f>K378-M378</x:f>
        <x:v>197.40839343029626</x:v>
      </x:c>
      <x:c r="O378" s="8" t="n">
        <x:f>ABS(N378)</x:f>
        <x:v>197.40839343029626</x:v>
      </x:c>
      <x:c r="P378" s="8" t="n">
        <x:f>N378^2</x:f>
        <x:v>38970.073796730634</x:v>
      </x:c>
      <x:c r="Q378" s="8" t="n">
        <x:f>K378-L378</x:f>
        <x:v>11</x:v>
      </x:c>
      <x:c r="R378" s="9" t="n">
        <x:f>IF(AND(INDEX('Сводка'!$T$3:$T$397,U378)=0,INDEX('Сводка'!$T$3:$T$397,V378)=0),1,0)</x:f>
        <x:v>1</x:v>
      </x:c>
      <x:c r="S378" s="9" t="n">
        <x:f>IF(AND(R378=1,O378&lt;=$G$13),1,0)</x:f>
        <x:v>0</x:v>
      </x:c>
      <x:c r="T378" s="10" t="n">
        <x:f>EOMONTH(J378-'Сводка'!$B$11,-1)</x:f>
        <x:v>46203</x:v>
      </x:c>
      <x:c r="U378" s="4" t="n">
        <x:f>MATCH(J378,'Сводка'!$R$3:$R$397,0)</x:f>
        <x:v>389</x:v>
      </x:c>
      <x:c r="V378" s="4" t="n">
        <x:f>MATCH(J378-'Сводка'!$B$11,'Сводка'!$R$3:$R$397,0)</x:f>
        <x:v>388</x:v>
      </x:c>
      <x:c r="W378" s="4" t="n">
        <x:f>MATCH(T378,$J$388:$J$400,0)</x:f>
        <x:v>13</x:v>
      </x:c>
      <x:c r="X378" s="3"/>
      <x:c r="Y378" s="3"/>
      <x:c r="Z378" s="3"/>
    </x:row>
    <x:row r="379" ht="15" customHeight="1">
      <x:c r="A379" s="3"/>
      <x:c r="B379" s="3"/>
      <x:c r="C379" s="3"/>
      <x:c r="D379" s="3"/>
      <x:c r="E379" s="3"/>
      <x:c r="F379" s="3"/>
      <x:c r="G379" s="3"/>
      <x:c r="H379" s="3"/>
      <x:c r="I379" s="3"/>
      <x:c r="J379" s="10" t="n">
        <x:v>46230</x:v>
      </x:c>
      <x:c r="K379" s="8" t="n">
        <x:f>INDEX('Сводка'!$S$3:$S$397,U379)</x:f>
        <x:v>369</x:v>
      </x:c>
      <x:c r="L379" s="8" t="n">
        <x:f>INDEX('Сводка'!$S$3:$S$397,V379)</x:f>
        <x:v>361</x:v>
      </x:c>
      <x:c r="M379" s="8" t="n">
        <x:f>INDEX($K$388:$N$400,W379,1)*EXP(INDEX($K$388:$N$400,W379,2)*((J379-$T$405+1)/1000))</x:f>
        <x:v>163.62628619974942</x:v>
      </x:c>
      <x:c r="N379" s="8" t="n">
        <x:f>K379-M379</x:f>
        <x:v>205.37371380025058</x:v>
      </x:c>
      <x:c r="O379" s="8" t="n">
        <x:f>ABS(N379)</x:f>
        <x:v>205.37371380025058</x:v>
      </x:c>
      <x:c r="P379" s="8" t="n">
        <x:f>N379^2</x:f>
        <x:v>42178.36232010724</x:v>
      </x:c>
      <x:c r="Q379" s="8" t="n">
        <x:f>K379-L379</x:f>
        <x:v>8</x:v>
      </x:c>
      <x:c r="R379" s="9" t="n">
        <x:f>IF(AND(INDEX('Сводка'!$T$3:$T$397,U379)=0,INDEX('Сводка'!$T$3:$T$397,V379)=0),1,0)</x:f>
        <x:v>1</x:v>
      </x:c>
      <x:c r="S379" s="9" t="n">
        <x:f>IF(AND(R379=1,O379&lt;=$G$13),1,0)</x:f>
        <x:v>0</x:v>
      </x:c>
      <x:c r="T379" s="10" t="n">
        <x:f>EOMONTH(J379-'Сводка'!$B$11,-1)</x:f>
        <x:v>46203</x:v>
      </x:c>
      <x:c r="U379" s="4" t="n">
        <x:f>MATCH(J379,'Сводка'!$R$3:$R$397,0)</x:f>
        <x:v>390</x:v>
      </x:c>
      <x:c r="V379" s="4" t="n">
        <x:f>MATCH(J379-'Сводка'!$B$11,'Сводка'!$R$3:$R$397,0)</x:f>
        <x:v>389</x:v>
      </x:c>
      <x:c r="W379" s="4" t="n">
        <x:f>MATCH(T379,$J$388:$J$400,0)</x:f>
        <x:v>13</x:v>
      </x:c>
      <x:c r="X379" s="3"/>
      <x:c r="Y379" s="3"/>
      <x:c r="Z379" s="3"/>
    </x:row>
    <x:row r="380" ht="15" customHeight="1">
      <x:c r="A380" s="3"/>
      <x:c r="B380" s="3"/>
      <x:c r="C380" s="3"/>
      <x:c r="D380" s="3"/>
      <x:c r="E380" s="3"/>
      <x:c r="F380" s="3"/>
      <x:c r="G380" s="3"/>
      <x:c r="H380" s="3"/>
      <x:c r="I380" s="3"/>
      <x:c r="J380" s="10" t="n">
        <x:v>46231</x:v>
      </x:c>
      <x:c r="K380" s="8" t="n">
        <x:f>INDEX('Сводка'!$S$3:$S$397,U380)</x:f>
        <x:v>377</x:v>
      </x:c>
      <x:c r="L380" s="8" t="n">
        <x:f>INDEX('Сводка'!$S$3:$S$397,V380)</x:f>
        <x:v>369</x:v>
      </x:c>
      <x:c r="M380" s="8" t="n">
        <x:f>INDEX($K$388:$N$400,W380,1)*EXP(INDEX($K$388:$N$400,W380,2)*((J380-$T$405+1)/1000))</x:f>
        <x:v>163.66097318149704</x:v>
      </x:c>
      <x:c r="N380" s="8" t="n">
        <x:f>K380-M380</x:f>
        <x:v>213.33902681850296</x:v>
      </x:c>
      <x:c r="O380" s="8" t="n">
        <x:f>ABS(N380)</x:f>
        <x:v>213.33902681850296</x:v>
      </x:c>
      <x:c r="P380" s="8" t="n">
        <x:f>N380^2</x:f>
        <x:v>45513.540363865926</x:v>
      </x:c>
      <x:c r="Q380" s="8" t="n">
        <x:f>K380-L380</x:f>
        <x:v>8</x:v>
      </x:c>
      <x:c r="R380" s="9" t="n">
        <x:f>IF(AND(INDEX('Сводка'!$T$3:$T$397,U380)=0,INDEX('Сводка'!$T$3:$T$397,V380)=0),1,0)</x:f>
        <x:v>1</x:v>
      </x:c>
      <x:c r="S380" s="9" t="n">
        <x:f>IF(AND(R380=1,O380&lt;=$G$13),1,0)</x:f>
        <x:v>0</x:v>
      </x:c>
      <x:c r="T380" s="10" t="n">
        <x:f>EOMONTH(J380-'Сводка'!$B$11,-1)</x:f>
        <x:v>46203</x:v>
      </x:c>
      <x:c r="U380" s="4" t="n">
        <x:f>MATCH(J380,'Сводка'!$R$3:$R$397,0)</x:f>
        <x:v>391</x:v>
      </x:c>
      <x:c r="V380" s="4" t="n">
        <x:f>MATCH(J380-'Сводка'!$B$11,'Сводка'!$R$3:$R$397,0)</x:f>
        <x:v>390</x:v>
      </x:c>
      <x:c r="W380" s="4" t="n">
        <x:f>MATCH(T380,$J$388:$J$400,0)</x:f>
        <x:v>13</x:v>
      </x:c>
      <x:c r="X380" s="3"/>
      <x:c r="Y380" s="3"/>
      <x:c r="Z380" s="3"/>
    </x:row>
    <x:row r="381" ht="15" customHeight="1">
      <x:c r="A381" s="3"/>
      <x:c r="B381" s="3"/>
      <x:c r="C381" s="3"/>
      <x:c r="D381" s="3"/>
      <x:c r="E381" s="3"/>
      <x:c r="F381" s="3"/>
      <x:c r="G381" s="3"/>
      <x:c r="H381" s="3"/>
      <x:c r="I381" s="3"/>
      <x:c r="J381" s="10" t="n">
        <x:v>46232</x:v>
      </x:c>
      <x:c r="K381" s="8" t="n">
        <x:f>INDEX('Сводка'!$S$3:$S$397,U381)</x:f>
        <x:v>385</x:v>
      </x:c>
      <x:c r="L381" s="8" t="n">
        <x:f>INDEX('Сводка'!$S$3:$S$397,V381)</x:f>
        <x:v>377</x:v>
      </x:c>
      <x:c r="M381" s="8" t="n">
        <x:f>INDEX($K$388:$N$400,W381,1)*EXP(INDEX($K$388:$N$400,W381,2)*((J381-$T$405+1)/1000))</x:f>
        <x:v>163.69566751650515</x:v>
      </x:c>
      <x:c r="N381" s="8" t="n">
        <x:f>K381-M381</x:f>
        <x:v>221.30433248349485</x:v>
      </x:c>
      <x:c r="O381" s="8" t="n">
        <x:f>ABS(N381)</x:f>
        <x:v>221.30433248349485</x:v>
      </x:c>
      <x:c r="P381" s="8" t="n">
        <x:f>N381^2</x:f>
        <x:v>48975.60757596523</x:v>
      </x:c>
      <x:c r="Q381" s="8" t="n">
        <x:f>K381-L381</x:f>
        <x:v>8</x:v>
      </x:c>
      <x:c r="R381" s="9" t="n">
        <x:f>IF(AND(INDEX('Сводка'!$T$3:$T$397,U381)=0,INDEX('Сводка'!$T$3:$T$397,V381)=0),1,0)</x:f>
        <x:v>1</x:v>
      </x:c>
      <x:c r="S381" s="9" t="n">
        <x:f>IF(AND(R381=1,O381&lt;=$G$13),1,0)</x:f>
        <x:v>0</x:v>
      </x:c>
      <x:c r="T381" s="10" t="n">
        <x:f>EOMONTH(J381-'Сводка'!$B$11,-1)</x:f>
        <x:v>46203</x:v>
      </x:c>
      <x:c r="U381" s="4" t="n">
        <x:f>MATCH(J381,'Сводка'!$R$3:$R$397,0)</x:f>
        <x:v>392</x:v>
      </x:c>
      <x:c r="V381" s="4" t="n">
        <x:f>MATCH(J381-'Сводка'!$B$11,'Сводка'!$R$3:$R$397,0)</x:f>
        <x:v>391</x:v>
      </x:c>
      <x:c r="W381" s="4" t="n">
        <x:f>MATCH(T381,$J$388:$J$400,0)</x:f>
        <x:v>13</x:v>
      </x:c>
      <x:c r="X381" s="3"/>
      <x:c r="Y381" s="3"/>
      <x:c r="Z381" s="3"/>
    </x:row>
    <x:row r="382" ht="15" customHeight="1">
      <x:c r="A382" s="3"/>
      <x:c r="B382" s="3"/>
      <x:c r="C382" s="3"/>
      <x:c r="D382" s="3"/>
      <x:c r="E382" s="3"/>
      <x:c r="F382" s="3"/>
      <x:c r="G382" s="3"/>
      <x:c r="H382" s="3"/>
      <x:c r="I382" s="3"/>
      <x:c r="J382" s="10" t="n">
        <x:v>46233</x:v>
      </x:c>
      <x:c r="K382" s="8" t="n">
        <x:f>INDEX('Сводка'!$S$3:$S$397,U382)</x:f>
        <x:v>389</x:v>
      </x:c>
      <x:c r="L382" s="8" t="n">
        <x:f>INDEX('Сводка'!$S$3:$S$397,V382)</x:f>
        <x:v>385</x:v>
      </x:c>
      <x:c r="M382" s="8" t="n">
        <x:f>INDEX($K$388:$N$400,W382,1)*EXP(INDEX($K$388:$N$400,W382,2)*((J382-$T$405+1)/1000))</x:f>
        <x:v>163.73036920633257</x:v>
      </x:c>
      <x:c r="N382" s="8" t="n">
        <x:f>K382-M382</x:f>
        <x:v>225.26963079366743</x:v>
      </x:c>
      <x:c r="O382" s="8" t="n">
        <x:f>ABS(N382)</x:f>
        <x:v>225.26963079366743</x:v>
      </x:c>
      <x:c r="P382" s="8" t="n">
        <x:f>N382^2</x:f>
        <x:v>50746.40655791524</x:v>
      </x:c>
      <x:c r="Q382" s="8" t="n">
        <x:f>K382-L382</x:f>
        <x:v>4</x:v>
      </x:c>
      <x:c r="R382" s="9" t="n">
        <x:f>IF(AND(INDEX('Сводка'!$T$3:$T$397,U382)=0,INDEX('Сводка'!$T$3:$T$397,V382)=0),1,0)</x:f>
        <x:v>1</x:v>
      </x:c>
      <x:c r="S382" s="9" t="n">
        <x:f>IF(AND(R382=1,O382&lt;=$G$13),1,0)</x:f>
        <x:v>0</x:v>
      </x:c>
      <x:c r="T382" s="10" t="n">
        <x:f>EOMONTH(J382-'Сводка'!$B$11,-1)</x:f>
        <x:v>46203</x:v>
      </x:c>
      <x:c r="U382" s="4" t="n">
        <x:f>MATCH(J382,'Сводка'!$R$3:$R$397,0)</x:f>
        <x:v>393</x:v>
      </x:c>
      <x:c r="V382" s="4" t="n">
        <x:f>MATCH(J382-'Сводка'!$B$11,'Сводка'!$R$3:$R$397,0)</x:f>
        <x:v>392</x:v>
      </x:c>
      <x:c r="W382" s="4" t="n">
        <x:f>MATCH(T382,$J$388:$J$400,0)</x:f>
        <x:v>13</x:v>
      </x:c>
      <x:c r="X382" s="3"/>
      <x:c r="Y382" s="3"/>
      <x:c r="Z382" s="3"/>
    </x:row>
    <x:row r="383" ht="15" customHeight="1">
      <x:c r="A383" s="3"/>
      <x:c r="B383" s="3"/>
      <x:c r="C383" s="3"/>
      <x:c r="D383" s="3"/>
      <x:c r="E383" s="3"/>
      <x:c r="F383" s="3"/>
      <x:c r="G383" s="3"/>
      <x:c r="H383" s="3"/>
      <x:c r="I383" s="3"/>
      <x:c r="J383" s="10" t="n">
        <x:v>46234</x:v>
      </x:c>
      <x:c r="K383" s="8" t="n">
        <x:f>INDEX('Сводка'!$S$3:$S$397,U383)</x:f>
        <x:v>399</x:v>
      </x:c>
      <x:c r="L383" s="8" t="n">
        <x:f>INDEX('Сводка'!$S$3:$S$397,V383)</x:f>
        <x:v>389</x:v>
      </x:c>
      <x:c r="M383" s="8" t="n">
        <x:f>INDEX($K$388:$N$400,W383,1)*EXP(INDEX($K$388:$N$400,W383,2)*((J383-$T$405+1)/1000))</x:f>
        <x:v>163.7650782525384</x:v>
      </x:c>
      <x:c r="N383" s="8" t="n">
        <x:f>K383-M383</x:f>
        <x:v>235.2349217474616</x:v>
      </x:c>
      <x:c r="O383" s="8" t="n">
        <x:f>ABS(N383)</x:f>
        <x:v>235.2349217474616</x:v>
      </x:c>
      <x:c r="P383" s="8" t="n">
        <x:f>N383^2</x:f>
        <x:v>55335.46840953439</x:v>
      </x:c>
      <x:c r="Q383" s="8" t="n">
        <x:f>K383-L383</x:f>
        <x:v>10</x:v>
      </x:c>
      <x:c r="R383" s="9" t="n">
        <x:f>IF(AND(INDEX('Сводка'!$T$3:$T$397,U383)=0,INDEX('Сводка'!$T$3:$T$397,V383)=0),1,0)</x:f>
        <x:v>1</x:v>
      </x:c>
      <x:c r="S383" s="9" t="n">
        <x:f>IF(AND(R383=1,O383&lt;=$G$13),1,0)</x:f>
        <x:v>0</x:v>
      </x:c>
      <x:c r="T383" s="10" t="n">
        <x:f>EOMONTH(J383-'Сводка'!$B$11,-1)</x:f>
        <x:v>46203</x:v>
      </x:c>
      <x:c r="U383" s="4" t="n">
        <x:f>MATCH(J383,'Сводка'!$R$3:$R$397,0)</x:f>
        <x:v>394</x:v>
      </x:c>
      <x:c r="V383" s="4" t="n">
        <x:f>MATCH(J383-'Сводка'!$B$11,'Сводка'!$R$3:$R$397,0)</x:f>
        <x:v>393</x:v>
      </x:c>
      <x:c r="W383" s="4" t="n">
        <x:f>MATCH(T383,$J$388:$J$400,0)</x:f>
        <x:v>13</x:v>
      </x:c>
      <x:c r="X383" s="3"/>
      <x:c r="Y383" s="3"/>
      <x:c r="Z383" s="3"/>
    </x:row>
    <x:row r="384" ht="15" customHeight="1">
      <x:c r="A384" s="3"/>
      <x:c r="B384" s="3"/>
      <x:c r="C384" s="3"/>
      <x:c r="D384" s="3"/>
      <x:c r="E384" s="3"/>
      <x:c r="F384" s="3"/>
      <x:c r="G384" s="3"/>
      <x:c r="H384" s="3"/>
      <x:c r="I384" s="3"/>
      <x:c r="J384" s="10" t="n">
        <x:v>46235</x:v>
      </x:c>
      <x:c r="K384" s="8" t="n">
        <x:f>INDEX('Сводка'!$S$3:$S$397,U384)</x:f>
        <x:v>405</x:v>
      </x:c>
      <x:c r="L384" s="8" t="n">
        <x:f>INDEX('Сводка'!$S$3:$S$397,V384)</x:f>
        <x:v>399</x:v>
      </x:c>
      <x:c r="M384" s="8" t="n">
        <x:f>INDEX($K$388:$N$400,W384,1)*EXP(INDEX($K$388:$N$400,W384,2)*((J384-$T$405+1)/1000))</x:f>
        <x:v>163.79979465668208</x:v>
      </x:c>
      <x:c r="N384" s="8" t="n">
        <x:f>K384-M384</x:f>
        <x:v>241.20020534331792</x:v>
      </x:c>
      <x:c r="O384" s="8" t="n">
        <x:f>ABS(N384)</x:f>
        <x:v>241.20020534331792</x:v>
      </x:c>
      <x:c r="P384" s="8" t="n">
        <x:f>N384^2</x:f>
        <x:v>58177.53905765873</x:v>
      </x:c>
      <x:c r="Q384" s="8" t="n">
        <x:f>K384-L384</x:f>
        <x:v>6</x:v>
      </x:c>
      <x:c r="R384" s="9" t="n">
        <x:f>IF(AND(INDEX('Сводка'!$T$3:$T$397,U384)=0,INDEX('Сводка'!$T$3:$T$397,V384)=0),1,0)</x:f>
        <x:v>1</x:v>
      </x:c>
      <x:c r="S384" s="9" t="n">
        <x:f>IF(AND(R384=1,O384&lt;=$G$13),1,0)</x:f>
        <x:v>0</x:v>
      </x:c>
      <x:c r="T384" s="10" t="n">
        <x:f>EOMONTH(J384-'Сводка'!$B$11,-1)</x:f>
        <x:v>46203</x:v>
      </x:c>
      <x:c r="U384" s="4" t="n">
        <x:f>MATCH(J384,'Сводка'!$R$3:$R$397,0)</x:f>
        <x:v>395</x:v>
      </x:c>
      <x:c r="V384" s="4" t="n">
        <x:f>MATCH(J384-'Сводка'!$B$11,'Сводка'!$R$3:$R$397,0)</x:f>
        <x:v>394</x:v>
      </x:c>
      <x:c r="W384" s="4" t="n">
        <x:f>MATCH(T384,$J$388:$J$400,0)</x:f>
        <x:v>13</x:v>
      </x:c>
      <x:c r="X384" s="3"/>
      <x:c r="Y384" s="3"/>
      <x:c r="Z384" s="3"/>
    </x:row>
    <x:row r="385" ht="15" customHeight="1">
      <x:c r="A385" s="3"/>
      <x:c r="B385" s="3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  <x:c r="N385" s="3"/>
      <x:c r="O385" s="3"/>
      <x:c r="P385" s="3"/>
      <x:c r="Q385" s="3"/>
      <x:c r="R385" s="3"/>
      <x:c r="S385" s="3"/>
      <x:c r="T385" s="3"/>
      <x:c r="U385" s="3"/>
      <x:c r="V385" s="3"/>
      <x:c r="W385" s="3"/>
      <x:c r="X385" s="3"/>
      <x:c r="Y385" s="3"/>
      <x:c r="Z385" s="3"/>
    </x:row>
    <x:row r="386" ht="15" customHeight="1">
      <x:c r="A386" s="3"/>
      <x:c r="B386" s="3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  <x:c r="N386" s="3"/>
      <x:c r="O386" s="3"/>
      <x:c r="P386" s="3"/>
      <x:c r="Q386" s="3"/>
      <x:c r="R386" s="3"/>
      <x:c r="S386" s="3"/>
      <x:c r="T386" s="3"/>
      <x:c r="U386" s="3"/>
      <x:c r="V386" s="3"/>
      <x:c r="W386" s="3"/>
      <x:c r="X386" s="3"/>
      <x:c r="Y386" s="3"/>
      <x:c r="Z386" s="3"/>
    </x:row>
    <x:row r="387" ht="30" customHeight="1">
      <x:c r="A387" s="3"/>
      <x:c r="B387" s="3"/>
      <x:c r="C387" s="3"/>
      <x:c r="D387" s="3"/>
      <x:c r="E387" s="3"/>
      <x:c r="F387" s="3"/>
      <x:c r="G387" s="3"/>
      <x:c r="H387" s="3"/>
      <x:c r="I387" s="3"/>
      <x:c r="J387" s="14" t="str">
        <x:v>Обучение до</x:v>
      </x:c>
      <x:c r="K387" s="14" t="str">
        <x:v>a0/a</x:v>
      </x:c>
      <x:c r="L387" s="14" t="str">
        <x:v>a1/b</x:v>
      </x:c>
      <x:c r="M387" s="14" t="str">
        <x:v>a2</x:v>
      </x:c>
      <x:c r="N387" s="14" t="str">
        <x:v>a3</x:v>
      </x:c>
      <x:c r="O387" s="14" t="str">
        <x:v>c1</x:v>
      </x:c>
      <x:c r="P387" s="14" t="str">
        <x:v>c2</x:v>
      </x:c>
      <x:c r="Q387" s="14" t="str">
        <x:v>c3</x:v>
      </x:c>
      <x:c r="R387" s="14" t="str">
        <x:v>c4</x:v>
      </x:c>
      <x:c r="S387" s="14" t="str">
        <x:v>c5</x:v>
      </x:c>
      <x:c r="T387" s="14" t="str">
        <x:v>c6</x:v>
      </x:c>
      <x:c r="U387" s="14" t="str">
        <x:v>c7</x:v>
      </x:c>
      <x:c r="V387" s="14" t="str">
        <x:v>c8</x:v>
      </x:c>
      <x:c r="W387" s="14" t="str">
        <x:v>c9</x:v>
      </x:c>
      <x:c r="X387" s="14" t="str">
        <x:v>c10</x:v>
      </x:c>
      <x:c r="Y387" s="14" t="str">
        <x:v>c11</x:v>
      </x:c>
      <x:c r="Z387" s="14" t="str">
        <x:v>c12</x:v>
      </x:c>
    </x:row>
    <x:row r="388" ht="15" customHeight="1">
      <x:c r="A388" s="3"/>
      <x:c r="B388" s="3"/>
      <x:c r="C388" s="3"/>
      <x:c r="D388" s="3"/>
      <x:c r="E388" s="3"/>
      <x:c r="F388" s="3"/>
      <x:c r="G388" s="3"/>
      <x:c r="H388" s="3"/>
      <x:c r="I388" s="3"/>
      <x:c r="J388" s="7" t="n">
        <x:v>45838</x:v>
      </x:c>
      <x:c r="K388" s="3" t="n">
        <x:v>20.20964909439934</x:v>
      </x:c>
      <x:c r="L388" s="3" t="n">
        <x:v>0.25647007859210547</x:v>
      </x:c>
      <x:c r="M388" s="3" t="n">
        <x:v>0</x:v>
      </x:c>
      <x:c r="N388" s="3" t="n">
        <x:v>0</x:v>
      </x:c>
      <x:c r="O388" s="3" t="n">
        <x:v>0</x:v>
      </x:c>
      <x:c r="P388" s="3" t="n">
        <x:v>0</x:v>
      </x:c>
      <x:c r="Q388" s="3" t="n">
        <x:v>0</x:v>
      </x:c>
      <x:c r="R388" s="3" t="n">
        <x:v>0</x:v>
      </x:c>
      <x:c r="S388" s="3" t="n">
        <x:v>0</x:v>
      </x:c>
      <x:c r="T388" s="3" t="n">
        <x:v>0</x:v>
      </x:c>
      <x:c r="U388" s="3" t="n">
        <x:v>0</x:v>
      </x:c>
      <x:c r="V388" s="3" t="n">
        <x:v>0</x:v>
      </x:c>
      <x:c r="W388" s="3" t="n">
        <x:v>0</x:v>
      </x:c>
      <x:c r="X388" s="3" t="n">
        <x:v>0</x:v>
      </x:c>
      <x:c r="Y388" s="3" t="n">
        <x:v>0</x:v>
      </x:c>
      <x:c r="Z388" s="3" t="n">
        <x:v>0</x:v>
      </x:c>
    </x:row>
    <x:row r="389" ht="15" customHeight="1">
      <x:c r="A389" s="3"/>
      <x:c r="B389" s="3"/>
      <x:c r="C389" s="3"/>
      <x:c r="D389" s="3"/>
      <x:c r="E389" s="3"/>
      <x:c r="F389" s="3"/>
      <x:c r="G389" s="3"/>
      <x:c r="H389" s="3"/>
      <x:c r="I389" s="3"/>
      <x:c r="J389" s="7" t="n">
        <x:v>45869</x:v>
      </x:c>
      <x:c r="K389" s="3" t="n">
        <x:v>20.18498429855723</x:v>
      </x:c>
      <x:c r="L389" s="3" t="n">
        <x:v>0.2567501157066199</x:v>
      </x:c>
      <x:c r="M389" s="3" t="n">
        <x:v>0</x:v>
      </x:c>
      <x:c r="N389" s="3" t="n">
        <x:v>0</x:v>
      </x:c>
      <x:c r="O389" s="3" t="n">
        <x:v>0</x:v>
      </x:c>
      <x:c r="P389" s="3" t="n">
        <x:v>0</x:v>
      </x:c>
      <x:c r="Q389" s="3" t="n">
        <x:v>0</x:v>
      </x:c>
      <x:c r="R389" s="3" t="n">
        <x:v>0</x:v>
      </x:c>
      <x:c r="S389" s="3" t="n">
        <x:v>0</x:v>
      </x:c>
      <x:c r="T389" s="3" t="n">
        <x:v>0</x:v>
      </x:c>
      <x:c r="U389" s="3" t="n">
        <x:v>0</x:v>
      </x:c>
      <x:c r="V389" s="3" t="n">
        <x:v>0</x:v>
      </x:c>
      <x:c r="W389" s="3" t="n">
        <x:v>0</x:v>
      </x:c>
      <x:c r="X389" s="3" t="n">
        <x:v>0</x:v>
      </x:c>
      <x:c r="Y389" s="3" t="n">
        <x:v>0</x:v>
      </x:c>
      <x:c r="Z389" s="3" t="n">
        <x:v>0</x:v>
      </x:c>
    </x:row>
    <x:row r="390" ht="15" customHeight="1">
      <x:c r="A390" s="3"/>
      <x:c r="B390" s="3"/>
      <x:c r="C390" s="3"/>
      <x:c r="D390" s="3"/>
      <x:c r="E390" s="3"/>
      <x:c r="F390" s="3"/>
      <x:c r="G390" s="3"/>
      <x:c r="H390" s="3"/>
      <x:c r="I390" s="3"/>
      <x:c r="J390" s="7" t="n">
        <x:v>45900</x:v>
      </x:c>
      <x:c r="K390" s="3" t="n">
        <x:v>19.879492842682595</x:v>
      </x:c>
      <x:c r="L390" s="3" t="n">
        <x:v>0.26019163402784606</x:v>
      </x:c>
      <x:c r="M390" s="3" t="n">
        <x:v>0</x:v>
      </x:c>
      <x:c r="N390" s="3" t="n">
        <x:v>0</x:v>
      </x:c>
      <x:c r="O390" s="3" t="n">
        <x:v>0</x:v>
      </x:c>
      <x:c r="P390" s="3" t="n">
        <x:v>0</x:v>
      </x:c>
      <x:c r="Q390" s="3" t="n">
        <x:v>0</x:v>
      </x:c>
      <x:c r="R390" s="3" t="n">
        <x:v>0</x:v>
      </x:c>
      <x:c r="S390" s="3" t="n">
        <x:v>0</x:v>
      </x:c>
      <x:c r="T390" s="3" t="n">
        <x:v>0</x:v>
      </x:c>
      <x:c r="U390" s="3" t="n">
        <x:v>0</x:v>
      </x:c>
      <x:c r="V390" s="3" t="n">
        <x:v>0</x:v>
      </x:c>
      <x:c r="W390" s="3" t="n">
        <x:v>0</x:v>
      </x:c>
      <x:c r="X390" s="3" t="n">
        <x:v>0</x:v>
      </x:c>
      <x:c r="Y390" s="3" t="n">
        <x:v>0</x:v>
      </x:c>
      <x:c r="Z390" s="3" t="n">
        <x:v>0</x:v>
      </x:c>
    </x:row>
    <x:row r="391" ht="15" customHeight="1">
      <x:c r="A391" s="3"/>
      <x:c r="B391" s="3"/>
      <x:c r="C391" s="3"/>
      <x:c r="D391" s="3"/>
      <x:c r="E391" s="3"/>
      <x:c r="F391" s="3"/>
      <x:c r="G391" s="3"/>
      <x:c r="H391" s="3"/>
      <x:c r="I391" s="3"/>
      <x:c r="J391" s="7" t="n">
        <x:v>45930</x:v>
      </x:c>
      <x:c r="K391" s="3" t="n">
        <x:v>19.690683517142865</x:v>
      </x:c>
      <x:c r="L391" s="3" t="n">
        <x:v>0.2623052814190388</x:v>
      </x:c>
      <x:c r="M391" s="3" t="n">
        <x:v>0</x:v>
      </x:c>
      <x:c r="N391" s="3" t="n">
        <x:v>0</x:v>
      </x:c>
      <x:c r="O391" s="3" t="n">
        <x:v>0</x:v>
      </x:c>
      <x:c r="P391" s="3" t="n">
        <x:v>0</x:v>
      </x:c>
      <x:c r="Q391" s="3" t="n">
        <x:v>0</x:v>
      </x:c>
      <x:c r="R391" s="3" t="n">
        <x:v>0</x:v>
      </x:c>
      <x:c r="S391" s="3" t="n">
        <x:v>0</x:v>
      </x:c>
      <x:c r="T391" s="3" t="n">
        <x:v>0</x:v>
      </x:c>
      <x:c r="U391" s="3" t="n">
        <x:v>0</x:v>
      </x:c>
      <x:c r="V391" s="3" t="n">
        <x:v>0</x:v>
      </x:c>
      <x:c r="W391" s="3" t="n">
        <x:v>0</x:v>
      </x:c>
      <x:c r="X391" s="3" t="n">
        <x:v>0</x:v>
      </x:c>
      <x:c r="Y391" s="3" t="n">
        <x:v>0</x:v>
      </x:c>
      <x:c r="Z391" s="3" t="n">
        <x:v>0</x:v>
      </x:c>
    </x:row>
    <x:row r="392" ht="15" customHeight="1">
      <x:c r="A392" s="3"/>
      <x:c r="B392" s="3"/>
      <x:c r="C392" s="3"/>
      <x:c r="D392" s="3"/>
      <x:c r="E392" s="3"/>
      <x:c r="F392" s="3"/>
      <x:c r="G392" s="3"/>
      <x:c r="H392" s="3"/>
      <x:c r="I392" s="3"/>
      <x:c r="J392" s="7" t="n">
        <x:v>45961</x:v>
      </x:c>
      <x:c r="K392" s="3" t="n">
        <x:v>20.01573852562231</x:v>
      </x:c>
      <x:c r="L392" s="3" t="n">
        <x:v>0.25870482470606676</x:v>
      </x:c>
      <x:c r="M392" s="3" t="n">
        <x:v>0</x:v>
      </x:c>
      <x:c r="N392" s="3" t="n">
        <x:v>0</x:v>
      </x:c>
      <x:c r="O392" s="3" t="n">
        <x:v>0</x:v>
      </x:c>
      <x:c r="P392" s="3" t="n">
        <x:v>0</x:v>
      </x:c>
      <x:c r="Q392" s="3" t="n">
        <x:v>0</x:v>
      </x:c>
      <x:c r="R392" s="3" t="n">
        <x:v>0</x:v>
      </x:c>
      <x:c r="S392" s="3" t="n">
        <x:v>0</x:v>
      </x:c>
      <x:c r="T392" s="3" t="n">
        <x:v>0</x:v>
      </x:c>
      <x:c r="U392" s="3" t="n">
        <x:v>0</x:v>
      </x:c>
      <x:c r="V392" s="3" t="n">
        <x:v>0</x:v>
      </x:c>
      <x:c r="W392" s="3" t="n">
        <x:v>0</x:v>
      </x:c>
      <x:c r="X392" s="3" t="n">
        <x:v>0</x:v>
      </x:c>
      <x:c r="Y392" s="3" t="n">
        <x:v>0</x:v>
      </x:c>
      <x:c r="Z392" s="3" t="n">
        <x:v>0</x:v>
      </x:c>
    </x:row>
    <x:row r="393" ht="15" customHeight="1">
      <x:c r="A393" s="3"/>
      <x:c r="B393" s="3"/>
      <x:c r="C393" s="3"/>
      <x:c r="D393" s="3"/>
      <x:c r="E393" s="3"/>
      <x:c r="F393" s="3"/>
      <x:c r="G393" s="3"/>
      <x:c r="H393" s="3"/>
      <x:c r="I393" s="3"/>
      <x:c r="J393" s="7" t="n">
        <x:v>45991</x:v>
      </x:c>
      <x:c r="K393" s="3" t="n">
        <x:v>20.932247845308957</x:v>
      </x:c>
      <x:c r="L393" s="3" t="n">
        <x:v>0.24867904416603387</x:v>
      </x:c>
      <x:c r="M393" s="3" t="n">
        <x:v>0</x:v>
      </x:c>
      <x:c r="N393" s="3" t="n">
        <x:v>0</x:v>
      </x:c>
      <x:c r="O393" s="3" t="n">
        <x:v>0</x:v>
      </x:c>
      <x:c r="P393" s="3" t="n">
        <x:v>0</x:v>
      </x:c>
      <x:c r="Q393" s="3" t="n">
        <x:v>0</x:v>
      </x:c>
      <x:c r="R393" s="3" t="n">
        <x:v>0</x:v>
      </x:c>
      <x:c r="S393" s="3" t="n">
        <x:v>0</x:v>
      </x:c>
      <x:c r="T393" s="3" t="n">
        <x:v>0</x:v>
      </x:c>
      <x:c r="U393" s="3" t="n">
        <x:v>0</x:v>
      </x:c>
      <x:c r="V393" s="3" t="n">
        <x:v>0</x:v>
      </x:c>
      <x:c r="W393" s="3" t="n">
        <x:v>0</x:v>
      </x:c>
      <x:c r="X393" s="3" t="n">
        <x:v>0</x:v>
      </x:c>
      <x:c r="Y393" s="3" t="n">
        <x:v>0</x:v>
      </x:c>
      <x:c r="Z393" s="3" t="n">
        <x:v>0</x:v>
      </x:c>
    </x:row>
    <x:row r="394" ht="15" customHeight="1">
      <x:c r="A394" s="3"/>
      <x:c r="B394" s="3"/>
      <x:c r="C394" s="3"/>
      <x:c r="D394" s="3"/>
      <x:c r="E394" s="3"/>
      <x:c r="F394" s="3"/>
      <x:c r="G394" s="3"/>
      <x:c r="H394" s="3"/>
      <x:c r="I394" s="3"/>
      <x:c r="J394" s="7" t="n">
        <x:v>46022</x:v>
      </x:c>
      <x:c r="K394" s="3" t="n">
        <x:v>21.55999043096509</x:v>
      </x:c>
      <x:c r="L394" s="3" t="n">
        <x:v>0.24191664425176126</x:v>
      </x:c>
      <x:c r="M394" s="3" t="n">
        <x:v>0</x:v>
      </x:c>
      <x:c r="N394" s="3" t="n">
        <x:v>0</x:v>
      </x:c>
      <x:c r="O394" s="3" t="n">
        <x:v>0</x:v>
      </x:c>
      <x:c r="P394" s="3" t="n">
        <x:v>0</x:v>
      </x:c>
      <x:c r="Q394" s="3" t="n">
        <x:v>0</x:v>
      </x:c>
      <x:c r="R394" s="3" t="n">
        <x:v>0</x:v>
      </x:c>
      <x:c r="S394" s="3" t="n">
        <x:v>0</x:v>
      </x:c>
      <x:c r="T394" s="3" t="n">
        <x:v>0</x:v>
      </x:c>
      <x:c r="U394" s="3" t="n">
        <x:v>0</x:v>
      </x:c>
      <x:c r="V394" s="3" t="n">
        <x:v>0</x:v>
      </x:c>
      <x:c r="W394" s="3" t="n">
        <x:v>0</x:v>
      </x:c>
      <x:c r="X394" s="3" t="n">
        <x:v>0</x:v>
      </x:c>
      <x:c r="Y394" s="3" t="n">
        <x:v>0</x:v>
      </x:c>
      <x:c r="Z394" s="3" t="n">
        <x:v>0</x:v>
      </x:c>
    </x:row>
    <x:row r="395" ht="15" customHeight="1">
      <x:c r="A395" s="3"/>
      <x:c r="B395" s="3"/>
      <x:c r="C395" s="3"/>
      <x:c r="D395" s="3"/>
      <x:c r="E395" s="3"/>
      <x:c r="F395" s="3"/>
      <x:c r="G395" s="3"/>
      <x:c r="H395" s="3"/>
      <x:c r="I395" s="3"/>
      <x:c r="J395" s="7" t="n">
        <x:v>46053</x:v>
      </x:c>
      <x:c r="K395" s="3" t="n">
        <x:v>22.265273636265366</x:v>
      </x:c>
      <x:c r="L395" s="3" t="n">
        <x:v>0.23441557342184405</x:v>
      </x:c>
      <x:c r="M395" s="3" t="n">
        <x:v>0</x:v>
      </x:c>
      <x:c r="N395" s="3" t="n">
        <x:v>0</x:v>
      </x:c>
      <x:c r="O395" s="3" t="n">
        <x:v>0</x:v>
      </x:c>
      <x:c r="P395" s="3" t="n">
        <x:v>0</x:v>
      </x:c>
      <x:c r="Q395" s="3" t="n">
        <x:v>0</x:v>
      </x:c>
      <x:c r="R395" s="3" t="n">
        <x:v>0</x:v>
      </x:c>
      <x:c r="S395" s="3" t="n">
        <x:v>0</x:v>
      </x:c>
      <x:c r="T395" s="3" t="n">
        <x:v>0</x:v>
      </x:c>
      <x:c r="U395" s="3" t="n">
        <x:v>0</x:v>
      </x:c>
      <x:c r="V395" s="3" t="n">
        <x:v>0</x:v>
      </x:c>
      <x:c r="W395" s="3" t="n">
        <x:v>0</x:v>
      </x:c>
      <x:c r="X395" s="3" t="n">
        <x:v>0</x:v>
      </x:c>
      <x:c r="Y395" s="3" t="n">
        <x:v>0</x:v>
      </x:c>
      <x:c r="Z395" s="3" t="n">
        <x:v>0</x:v>
      </x:c>
    </x:row>
    <x:row r="396" ht="15" customHeight="1">
      <x:c r="A396" s="3"/>
      <x:c r="B396" s="3"/>
      <x:c r="C396" s="3"/>
      <x:c r="D396" s="3"/>
      <x:c r="E396" s="3"/>
      <x:c r="F396" s="3"/>
      <x:c r="G396" s="3"/>
      <x:c r="H396" s="3"/>
      <x:c r="I396" s="3"/>
      <x:c r="J396" s="7" t="n">
        <x:v>46081</x:v>
      </x:c>
      <x:c r="K396" s="3" t="n">
        <x:v>22.93574998488025</x:v>
      </x:c>
      <x:c r="L396" s="3" t="n">
        <x:v>0.22736023202267963</x:v>
      </x:c>
      <x:c r="M396" s="3" t="n">
        <x:v>0</x:v>
      </x:c>
      <x:c r="N396" s="3" t="n">
        <x:v>0</x:v>
      </x:c>
      <x:c r="O396" s="3" t="n">
        <x:v>0</x:v>
      </x:c>
      <x:c r="P396" s="3" t="n">
        <x:v>0</x:v>
      </x:c>
      <x:c r="Q396" s="3" t="n">
        <x:v>0</x:v>
      </x:c>
      <x:c r="R396" s="3" t="n">
        <x:v>0</x:v>
      </x:c>
      <x:c r="S396" s="3" t="n">
        <x:v>0</x:v>
      </x:c>
      <x:c r="T396" s="3" t="n">
        <x:v>0</x:v>
      </x:c>
      <x:c r="U396" s="3" t="n">
        <x:v>0</x:v>
      </x:c>
      <x:c r="V396" s="3" t="n">
        <x:v>0</x:v>
      </x:c>
      <x:c r="W396" s="3" t="n">
        <x:v>0</x:v>
      </x:c>
      <x:c r="X396" s="3" t="n">
        <x:v>0</x:v>
      </x:c>
      <x:c r="Y396" s="3" t="n">
        <x:v>0</x:v>
      </x:c>
      <x:c r="Z396" s="3" t="n">
        <x:v>0</x:v>
      </x:c>
    </x:row>
    <x:row r="397" ht="15" customHeight="1">
      <x:c r="A397" s="3"/>
      <x:c r="B397" s="3"/>
      <x:c r="C397" s="3"/>
      <x:c r="D397" s="3"/>
      <x:c r="E397" s="3"/>
      <x:c r="F397" s="3"/>
      <x:c r="G397" s="3"/>
      <x:c r="H397" s="3"/>
      <x:c r="I397" s="3"/>
      <x:c r="J397" s="7" t="n">
        <x:v>46112</x:v>
      </x:c>
      <x:c r="K397" s="3" t="n">
        <x:v>23.73206625118642</x:v>
      </x:c>
      <x:c r="L397" s="3" t="n">
        <x:v>0.21905614575840898</x:v>
      </x:c>
      <x:c r="M397" s="3" t="n">
        <x:v>0</x:v>
      </x:c>
      <x:c r="N397" s="3" t="n">
        <x:v>0</x:v>
      </x:c>
      <x:c r="O397" s="3" t="n">
        <x:v>0</x:v>
      </x:c>
      <x:c r="P397" s="3" t="n">
        <x:v>0</x:v>
      </x:c>
      <x:c r="Q397" s="3" t="n">
        <x:v>0</x:v>
      </x:c>
      <x:c r="R397" s="3" t="n">
        <x:v>0</x:v>
      </x:c>
      <x:c r="S397" s="3" t="n">
        <x:v>0</x:v>
      </x:c>
      <x:c r="T397" s="3" t="n">
        <x:v>0</x:v>
      </x:c>
      <x:c r="U397" s="3" t="n">
        <x:v>0</x:v>
      </x:c>
      <x:c r="V397" s="3" t="n">
        <x:v>0</x:v>
      </x:c>
      <x:c r="W397" s="3" t="n">
        <x:v>0</x:v>
      </x:c>
      <x:c r="X397" s="3" t="n">
        <x:v>0</x:v>
      </x:c>
      <x:c r="Y397" s="3" t="n">
        <x:v>0</x:v>
      </x:c>
      <x:c r="Z397" s="3" t="n">
        <x:v>0</x:v>
      </x:c>
    </x:row>
    <x:row r="398" ht="15" customHeight="1">
      <x:c r="A398" s="3"/>
      <x:c r="B398" s="3"/>
      <x:c r="C398" s="3"/>
      <x:c r="D398" s="3"/>
      <x:c r="E398" s="3"/>
      <x:c r="F398" s="3"/>
      <x:c r="G398" s="3"/>
      <x:c r="H398" s="3"/>
      <x:c r="I398" s="3"/>
      <x:c r="J398" s="7" t="n">
        <x:v>46142</x:v>
      </x:c>
      <x:c r="K398" s="3" t="n">
        <x:v>24.159560165027195</x:v>
      </x:c>
      <x:c r="L398" s="3" t="n">
        <x:v>0.21463084209244707</x:v>
      </x:c>
      <x:c r="M398" s="3" t="n">
        <x:v>0</x:v>
      </x:c>
      <x:c r="N398" s="3" t="n">
        <x:v>0</x:v>
      </x:c>
      <x:c r="O398" s="3" t="n">
        <x:v>0</x:v>
      </x:c>
      <x:c r="P398" s="3" t="n">
        <x:v>0</x:v>
      </x:c>
      <x:c r="Q398" s="3" t="n">
        <x:v>0</x:v>
      </x:c>
      <x:c r="R398" s="3" t="n">
        <x:v>0</x:v>
      </x:c>
      <x:c r="S398" s="3" t="n">
        <x:v>0</x:v>
      </x:c>
      <x:c r="T398" s="3" t="n">
        <x:v>0</x:v>
      </x:c>
      <x:c r="U398" s="3" t="n">
        <x:v>0</x:v>
      </x:c>
      <x:c r="V398" s="3" t="n">
        <x:v>0</x:v>
      </x:c>
      <x:c r="W398" s="3" t="n">
        <x:v>0</x:v>
      </x:c>
      <x:c r="X398" s="3" t="n">
        <x:v>0</x:v>
      </x:c>
      <x:c r="Y398" s="3" t="n">
        <x:v>0</x:v>
      </x:c>
      <x:c r="Z398" s="3" t="n">
        <x:v>0</x:v>
      </x:c>
    </x:row>
    <x:row r="399" ht="15" customHeight="1">
      <x:c r="A399" s="3"/>
      <x:c r="B399" s="3"/>
      <x:c r="C399" s="3"/>
      <x:c r="D399" s="3"/>
      <x:c r="E399" s="3"/>
      <x:c r="F399" s="3"/>
      <x:c r="G399" s="3"/>
      <x:c r="H399" s="3"/>
      <x:c r="I399" s="3"/>
      <x:c r="J399" s="7" t="n">
        <x:v>46173</x:v>
      </x:c>
      <x:c r="K399" s="3" t="n">
        <x:v>24.31735120774852</x:v>
      </x:c>
      <x:c r="L399" s="3" t="n">
        <x:v>0.21301119151644876</x:v>
      </x:c>
      <x:c r="M399" s="3" t="n">
        <x:v>0</x:v>
      </x:c>
      <x:c r="N399" s="3" t="n">
        <x:v>0</x:v>
      </x:c>
      <x:c r="O399" s="3" t="n">
        <x:v>0</x:v>
      </x:c>
      <x:c r="P399" s="3" t="n">
        <x:v>0</x:v>
      </x:c>
      <x:c r="Q399" s="3" t="n">
        <x:v>0</x:v>
      </x:c>
      <x:c r="R399" s="3" t="n">
        <x:v>0</x:v>
      </x:c>
      <x:c r="S399" s="3" t="n">
        <x:v>0</x:v>
      </x:c>
      <x:c r="T399" s="3" t="n">
        <x:v>0</x:v>
      </x:c>
      <x:c r="U399" s="3" t="n">
        <x:v>0</x:v>
      </x:c>
      <x:c r="V399" s="3" t="n">
        <x:v>0</x:v>
      </x:c>
      <x:c r="W399" s="3" t="n">
        <x:v>0</x:v>
      </x:c>
      <x:c r="X399" s="3" t="n">
        <x:v>0</x:v>
      </x:c>
      <x:c r="Y399" s="3" t="n">
        <x:v>0</x:v>
      </x:c>
      <x:c r="Z399" s="3" t="n">
        <x:v>0</x:v>
      </x:c>
    </x:row>
    <x:row r="400" ht="15" customHeight="1">
      <x:c r="A400" s="3"/>
      <x:c r="B400" s="3"/>
      <x:c r="C400" s="3"/>
      <x:c r="D400" s="3"/>
      <x:c r="E400" s="3"/>
      <x:c r="F400" s="3"/>
      <x:c r="G400" s="3"/>
      <x:c r="H400" s="3"/>
      <x:c r="I400" s="3"/>
      <x:c r="J400" s="7" t="n">
        <x:v>46203</x:v>
      </x:c>
      <x:c r="K400" s="3" t="n">
        <x:v>24.419864543702456</x:v>
      </x:c>
      <x:c r="L400" s="3" t="n">
        <x:v>0.21196658826926507</x:v>
      </x:c>
      <x:c r="M400" s="3" t="n">
        <x:v>0</x:v>
      </x:c>
      <x:c r="N400" s="3" t="n">
        <x:v>0</x:v>
      </x:c>
      <x:c r="O400" s="3" t="n">
        <x:v>0</x:v>
      </x:c>
      <x:c r="P400" s="3" t="n">
        <x:v>0</x:v>
      </x:c>
      <x:c r="Q400" s="3" t="n">
        <x:v>0</x:v>
      </x:c>
      <x:c r="R400" s="3" t="n">
        <x:v>0</x:v>
      </x:c>
      <x:c r="S400" s="3" t="n">
        <x:v>0</x:v>
      </x:c>
      <x:c r="T400" s="3" t="n">
        <x:v>0</x:v>
      </x:c>
      <x:c r="U400" s="3" t="n">
        <x:v>0</x:v>
      </x:c>
      <x:c r="V400" s="3" t="n">
        <x:v>0</x:v>
      </x:c>
      <x:c r="W400" s="3" t="n">
        <x:v>0</x:v>
      </x:c>
      <x:c r="X400" s="3" t="n">
        <x:v>0</x:v>
      </x:c>
      <x:c r="Y400" s="3" t="n">
        <x:v>0</x:v>
      </x:c>
      <x:c r="Z400" s="3" t="n">
        <x:v>0</x:v>
      </x:c>
    </x:row>
    <x:row r="401" ht="15" customHeight="1">
      <x:c r="A401" s="3"/>
      <x:c r="B401" s="3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  <x:c r="N401" s="3"/>
      <x:c r="O401" s="3"/>
      <x:c r="P401" s="3"/>
      <x:c r="Q401" s="3"/>
      <x:c r="R401" s="3"/>
      <x:c r="S401" s="3"/>
      <x:c r="T401" s="3"/>
      <x:c r="U401" s="3"/>
      <x:c r="V401" s="3"/>
      <x:c r="W401" s="3"/>
      <x:c r="X401" s="3"/>
      <x:c r="Y401" s="3"/>
      <x:c r="Z401" s="3"/>
    </x:row>
    <x:row r="402" ht="15" customHeight="1">
      <x:c r="A402" s="3"/>
      <x:c r="B402" s="3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  <x:c r="N402" s="3"/>
      <x:c r="O402" s="3"/>
      <x:c r="P402" s="3"/>
      <x:c r="Q402" s="3"/>
      <x:c r="R402" s="3"/>
      <x:c r="S402" s="3"/>
      <x:c r="T402" s="3"/>
      <x:c r="U402" s="3"/>
      <x:c r="V402" s="3"/>
      <x:c r="W402" s="3"/>
      <x:c r="X402" s="3"/>
      <x:c r="Y402" s="3"/>
      <x:c r="Z402" s="3"/>
    </x:row>
    <x:row r="403" ht="15" customHeight="1">
      <x:c r="A403" s="3"/>
      <x:c r="B403" s="3"/>
      <x:c r="C403" s="3"/>
      <x:c r="D403" s="3"/>
      <x:c r="E403" s="3"/>
      <x:c r="F403" s="3"/>
      <x:c r="G403" s="3"/>
      <x:c r="H403" s="3"/>
      <x:c r="I403" s="3"/>
      <x:c r="J403" s="3" t="str">
        <x:v>n</x:v>
      </x:c>
      <x:c r="K403" s="3" t="n">
        <x:f>G11</x:f>
        <x:v>355</x:v>
      </x:c>
      <x:c r="L403" s="3"/>
      <x:c r="M403" s="3"/>
      <x:c r="N403" s="3"/>
      <x:c r="O403" s="3"/>
      <x:c r="P403" s="3"/>
      <x:c r="Q403" s="3"/>
      <x:c r="R403" s="3"/>
      <x:c r="S403" s="3" t="str">
        <x:v>s остатков</x:v>
      </x:c>
      <x:c r="T403" s="3" t="n">
        <x:v>165.60217192025453</x:v>
      </x:c>
      <x:c r="U403" s="3"/>
      <x:c r="V403" s="3"/>
      <x:c r="W403" s="3"/>
      <x:c r="X403" s="3"/>
      <x:c r="Y403" s="3"/>
      <x:c r="Z403" s="3"/>
    </x:row>
    <x:row r="404" ht="15" customHeight="1">
      <x:c r="A404" s="3"/>
      <x:c r="B404" s="3"/>
      <x:c r="C404" s="3"/>
      <x:c r="D404" s="3"/>
      <x:c r="E404" s="3"/>
      <x:c r="F404" s="3"/>
      <x:c r="G404" s="3"/>
      <x:c r="H404" s="3"/>
      <x:c r="I404" s="3"/>
      <x:c r="J404" s="3" t="str">
        <x:v>ΣH</x:v>
      </x:c>
      <x:c r="K404" s="3" t="n">
        <x:f>SUMPRODUCT($R$20:$R$384,$K$20:$K$384)</x:f>
        <x:v>28150</x:v>
      </x:c>
      <x:c r="L404" s="3"/>
      <x:c r="M404" s="3"/>
      <x:c r="N404" s="3"/>
      <x:c r="O404" s="3"/>
      <x:c r="P404" s="3"/>
      <x:c r="Q404" s="3"/>
      <x:c r="R404" s="3"/>
      <x:c r="S404" s="3" t="str">
        <x:v>t95</x:v>
      </x:c>
      <x:c r="T404" s="3" t="n">
        <x:v>1.9602400929689823</x:v>
      </x:c>
      <x:c r="U404" s="3"/>
      <x:c r="V404" s="3"/>
      <x:c r="W404" s="3"/>
      <x:c r="X404" s="3"/>
      <x:c r="Y404" s="3"/>
      <x:c r="Z404" s="3"/>
    </x:row>
    <x:row r="405" ht="15" customHeight="1">
      <x:c r="A405" s="3"/>
      <x:c r="B405" s="3"/>
      <x:c r="C405" s="3"/>
      <x:c r="D405" s="3"/>
      <x:c r="E405" s="3"/>
      <x:c r="F405" s="3"/>
      <x:c r="G405" s="3"/>
      <x:c r="H405" s="3"/>
      <x:c r="I405" s="3"/>
      <x:c r="J405" s="3" t="str">
        <x:v>SST</x:v>
      </x:c>
      <x:c r="K405" s="3" t="n">
        <x:f>SUMPRODUCT($R$20:$R$384,$K$20:$K$384,$K$20:$K$384)-K404^2/G11</x:f>
        <x:v>6276929.943661972</x:v>
      </x:c>
      <x:c r="L405" s="3"/>
      <x:c r="M405" s="3"/>
      <x:c r="N405" s="3"/>
      <x:c r="O405" s="3"/>
      <x:c r="P405" s="3"/>
      <x:c r="Q405" s="3"/>
      <x:c r="R405" s="3"/>
      <x:c r="S405" s="3" t="str">
        <x:v>Начало ряда</x:v>
      </x:c>
      <x:c r="T405" s="7" t="n">
        <x:v>37257</x:v>
      </x:c>
      <x:c r="U405" s="3"/>
      <x:c r="V405" s="3"/>
      <x:c r="W405" s="3"/>
      <x:c r="X405" s="3"/>
      <x:c r="Y405" s="3"/>
      <x:c r="Z405" s="3"/>
    </x:row>
    <x:row r="406" ht="15" customHeight="1">
      <x:c r="A406" s="3"/>
      <x:c r="B406" s="3"/>
      <x:c r="C406" s="3"/>
      <x:c r="D406" s="3"/>
      <x:c r="E406" s="3"/>
      <x:c r="F406" s="3"/>
      <x:c r="G406" s="3"/>
      <x:c r="H406" s="3"/>
      <x:c r="I406" s="3"/>
      <x:c r="J406" s="3" t="str">
        <x:v>ΣΔ</x:v>
      </x:c>
      <x:c r="K406" s="3" t="n">
        <x:f>SUMPRODUCT($R$20:$R$384,$Q$20:$Q$384)</x:f>
        <x:v>137</x:v>
      </x:c>
      <x:c r="L406" s="3"/>
      <x:c r="M406" s="3"/>
      <x:c r="N406" s="3"/>
      <x:c r="O406" s="3"/>
      <x:c r="P406" s="3"/>
      <x:c r="Q406" s="3"/>
      <x:c r="R406" s="3"/>
      <x:c r="S406" s="3" t="str">
        <x:v>Длина ряда</x:v>
      </x:c>
      <x:c r="T406" s="3" t="n">
        <x:v>8978</x:v>
      </x:c>
      <x:c r="U406" s="3"/>
      <x:c r="V406" s="3"/>
      <x:c r="W406" s="3"/>
      <x:c r="X406" s="3"/>
      <x:c r="Y406" s="3"/>
      <x:c r="Z406" s="3"/>
    </x:row>
    <x:row r="407" ht="15" customHeight="1">
      <x:c r="A407" s="3"/>
      <x:c r="B407" s="3"/>
      <x:c r="C407" s="3"/>
      <x:c r="D407" s="3"/>
      <x:c r="E407" s="3"/>
      <x:c r="F407" s="3"/>
      <x:c r="G407" s="3"/>
      <x:c r="H407" s="3"/>
      <x:c r="I407" s="3"/>
      <x:c r="J407" s="3" t="str">
        <x:v>SSΔ</x:v>
      </x:c>
      <x:c r="K407" s="3" t="n">
        <x:f>SUMPRODUCT($R$20:$R$384,$Q$20:$Q$384,$Q$20:$Q$384)-K406^2/G11</x:f>
        <x:v>42404.12957746479</x:v>
      </x:c>
      <x:c r="L407" s="3"/>
      <x:c r="M407" s="3"/>
      <x:c r="N407" s="3"/>
      <x:c r="O407" s="3"/>
      <x:c r="P407" s="3"/>
      <x:c r="Q407" s="3"/>
      <x:c r="R407" s="3"/>
      <x:c r="S407" s="3"/>
      <x:c r="T407" s="3"/>
      <x:c r="U407" s="3"/>
      <x:c r="V407" s="3"/>
      <x:c r="W407" s="3"/>
      <x:c r="X407" s="3"/>
      <x:c r="Y407" s="3"/>
      <x:c r="Z407" s="3"/>
    </x:row>
    <x:row r="408" ht="15" customHeight="1">
      <x:c r="A408" s="3"/>
      <x:c r="B408" s="3"/>
      <x:c r="C408" s="3"/>
      <x:c r="D408" s="3"/>
      <x:c r="E408" s="3"/>
      <x:c r="F408" s="3"/>
      <x:c r="G408" s="3"/>
      <x:c r="H408" s="3"/>
      <x:c r="I408" s="3"/>
      <x:c r="J408" s="3" t="str">
        <x:v>SSE</x:v>
      </x:c>
      <x:c r="K408" s="3" t="n">
        <x:f>SUMPRODUCT($R$20:$R$384,$P$20:$P$384)</x:f>
        <x:v>9784702.967313414</x:v>
      </x:c>
      <x:c r="L408" s="3"/>
      <x:c r="M408" s="3"/>
      <x:c r="N408" s="3"/>
      <x:c r="O408" s="3"/>
      <x:c r="P408" s="3"/>
      <x:c r="Q408" s="3"/>
      <x:c r="R408" s="3"/>
      <x:c r="S408" s="3" t="str">
        <x:v>Cov базовых коэффициентов</x:v>
      </x:c>
      <x:c r="T408" s="3"/>
      <x:c r="U408" s="3"/>
      <x:c r="V408" s="3"/>
      <x:c r="W408" s="3"/>
      <x:c r="X408" s="3"/>
      <x:c r="Y408" s="3"/>
      <x:c r="Z408" s="3"/>
    </x:row>
    <x:row r="409" ht="15" customHeight="1">
      <x:c r="A409" s="3"/>
      <x:c r="B409" s="3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  <x:c r="N409" s="3"/>
      <x:c r="O409" s="3"/>
      <x:c r="P409" s="3"/>
      <x:c r="Q409" s="3"/>
      <x:c r="R409" s="3"/>
      <x:c r="S409" s="3" t="n">
        <x:v>3.591177934740647</x:v>
      </x:c>
      <x:c r="T409" s="3" t="n">
        <x:v>-0.0202488010344932</x:v>
      </x:c>
      <x:c r="U409" s="3"/>
      <x:c r="V409" s="3"/>
      <x:c r="W409" s="3"/>
      <x:c r="X409" s="3"/>
      <x:c r="Y409" s="3"/>
      <x:c r="Z409" s="3"/>
    </x:row>
    <x:row r="410" ht="15" customHeight="1">
      <x:c r="A410" s="3"/>
      <x:c r="B410" s="3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  <x:c r="N410" s="3"/>
      <x:c r="O410" s="3"/>
      <x:c r="P410" s="3"/>
      <x:c r="Q410" s="3"/>
      <x:c r="R410" s="3"/>
      <x:c r="S410" s="3" t="n">
        <x:v>-0.020248801034493197</x:v>
      </x:c>
      <x:c r="T410" s="3" t="n">
        <x:v>0.0001236209936816364</x:v>
      </x:c>
      <x:c r="U410" s="3"/>
      <x:c r="V410" s="3"/>
      <x:c r="W410" s="3"/>
      <x:c r="X410" s="3"/>
      <x:c r="Y410" s="3"/>
      <x:c r="Z410" s="3"/>
    </x:row>
    <x:row r="411" ht="15" customHeight="1">
      <x:c r="A411" s="3"/>
      <x:c r="B411" s="3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  <x:c r="N411" s="3"/>
      <x:c r="O411" s="3"/>
      <x:c r="P411" s="3"/>
      <x:c r="Q411" s="3"/>
      <x:c r="R411" s="3"/>
      <x:c r="S411" s="3"/>
      <x:c r="T411" s="3"/>
      <x:c r="U411" s="3"/>
      <x:c r="V411" s="3"/>
      <x:c r="W411" s="3"/>
      <x:c r="X411" s="3"/>
      <x:c r="Y411" s="3"/>
      <x:c r="Z411" s="3"/>
    </x:row>
    <x:row r="412" ht="15" customHeight="1">
      <x:c r="A412" s="3"/>
      <x:c r="B412" s="3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  <x:c r="N412" s="3"/>
      <x:c r="O412" s="3"/>
      <x:c r="P412" s="3"/>
      <x:c r="Q412" s="3"/>
      <x:c r="R412" s="3"/>
      <x:c r="S412" s="3"/>
      <x:c r="T412" s="3"/>
      <x:c r="U412" s="3"/>
      <x:c r="V412" s="3"/>
      <x:c r="W412" s="3"/>
      <x:c r="X412" s="3"/>
      <x:c r="Y412" s="3"/>
      <x:c r="Z412" s="3"/>
    </x:row>
    <x:row r="413" ht="15" customHeight="1">
      <x:c r="A413" s="3"/>
      <x:c r="B413" s="3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  <x:c r="N413" s="3"/>
      <x:c r="O413" s="3"/>
      <x:c r="P413" s="3"/>
      <x:c r="Q413" s="3"/>
      <x:c r="R413" s="3"/>
      <x:c r="S413" s="3"/>
      <x:c r="T413" s="3"/>
      <x:c r="U413" s="3"/>
      <x:c r="V413" s="3"/>
      <x:c r="W413" s="3"/>
      <x:c r="X413" s="3"/>
      <x:c r="Y413" s="3"/>
      <x:c r="Z413" s="3"/>
    </x:row>
    <x:row r="414" ht="15" customHeight="1">
      <x:c r="A414" s="3"/>
      <x:c r="B414" s="3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  <x:c r="N414" s="3"/>
      <x:c r="O414" s="3"/>
      <x:c r="P414" s="3"/>
      <x:c r="Q414" s="3"/>
      <x:c r="R414" s="3"/>
      <x:c r="S414" s="3"/>
      <x:c r="T414" s="3"/>
      <x:c r="U414" s="3"/>
      <x:c r="V414" s="3"/>
      <x:c r="W414" s="3"/>
      <x:c r="X414" s="3"/>
      <x:c r="Y414" s="3"/>
      <x:c r="Z414" s="3"/>
    </x:row>
    <x:row r="415" ht="30" customHeight="1">
      <x:c r="A415" s="3"/>
      <x:c r="B415" s="3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  <x:c r="N415" s="3"/>
      <x:c r="O415" s="3"/>
      <x:c r="P415" s="3"/>
      <x:c r="Q415" s="3"/>
      <x:c r="R415" s="3"/>
      <x:c r="S415" s="14" t="str">
        <x:v>Cov a0,cₘ</x:v>
      </x:c>
      <x:c r="T415" s="14" t="str">
        <x:v>Cov a1,cₘ</x:v>
      </x:c>
      <x:c r="U415" s="14" t="str">
        <x:v>Cov a2,cₘ</x:v>
      </x:c>
      <x:c r="V415" s="14" t="str">
        <x:v>Cov a3,cₘ</x:v>
      </x:c>
      <x:c r="W415" s="14" t="str">
        <x:v>Var cₘ</x:v>
      </x:c>
      <x:c r="X415" s="3"/>
      <x:c r="Y415" s="3"/>
      <x:c r="Z415" s="3"/>
    </x:row>
    <x:row r="416" ht="15" customHeight="1">
      <x:c r="A416" s="3"/>
      <x:c r="B416" s="3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  <x:c r="N416" s="3"/>
      <x:c r="O416" s="3"/>
      <x:c r="P416" s="3"/>
      <x:c r="Q416" s="3"/>
      <x:c r="R416" s="3"/>
      <x:c r="S416" s="3" t="n">
        <x:v>0</x:v>
      </x:c>
      <x:c r="T416" s="3" t="n">
        <x:v>0</x:v>
      </x:c>
      <x:c r="U416" s="3" t="n">
        <x:v>0</x:v>
      </x:c>
      <x:c r="V416" s="3" t="n">
        <x:v>0</x:v>
      </x:c>
      <x:c r="W416" s="3" t="n">
        <x:v>0</x:v>
      </x:c>
      <x:c r="X416" s="3"/>
      <x:c r="Y416" s="3"/>
      <x:c r="Z416" s="3"/>
    </x:row>
    <x:row r="417" ht="15" customHeight="1">
      <x:c r="A417" s="3"/>
      <x:c r="B417" s="3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  <x:c r="N417" s="3"/>
      <x:c r="O417" s="3"/>
      <x:c r="P417" s="3"/>
      <x:c r="Q417" s="3"/>
      <x:c r="R417" s="3"/>
      <x:c r="S417" s="3" t="n">
        <x:v>0</x:v>
      </x:c>
      <x:c r="T417" s="3" t="n">
        <x:v>0</x:v>
      </x:c>
      <x:c r="U417" s="3" t="n">
        <x:v>0</x:v>
      </x:c>
      <x:c r="V417" s="3" t="n">
        <x:v>0</x:v>
      </x:c>
      <x:c r="W417" s="3" t="n">
        <x:v>0</x:v>
      </x:c>
      <x:c r="X417" s="3"/>
      <x:c r="Y417" s="3"/>
      <x:c r="Z417" s="3"/>
    </x:row>
    <x:row r="418" ht="15" customHeight="1">
      <x:c r="A418" s="3"/>
      <x:c r="B418" s="3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  <x:c r="N418" s="3"/>
      <x:c r="O418" s="3"/>
      <x:c r="P418" s="3"/>
      <x:c r="Q418" s="3"/>
      <x:c r="R418" s="3"/>
      <x:c r="S418" s="3" t="n">
        <x:v>0</x:v>
      </x:c>
      <x:c r="T418" s="3" t="n">
        <x:v>0</x:v>
      </x:c>
      <x:c r="U418" s="3" t="n">
        <x:v>0</x:v>
      </x:c>
      <x:c r="V418" s="3" t="n">
        <x:v>0</x:v>
      </x:c>
      <x:c r="W418" s="3" t="n">
        <x:v>0</x:v>
      </x:c>
      <x:c r="X418" s="3"/>
      <x:c r="Y418" s="3"/>
      <x:c r="Z418" s="3"/>
    </x:row>
    <x:row r="419" ht="15" customHeight="1">
      <x:c r="A419" s="3"/>
      <x:c r="B419" s="3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  <x:c r="N419" s="3"/>
      <x:c r="O419" s="3"/>
      <x:c r="P419" s="3"/>
      <x:c r="Q419" s="3"/>
      <x:c r="R419" s="3"/>
      <x:c r="S419" s="3" t="n">
        <x:v>0</x:v>
      </x:c>
      <x:c r="T419" s="3" t="n">
        <x:v>0</x:v>
      </x:c>
      <x:c r="U419" s="3" t="n">
        <x:v>0</x:v>
      </x:c>
      <x:c r="V419" s="3" t="n">
        <x:v>0</x:v>
      </x:c>
      <x:c r="W419" s="3" t="n">
        <x:v>0</x:v>
      </x:c>
      <x:c r="X419" s="3"/>
      <x:c r="Y419" s="3"/>
      <x:c r="Z419" s="3"/>
    </x:row>
    <x:row r="420" ht="15" customHeight="1">
      <x:c r="A420" s="3"/>
      <x:c r="B420" s="3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  <x:c r="N420" s="3"/>
      <x:c r="O420" s="3"/>
      <x:c r="P420" s="3"/>
      <x:c r="Q420" s="3"/>
      <x:c r="R420" s="3"/>
      <x:c r="S420" s="3" t="n">
        <x:v>0</x:v>
      </x:c>
      <x:c r="T420" s="3" t="n">
        <x:v>0</x:v>
      </x:c>
      <x:c r="U420" s="3" t="n">
        <x:v>0</x:v>
      </x:c>
      <x:c r="V420" s="3" t="n">
        <x:v>0</x:v>
      </x:c>
      <x:c r="W420" s="3" t="n">
        <x:v>0</x:v>
      </x:c>
      <x:c r="X420" s="3"/>
      <x:c r="Y420" s="3"/>
      <x:c r="Z420" s="3"/>
    </x:row>
    <x:row r="421" ht="15" customHeight="1">
      <x:c r="A421" s="3"/>
      <x:c r="B421" s="3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  <x:c r="N421" s="3"/>
      <x:c r="O421" s="3"/>
      <x:c r="P421" s="3"/>
      <x:c r="Q421" s="3"/>
      <x:c r="R421" s="3"/>
      <x:c r="S421" s="3" t="n">
        <x:v>0</x:v>
      </x:c>
      <x:c r="T421" s="3" t="n">
        <x:v>0</x:v>
      </x:c>
      <x:c r="U421" s="3" t="n">
        <x:v>0</x:v>
      </x:c>
      <x:c r="V421" s="3" t="n">
        <x:v>0</x:v>
      </x:c>
      <x:c r="W421" s="3" t="n">
        <x:v>0</x:v>
      </x:c>
      <x:c r="X421" s="3"/>
      <x:c r="Y421" s="3"/>
      <x:c r="Z421" s="3"/>
    </x:row>
    <x:row r="422" ht="15" customHeight="1">
      <x:c r="A422" s="3"/>
      <x:c r="B422" s="3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  <x:c r="N422" s="3"/>
      <x:c r="O422" s="3"/>
      <x:c r="P422" s="3"/>
      <x:c r="Q422" s="3"/>
      <x:c r="R422" s="3"/>
      <x:c r="S422" s="3" t="n">
        <x:v>0</x:v>
      </x:c>
      <x:c r="T422" s="3" t="n">
        <x:v>0</x:v>
      </x:c>
      <x:c r="U422" s="3" t="n">
        <x:v>0</x:v>
      </x:c>
      <x:c r="V422" s="3" t="n">
        <x:v>0</x:v>
      </x:c>
      <x:c r="W422" s="3" t="n">
        <x:v>0</x:v>
      </x:c>
      <x:c r="X422" s="3"/>
      <x:c r="Y422" s="3"/>
      <x:c r="Z422" s="3"/>
    </x:row>
    <x:row r="423" ht="15" customHeight="1">
      <x:c r="A423" s="3"/>
      <x:c r="B423" s="3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  <x:c r="N423" s="3"/>
      <x:c r="O423" s="3"/>
      <x:c r="P423" s="3"/>
      <x:c r="Q423" s="3"/>
      <x:c r="R423" s="3"/>
      <x:c r="S423" s="3" t="n">
        <x:v>0</x:v>
      </x:c>
      <x:c r="T423" s="3" t="n">
        <x:v>0</x:v>
      </x:c>
      <x:c r="U423" s="3" t="n">
        <x:v>0</x:v>
      </x:c>
      <x:c r="V423" s="3" t="n">
        <x:v>0</x:v>
      </x:c>
      <x:c r="W423" s="3" t="n">
        <x:v>0</x:v>
      </x:c>
      <x:c r="X423" s="3"/>
      <x:c r="Y423" s="3"/>
      <x:c r="Z423" s="3"/>
    </x:row>
    <x:row r="424" ht="15" customHeight="1">
      <x:c r="A424" s="3"/>
      <x:c r="B424" s="3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  <x:c r="N424" s="3"/>
      <x:c r="O424" s="3"/>
      <x:c r="P424" s="3"/>
      <x:c r="Q424" s="3"/>
      <x:c r="R424" s="3"/>
      <x:c r="S424" s="3" t="n">
        <x:v>0</x:v>
      </x:c>
      <x:c r="T424" s="3" t="n">
        <x:v>0</x:v>
      </x:c>
      <x:c r="U424" s="3" t="n">
        <x:v>0</x:v>
      </x:c>
      <x:c r="V424" s="3" t="n">
        <x:v>0</x:v>
      </x:c>
      <x:c r="W424" s="3" t="n">
        <x:v>0</x:v>
      </x:c>
      <x:c r="X424" s="3"/>
      <x:c r="Y424" s="3"/>
      <x:c r="Z424" s="3"/>
    </x:row>
    <x:row r="425" ht="15" customHeight="1">
      <x:c r="A425" s="3"/>
      <x:c r="B425" s="3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  <x:c r="N425" s="3"/>
      <x:c r="O425" s="3"/>
      <x:c r="P425" s="3"/>
      <x:c r="Q425" s="3"/>
      <x:c r="R425" s="3"/>
      <x:c r="S425" s="3" t="n">
        <x:v>0</x:v>
      </x:c>
      <x:c r="T425" s="3" t="n">
        <x:v>0</x:v>
      </x:c>
      <x:c r="U425" s="3" t="n">
        <x:v>0</x:v>
      </x:c>
      <x:c r="V425" s="3" t="n">
        <x:v>0</x:v>
      </x:c>
      <x:c r="W425" s="3" t="n">
        <x:v>0</x:v>
      </x:c>
      <x:c r="X425" s="3"/>
      <x:c r="Y425" s="3"/>
      <x:c r="Z425" s="3"/>
    </x:row>
    <x:row r="426" ht="15" customHeight="1">
      <x:c r="A426" s="3"/>
      <x:c r="B426" s="3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  <x:c r="N426" s="3"/>
      <x:c r="O426" s="3"/>
      <x:c r="P426" s="3"/>
      <x:c r="Q426" s="3"/>
      <x:c r="R426" s="3"/>
      <x:c r="S426" s="3" t="n">
        <x:v>0</x:v>
      </x:c>
      <x:c r="T426" s="3" t="n">
        <x:v>0</x:v>
      </x:c>
      <x:c r="U426" s="3" t="n">
        <x:v>0</x:v>
      </x:c>
      <x:c r="V426" s="3" t="n">
        <x:v>0</x:v>
      </x:c>
      <x:c r="W426" s="3" t="n">
        <x:v>0</x:v>
      </x:c>
      <x:c r="X426" s="3"/>
      <x:c r="Y426" s="3"/>
      <x:c r="Z426" s="3"/>
    </x:row>
    <x:row r="427" ht="15" customHeight="1">
      <x:c r="A427" s="3"/>
      <x:c r="B427" s="3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  <x:c r="N427" s="3"/>
      <x:c r="O427" s="3"/>
      <x:c r="P427" s="3"/>
      <x:c r="Q427" s="3"/>
      <x:c r="R427" s="3"/>
      <x:c r="S427" s="3" t="n">
        <x:v>0</x:v>
      </x:c>
      <x:c r="T427" s="3" t="n">
        <x:v>0</x:v>
      </x:c>
      <x:c r="U427" s="3" t="n">
        <x:v>0</x:v>
      </x:c>
      <x:c r="V427" s="3" t="n">
        <x:v>0</x:v>
      </x:c>
      <x:c r="W427" s="3" t="n">
        <x:v>0</x:v>
      </x:c>
      <x:c r="X427" s="3"/>
      <x:c r="Y427" s="3"/>
      <x:c r="Z427" s="3"/>
    </x:row>
  </x:sheetData>
  <x:pageMargins left="0.7" right="0.7" top="0.75" bottom="0.75" header="0.3" footer="0.3"/>
  <x:drawing xmlns:r="http://schemas.openxmlformats.org/officeDocument/2006/relationships" r:id="R6a39cd75f24040c9"/>
</x:worksheet>
</file>