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27a3fbf3e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a8ac697ea0247dd"/>
    <x:sheet xmlns:r="http://schemas.openxmlformats.org/officeDocument/2006/relationships" name="Полином 2" sheetId="2" r:id="R34d84633e68f4891"/>
    <x:sheet xmlns:r="http://schemas.openxmlformats.org/officeDocument/2006/relationships" name="Полином 3" sheetId="3" r:id="R24628a1ffa06488d"/>
    <x:sheet xmlns:r="http://schemas.openxmlformats.org/officeDocument/2006/relationships" name="Степенная" sheetId="4" r:id="R337c7f2cd3db469d"/>
    <x:sheet xmlns:r="http://schemas.openxmlformats.org/officeDocument/2006/relationships" name="Логарифмическая" sheetId="5" r:id="R6dbcafadd7fa4718"/>
    <x:sheet xmlns:r="http://schemas.openxmlformats.org/officeDocument/2006/relationships" name="Экспоненциальная" sheetId="6" r:id="R69c432e2ffd1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"/>
    <x:numFmt numFmtId="202" formatCode="yyyy-mm-dd"/>
    <x:numFmt numFmtId="203" formatCode="#,##0"/>
    <x:numFmt numFmtId="204" formatCode="0.000000"/>
    <x:numFmt numFmtId="205" formatCode="0.000"/>
    <x:numFmt numFmtId="206" formatCode="0.0000"/>
  </x:numFmts>
  <x:fonts count="2">
    <x:font>
      <x:sz val="11"/>
      <x:name val="Carlito"/>
    </x:font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1" xfId="0" applyNumberFormat="1" applyFont="1" applyFill="1" applyBorder="1" applyAlignment="1">
      <x:alignment vertical="center"/>
    </x:xf>
    <x:xf numFmtId="206" fontId="1" fillId="0" borderId="1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1415ecafa4c85" /><Relationship Type="http://schemas.openxmlformats.org/officeDocument/2006/relationships/theme" Target="/xl/theme/theme1.xml" Id="Rff0a3a44abf84565" /><Relationship Type="http://schemas.openxmlformats.org/officeDocument/2006/relationships/sharedStrings" Target="/xl/sharedStrings.xml" Id="Rca4de9cda4d747ea" /><Relationship Type="http://schemas.openxmlformats.org/officeDocument/2006/relationships/worksheet" Target="/xl/worksheets/sheet1.xml" Id="Raa8ac697ea0247dd" /><Relationship Type="http://schemas.openxmlformats.org/officeDocument/2006/relationships/worksheet" Target="/xl/worksheets/sheet2.xml" Id="R34d84633e68f4891" /><Relationship Type="http://schemas.openxmlformats.org/officeDocument/2006/relationships/worksheet" Target="/xl/worksheets/sheet3.xml" Id="R24628a1ffa06488d" /><Relationship Type="http://schemas.openxmlformats.org/officeDocument/2006/relationships/worksheet" Target="/xl/worksheets/sheet4.xml" Id="R337c7f2cd3db469d" /><Relationship Type="http://schemas.openxmlformats.org/officeDocument/2006/relationships/worksheet" Target="/xl/worksheets/sheet5.xml" Id="R6dbcafadd7fa4718" /><Relationship Type="http://schemas.openxmlformats.org/officeDocument/2006/relationships/worksheet" Target="/xl/worksheets/sheet6.xml" Id="R69c432e2ffd148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b37fd44381490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7287b57496d407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43aa70fd0d84f0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b32ea7ed0d447f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ec32cac73504c7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53d18dc3c3d4d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Посуточный прогноз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Полином 2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'Сводка'!$A$13:$A$42</c:f>
              <c:strCache>
                <c:ptCount val="0"/>
              </c:strCache>
            </c:strRef>
          </c:cat>
          <c:val>
            <c:numRef>
              <c:f>'Сводка'!$B$13:$B$42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Полином 3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'Сводка'!$A$13:$A$42</c:f>
              <c:strCache>
                <c:ptCount val="0"/>
              </c:strCache>
            </c:strRef>
          </c:cat>
          <c:val>
            <c:numRef>
              <c:f>'Сводка'!$C$13:$C$42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Степенная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'Сводка'!$A$13:$A$42</c:f>
              <c:strCache>
                <c:ptCount val="0"/>
              </c:strCache>
            </c:strRef>
          </c:cat>
          <c:val>
            <c:numRef>
              <c:f>'Сводка'!$D$13:$D$42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Логарифм.</c:v>
          </c:tx>
          <c:spPr>
            <a:ln xmlns:a="http://schemas.openxmlformats.org/drawingml/2006/main" w="1143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'Сводка'!$A$13:$A$42</c:f>
              <c:strCache>
                <c:ptCount val="0"/>
              </c:strCache>
            </c:strRef>
          </c:cat>
          <c:val>
            <c:numRef>
              <c:f>'Сводка'!$E$13:$E$42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Экспонента</c:v>
          </c:tx>
          <c:spPr>
            <a:ln xmlns:a="http://schemas.openxmlformats.org/drawingml/2006/main" w="14288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'Сводка'!$A$13:$A$42</c:f>
              <c:strCache>
                <c:ptCount val="0"/>
              </c:strCache>
            </c:strRef>
          </c:cat>
          <c:val>
            <c:numRef>
              <c:f>'Сводка'!$F$13:$F$42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ед. CSV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Полином 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'Полином 2'!$A$11:$A$40</c:f>
              <c:strCache>
                <c:ptCount val="0"/>
              </c:strCache>
            </c:strRef>
          </c:cat>
          <c:val>
            <c:numRef>
              <c:f>'Полином 2'!$D$11:$D$40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'Полином 2'!$A$11:$A$40</c:f>
              <c:strCache>
                <c:ptCount val="0"/>
              </c:strCache>
            </c:strRef>
          </c:cat>
          <c:val>
            <c:numRef>
              <c:f>'Полином 2'!$F$11:$F$40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'Полином 2'!$A$11:$A$40</c:f>
              <c:strCache>
                <c:ptCount val="0"/>
              </c:strCache>
            </c:strRef>
          </c:cat>
          <c:val>
            <c:numRef>
              <c:f>'Полином 2'!$G$11:$G$40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ед. CSV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Полином 3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'Полином 3'!$A$11:$A$40</c:f>
              <c:strCache>
                <c:ptCount val="0"/>
              </c:strCache>
            </c:strRef>
          </c:cat>
          <c:val>
            <c:numRef>
              <c:f>'Полином 3'!$D$11:$D$40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'Полином 3'!$A$11:$A$40</c:f>
              <c:strCache>
                <c:ptCount val="0"/>
              </c:strCache>
            </c:strRef>
          </c:cat>
          <c:val>
            <c:numRef>
              <c:f>'Полином 3'!$F$11:$F$40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'Полином 3'!$A$11:$A$40</c:f>
              <c:strCache>
                <c:ptCount val="0"/>
              </c:strCache>
            </c:strRef>
          </c:cat>
          <c:val>
            <c:numRef>
              <c:f>'Полином 3'!$G$11:$G$40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ед. CSV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Степенная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'Степенная'!$A$11:$A$40</c:f>
              <c:strCache>
                <c:ptCount val="0"/>
              </c:strCache>
            </c:strRef>
          </c:cat>
          <c:val>
            <c:numRef>
              <c:f>'Степенная'!$D$11:$D$40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'Степенная'!$A$11:$A$40</c:f>
              <c:strCache>
                <c:ptCount val="0"/>
              </c:strCache>
            </c:strRef>
          </c:cat>
          <c:val>
            <c:numRef>
              <c:f>'Степенная'!$F$11:$F$40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'Степенная'!$A$11:$A$40</c:f>
              <c:strCache>
                <c:ptCount val="0"/>
              </c:strCache>
            </c:strRef>
          </c:cat>
          <c:val>
            <c:numRef>
              <c:f>'Степенная'!$G$11:$G$40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ед. CSV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Логарифмическая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'Логарифмическая'!$A$11:$A$40</c:f>
              <c:strCache>
                <c:ptCount val="0"/>
              </c:strCache>
            </c:strRef>
          </c:cat>
          <c:val>
            <c:numRef>
              <c:f>'Логарифмическая'!$D$11:$D$40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'Логарифмическая'!$A$11:$A$40</c:f>
              <c:strCache>
                <c:ptCount val="0"/>
              </c:strCache>
            </c:strRef>
          </c:cat>
          <c:val>
            <c:numRef>
              <c:f>'Логарифмическая'!$F$11:$F$40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'Логарифмическая'!$A$11:$A$40</c:f>
              <c:strCache>
                <c:ptCount val="0"/>
              </c:strCache>
            </c:strRef>
          </c:cat>
          <c:val>
            <c:numRef>
              <c:f>'Логарифмическая'!$G$11:$G$40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ед. CSV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Экспоненциальная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Прогноз</c:v>
          </c:tx>
          <c:spPr>
            <a:ln xmlns:a="http://schemas.openxmlformats.org/drawingml/2006/main" w="1143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'Экспоненциальная'!$A$11:$A$40</c:f>
              <c:strCache>
                <c:ptCount val="0"/>
              </c:strCache>
            </c:strRef>
          </c:cat>
          <c:val>
            <c:numRef>
              <c:f>'Экспоненциальная'!$D$11:$D$40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Нижняя 95%</c:v>
          </c:tx>
          <c:spPr>
            <a:ln xmlns:a="http://schemas.openxmlformats.org/drawingml/2006/main" w="14288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'Экспоненциальная'!$A$11:$A$40</c:f>
              <c:strCache>
                <c:ptCount val="0"/>
              </c:strCache>
            </c:strRef>
          </c:cat>
          <c:val>
            <c:numRef>
              <c:f>'Экспоненциальная'!$F$11:$F$40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Верхняя 95%</c:v>
          </c:tx>
          <c:spPr>
            <a:ln xmlns:a="http://schemas.openxmlformats.org/drawingml/2006/main" w="17145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'Экспоненциальная'!$A$11:$A$40</c:f>
              <c:strCache>
                <c:ptCount val="0"/>
              </c:strCache>
            </c:strRef>
          </c:cat>
          <c:val>
            <c:numRef>
              <c:f>'Экспоненциальная'!$G$11:$G$40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-dd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100" b="0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Уровень, ед. CSV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100" b="0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1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b37fd44381490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287b57496d407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3aa70fd0d84f0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32ea7ed0d447f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c32cac73504c7e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3d18dc3c3d4d3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eba5316ef64d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15188e5ebf84f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557dbd8b1754c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c4eb46f7c804f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c34767e75aca4f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4c9e40dd7e7448fc" /></Relationships>
</file>

<file path=xl/worksheets/sheet1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5" customHeight="1">
      <x:c r="A1" s="3" t="str">
        <x:v>Уровень воды — Хабаровск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15" customHeight="1">
      <x:c r="A3" s="7" t="str">
        <x:v>Горизонт, дней</x:v>
      </x:c>
      <x:c r="B3" s="8" t="n">
        <x:v>30</x:v>
      </x:c>
      <x:c r="C3" s="3"/>
      <x:c r="D3" s="13" t="str">
        <x:v>Модель</x:v>
      </x:c>
      <x:c r="E3" s="13" t="str">
        <x:v>R²</x:v>
      </x:c>
      <x:c r="F3" s="13" t="str">
        <x:v>MAE</x:v>
      </x:c>
      <x:c r="G3" s="3"/>
      <x:c r="H3" s="3"/>
      <x:c r="I3" s="3"/>
      <x:c r="J3" s="3"/>
      <x:c r="K3" s="3"/>
      <x:c r="L3" s="3"/>
      <x:c r="M3" s="3"/>
      <x:c r="N3" s="3"/>
      <x:c r="O3" s="3"/>
    </x:row>
    <x:row r="4" ht="15" customHeight="1">
      <x:c r="A4" s="7" t="str">
        <x:v>Данные до</x:v>
      </x:c>
      <x:c r="B4" s="9" t="n">
        <x:v>46235</x:v>
      </x:c>
      <x:c r="C4" s="3"/>
      <x:c r="D4" s="7" t="str">
        <x:v>Полином 2</x:v>
      </x:c>
      <x:c r="E4" s="17" t="n">
        <x:f>'Полином 2'!G4</x:f>
        <x:v>0.11469464587119282</x:v>
      </x:c>
      <x:c r="F4" s="7" t="n">
        <x:f>'Полином 2'!G5</x:f>
        <x:v>145.0114341712309</x:v>
      </x:c>
      <x:c r="G4" s="3"/>
      <x:c r="H4" s="3"/>
      <x:c r="I4" s="3"/>
      <x:c r="J4" s="3"/>
      <x:c r="K4" s="3"/>
      <x:c r="L4" s="3"/>
      <x:c r="M4" s="3"/>
      <x:c r="N4" s="3"/>
      <x:c r="O4" s="3"/>
    </x:row>
    <x:row r="5" ht="15" customHeight="1">
      <x:c r="A5" s="7" t="str">
        <x:v>Прогноз с</x:v>
      </x:c>
      <x:c r="B5" s="9" t="n">
        <x:f>B4+1</x:f>
        <x:v>46236</x:v>
      </x:c>
      <x:c r="C5" s="3"/>
      <x:c r="D5" s="7" t="str">
        <x:v>Полином 3</x:v>
      </x:c>
      <x:c r="E5" s="17" t="n">
        <x:f>'Полином 3'!G4</x:f>
        <x:v>0.11597430316902846</x:v>
      </x:c>
      <x:c r="F5" s="7" t="n">
        <x:f>'Полином 3'!G5</x:f>
        <x:v>164.45488948550974</x:v>
      </x:c>
      <x:c r="G5" s="3"/>
      <x:c r="H5" s="3"/>
      <x:c r="I5" s="3"/>
      <x:c r="J5" s="3"/>
      <x:c r="K5" s="3"/>
      <x:c r="L5" s="3"/>
      <x:c r="M5" s="3"/>
      <x:c r="N5" s="3"/>
      <x:c r="O5" s="3"/>
    </x:row>
    <x:row r="6" ht="15" customHeight="1">
      <x:c r="A6" s="7" t="str">
        <x:v>n</x:v>
      </x:c>
      <x:c r="B6" s="10" t="n">
        <x:v>8595</x:v>
      </x:c>
      <x:c r="C6" s="3"/>
      <x:c r="D6" s="7" t="str">
        <x:v>Степенная</x:v>
      </x:c>
      <x:c r="E6" s="17" t="n">
        <x:f>'Степенная'!G4</x:f>
        <x:v>0.09478062322935654</x:v>
      </x:c>
      <x:c r="F6" s="7" t="n">
        <x:f>'Степенная'!G5</x:f>
        <x:v>113.54370740888284</x:v>
      </x:c>
      <x:c r="G6" s="3"/>
      <x:c r="H6" s="3"/>
      <x:c r="I6" s="3"/>
      <x:c r="J6" s="3"/>
      <x:c r="K6" s="3"/>
      <x:c r="L6" s="3"/>
      <x:c r="M6" s="3"/>
      <x:c r="N6" s="3"/>
      <x:c r="O6" s="3"/>
    </x:row>
    <x:row r="7" ht="15" customHeight="1">
      <x:c r="A7" s="7" t="str">
        <x:v>Обучение теста до</x:v>
      </x:c>
      <x:c r="B7" s="9" t="n">
        <x:v>46205</x:v>
      </x:c>
      <x:c r="C7" s="3"/>
      <x:c r="D7" s="7" t="str">
        <x:v>Логарифмическая</x:v>
      </x:c>
      <x:c r="E7" s="17" t="n">
        <x:f>'Логарифмическая'!G4</x:f>
        <x:v>0.1080285702363496</x:v>
      </x:c>
      <x:c r="F7" s="7" t="n">
        <x:f>'Логарифмическая'!G5</x:f>
        <x:v>135.69479455395026</x:v>
      </x:c>
      <x:c r="G7" s="3"/>
      <x:c r="H7" s="3"/>
      <x:c r="I7" s="3"/>
      <x:c r="J7" s="3"/>
      <x:c r="K7" s="3"/>
      <x:c r="L7" s="3"/>
      <x:c r="M7" s="3"/>
      <x:c r="N7" s="3"/>
      <x:c r="O7" s="3"/>
    </x:row>
    <x:row r="8" ht="15" customHeight="1">
      <x:c r="A8" s="7" t="str">
        <x:v>Последний H</x:v>
      </x:c>
      <x:c r="B8" s="7" t="n">
        <x:v>405</x:v>
      </x:c>
      <x:c r="C8" s="3"/>
      <x:c r="D8" s="7" t="str">
        <x:v>Экспоненциальная</x:v>
      </x:c>
      <x:c r="E8" s="17" t="n">
        <x:f>'Экспоненциальная'!G4</x:f>
        <x:v>0.07381372877329251</x:v>
      </x:c>
      <x:c r="F8" s="7" t="n">
        <x:f>'Экспоненциальная'!G5</x:f>
        <x:v>104.85448122223653</x:v>
      </x:c>
      <x:c r="G8" s="3"/>
      <x:c r="H8" s="3"/>
      <x:c r="I8" s="3"/>
      <x:c r="J8" s="3"/>
      <x:c r="K8" s="3"/>
      <x:c r="L8" s="3"/>
      <x:c r="M8" s="3"/>
      <x:c r="N8" s="3"/>
      <x:c r="O8" s="3"/>
    </x:row>
    <x:row r="9" ht="15" customHeight="1">
      <x:c r="A9" s="7" t="str">
        <x:v>Исключено заполненных</x:v>
      </x:c>
      <x:c r="B9" s="8" t="n">
        <x:v>384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ht="15" customHeight="1">
      <x:c r="A10" s="7" t="str">
        <x:v>Единица уровня</x:v>
      </x:c>
      <x:c r="B10" s="7" t="str">
        <x:v>ед. CSV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 ht="15" customHeight="1">
      <x:c r="A11" s="3" t="str">
        <x:v>Прогноз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ht="15" customHeight="1">
      <x:c r="A12" s="13" t="str">
        <x:v>Дата</x:v>
      </x:c>
      <x:c r="B12" s="13" t="str">
        <x:v>Полином 2</x:v>
      </x:c>
      <x:c r="C12" s="13" t="str">
        <x:v>Полином 3</x:v>
      </x:c>
      <x:c r="D12" s="13" t="str">
        <x:v>Степенная</x:v>
      </x:c>
      <x:c r="E12" s="13" t="str">
        <x:v>Логарифм.</x:v>
      </x:c>
      <x:c r="F12" s="13" t="str">
        <x:v>Экспонента</x:v>
      </x:c>
      <x:c r="G12" s="3"/>
      <x:c r="H12" s="3"/>
      <x:c r="I12" s="3"/>
      <x:c r="J12" s="3"/>
      <x:c r="K12" s="3"/>
      <x:c r="L12" s="3"/>
      <x:c r="M12" s="3"/>
      <x:c r="N12" s="3"/>
      <x:c r="O12" s="3"/>
    </x:row>
    <x:row r="13" ht="15" customHeight="1">
      <x:c r="A13" s="9" t="n">
        <x:f>IF(1&lt;=$B$3,$B$4+1,"")</x:f>
        <x:v>46236</x:v>
      </x:c>
      <x:c r="B13" s="7" t="n">
        <x:f>IF($A13="","",'Полином 2'!D11)</x:f>
        <x:v>118.64781197381203</x:v>
      </x:c>
      <x:c r="C13" s="7" t="n">
        <x:f>IF($A13="","",'Полином 3'!D11)</x:f>
        <x:v>102.64185115340841</x:v>
      </x:c>
      <x:c r="D13" s="7" t="n">
        <x:f>IF($A13="","",'Степенная'!D11)</x:f>
        <x:v>153.25655513229324</x:v>
      </x:c>
      <x:c r="E13" s="7" t="n">
        <x:f>IF($A13="","",'Логарифмическая'!D11)</x:f>
        <x:v>125.39134855308063</x:v>
      </x:c>
      <x:c r="F13" s="7" t="n">
        <x:f>IF($A13="","",'Экспоненциальная'!D11)</x:f>
        <x:v>166.1936879182149</x:v>
      </x:c>
      <x:c r="G13" s="3"/>
      <x:c r="H13" s="3"/>
      <x:c r="I13" s="3"/>
      <x:c r="J13" s="3"/>
      <x:c r="K13" s="3"/>
      <x:c r="L13" s="3"/>
      <x:c r="M13" s="3"/>
      <x:c r="N13" s="3"/>
      <x:c r="O13" s="3"/>
    </x:row>
    <x:row r="14" ht="15" customHeight="1">
      <x:c r="A14" s="9" t="n">
        <x:f>IF(2&lt;=$B$3,$B$4+2,"")</x:f>
        <x:v>46237</x:v>
      </x:c>
      <x:c r="B14" s="7" t="n">
        <x:f>IF($A14="","",'Полином 2'!D12)</x:f>
        <x:v>118.63869525453764</x:v>
      </x:c>
      <x:c r="C14" s="7" t="n">
        <x:f>IF($A14="","",'Полином 3'!D12)</x:f>
        <x:v>102.61109317174646</x:v>
      </x:c>
      <x:c r="D14" s="7" t="n">
        <x:f>IF($A14="","",'Степенная'!D12)</x:f>
        <x:v>153.27427488123138</x:v>
      </x:c>
      <x:c r="E14" s="7" t="n">
        <x:f>IF($A14="","",'Логарифмическая'!D12)</x:f>
        <x:v>125.39766782617389</x:v>
      </x:c>
      <x:c r="F14" s="7" t="n">
        <x:f>IF($A14="","",'Экспоненциальная'!D12)</x:f>
        <x:v>166.22940626288622</x:v>
      </x:c>
      <x:c r="G14" s="3"/>
      <x:c r="H14" s="3"/>
      <x:c r="I14" s="3"/>
      <x:c r="J14" s="3"/>
      <x:c r="K14" s="3"/>
      <x:c r="L14" s="3"/>
      <x:c r="M14" s="3"/>
      <x:c r="N14" s="3"/>
      <x:c r="O14" s="3"/>
    </x:row>
    <x:row r="15" ht="15" customHeight="1">
      <x:c r="A15" s="9" t="n">
        <x:f>IF(3&lt;=$B$3,$B$4+3,"")</x:f>
        <x:v>46238</x:v>
      </x:c>
      <x:c r="B15" s="7" t="n">
        <x:f>IF($A15="","",'Полином 2'!D13)</x:f>
        <x:v>118.62957178421792</x:v>
      </x:c>
      <x:c r="C15" s="7" t="n">
        <x:f>IF($A15="","",'Полином 3'!D13)</x:f>
        <x:v>102.58031637990402</x:v>
      </x:c>
      <x:c r="D15" s="7" t="n">
        <x:f>IF($A15="","",'Степенная'!D13)</x:f>
        <x:v>153.2919947056944</x:v>
      </x:c>
      <x:c r="E15" s="7" t="n">
        <x:f>IF($A15="","",'Логарифмическая'!D13)</x:f>
        <x:v>125.40398639567941</x:v>
      </x:c>
      <x:c r="F15" s="7" t="n">
        <x:f>IF($A15="","",'Экспоненциальная'!D13)</x:f>
        <x:v>166.2651322841436</x:v>
      </x:c>
      <x:c r="G15" s="3"/>
      <x:c r="H15" s="3"/>
      <x:c r="I15" s="3"/>
      <x:c r="J15" s="3"/>
      <x:c r="K15" s="3"/>
      <x:c r="L15" s="3"/>
      <x:c r="M15" s="3"/>
      <x:c r="N15" s="3"/>
      <x:c r="O15" s="3"/>
    </x:row>
    <x:row r="16" ht="15" customHeight="1">
      <x:c r="A16" s="9" t="n">
        <x:f>IF(4&lt;=$B$3,$B$4+4,"")</x:f>
        <x:v>46239</x:v>
      </x:c>
      <x:c r="B16" s="7" t="n">
        <x:f>IF($A16="","",'Полином 2'!D14)</x:f>
        <x:v>118.62044156285278</x:v>
      </x:c>
      <x:c r="C16" s="7" t="n">
        <x:f>IF($A16="","",'Полином 3'!D14)</x:f>
        <x:v>102.5495207751963</x:v>
      </x:c>
      <x:c r="D16" s="7" t="n">
        <x:f>IF($A16="","",'Степенная'!D14)</x:f>
        <x:v>153.3097146056743</x:v>
      </x:c>
      <x:c r="E16" s="7" t="n">
        <x:f>IF($A16="","",'Логарифмическая'!D14)</x:f>
        <x:v>125.41030426175391</x:v>
      </x:c>
      <x:c r="F16" s="7" t="n">
        <x:f>IF($A16="","",'Экспоненциальная'!D14)</x:f>
        <x:v>166.30086598363695</x:v>
      </x:c>
      <x:c r="G16" s="3"/>
      <x:c r="H16" s="3"/>
      <x:c r="I16" s="3"/>
      <x:c r="J16" s="3"/>
      <x:c r="K16" s="3"/>
      <x:c r="L16" s="3"/>
      <x:c r="M16" s="3"/>
      <x:c r="N16" s="3"/>
      <x:c r="O16" s="3"/>
    </x:row>
    <x:row r="17" ht="15" customHeight="1">
      <x:c r="A17" s="9" t="n">
        <x:f>IF(5&lt;=$B$3,$B$4+5,"")</x:f>
        <x:v>46240</x:v>
      </x:c>
      <x:c r="B17" s="7" t="n">
        <x:f>IF($A17="","",'Полином 2'!D15)</x:f>
        <x:v>118.61130459044226</x:v>
      </x:c>
      <x:c r="C17" s="7" t="n">
        <x:f>IF($A17="","",'Полином 3'!D15)</x:f>
        <x:v>102.51870635493843</x:v>
      </x:c>
      <x:c r="D17" s="7" t="n">
        <x:f>IF($A17="","",'Степенная'!D15)</x:f>
        <x:v>153.3274345811629</x:v>
      </x:c>
      <x:c r="E17" s="7" t="n">
        <x:f>IF($A17="","",'Логарифмическая'!D15)</x:f>
        <x:v>125.41662142455391</x:v>
      </x:c>
      <x:c r="F17" s="7" t="n">
        <x:f>IF($A17="","",'Экспоненциальная'!D15)</x:f>
        <x:v>166.33660736301633</x:v>
      </x:c>
      <x:c r="G17" s="3"/>
      <x:c r="H17" s="3"/>
      <x:c r="I17" s="3"/>
      <x:c r="J17" s="3"/>
      <x:c r="K17" s="3"/>
      <x:c r="L17" s="3"/>
      <x:c r="M17" s="3"/>
      <x:c r="N17" s="3"/>
      <x:c r="O17" s="3"/>
    </x:row>
    <x:row r="18" ht="15" customHeight="1">
      <x:c r="A18" s="9" t="n">
        <x:f>IF(6&lt;=$B$3,$B$4+6,"")</x:f>
        <x:v>46241</x:v>
      </x:c>
      <x:c r="B18" s="7" t="n">
        <x:f>IF($A18="","",'Полином 2'!D16)</x:f>
        <x:v>118.60216086698634</x:v>
      </x:c>
      <x:c r="C18" s="7" t="n">
        <x:f>IF($A18="","",'Полином 3'!D16)</x:f>
        <x:v>102.48787311644556</x:v>
      </x:c>
      <x:c r="D18" s="7" t="n">
        <x:f>IF($A18="","",'Степенная'!D16)</x:f>
        <x:v>153.34515463215212</x:v>
      </x:c>
      <x:c r="E18" s="7" t="n">
        <x:f>IF($A18="","",'Логарифмическая'!D16)</x:f>
        <x:v>125.42293788423605</x:v>
      </x:c>
      <x:c r="F18" s="7" t="n">
        <x:f>IF($A18="","",'Экспоненциальная'!D16)</x:f>
        <x:v>166.3723564239324</x:v>
      </x:c>
      <x:c r="G18" s="3"/>
      <x:c r="H18" s="3"/>
      <x:c r="I18" s="3"/>
      <x:c r="J18" s="3"/>
      <x:c r="K18" s="3"/>
      <x:c r="L18" s="3"/>
      <x:c r="M18" s="3"/>
      <x:c r="N18" s="3"/>
      <x:c r="O18" s="3"/>
    </x:row>
    <x:row r="19" ht="15" customHeight="1">
      <x:c r="A19" s="9" t="n">
        <x:f>IF(7&lt;=$B$3,$B$4+7,"")</x:f>
        <x:v>46242</x:v>
      </x:c>
      <x:c r="B19" s="7" t="n">
        <x:f>IF($A19="","",'Полином 2'!D17)</x:f>
        <x:v>118.59301039248511</x:v>
      </x:c>
      <x:c r="C19" s="7" t="n">
        <x:f>IF($A19="","",'Полином 3'!D17)</x:f>
        <x:v>102.4570210570329</x:v>
      </x:c>
      <x:c r="D19" s="7" t="n">
        <x:f>IF($A19="","",'Степенная'!D17)</x:f>
        <x:v>153.36287475863395</x:v>
      </x:c>
      <x:c r="E19" s="7" t="n">
        <x:f>IF($A19="","",'Логарифмическая'!D17)</x:f>
        <x:v>125.42925364095674</x:v>
      </x:c>
      <x:c r="F19" s="7" t="n">
        <x:f>IF($A19="","",'Экспоненциальная'!D17)</x:f>
        <x:v>166.40811316803607</x:v>
      </x:c>
      <x:c r="G19" s="3"/>
      <x:c r="H19" s="3"/>
      <x:c r="I19" s="3"/>
      <x:c r="J19" s="3"/>
      <x:c r="K19" s="3"/>
      <x:c r="L19" s="3"/>
      <x:c r="M19" s="3"/>
      <x:c r="N19" s="3"/>
      <x:c r="O19" s="3"/>
    </x:row>
    <x:row r="20" ht="15" customHeight="1">
      <x:c r="A20" s="9" t="n">
        <x:f>IF(8&lt;=$B$3,$B$4+8,"")</x:f>
        <x:v>46243</x:v>
      </x:c>
      <x:c r="B20" s="7" t="n">
        <x:f>IF($A20="","",'Полином 2'!D18)</x:f>
        <x:v>118.58385316693844</x:v>
      </x:c>
      <x:c r="C20" s="7" t="n">
        <x:f>IF($A20="","",'Полином 3'!D18)</x:f>
        <x:v>102.4261501740155</x:v>
      </x:c>
      <x:c r="D20" s="7" t="n">
        <x:f>IF($A20="","",'Степенная'!D18)</x:f>
        <x:v>153.38059496060023</x:v>
      </x:c>
      <x:c r="E20" s="7" t="n">
        <x:f>IF($A20="","",'Логарифмическая'!D18)</x:f>
        <x:v>125.43556869487252</x:v>
      </x:c>
      <x:c r="F20" s="7" t="n">
        <x:f>IF($A20="","",'Экспоненциальная'!D18)</x:f>
        <x:v>166.44387759697858</x:v>
      </x:c>
      <x:c r="G20" s="3"/>
      <x:c r="H20" s="3"/>
      <x:c r="I20" s="3"/>
      <x:c r="J20" s="3"/>
      <x:c r="K20" s="3"/>
      <x:c r="L20" s="3"/>
      <x:c r="M20" s="3"/>
      <x:c r="N20" s="3"/>
      <x:c r="O20" s="3"/>
    </x:row>
    <x:row r="21" ht="15" customHeight="1">
      <x:c r="A21" s="9" t="n">
        <x:f>IF(9&lt;=$B$3,$B$4+9,"")</x:f>
        <x:v>46244</x:v>
      </x:c>
      <x:c r="B21" s="7" t="n">
        <x:f>IF($A21="","",'Полином 2'!D19)</x:f>
        <x:v>118.57468919034639</x:v>
      </x:c>
      <x:c r="C21" s="7" t="n">
        <x:f>IF($A21="","",'Полином 3'!D19)</x:f>
        <x:v>102.3952604647086</x:v>
      </x:c>
      <x:c r="D21" s="7" t="n">
        <x:f>IF($A21="","",'Степенная'!D19)</x:f>
        <x:v>153.39831523804298</x:v>
      </x:c>
      <x:c r="E21" s="7" t="n">
        <x:f>IF($A21="","",'Логарифмическая'!D19)</x:f>
        <x:v>125.44188304613971</x:v>
      </x:c>
      <x:c r="F21" s="7" t="n">
        <x:f>IF($A21="","",'Экспоненциальная'!D19)</x:f>
        <x:v>166.47964971241157</x:v>
      </x:c>
      <x:c r="G21" s="3"/>
      <x:c r="H21" s="3"/>
      <x:c r="I21" s="3"/>
      <x:c r="J21" s="3"/>
      <x:c r="K21" s="3"/>
      <x:c r="L21" s="3"/>
      <x:c r="M21" s="3"/>
      <x:c r="N21" s="3"/>
      <x:c r="O21" s="3"/>
    </x:row>
    <x:row r="22" ht="15" customHeight="1">
      <x:c r="A22" s="9" t="n">
        <x:f>IF(10&lt;=$B$3,$B$4+10,"")</x:f>
        <x:v>46245</x:v>
      </x:c>
      <x:c r="B22" s="7" t="n">
        <x:f>IF($A22="","",'Полином 2'!D20)</x:f>
        <x:v>118.56551846270902</x:v>
      </x:c>
      <x:c r="C22" s="7" t="n">
        <x:f>IF($A22="","",'Полином 3'!D20)</x:f>
        <x:v>102.36435192642733</x:v>
      </x:c>
      <x:c r="D22" s="7" t="n">
        <x:f>IF($A22="","",'Степенная'!D20)</x:f>
        <x:v>153.41603559095407</x:v>
      </x:c>
      <x:c r="E22" s="7" t="n">
        <x:f>IF($A22="","",'Логарифмическая'!D20)</x:f>
        <x:v>125.4481966949147</x:v>
      </x:c>
      <x:c r="F22" s="7" t="n">
        <x:f>IF($A22="","",'Экспоненциальная'!D20)</x:f>
        <x:v>166.515429515987</x:v>
      </x:c>
      <x:c r="G22" s="3"/>
      <x:c r="H22" s="3"/>
      <x:c r="I22" s="3"/>
      <x:c r="J22" s="3"/>
      <x:c r="K22" s="3"/>
      <x:c r="L22" s="3"/>
      <x:c r="M22" s="3"/>
      <x:c r="N22" s="3"/>
      <x:c r="O22" s="3"/>
    </x:row>
    <x:row r="23" ht="15" customHeight="1">
      <x:c r="A23" s="9" t="n">
        <x:f>IF(11&lt;=$B$3,$B$4+11,"")</x:f>
        <x:v>46246</x:v>
      </x:c>
      <x:c r="B23" s="7" t="n">
        <x:f>IF($A23="","",'Полином 2'!D21)</x:f>
        <x:v>118.5563409840262</x:v>
      </x:c>
      <x:c r="C23" s="7" t="n">
        <x:f>IF($A23="","",'Полином 3'!D21)</x:f>
        <x:v>102.33342455648682</x:v>
      </x:c>
      <x:c r="D23" s="7" t="n">
        <x:f>IF($A23="","",'Степенная'!D21)</x:f>
        <x:v>153.4337560193254</x:v>
      </x:c>
      <x:c r="E23" s="7" t="n">
        <x:f>IF($A23="","",'Логарифмическая'!D21)</x:f>
        <x:v>125.45450964135375</x:v>
      </x:c>
      <x:c r="F23" s="7" t="n">
        <x:f>IF($A23="","",'Экспоненциальная'!D21)</x:f>
        <x:v>166.55121700935726</x:v>
      </x:c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15" customHeight="1">
      <x:c r="A24" s="9" t="n">
        <x:f>IF(12&lt;=$B$3,$B$4+12,"")</x:f>
        <x:v>46247</x:v>
      </x:c>
      <x:c r="B24" s="7" t="n">
        <x:f>IF($A24="","",'Полином 2'!D22)</x:f>
        <x:v>118.54715675429804</x:v>
      </x:c>
      <x:c r="C24" s="7" t="n">
        <x:f>IF($A24="","",'Полином 3'!D22)</x:f>
        <x:v>102.30247835220224</x:v>
      </x:c>
      <x:c r="D24" s="7" t="n">
        <x:f>IF($A24="","",'Степенная'!D22)</x:f>
        <x:v>153.45147652314887</x:v>
      </x:c>
      <x:c r="E24" s="7" t="n">
        <x:f>IF($A24="","",'Логарифмическая'!D22)</x:f>
        <x:v>125.46082188561311</x:v>
      </x:c>
      <x:c r="F24" s="7" t="n">
        <x:f>IF($A24="","",'Экспоненциальная'!D22)</x:f>
        <x:v>166.58701219417495</x:v>
      </x:c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15" customHeight="1">
      <x:c r="A25" s="9" t="n">
        <x:f>IF(13&lt;=$B$3,$B$4+13,"")</x:f>
        <x:v>46248</x:v>
      </x:c>
      <x:c r="B25" s="7" t="n">
        <x:f>IF($A25="","",'Полином 2'!D23)</x:f>
        <x:v>118.53796577352452</x:v>
      </x:c>
      <x:c r="C25" s="7" t="n">
        <x:f>IF($A25="","",'Полином 3'!D23)</x:f>
        <x:v>102.27151331088871</x:v>
      </x:c>
      <x:c r="D25" s="7" t="n">
        <x:f>IF($A25="","",'Степенная'!D23)</x:f>
        <x:v>153.46919710241653</x:v>
      </x:c>
      <x:c r="E25" s="7" t="n">
        <x:f>IF($A25="","",'Логарифмическая'!D23)</x:f>
        <x:v>125.467133427849</x:v>
      </x:c>
      <x:c r="F25" s="7" t="n">
        <x:f>IF($A25="","",'Экспоненциальная'!D23)</x:f>
        <x:v>166.6228150720933</x:v>
      </x:c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15" customHeight="1">
      <x:c r="A26" s="9" t="n">
        <x:f>IF(14&lt;=$B$3,$B$4+14,"")</x:f>
        <x:v>46249</x:v>
      </x:c>
      <x:c r="B26" s="7" t="n">
        <x:f>IF($A26="","",'Полином 2'!D24)</x:f>
        <x:v>118.52876804170556</x:v>
      </x:c>
      <x:c r="C26" s="7" t="n">
        <x:f>IF($A26="","",'Полином 3'!D24)</x:f>
        <x:v>102.24052942986137</x:v>
      </x:c>
      <x:c r="D26" s="7" t="n">
        <x:f>IF($A26="","",'Степенная'!D24)</x:f>
        <x:v>153.4869177571202</x:v>
      </x:c>
      <x:c r="E26" s="7" t="n">
        <x:f>IF($A26="","",'Логарифмическая'!D24)</x:f>
        <x:v>125.47344426821749</x:v>
      </x:c>
      <x:c r="F26" s="7" t="n">
        <x:f>IF($A26="","",'Экспоненциальная'!D24)</x:f>
        <x:v>166.65862564476544</x:v>
      </x:c>
      <x:c r="G26" s="3"/>
      <x:c r="H26" s="3"/>
      <x:c r="I26" s="3"/>
      <x:c r="J26" s="3"/>
      <x:c r="K26" s="3"/>
      <x:c r="L26" s="3"/>
      <x:c r="M26" s="3"/>
      <x:c r="N26" s="3"/>
      <x:c r="O26" s="3"/>
    </x:row>
    <x:row r="27" ht="15" customHeight="1">
      <x:c r="A27" s="9" t="n">
        <x:f>IF(15&lt;=$B$3,$B$4+15,"")</x:f>
        <x:v>46250</x:v>
      </x:c>
      <x:c r="B27" s="7" t="n">
        <x:f>IF($A27="","",'Полином 2'!D25)</x:f>
        <x:v>118.51956355884124</x:v>
      </x:c>
      <x:c r="C27" s="7" t="n">
        <x:f>IF($A27="","",'Полином 3'!D25)</x:f>
        <x:v>102.2095267064355</x:v>
      </x:c>
      <x:c r="D27" s="7" t="n">
        <x:f>IF($A27="","",'Степенная'!D25)</x:f>
        <x:v>153.5046384872519</x:v>
      </x:c>
      <x:c r="E27" s="7" t="n">
        <x:f>IF($A27="","",'Логарифмическая'!D25)</x:f>
        <x:v>125.47975440687475</x:v>
      </x:c>
      <x:c r="F27" s="7" t="n">
        <x:f>IF($A27="","",'Экспоненциальная'!D25)</x:f>
        <x:v>166.6944439138453</x:v>
      </x:c>
      <x:c r="G27" s="3"/>
      <x:c r="H27" s="3"/>
      <x:c r="I27" s="3"/>
      <x:c r="J27" s="3"/>
      <x:c r="K27" s="3"/>
      <x:c r="L27" s="3"/>
      <x:c r="M27" s="3"/>
      <x:c r="N27" s="3"/>
      <x:c r="O27" s="3"/>
    </x:row>
    <x:row r="28" ht="15" customHeight="1">
      <x:c r="A28" s="9" t="n">
        <x:f>IF(16&lt;=$B$3,$B$4+16,"")</x:f>
        <x:v>46251</x:v>
      </x:c>
      <x:c r="B28" s="7" t="n">
        <x:f>IF($A28="","",'Полином 2'!D26)</x:f>
        <x:v>118.51035232493155</x:v>
      </x:c>
      <x:c r="C28" s="7" t="n">
        <x:f>IF($A28="","",'Полином 3'!D26)</x:f>
        <x:v>102.17850513792608</x:v>
      </x:c>
      <x:c r="D28" s="7" t="n">
        <x:f>IF($A28="","",'Степенная'!D26)</x:f>
        <x:v>153.52235929280346</x:v>
      </x:c>
      <x:c r="E28" s="7" t="n">
        <x:f>IF($A28="","",'Логарифмическая'!D26)</x:f>
        <x:v>125.48606384397672</x:v>
      </x:c>
      <x:c r="F28" s="7" t="n">
        <x:f>IF($A28="","",'Экспоненциальная'!D26)</x:f>
        <x:v>166.73026988098698</x:v>
      </x:c>
      <x:c r="G28" s="3"/>
      <x:c r="H28" s="3"/>
      <x:c r="I28" s="3"/>
      <x:c r="J28" s="3"/>
      <x:c r="K28" s="3"/>
      <x:c r="L28" s="3"/>
      <x:c r="M28" s="3"/>
      <x:c r="N28" s="3"/>
      <x:c r="O28" s="3"/>
    </x:row>
    <x:row r="29" ht="15" customHeight="1">
      <x:c r="A29" s="9" t="n">
        <x:f>IF(17&lt;=$B$3,$B$4+17,"")</x:f>
        <x:v>46252</x:v>
      </x:c>
      <x:c r="B29" s="7" t="n">
        <x:f>IF($A29="","",'Полином 2'!D27)</x:f>
        <x:v>118.50113433997649</x:v>
      </x:c>
      <x:c r="C29" s="7" t="n">
        <x:f>IF($A29="","",'Полином 3'!D27)</x:f>
        <x:v>102.14746472164835</x:v>
      </x:c>
      <x:c r="D29" s="7" t="n">
        <x:f>IF($A29="","",'Степенная'!D27)</x:f>
        <x:v>153.5400801737669</x:v>
      </x:c>
      <x:c r="E29" s="7" t="n">
        <x:f>IF($A29="","",'Логарифмическая'!D27)</x:f>
        <x:v>125.49237257967944</x:v>
      </x:c>
      <x:c r="F29" s="7" t="n">
        <x:f>IF($A29="","",'Экспоненциальная'!D27)</x:f>
        <x:v>166.766103547845</x:v>
      </x:c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15" customHeight="1">
      <x:c r="A30" s="9" t="n">
        <x:f>IF(18&lt;=$B$3,$B$4+18,"")</x:f>
        <x:v>46253</x:v>
      </x:c>
      <x:c r="B30" s="7" t="n">
        <x:f>IF($A30="","",'Полином 2'!D28)</x:f>
        <x:v>118.49190960397601</x:v>
      </x:c>
      <x:c r="C30" s="7" t="n">
        <x:f>IF($A30="","",'Полином 3'!D28)</x:f>
        <x:v>102.11640545491751</x:v>
      </x:c>
      <x:c r="D30" s="7" t="n">
        <x:f>IF($A30="","",'Степенная'!D28)</x:f>
        <x:v>153.55780113013412</x:v>
      </x:c>
      <x:c r="E30" s="7" t="n">
        <x:f>IF($A30="","",'Логарифмическая'!D28)</x:f>
        <x:v>125.49868061413882</x:v>
      </x:c>
      <x:c r="F30" s="7" t="n">
        <x:f>IF($A30="","",'Экспоненциальная'!D28)</x:f>
        <x:v>166.801944916074</x:v>
      </x:c>
      <x:c r="G30" s="3"/>
      <x:c r="H30" s="3"/>
      <x:c r="I30" s="3"/>
      <x:c r="J30" s="3"/>
      <x:c r="K30" s="3"/>
      <x:c r="L30" s="3"/>
      <x:c r="M30" s="3"/>
      <x:c r="N30" s="3"/>
      <x:c r="O30" s="3"/>
    </x:row>
    <x:row r="31" ht="15" customHeight="1">
      <x:c r="A31" s="9" t="n">
        <x:f>IF(19&lt;=$B$3,$B$4+19,"")</x:f>
        <x:v>46254</x:v>
      </x:c>
      <x:c r="B31" s="7" t="n">
        <x:f>IF($A31="","",'Полином 2'!D29)</x:f>
        <x:v>118.48267811693019</x:v>
      </x:c>
      <x:c r="C31" s="7" t="n">
        <x:f>IF($A31="","",'Полином 3'!D29)</x:f>
        <x:v>102.0853273350486</x:v>
      </x:c>
      <x:c r="D31" s="7" t="n">
        <x:f>IF($A31="","",'Степенная'!D29)</x:f>
        <x:v>153.5755221618971</x:v>
      </x:c>
      <x:c r="E31" s="7" t="n">
        <x:f>IF($A31="","",'Логарифмическая'!D29)</x:f>
        <x:v>125.50498794751074</x:v>
      </x:c>
      <x:c r="F31" s="7" t="n">
        <x:f>IF($A31="","",'Экспоненциальная'!D29)</x:f>
        <x:v>166.8377939873293</x:v>
      </x:c>
      <x:c r="G31" s="3"/>
      <x:c r="H31" s="3"/>
      <x:c r="I31" s="3"/>
      <x:c r="J31" s="3"/>
      <x:c r="K31" s="3"/>
      <x:c r="L31" s="3"/>
      <x:c r="M31" s="3"/>
      <x:c r="N31" s="3"/>
      <x:c r="O31" s="3"/>
    </x:row>
    <x:row r="32" ht="15" customHeight="1">
      <x:c r="A32" s="9" t="n">
        <x:f>IF(20&lt;=$B$3,$B$4+20,"")</x:f>
        <x:v>46255</x:v>
      </x:c>
      <x:c r="B32" s="7" t="n">
        <x:f>IF($A32="","",'Полином 2'!D30)</x:f>
        <x:v>118.47343987883899</x:v>
      </x:c>
      <x:c r="C32" s="7" t="n">
        <x:f>IF($A32="","",'Полином 3'!D30)</x:f>
        <x:v>102.0542303593569</x:v>
      </x:c>
      <x:c r="D32" s="7" t="n">
        <x:f>IF($A32="","",'Степенная'!D30)</x:f>
        <x:v>153.59324326904778</x:v>
      </x:c>
      <x:c r="E32" s="7" t="n">
        <x:f>IF($A32="","",'Логарифмическая'!D30)</x:f>
        <x:v>125.51129457995101</x:v>
      </x:c>
      <x:c r="F32" s="7" t="n">
        <x:f>IF($A32="","",'Экспоненциальная'!D30)</x:f>
        <x:v>166.87365076326648</x:v>
      </x:c>
      <x:c r="G32" s="3"/>
      <x:c r="H32" s="3"/>
      <x:c r="I32" s="3"/>
      <x:c r="J32" s="3"/>
      <x:c r="K32" s="3"/>
      <x:c r="L32" s="3"/>
      <x:c r="M32" s="3"/>
      <x:c r="N32" s="3"/>
      <x:c r="O32" s="3"/>
    </x:row>
    <x:row r="33" ht="15" customHeight="1">
      <x:c r="A33" s="9" t="n">
        <x:f>IF(21&lt;=$B$3,$B$4+21,"")</x:f>
        <x:v>46256</x:v>
      </x:c>
      <x:c r="B33" s="7" t="n">
        <x:f>IF($A33="","",'Полином 2'!D31)</x:f>
        <x:v>118.46419488970238</x:v>
      </x:c>
      <x:c r="C33" s="7" t="n">
        <x:f>IF($A33="","",'Полином 3'!D31)</x:f>
        <x:v>102.02311452515745</x:v>
      </x:c>
      <x:c r="D33" s="7" t="n">
        <x:f>IF($A33="","",'Степенная'!D31)</x:f>
        <x:v>153.610964451578</x:v>
      </x:c>
      <x:c r="E33" s="7" t="n">
        <x:f>IF($A33="","",'Логарифмическая'!D31)</x:f>
        <x:v>125.51760051161541</x:v>
      </x:c>
      <x:c r="F33" s="7" t="n">
        <x:f>IF($A33="","",'Экспоненциальная'!D31)</x:f>
        <x:v>166.90951524554126</x:v>
      </x:c>
      <x:c r="G33" s="3"/>
      <x:c r="H33" s="3"/>
      <x:c r="I33" s="3"/>
      <x:c r="J33" s="3"/>
      <x:c r="K33" s="3"/>
      <x:c r="L33" s="3"/>
      <x:c r="M33" s="3"/>
      <x:c r="N33" s="3"/>
      <x:c r="O33" s="3"/>
    </x:row>
    <x:row r="34" ht="15" customHeight="1">
      <x:c r="A34" s="9" t="n">
        <x:f>IF(22&lt;=$B$3,$B$4+22,"")</x:f>
        <x:v>46257</x:v>
      </x:c>
      <x:c r="B34" s="7" t="n">
        <x:f>IF($A34="","",'Полином 2'!D32)</x:f>
        <x:v>118.45494314952042</x:v>
      </x:c>
      <x:c r="C34" s="7" t="n">
        <x:f>IF($A34="","",'Полином 3'!D32)</x:f>
        <x:v>101.9919798297654</x:v>
      </x:c>
      <x:c r="D34" s="7" t="n">
        <x:f>IF($A34="","",'Степенная'!D32)</x:f>
        <x:v>153.62868570947984</x:v>
      </x:c>
      <x:c r="E34" s="7" t="n">
        <x:f>IF($A34="","",'Логарифмическая'!D32)</x:f>
        <x:v>125.52390574265966</x:v>
      </x:c>
      <x:c r="F34" s="7" t="n">
        <x:f>IF($A34="","",'Экспоненциальная'!D32)</x:f>
        <x:v>166.94538743581</x:v>
      </x:c>
      <x:c r="G34" s="3"/>
      <x:c r="H34" s="3"/>
      <x:c r="I34" s="3"/>
      <x:c r="J34" s="3"/>
      <x:c r="K34" s="3"/>
      <x:c r="L34" s="3"/>
      <x:c r="M34" s="3"/>
      <x:c r="N34" s="3"/>
      <x:c r="O34" s="3"/>
    </x:row>
    <x:row r="35" ht="15" customHeight="1">
      <x:c r="A35" s="9" t="n">
        <x:f>IF(23&lt;=$B$3,$B$4+23,"")</x:f>
        <x:v>46258</x:v>
      </x:c>
      <x:c r="B35" s="7" t="n">
        <x:f>IF($A35="","",'Полином 2'!D33)</x:f>
        <x:v>118.44568465829308</x:v>
      </x:c>
      <x:c r="C35" s="7" t="n">
        <x:f>IF($A35="","",'Полином 3'!D33)</x:f>
        <x:v>101.96082627049603</x:v>
      </x:c>
      <x:c r="D35" s="7" t="n">
        <x:f>IF($A35="","",'Степенная'!D33)</x:f>
        <x:v>153.64640704274518</x:v>
      </x:c>
      <x:c r="E35" s="7" t="n">
        <x:f>IF($A35="","",'Логарифмическая'!D33)</x:f>
        <x:v>125.53021027323943</x:v>
      </x:c>
      <x:c r="F35" s="7" t="n">
        <x:f>IF($A35="","",'Экспоненциальная'!D33)</x:f>
        <x:v>166.98126733572934</x:v>
      </x:c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15" customHeight="1">
      <x:c r="A36" s="9" t="n">
        <x:f>IF(24&lt;=$B$3,$B$4+24,"")</x:f>
        <x:v>46259</x:v>
      </x:c>
      <x:c r="B36" s="7" t="n">
        <x:f>IF($A36="","",'Полином 2'!D34)</x:f>
        <x:v>118.43641941602033</x:v>
      </x:c>
      <x:c r="C36" s="7" t="n">
        <x:f>IF($A36="","",'Полином 3'!D34)</x:f>
        <x:v>101.92965384466433</x:v>
      </x:c>
      <x:c r="D36" s="7" t="n">
        <x:f>IF($A36="","",'Степенная'!D34)</x:f>
        <x:v>153.66412845136594</x:v>
      </x:c>
      <x:c r="E36" s="7" t="n">
        <x:f>IF($A36="","",'Логарифмическая'!D34)</x:f>
        <x:v>125.53651410351031</x:v>
      </x:c>
      <x:c r="F36" s="7" t="n">
        <x:f>IF($A36="","",'Экспоненциальная'!D34)</x:f>
        <x:v>167.01715494695614</x:v>
      </x:c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15" customHeight="1">
      <x:c r="A37" s="9" t="n">
        <x:f>IF(25&lt;=$B$3,$B$4+25,"")</x:f>
        <x:v>46260</x:v>
      </x:c>
      <x:c r="B37" s="7" t="n">
        <x:f>IF($A37="","",'Полином 2'!D35)</x:f>
        <x:v>118.42714742270222</x:v>
      </x:c>
      <x:c r="C37" s="7" t="n">
        <x:f>IF($A37="","",'Полином 3'!D35)</x:f>
        <x:v>101.89846254958557</x:v>
      </x:c>
      <x:c r="D37" s="7" t="n">
        <x:f>IF($A37="","",'Степенная'!D35)</x:f>
        <x:v>153.68184993533413</x:v>
      </x:c>
      <x:c r="E37" s="7" t="n">
        <x:f>IF($A37="","",'Логарифмическая'!D35)</x:f>
        <x:v>125.54281723362791</x:v>
      </x:c>
      <x:c r="F37" s="7" t="n">
        <x:f>IF($A37="","",'Экспоненциальная'!D35)</x:f>
        <x:v>167.05305027114773</x:v>
      </x:c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15" customHeight="1">
      <x:c r="A38" s="9" t="n">
        <x:f>IF(26&lt;=$B$3,$B$4+26,"")</x:f>
        <x:v>46261</x:v>
      </x:c>
      <x:c r="B38" s="7" t="n">
        <x:f>IF($A38="","",'Полином 2'!D36)</x:f>
        <x:v>118.41786867833873</x:v>
      </x:c>
      <x:c r="C38" s="7" t="n">
        <x:f>IF($A38="","",'Полином 3'!D36)</x:f>
        <x:v>101.86725238257486</x:v>
      </x:c>
      <x:c r="D38" s="7" t="n">
        <x:f>IF($A38="","",'Степенная'!D36)</x:f>
        <x:v>153.69957149464173</x:v>
      </x:c>
      <x:c r="E38" s="7" t="n">
        <x:f>IF($A38="","",'Логарифмическая'!D36)</x:f>
        <x:v>125.54911966374769</x:v>
      </x:c>
      <x:c r="F38" s="7" t="n">
        <x:f>IF($A38="","",'Экспоненциальная'!D36)</x:f>
        <x:v>167.08895330996185</x:v>
      </x:c>
      <x:c r="G38" s="3"/>
      <x:c r="H38" s="3"/>
      <x:c r="I38" s="3"/>
      <x:c r="J38" s="3"/>
      <x:c r="K38" s="3"/>
      <x:c r="L38" s="3"/>
      <x:c r="M38" s="3"/>
      <x:c r="N38" s="3"/>
      <x:c r="O38" s="3"/>
    </x:row>
    <x:row r="39" ht="15" customHeight="1">
      <x:c r="A39" s="9" t="n">
        <x:f>IF(27&lt;=$B$3,$B$4+27,"")</x:f>
        <x:v>46262</x:v>
      </x:c>
      <x:c r="B39" s="7" t="n">
        <x:f>IF($A39="","",'Полином 2'!D37)</x:f>
        <x:v>118.40858318292985</x:v>
      </x:c>
      <x:c r="C39" s="7" t="n">
        <x:f>IF($A39="","",'Полином 3'!D37)</x:f>
        <x:v>101.83602334094732</x:v>
      </x:c>
      <x:c r="D39" s="7" t="n">
        <x:f>IF($A39="","",'Степенная'!D37)</x:f>
        <x:v>153.7172931292806</x:v>
      </x:c>
      <x:c r="E39" s="7" t="n">
        <x:f>IF($A39="","",'Логарифмическая'!D37)</x:f>
        <x:v>125.55542139402516</x:v>
      </x:c>
      <x:c r="F39" s="7" t="n">
        <x:f>IF($A39="","",'Экспоненциальная'!D37)</x:f>
        <x:v>167.12486406505644</x:v>
      </x:c>
      <x:c r="G39" s="3"/>
      <x:c r="H39" s="3"/>
      <x:c r="I39" s="3"/>
      <x:c r="J39" s="3"/>
      <x:c r="K39" s="3"/>
      <x:c r="L39" s="3"/>
      <x:c r="M39" s="3"/>
      <x:c r="N39" s="3"/>
      <x:c r="O39" s="3"/>
    </x:row>
    <x:row r="40" ht="15" customHeight="1">
      <x:c r="A40" s="9" t="n">
        <x:f>IF(28&lt;=$B$3,$B$4+28,"")</x:f>
        <x:v>46263</x:v>
      </x:c>
      <x:c r="B40" s="7" t="n">
        <x:f>IF($A40="","",'Полином 2'!D38)</x:f>
        <x:v>118.3992909364756</x:v>
      </x:c>
      <x:c r="C40" s="7" t="n">
        <x:f>IF($A40="","",'Полином 3'!D38)</x:f>
        <x:v>101.80477542201817</x:v>
      </x:c>
      <x:c r="D40" s="7" t="n">
        <x:f>IF($A40="","",'Степенная'!D38)</x:f>
        <x:v>153.7350148392427</x:v>
      </x:c>
      <x:c r="E40" s="7" t="n">
        <x:f>IF($A40="","",'Логарифмическая'!D38)</x:f>
        <x:v>125.56172242461568</x:v>
      </x:c>
      <x:c r="F40" s="7" t="n">
        <x:f>IF($A40="","",'Экспоненциальная'!D38)</x:f>
        <x:v>167.16078253808993</x:v>
      </x:c>
      <x:c r="G40" s="3"/>
      <x:c r="H40" s="3"/>
      <x:c r="I40" s="3"/>
      <x:c r="J40" s="3"/>
      <x:c r="K40" s="3"/>
      <x:c r="L40" s="3"/>
      <x:c r="M40" s="3"/>
      <x:c r="N40" s="3"/>
      <x:c r="O40" s="3"/>
    </x:row>
    <x:row r="41" ht="15" customHeight="1">
      <x:c r="A41" s="9" t="n">
        <x:f>IF(29&lt;=$B$3,$B$4+29,"")</x:f>
        <x:v>46264</x:v>
      </x:c>
      <x:c r="B41" s="7" t="n">
        <x:f>IF($A41="","",'Полином 2'!D39)</x:f>
        <x:v>118.38999193897597</x:v>
      </x:c>
      <x:c r="C41" s="7" t="n">
        <x:f>IF($A41="","",'Полином 3'!D39)</x:f>
        <x:v>101.77350862310252</x:v>
      </x:c>
      <x:c r="D41" s="7" t="n">
        <x:f>IF($A41="","",'Степенная'!D39)</x:f>
        <x:v>153.75273662452005</x:v>
      </x:c>
      <x:c r="E41" s="7" t="n">
        <x:f>IF($A41="","",'Логарифмическая'!D39)</x:f>
        <x:v>125.56802275567466</x:v>
      </x:c>
      <x:c r="F41" s="7" t="n">
        <x:f>IF($A41="","",'Экспоненциальная'!D39)</x:f>
        <x:v>167.19670873072104</x:v>
      </x:c>
      <x:c r="G41" s="3"/>
      <x:c r="H41" s="3"/>
      <x:c r="I41" s="3"/>
      <x:c r="J41" s="3"/>
      <x:c r="K41" s="3"/>
      <x:c r="L41" s="3"/>
      <x:c r="M41" s="3"/>
      <x:c r="N41" s="3"/>
      <x:c r="O41" s="3"/>
    </x:row>
    <x:row r="42" ht="15" customHeight="1">
      <x:c r="A42" s="9" t="n">
        <x:f>IF(30&lt;=$B$3,$B$4+30,"")</x:f>
        <x:v>46265</x:v>
      </x:c>
      <x:c r="B42" s="7" t="n">
        <x:f>IF($A42="","",'Полином 2'!D40)</x:f>
        <x:v>118.38068619043094</x:v>
      </x:c>
      <x:c r="C42" s="7" t="n">
        <x:f>IF($A42="","",'Полином 3'!D40)</x:f>
        <x:v>101.74222294151545</x:v>
      </x:c>
      <x:c r="D42" s="7" t="n">
        <x:f>IF($A42="","",'Степенная'!D40)</x:f>
        <x:v>153.77045848510463</x:v>
      </x:c>
      <x:c r="E42" s="7" t="n">
        <x:f>IF($A42="","",'Логарифмическая'!D40)</x:f>
        <x:v>125.57432238735738</x:v>
      </x:c>
      <x:c r="F42" s="7" t="n">
        <x:f>IF($A42="","",'Экспоненциальная'!D40)</x:f>
        <x:v>167.23264264460897</x:v>
      </x:c>
      <x:c r="G42" s="3"/>
      <x:c r="H42" s="3"/>
      <x:c r="I42" s="3"/>
      <x:c r="J42" s="3"/>
      <x:c r="K42" s="3"/>
      <x:c r="L42" s="3"/>
      <x:c r="M42" s="3"/>
      <x:c r="N42" s="3"/>
      <x:c r="O42" s="3"/>
    </x:row>
    <x:row r="43" ht="15" customHeight="1">
      <x:c r="A43" s="5" t="str">
        <x:f>IF(31&lt;=$B$3,$B$4+31,"")</x:f>
      </x:c>
      <x:c r="B43" s="3" t="str">
        <x:f>IF($A43="","",'Полином 2'!D41)</x:f>
      </x:c>
      <x:c r="C43" s="3" t="str">
        <x:f>IF($A43="","",'Полином 3'!D41)</x:f>
      </x:c>
      <x:c r="D43" s="3" t="str">
        <x:f>IF($A43="","",'Степенная'!D41)</x:f>
      </x:c>
      <x:c r="E43" s="3" t="str">
        <x:f>IF($A43="","",'Логарифмическая'!D41)</x:f>
      </x:c>
      <x:c r="F43" s="3" t="str">
        <x:f>IF($A43="","",'Экспоненциальная'!D41)</x:f>
      </x:c>
      <x:c r="G43" s="3"/>
      <x:c r="H43" s="3"/>
      <x:c r="I43" s="3"/>
      <x:c r="J43" s="3"/>
      <x:c r="K43" s="3"/>
      <x:c r="L43" s="3"/>
      <x:c r="M43" s="3"/>
      <x:c r="N43" s="3"/>
      <x:c r="O43" s="3"/>
    </x:row>
    <x:row r="44" ht="15" customHeight="1">
      <x:c r="A44" s="5" t="str">
        <x:f>IF(32&lt;=$B$3,$B$4+32,"")</x:f>
      </x:c>
      <x:c r="B44" s="3" t="str">
        <x:f>IF($A44="","",'Полином 2'!D42)</x:f>
      </x:c>
      <x:c r="C44" s="3" t="str">
        <x:f>IF($A44="","",'Полином 3'!D42)</x:f>
      </x:c>
      <x:c r="D44" s="3" t="str">
        <x:f>IF($A44="","",'Степенная'!D42)</x:f>
      </x:c>
      <x:c r="E44" s="3" t="str">
        <x:f>IF($A44="","",'Логарифмическая'!D42)</x:f>
      </x:c>
      <x:c r="F44" s="3" t="str">
        <x:f>IF($A44="","",'Экспоненциальная'!D42)</x:f>
      </x:c>
      <x:c r="G44" s="3"/>
      <x:c r="H44" s="3"/>
      <x:c r="I44" s="3"/>
      <x:c r="J44" s="3"/>
      <x:c r="K44" s="3"/>
      <x:c r="L44" s="3"/>
      <x:c r="M44" s="3"/>
      <x:c r="N44" s="3"/>
      <x:c r="O44" s="3"/>
    </x:row>
    <x:row r="45" ht="15" customHeight="1">
      <x:c r="A45" s="5" t="str">
        <x:f>IF(33&lt;=$B$3,$B$4+33,"")</x:f>
      </x:c>
      <x:c r="B45" s="3" t="str">
        <x:f>IF($A45="","",'Полином 2'!D43)</x:f>
      </x:c>
      <x:c r="C45" s="3" t="str">
        <x:f>IF($A45="","",'Полином 3'!D43)</x:f>
      </x:c>
      <x:c r="D45" s="3" t="str">
        <x:f>IF($A45="","",'Степенная'!D43)</x:f>
      </x:c>
      <x:c r="E45" s="3" t="str">
        <x:f>IF($A45="","",'Логарифмическая'!D43)</x:f>
      </x:c>
      <x:c r="F45" s="3" t="str">
        <x:f>IF($A45="","",'Экспоненциальная'!D43)</x:f>
      </x:c>
      <x:c r="G45" s="3"/>
      <x:c r="H45" s="3"/>
      <x:c r="I45" s="3"/>
      <x:c r="J45" s="3"/>
      <x:c r="K45" s="3"/>
      <x:c r="L45" s="3"/>
      <x:c r="M45" s="3"/>
      <x:c r="N45" s="3"/>
      <x:c r="O45" s="3"/>
    </x:row>
    <x:row r="46" ht="15" customHeight="1">
      <x:c r="A46" s="5" t="str">
        <x:f>IF(34&lt;=$B$3,$B$4+34,"")</x:f>
      </x:c>
      <x:c r="B46" s="3" t="str">
        <x:f>IF($A46="","",'Полином 2'!D44)</x:f>
      </x:c>
      <x:c r="C46" s="3" t="str">
        <x:f>IF($A46="","",'Полином 3'!D44)</x:f>
      </x:c>
      <x:c r="D46" s="3" t="str">
        <x:f>IF($A46="","",'Степенная'!D44)</x:f>
      </x:c>
      <x:c r="E46" s="3" t="str">
        <x:f>IF($A46="","",'Логарифмическая'!D44)</x:f>
      </x:c>
      <x:c r="F46" s="3" t="str">
        <x:f>IF($A46="","",'Экспоненциальная'!D44)</x:f>
      </x:c>
      <x:c r="G46" s="3"/>
      <x:c r="H46" s="3"/>
      <x:c r="I46" s="3"/>
      <x:c r="J46" s="3"/>
      <x:c r="K46" s="3"/>
      <x:c r="L46" s="3"/>
      <x:c r="M46" s="3"/>
      <x:c r="N46" s="3"/>
      <x:c r="O46" s="3"/>
    </x:row>
    <x:row r="47" ht="15" customHeight="1">
      <x:c r="A47" s="5" t="str">
        <x:f>IF(35&lt;=$B$3,$B$4+35,"")</x:f>
      </x:c>
      <x:c r="B47" s="3" t="str">
        <x:f>IF($A47="","",'Полином 2'!D45)</x:f>
      </x:c>
      <x:c r="C47" s="3" t="str">
        <x:f>IF($A47="","",'Полином 3'!D45)</x:f>
      </x:c>
      <x:c r="D47" s="3" t="str">
        <x:f>IF($A47="","",'Степенная'!D45)</x:f>
      </x:c>
      <x:c r="E47" s="3" t="str">
        <x:f>IF($A47="","",'Логарифмическая'!D45)</x:f>
      </x:c>
      <x:c r="F47" s="3" t="str">
        <x:f>IF($A47="","",'Экспоненциальная'!D45)</x:f>
      </x:c>
      <x:c r="G47" s="3"/>
      <x:c r="H47" s="3"/>
      <x:c r="I47" s="3"/>
      <x:c r="J47" s="3"/>
      <x:c r="K47" s="3"/>
      <x:c r="L47" s="3"/>
      <x:c r="M47" s="3"/>
      <x:c r="N47" s="3"/>
      <x:c r="O47" s="3"/>
    </x:row>
    <x:row r="48" ht="15" customHeight="1">
      <x:c r="A48" s="5" t="str">
        <x:f>IF(36&lt;=$B$3,$B$4+36,"")</x:f>
      </x:c>
      <x:c r="B48" s="3" t="str">
        <x:f>IF($A48="","",'Полином 2'!D46)</x:f>
      </x:c>
      <x:c r="C48" s="3" t="str">
        <x:f>IF($A48="","",'Полином 3'!D46)</x:f>
      </x:c>
      <x:c r="D48" s="3" t="str">
        <x:f>IF($A48="","",'Степенная'!D46)</x:f>
      </x:c>
      <x:c r="E48" s="3" t="str">
        <x:f>IF($A48="","",'Логарифмическая'!D46)</x:f>
      </x:c>
      <x:c r="F48" s="3" t="str">
        <x:f>IF($A48="","",'Экспоненциальная'!D46)</x:f>
      </x:c>
      <x:c r="G48" s="3"/>
      <x:c r="H48" s="3"/>
      <x:c r="I48" s="3"/>
      <x:c r="J48" s="3"/>
      <x:c r="K48" s="3"/>
      <x:c r="L48" s="3"/>
      <x:c r="M48" s="3"/>
      <x:c r="N48" s="3"/>
      <x:c r="O48" s="3"/>
    </x:row>
    <x:row r="49" ht="15" customHeight="1">
      <x:c r="A49" s="5" t="str">
        <x:f>IF(37&lt;=$B$3,$B$4+37,"")</x:f>
      </x:c>
      <x:c r="B49" s="3" t="str">
        <x:f>IF($A49="","",'Полином 2'!D47)</x:f>
      </x:c>
      <x:c r="C49" s="3" t="str">
        <x:f>IF($A49="","",'Полином 3'!D47)</x:f>
      </x:c>
      <x:c r="D49" s="3" t="str">
        <x:f>IF($A49="","",'Степенная'!D47)</x:f>
      </x:c>
      <x:c r="E49" s="3" t="str">
        <x:f>IF($A49="","",'Логарифмическая'!D47)</x:f>
      </x:c>
      <x:c r="F49" s="3" t="str">
        <x:f>IF($A49="","",'Экспоненциальная'!D47)</x:f>
      </x:c>
      <x:c r="G49" s="3"/>
      <x:c r="H49" s="3"/>
      <x:c r="I49" s="3"/>
      <x:c r="J49" s="3"/>
      <x:c r="K49" s="3"/>
      <x:c r="L49" s="3"/>
      <x:c r="M49" s="3"/>
      <x:c r="N49" s="3"/>
      <x:c r="O49" s="3"/>
    </x:row>
    <x:row r="50" ht="15" customHeight="1">
      <x:c r="A50" s="5" t="str">
        <x:f>IF(38&lt;=$B$3,$B$4+38,"")</x:f>
      </x:c>
      <x:c r="B50" s="3" t="str">
        <x:f>IF($A50="","",'Полином 2'!D48)</x:f>
      </x:c>
      <x:c r="C50" s="3" t="str">
        <x:f>IF($A50="","",'Полином 3'!D48)</x:f>
      </x:c>
      <x:c r="D50" s="3" t="str">
        <x:f>IF($A50="","",'Степенная'!D48)</x:f>
      </x:c>
      <x:c r="E50" s="3" t="str">
        <x:f>IF($A50="","",'Логарифмическая'!D48)</x:f>
      </x:c>
      <x:c r="F50" s="3" t="str">
        <x:f>IF($A50="","",'Экспоненциальная'!D48)</x:f>
      </x:c>
      <x:c r="G50" s="3"/>
      <x:c r="H50" s="3"/>
      <x:c r="I50" s="3"/>
      <x:c r="J50" s="3"/>
      <x:c r="K50" s="3"/>
      <x:c r="L50" s="3"/>
      <x:c r="M50" s="3"/>
      <x:c r="N50" s="3"/>
      <x:c r="O50" s="3"/>
    </x:row>
    <x:row r="51" ht="15" customHeight="1">
      <x:c r="A51" s="5" t="str">
        <x:f>IF(39&lt;=$B$3,$B$4+39,"")</x:f>
      </x:c>
      <x:c r="B51" s="3" t="str">
        <x:f>IF($A51="","",'Полином 2'!D49)</x:f>
      </x:c>
      <x:c r="C51" s="3" t="str">
        <x:f>IF($A51="","",'Полином 3'!D49)</x:f>
      </x:c>
      <x:c r="D51" s="3" t="str">
        <x:f>IF($A51="","",'Степенная'!D49)</x:f>
      </x:c>
      <x:c r="E51" s="3" t="str">
        <x:f>IF($A51="","",'Логарифмическая'!D49)</x:f>
      </x:c>
      <x:c r="F51" s="3" t="str">
        <x:f>IF($A51="","",'Экспоненциальная'!D49)</x:f>
      </x:c>
      <x:c r="G51" s="3"/>
      <x:c r="H51" s="3"/>
      <x:c r="I51" s="3"/>
      <x:c r="J51" s="3"/>
      <x:c r="K51" s="3"/>
      <x:c r="L51" s="3"/>
      <x:c r="M51" s="3"/>
      <x:c r="N51" s="3"/>
      <x:c r="O51" s="3"/>
    </x:row>
    <x:row r="52" ht="15" customHeight="1">
      <x:c r="A52" s="5" t="str">
        <x:f>IF(40&lt;=$B$3,$B$4+40,"")</x:f>
      </x:c>
      <x:c r="B52" s="3" t="str">
        <x:f>IF($A52="","",'Полином 2'!D50)</x:f>
      </x:c>
      <x:c r="C52" s="3" t="str">
        <x:f>IF($A52="","",'Полином 3'!D50)</x:f>
      </x:c>
      <x:c r="D52" s="3" t="str">
        <x:f>IF($A52="","",'Степенная'!D50)</x:f>
      </x:c>
      <x:c r="E52" s="3" t="str">
        <x:f>IF($A52="","",'Логарифмическая'!D50)</x:f>
      </x:c>
      <x:c r="F52" s="3" t="str">
        <x:f>IF($A52="","",'Экспоненциальная'!D50)</x:f>
      </x:c>
      <x:c r="G52" s="3"/>
      <x:c r="H52" s="3"/>
      <x:c r="I52" s="3"/>
      <x:c r="J52" s="3"/>
      <x:c r="K52" s="3"/>
      <x:c r="L52" s="3"/>
      <x:c r="M52" s="3"/>
      <x:c r="N52" s="3"/>
      <x:c r="O52" s="3"/>
    </x:row>
    <x:row r="53" ht="15" customHeight="1">
      <x:c r="A53" s="5" t="str">
        <x:f>IF(41&lt;=$B$3,$B$4+41,"")</x:f>
      </x:c>
      <x:c r="B53" s="3" t="str">
        <x:f>IF($A53="","",'Полином 2'!D51)</x:f>
      </x:c>
      <x:c r="C53" s="3" t="str">
        <x:f>IF($A53="","",'Полином 3'!D51)</x:f>
      </x:c>
      <x:c r="D53" s="3" t="str">
        <x:f>IF($A53="","",'Степенная'!D51)</x:f>
      </x:c>
      <x:c r="E53" s="3" t="str">
        <x:f>IF($A53="","",'Логарифмическая'!D51)</x:f>
      </x:c>
      <x:c r="F53" s="3" t="str">
        <x:f>IF($A53="","",'Экспоненциальная'!D51)</x:f>
      </x:c>
      <x:c r="G53" s="3"/>
      <x:c r="H53" s="3"/>
      <x:c r="I53" s="3"/>
      <x:c r="J53" s="3"/>
      <x:c r="K53" s="3"/>
      <x:c r="L53" s="3"/>
      <x:c r="M53" s="3"/>
      <x:c r="N53" s="3"/>
      <x:c r="O53" s="3"/>
    </x:row>
    <x:row r="54" ht="15" customHeight="1">
      <x:c r="A54" s="5" t="str">
        <x:f>IF(42&lt;=$B$3,$B$4+42,"")</x:f>
      </x:c>
      <x:c r="B54" s="3" t="str">
        <x:f>IF($A54="","",'Полином 2'!D52)</x:f>
      </x:c>
      <x:c r="C54" s="3" t="str">
        <x:f>IF($A54="","",'Полином 3'!D52)</x:f>
      </x:c>
      <x:c r="D54" s="3" t="str">
        <x:f>IF($A54="","",'Степенная'!D52)</x:f>
      </x:c>
      <x:c r="E54" s="3" t="str">
        <x:f>IF($A54="","",'Логарифмическая'!D52)</x:f>
      </x:c>
      <x:c r="F54" s="3" t="str">
        <x:f>IF($A54="","",'Экспоненциальная'!D52)</x:f>
      </x:c>
      <x:c r="G54" s="3"/>
      <x:c r="H54" s="3"/>
      <x:c r="I54" s="3"/>
      <x:c r="J54" s="3"/>
      <x:c r="K54" s="3"/>
      <x:c r="L54" s="3"/>
      <x:c r="M54" s="3"/>
      <x:c r="N54" s="3"/>
      <x:c r="O54" s="3"/>
    </x:row>
    <x:row r="55" ht="15" customHeight="1">
      <x:c r="A55" s="5" t="str">
        <x:f>IF(43&lt;=$B$3,$B$4+43,"")</x:f>
      </x:c>
      <x:c r="B55" s="3" t="str">
        <x:f>IF($A55="","",'Полином 2'!D53)</x:f>
      </x:c>
      <x:c r="C55" s="3" t="str">
        <x:f>IF($A55="","",'Полином 3'!D53)</x:f>
      </x:c>
      <x:c r="D55" s="3" t="str">
        <x:f>IF($A55="","",'Степенная'!D53)</x:f>
      </x:c>
      <x:c r="E55" s="3" t="str">
        <x:f>IF($A55="","",'Логарифмическая'!D53)</x:f>
      </x:c>
      <x:c r="F55" s="3" t="str">
        <x:f>IF($A55="","",'Экспоненциальная'!D53)</x:f>
      </x:c>
      <x:c r="G55" s="3"/>
      <x:c r="H55" s="3"/>
      <x:c r="I55" s="3"/>
      <x:c r="J55" s="3"/>
      <x:c r="K55" s="3"/>
      <x:c r="L55" s="3"/>
      <x:c r="M55" s="3"/>
      <x:c r="N55" s="3"/>
      <x:c r="O55" s="3"/>
    </x:row>
    <x:row r="56" ht="15" customHeight="1">
      <x:c r="A56" s="5" t="str">
        <x:f>IF(44&lt;=$B$3,$B$4+44,"")</x:f>
      </x:c>
      <x:c r="B56" s="3" t="str">
        <x:f>IF($A56="","",'Полином 2'!D54)</x:f>
      </x:c>
      <x:c r="C56" s="3" t="str">
        <x:f>IF($A56="","",'Полином 3'!D54)</x:f>
      </x:c>
      <x:c r="D56" s="3" t="str">
        <x:f>IF($A56="","",'Степенная'!D54)</x:f>
      </x:c>
      <x:c r="E56" s="3" t="str">
        <x:f>IF($A56="","",'Логарифмическая'!D54)</x:f>
      </x:c>
      <x:c r="F56" s="3" t="str">
        <x:f>IF($A56="","",'Экспоненциальная'!D54)</x:f>
      </x:c>
      <x:c r="G56" s="3"/>
      <x:c r="H56" s="3"/>
      <x:c r="I56" s="3"/>
      <x:c r="J56" s="3"/>
      <x:c r="K56" s="3"/>
      <x:c r="L56" s="3"/>
      <x:c r="M56" s="3"/>
      <x:c r="N56" s="3"/>
      <x:c r="O56" s="3"/>
    </x:row>
    <x:row r="57" ht="15" customHeight="1">
      <x:c r="A57" s="5" t="str">
        <x:f>IF(45&lt;=$B$3,$B$4+45,"")</x:f>
      </x:c>
      <x:c r="B57" s="3" t="str">
        <x:f>IF($A57="","",'Полином 2'!D55)</x:f>
      </x:c>
      <x:c r="C57" s="3" t="str">
        <x:f>IF($A57="","",'Полином 3'!D55)</x:f>
      </x:c>
      <x:c r="D57" s="3" t="str">
        <x:f>IF($A57="","",'Степенная'!D55)</x:f>
      </x:c>
      <x:c r="E57" s="3" t="str">
        <x:f>IF($A57="","",'Логарифмическая'!D55)</x:f>
      </x:c>
      <x:c r="F57" s="3" t="str">
        <x:f>IF($A57="","",'Экспоненциальная'!D55)</x:f>
      </x:c>
      <x:c r="G57" s="3"/>
      <x:c r="H57" s="3"/>
      <x:c r="I57" s="3"/>
      <x:c r="J57" s="3"/>
      <x:c r="K57" s="3"/>
      <x:c r="L57" s="3"/>
      <x:c r="M57" s="3"/>
      <x:c r="N57" s="3"/>
      <x:c r="O57" s="3"/>
    </x:row>
    <x:row r="58" ht="15" customHeight="1">
      <x:c r="A58" s="5" t="str">
        <x:f>IF(46&lt;=$B$3,$B$4+46,"")</x:f>
      </x:c>
      <x:c r="B58" s="3" t="str">
        <x:f>IF($A58="","",'Полином 2'!D56)</x:f>
      </x:c>
      <x:c r="C58" s="3" t="str">
        <x:f>IF($A58="","",'Полином 3'!D56)</x:f>
      </x:c>
      <x:c r="D58" s="3" t="str">
        <x:f>IF($A58="","",'Степенная'!D56)</x:f>
      </x:c>
      <x:c r="E58" s="3" t="str">
        <x:f>IF($A58="","",'Логарифмическая'!D56)</x:f>
      </x:c>
      <x:c r="F58" s="3" t="str">
        <x:f>IF($A58="","",'Экспоненциальная'!D56)</x:f>
      </x:c>
      <x:c r="G58" s="3"/>
      <x:c r="H58" s="3"/>
      <x:c r="I58" s="3"/>
      <x:c r="J58" s="3"/>
      <x:c r="K58" s="3"/>
      <x:c r="L58" s="3"/>
      <x:c r="M58" s="3"/>
      <x:c r="N58" s="3"/>
      <x:c r="O58" s="3"/>
    </x:row>
    <x:row r="59" ht="15" customHeight="1">
      <x:c r="A59" s="5" t="str">
        <x:f>IF(47&lt;=$B$3,$B$4+47,"")</x:f>
      </x:c>
      <x:c r="B59" s="3" t="str">
        <x:f>IF($A59="","",'Полином 2'!D57)</x:f>
      </x:c>
      <x:c r="C59" s="3" t="str">
        <x:f>IF($A59="","",'Полином 3'!D57)</x:f>
      </x:c>
      <x:c r="D59" s="3" t="str">
        <x:f>IF($A59="","",'Степенная'!D57)</x:f>
      </x:c>
      <x:c r="E59" s="3" t="str">
        <x:f>IF($A59="","",'Логарифмическая'!D57)</x:f>
      </x:c>
      <x:c r="F59" s="3" t="str">
        <x:f>IF($A59="","",'Экспоненциальная'!D57)</x:f>
      </x:c>
      <x:c r="G59" s="3"/>
      <x:c r="H59" s="3"/>
      <x:c r="I59" s="3"/>
      <x:c r="J59" s="3"/>
      <x:c r="K59" s="3"/>
      <x:c r="L59" s="3"/>
      <x:c r="M59" s="3"/>
      <x:c r="N59" s="3"/>
      <x:c r="O59" s="3"/>
    </x:row>
    <x:row r="60" ht="15" customHeight="1">
      <x:c r="A60" s="5" t="str">
        <x:f>IF(48&lt;=$B$3,$B$4+48,"")</x:f>
      </x:c>
      <x:c r="B60" s="3" t="str">
        <x:f>IF($A60="","",'Полином 2'!D58)</x:f>
      </x:c>
      <x:c r="C60" s="3" t="str">
        <x:f>IF($A60="","",'Полином 3'!D58)</x:f>
      </x:c>
      <x:c r="D60" s="3" t="str">
        <x:f>IF($A60="","",'Степенная'!D58)</x:f>
      </x:c>
      <x:c r="E60" s="3" t="str">
        <x:f>IF($A60="","",'Логарифмическая'!D58)</x:f>
      </x:c>
      <x:c r="F60" s="3" t="str">
        <x:f>IF($A60="","",'Экспоненциальная'!D58)</x:f>
      </x:c>
      <x:c r="G60" s="3"/>
      <x:c r="H60" s="3"/>
      <x:c r="I60" s="3"/>
      <x:c r="J60" s="3"/>
      <x:c r="K60" s="3"/>
      <x:c r="L60" s="3"/>
      <x:c r="M60" s="3"/>
      <x:c r="N60" s="3"/>
      <x:c r="O60" s="3"/>
    </x:row>
    <x:row r="61" ht="15" customHeight="1">
      <x:c r="A61" s="5" t="str">
        <x:f>IF(49&lt;=$B$3,$B$4+49,"")</x:f>
      </x:c>
      <x:c r="B61" s="3" t="str">
        <x:f>IF($A61="","",'Полином 2'!D59)</x:f>
      </x:c>
      <x:c r="C61" s="3" t="str">
        <x:f>IF($A61="","",'Полином 3'!D59)</x:f>
      </x:c>
      <x:c r="D61" s="3" t="str">
        <x:f>IF($A61="","",'Степенная'!D59)</x:f>
      </x:c>
      <x:c r="E61" s="3" t="str">
        <x:f>IF($A61="","",'Логарифмическая'!D59)</x:f>
      </x:c>
      <x:c r="F61" s="3" t="str">
        <x:f>IF($A61="","",'Экспоненциальная'!D59)</x:f>
      </x:c>
      <x:c r="G61" s="3"/>
      <x:c r="H61" s="3"/>
      <x:c r="I61" s="3"/>
      <x:c r="J61" s="3"/>
      <x:c r="K61" s="3"/>
      <x:c r="L61" s="3"/>
      <x:c r="M61" s="3"/>
      <x:c r="N61" s="3"/>
      <x:c r="O61" s="3"/>
    </x:row>
    <x:row r="62" ht="15" customHeight="1">
      <x:c r="A62" s="5" t="str">
        <x:f>IF(50&lt;=$B$3,$B$4+50,"")</x:f>
      </x:c>
      <x:c r="B62" s="3" t="str">
        <x:f>IF($A62="","",'Полином 2'!D60)</x:f>
      </x:c>
      <x:c r="C62" s="3" t="str">
        <x:f>IF($A62="","",'Полином 3'!D60)</x:f>
      </x:c>
      <x:c r="D62" s="3" t="str">
        <x:f>IF($A62="","",'Степенная'!D60)</x:f>
      </x:c>
      <x:c r="E62" s="3" t="str">
        <x:f>IF($A62="","",'Логарифмическая'!D60)</x:f>
      </x:c>
      <x:c r="F62" s="3" t="str">
        <x:f>IF($A62="","",'Экспоненциальная'!D60)</x:f>
      </x:c>
      <x:c r="G62" s="3"/>
      <x:c r="H62" s="3"/>
      <x:c r="I62" s="3"/>
      <x:c r="J62" s="3"/>
      <x:c r="K62" s="3"/>
      <x:c r="L62" s="3"/>
      <x:c r="M62" s="3"/>
      <x:c r="N62" s="3"/>
      <x:c r="O62" s="3"/>
    </x:row>
    <x:row r="63" ht="15" customHeight="1">
      <x:c r="A63" s="5" t="str">
        <x:f>IF(51&lt;=$B$3,$B$4+51,"")</x:f>
      </x:c>
      <x:c r="B63" s="3" t="str">
        <x:f>IF($A63="","",'Полином 2'!D61)</x:f>
      </x:c>
      <x:c r="C63" s="3" t="str">
        <x:f>IF($A63="","",'Полином 3'!D61)</x:f>
      </x:c>
      <x:c r="D63" s="3" t="str">
        <x:f>IF($A63="","",'Степенная'!D61)</x:f>
      </x:c>
      <x:c r="E63" s="3" t="str">
        <x:f>IF($A63="","",'Логарифмическая'!D61)</x:f>
      </x:c>
      <x:c r="F63" s="3" t="str">
        <x:f>IF($A63="","",'Экспоненциальная'!D61)</x:f>
      </x:c>
      <x:c r="G63" s="3"/>
      <x:c r="H63" s="3"/>
      <x:c r="I63" s="3"/>
      <x:c r="J63" s="3"/>
      <x:c r="K63" s="3"/>
      <x:c r="L63" s="3"/>
      <x:c r="M63" s="3"/>
      <x:c r="N63" s="3"/>
      <x:c r="O63" s="3"/>
    </x:row>
    <x:row r="64" ht="15" customHeight="1">
      <x:c r="A64" s="5" t="str">
        <x:f>IF(52&lt;=$B$3,$B$4+52,"")</x:f>
      </x:c>
      <x:c r="B64" s="3" t="str">
        <x:f>IF($A64="","",'Полином 2'!D62)</x:f>
      </x:c>
      <x:c r="C64" s="3" t="str">
        <x:f>IF($A64="","",'Полином 3'!D62)</x:f>
      </x:c>
      <x:c r="D64" s="3" t="str">
        <x:f>IF($A64="","",'Степенная'!D62)</x:f>
      </x:c>
      <x:c r="E64" s="3" t="str">
        <x:f>IF($A64="","",'Логарифмическая'!D62)</x:f>
      </x:c>
      <x:c r="F64" s="3" t="str">
        <x:f>IF($A64="","",'Экспоненциальная'!D62)</x:f>
      </x:c>
      <x:c r="G64" s="3"/>
      <x:c r="H64" s="3"/>
      <x:c r="I64" s="3"/>
      <x:c r="J64" s="3"/>
      <x:c r="K64" s="3"/>
      <x:c r="L64" s="3"/>
      <x:c r="M64" s="3"/>
      <x:c r="N64" s="3"/>
      <x:c r="O64" s="3"/>
    </x:row>
    <x:row r="65" ht="15" customHeight="1">
      <x:c r="A65" s="5" t="str">
        <x:f>IF(53&lt;=$B$3,$B$4+53,"")</x:f>
      </x:c>
      <x:c r="B65" s="3" t="str">
        <x:f>IF($A65="","",'Полином 2'!D63)</x:f>
      </x:c>
      <x:c r="C65" s="3" t="str">
        <x:f>IF($A65="","",'Полином 3'!D63)</x:f>
      </x:c>
      <x:c r="D65" s="3" t="str">
        <x:f>IF($A65="","",'Степенная'!D63)</x:f>
      </x:c>
      <x:c r="E65" s="3" t="str">
        <x:f>IF($A65="","",'Логарифмическая'!D63)</x:f>
      </x:c>
      <x:c r="F65" s="3" t="str">
        <x:f>IF($A65="","",'Экспоненциальная'!D63)</x:f>
      </x:c>
      <x:c r="G65" s="3"/>
      <x:c r="H65" s="3"/>
      <x:c r="I65" s="3"/>
      <x:c r="J65" s="3"/>
      <x:c r="K65" s="3"/>
      <x:c r="L65" s="3"/>
      <x:c r="M65" s="3"/>
      <x:c r="N65" s="3"/>
      <x:c r="O65" s="3"/>
    </x:row>
    <x:row r="66" ht="15" customHeight="1">
      <x:c r="A66" s="5" t="str">
        <x:f>IF(54&lt;=$B$3,$B$4+54,"")</x:f>
      </x:c>
      <x:c r="B66" s="3" t="str">
        <x:f>IF($A66="","",'Полином 2'!D64)</x:f>
      </x:c>
      <x:c r="C66" s="3" t="str">
        <x:f>IF($A66="","",'Полином 3'!D64)</x:f>
      </x:c>
      <x:c r="D66" s="3" t="str">
        <x:f>IF($A66="","",'Степенная'!D64)</x:f>
      </x:c>
      <x:c r="E66" s="3" t="str">
        <x:f>IF($A66="","",'Логарифмическая'!D64)</x:f>
      </x:c>
      <x:c r="F66" s="3" t="str">
        <x:f>IF($A66="","",'Экспоненциальная'!D64)</x:f>
      </x:c>
      <x:c r="G66" s="3"/>
      <x:c r="H66" s="3"/>
      <x:c r="I66" s="3"/>
      <x:c r="J66" s="3"/>
      <x:c r="K66" s="3"/>
      <x:c r="L66" s="3"/>
      <x:c r="M66" s="3"/>
      <x:c r="N66" s="3"/>
      <x:c r="O66" s="3"/>
    </x:row>
    <x:row r="67" ht="15" customHeight="1">
      <x:c r="A67" s="5" t="str">
        <x:f>IF(55&lt;=$B$3,$B$4+55,"")</x:f>
      </x:c>
      <x:c r="B67" s="3" t="str">
        <x:f>IF($A67="","",'Полином 2'!D65)</x:f>
      </x:c>
      <x:c r="C67" s="3" t="str">
        <x:f>IF($A67="","",'Полином 3'!D65)</x:f>
      </x:c>
      <x:c r="D67" s="3" t="str">
        <x:f>IF($A67="","",'Степенная'!D65)</x:f>
      </x:c>
      <x:c r="E67" s="3" t="str">
        <x:f>IF($A67="","",'Логарифмическая'!D65)</x:f>
      </x:c>
      <x:c r="F67" s="3" t="str">
        <x:f>IF($A67="","",'Экспоненциальная'!D65)</x:f>
      </x:c>
      <x:c r="G67" s="3"/>
      <x:c r="H67" s="3"/>
      <x:c r="I67" s="3"/>
      <x:c r="J67" s="3"/>
      <x:c r="K67" s="3"/>
      <x:c r="L67" s="3"/>
      <x:c r="M67" s="3"/>
      <x:c r="N67" s="3"/>
      <x:c r="O67" s="3"/>
    </x:row>
    <x:row r="68" ht="15" customHeight="1">
      <x:c r="A68" s="5" t="str">
        <x:f>IF(56&lt;=$B$3,$B$4+56,"")</x:f>
      </x:c>
      <x:c r="B68" s="3" t="str">
        <x:f>IF($A68="","",'Полином 2'!D66)</x:f>
      </x:c>
      <x:c r="C68" s="3" t="str">
        <x:f>IF($A68="","",'Полином 3'!D66)</x:f>
      </x:c>
      <x:c r="D68" s="3" t="str">
        <x:f>IF($A68="","",'Степенная'!D66)</x:f>
      </x:c>
      <x:c r="E68" s="3" t="str">
        <x:f>IF($A68="","",'Логарифмическая'!D66)</x:f>
      </x:c>
      <x:c r="F68" s="3" t="str">
        <x:f>IF($A68="","",'Экспоненциальная'!D66)</x:f>
      </x:c>
      <x:c r="G68" s="3"/>
      <x:c r="H68" s="3"/>
      <x:c r="I68" s="3"/>
      <x:c r="J68" s="3"/>
      <x:c r="K68" s="3"/>
      <x:c r="L68" s="3"/>
      <x:c r="M68" s="3"/>
      <x:c r="N68" s="3"/>
      <x:c r="O68" s="3"/>
    </x:row>
    <x:row r="69" ht="15" customHeight="1">
      <x:c r="A69" s="5" t="str">
        <x:f>IF(57&lt;=$B$3,$B$4+57,"")</x:f>
      </x:c>
      <x:c r="B69" s="3" t="str">
        <x:f>IF($A69="","",'Полином 2'!D67)</x:f>
      </x:c>
      <x:c r="C69" s="3" t="str">
        <x:f>IF($A69="","",'Полином 3'!D67)</x:f>
      </x:c>
      <x:c r="D69" s="3" t="str">
        <x:f>IF($A69="","",'Степенная'!D67)</x:f>
      </x:c>
      <x:c r="E69" s="3" t="str">
        <x:f>IF($A69="","",'Логарифмическая'!D67)</x:f>
      </x:c>
      <x:c r="F69" s="3" t="str">
        <x:f>IF($A69="","",'Экспоненциальная'!D67)</x:f>
      </x:c>
      <x:c r="G69" s="3"/>
      <x:c r="H69" s="3"/>
      <x:c r="I69" s="3"/>
      <x:c r="J69" s="3"/>
      <x:c r="K69" s="3"/>
      <x:c r="L69" s="3"/>
      <x:c r="M69" s="3"/>
      <x:c r="N69" s="3"/>
      <x:c r="O69" s="3"/>
    </x:row>
    <x:row r="70" ht="15" customHeight="1">
      <x:c r="A70" s="5" t="str">
        <x:f>IF(58&lt;=$B$3,$B$4+58,"")</x:f>
      </x:c>
      <x:c r="B70" s="3" t="str">
        <x:f>IF($A70="","",'Полином 2'!D68)</x:f>
      </x:c>
      <x:c r="C70" s="3" t="str">
        <x:f>IF($A70="","",'Полином 3'!D68)</x:f>
      </x:c>
      <x:c r="D70" s="3" t="str">
        <x:f>IF($A70="","",'Степенная'!D68)</x:f>
      </x:c>
      <x:c r="E70" s="3" t="str">
        <x:f>IF($A70="","",'Логарифмическая'!D68)</x:f>
      </x:c>
      <x:c r="F70" s="3" t="str">
        <x:f>IF($A70="","",'Экспоненциальная'!D68)</x:f>
      </x:c>
      <x:c r="G70" s="3"/>
      <x:c r="H70" s="3"/>
      <x:c r="I70" s="3"/>
      <x:c r="J70" s="3"/>
      <x:c r="K70" s="3"/>
      <x:c r="L70" s="3"/>
      <x:c r="M70" s="3"/>
      <x:c r="N70" s="3"/>
      <x:c r="O70" s="3"/>
    </x:row>
    <x:row r="71" ht="15" customHeight="1">
      <x:c r="A71" s="5" t="str">
        <x:f>IF(59&lt;=$B$3,$B$4+59,"")</x:f>
      </x:c>
      <x:c r="B71" s="3" t="str">
        <x:f>IF($A71="","",'Полином 2'!D69)</x:f>
      </x:c>
      <x:c r="C71" s="3" t="str">
        <x:f>IF($A71="","",'Полином 3'!D69)</x:f>
      </x:c>
      <x:c r="D71" s="3" t="str">
        <x:f>IF($A71="","",'Степенная'!D69)</x:f>
      </x:c>
      <x:c r="E71" s="3" t="str">
        <x:f>IF($A71="","",'Логарифмическая'!D69)</x:f>
      </x:c>
      <x:c r="F71" s="3" t="str">
        <x:f>IF($A71="","",'Экспоненциальная'!D69)</x:f>
      </x:c>
      <x:c r="G71" s="3"/>
      <x:c r="H71" s="3"/>
      <x:c r="I71" s="3"/>
      <x:c r="J71" s="3"/>
      <x:c r="K71" s="3"/>
      <x:c r="L71" s="3"/>
      <x:c r="M71" s="3"/>
      <x:c r="N71" s="3"/>
      <x:c r="O71" s="3"/>
    </x:row>
    <x:row r="72" ht="15" customHeight="1">
      <x:c r="A72" s="5" t="str">
        <x:f>IF(60&lt;=$B$3,$B$4+60,"")</x:f>
      </x:c>
      <x:c r="B72" s="3" t="str">
        <x:f>IF($A72="","",'Полином 2'!D70)</x:f>
      </x:c>
      <x:c r="C72" s="3" t="str">
        <x:f>IF($A72="","",'Полином 3'!D70)</x:f>
      </x:c>
      <x:c r="D72" s="3" t="str">
        <x:f>IF($A72="","",'Степенная'!D70)</x:f>
      </x:c>
      <x:c r="E72" s="3" t="str">
        <x:f>IF($A72="","",'Логарифмическая'!D70)</x:f>
      </x:c>
      <x:c r="F72" s="3" t="str">
        <x:f>IF($A72="","",'Экспоненциальная'!D70)</x:f>
      </x:c>
      <x:c r="G72" s="3"/>
      <x:c r="H72" s="3"/>
      <x:c r="I72" s="3"/>
      <x:c r="J72" s="3"/>
      <x:c r="K72" s="3"/>
      <x:c r="L72" s="3"/>
      <x:c r="M72" s="3"/>
      <x:c r="N72" s="3"/>
      <x:c r="O72" s="3"/>
    </x:row>
    <x:row r="73" ht="15" customHeight="1">
      <x:c r="A73" s="5" t="str">
        <x:f>IF(61&lt;=$B$3,$B$4+61,"")</x:f>
      </x:c>
      <x:c r="B73" s="3" t="str">
        <x:f>IF($A73="","",'Полином 2'!D71)</x:f>
      </x:c>
      <x:c r="C73" s="3" t="str">
        <x:f>IF($A73="","",'Полином 3'!D71)</x:f>
      </x:c>
      <x:c r="D73" s="3" t="str">
        <x:f>IF($A73="","",'Степенная'!D71)</x:f>
      </x:c>
      <x:c r="E73" s="3" t="str">
        <x:f>IF($A73="","",'Логарифмическая'!D71)</x:f>
      </x:c>
      <x:c r="F73" s="3" t="str">
        <x:f>IF($A73="","",'Экспоненциальная'!D71)</x:f>
      </x:c>
      <x:c r="G73" s="3"/>
      <x:c r="H73" s="3"/>
      <x:c r="I73" s="3"/>
      <x:c r="J73" s="3"/>
      <x:c r="K73" s="3"/>
      <x:c r="L73" s="3"/>
      <x:c r="M73" s="3"/>
      <x:c r="N73" s="3"/>
      <x:c r="O73" s="3"/>
    </x:row>
    <x:row r="74" ht="15" customHeight="1">
      <x:c r="A74" s="5" t="str">
        <x:f>IF(62&lt;=$B$3,$B$4+62,"")</x:f>
      </x:c>
      <x:c r="B74" s="3" t="str">
        <x:f>IF($A74="","",'Полином 2'!D72)</x:f>
      </x:c>
      <x:c r="C74" s="3" t="str">
        <x:f>IF($A74="","",'Полином 3'!D72)</x:f>
      </x:c>
      <x:c r="D74" s="3" t="str">
        <x:f>IF($A74="","",'Степенная'!D72)</x:f>
      </x:c>
      <x:c r="E74" s="3" t="str">
        <x:f>IF($A74="","",'Логарифмическая'!D72)</x:f>
      </x:c>
      <x:c r="F74" s="3" t="str">
        <x:f>IF($A74="","",'Экспоненциальная'!D72)</x:f>
      </x:c>
      <x:c r="G74" s="3"/>
      <x:c r="H74" s="3"/>
      <x:c r="I74" s="3"/>
      <x:c r="J74" s="3"/>
      <x:c r="K74" s="3"/>
      <x:c r="L74" s="3"/>
      <x:c r="M74" s="3"/>
      <x:c r="N74" s="3"/>
      <x:c r="O74" s="3"/>
    </x:row>
    <x:row r="75" ht="15" customHeight="1">
      <x:c r="A75" s="5" t="str">
        <x:f>IF(63&lt;=$B$3,$B$4+63,"")</x:f>
      </x:c>
      <x:c r="B75" s="3" t="str">
        <x:f>IF($A75="","",'Полином 2'!D73)</x:f>
      </x:c>
      <x:c r="C75" s="3" t="str">
        <x:f>IF($A75="","",'Полином 3'!D73)</x:f>
      </x:c>
      <x:c r="D75" s="3" t="str">
        <x:f>IF($A75="","",'Степенная'!D73)</x:f>
      </x:c>
      <x:c r="E75" s="3" t="str">
        <x:f>IF($A75="","",'Логарифмическая'!D73)</x:f>
      </x:c>
      <x:c r="F75" s="3" t="str">
        <x:f>IF($A75="","",'Экспоненциальная'!D73)</x:f>
      </x:c>
      <x:c r="G75" s="3"/>
      <x:c r="H75" s="3"/>
      <x:c r="I75" s="3"/>
      <x:c r="J75" s="3"/>
      <x:c r="K75" s="3"/>
      <x:c r="L75" s="3"/>
      <x:c r="M75" s="3"/>
      <x:c r="N75" s="3"/>
      <x:c r="O75" s="3"/>
    </x:row>
    <x:row r="76" ht="15" customHeight="1">
      <x:c r="A76" s="5" t="str">
        <x:f>IF(64&lt;=$B$3,$B$4+64,"")</x:f>
      </x:c>
      <x:c r="B76" s="3" t="str">
        <x:f>IF($A76="","",'Полином 2'!D74)</x:f>
      </x:c>
      <x:c r="C76" s="3" t="str">
        <x:f>IF($A76="","",'Полином 3'!D74)</x:f>
      </x:c>
      <x:c r="D76" s="3" t="str">
        <x:f>IF($A76="","",'Степенная'!D74)</x:f>
      </x:c>
      <x:c r="E76" s="3" t="str">
        <x:f>IF($A76="","",'Логарифмическая'!D74)</x:f>
      </x:c>
      <x:c r="F76" s="3" t="str">
        <x:f>IF($A76="","",'Экспоненциальная'!D74)</x:f>
      </x:c>
      <x:c r="G76" s="3"/>
      <x:c r="H76" s="3"/>
      <x:c r="I76" s="3"/>
      <x:c r="J76" s="3"/>
      <x:c r="K76" s="3"/>
      <x:c r="L76" s="3"/>
      <x:c r="M76" s="3"/>
      <x:c r="N76" s="3"/>
      <x:c r="O76" s="3"/>
    </x:row>
    <x:row r="77" ht="15" customHeight="1">
      <x:c r="A77" s="5" t="str">
        <x:f>IF(65&lt;=$B$3,$B$4+65,"")</x:f>
      </x:c>
      <x:c r="B77" s="3" t="str">
        <x:f>IF($A77="","",'Полином 2'!D75)</x:f>
      </x:c>
      <x:c r="C77" s="3" t="str">
        <x:f>IF($A77="","",'Полином 3'!D75)</x:f>
      </x:c>
      <x:c r="D77" s="3" t="str">
        <x:f>IF($A77="","",'Степенная'!D75)</x:f>
      </x:c>
      <x:c r="E77" s="3" t="str">
        <x:f>IF($A77="","",'Логарифмическая'!D75)</x:f>
      </x:c>
      <x:c r="F77" s="3" t="str">
        <x:f>IF($A77="","",'Экспоненциальная'!D75)</x:f>
      </x:c>
      <x:c r="G77" s="3"/>
      <x:c r="H77" s="3"/>
      <x:c r="I77" s="3"/>
      <x:c r="J77" s="3"/>
      <x:c r="K77" s="3"/>
      <x:c r="L77" s="3"/>
      <x:c r="M77" s="3"/>
      <x:c r="N77" s="3"/>
      <x:c r="O77" s="3"/>
    </x:row>
    <x:row r="78" ht="15" customHeight="1">
      <x:c r="A78" s="5" t="str">
        <x:f>IF(66&lt;=$B$3,$B$4+66,"")</x:f>
      </x:c>
      <x:c r="B78" s="3" t="str">
        <x:f>IF($A78="","",'Полином 2'!D76)</x:f>
      </x:c>
      <x:c r="C78" s="3" t="str">
        <x:f>IF($A78="","",'Полином 3'!D76)</x:f>
      </x:c>
      <x:c r="D78" s="3" t="str">
        <x:f>IF($A78="","",'Степенная'!D76)</x:f>
      </x:c>
      <x:c r="E78" s="3" t="str">
        <x:f>IF($A78="","",'Логарифмическая'!D76)</x:f>
      </x:c>
      <x:c r="F78" s="3" t="str">
        <x:f>IF($A78="","",'Экспоненциальная'!D76)</x:f>
      </x:c>
      <x:c r="G78" s="3"/>
      <x:c r="H78" s="3"/>
      <x:c r="I78" s="3"/>
      <x:c r="J78" s="3"/>
      <x:c r="K78" s="3"/>
      <x:c r="L78" s="3"/>
      <x:c r="M78" s="3"/>
      <x:c r="N78" s="3"/>
      <x:c r="O78" s="3"/>
    </x:row>
    <x:row r="79" ht="15" customHeight="1">
      <x:c r="A79" s="5" t="str">
        <x:f>IF(67&lt;=$B$3,$B$4+67,"")</x:f>
      </x:c>
      <x:c r="B79" s="3" t="str">
        <x:f>IF($A79="","",'Полином 2'!D77)</x:f>
      </x:c>
      <x:c r="C79" s="3" t="str">
        <x:f>IF($A79="","",'Полином 3'!D77)</x:f>
      </x:c>
      <x:c r="D79" s="3" t="str">
        <x:f>IF($A79="","",'Степенная'!D77)</x:f>
      </x:c>
      <x:c r="E79" s="3" t="str">
        <x:f>IF($A79="","",'Логарифмическая'!D77)</x:f>
      </x:c>
      <x:c r="F79" s="3" t="str">
        <x:f>IF($A79="","",'Экспоненциальная'!D77)</x:f>
      </x:c>
      <x:c r="G79" s="3"/>
      <x:c r="H79" s="3"/>
      <x:c r="I79" s="3"/>
      <x:c r="J79" s="3"/>
      <x:c r="K79" s="3"/>
      <x:c r="L79" s="3"/>
      <x:c r="M79" s="3"/>
      <x:c r="N79" s="3"/>
      <x:c r="O79" s="3"/>
    </x:row>
    <x:row r="80" ht="15" customHeight="1">
      <x:c r="A80" s="5" t="str">
        <x:f>IF(68&lt;=$B$3,$B$4+68,"")</x:f>
      </x:c>
      <x:c r="B80" s="3" t="str">
        <x:f>IF($A80="","",'Полином 2'!D78)</x:f>
      </x:c>
      <x:c r="C80" s="3" t="str">
        <x:f>IF($A80="","",'Полином 3'!D78)</x:f>
      </x:c>
      <x:c r="D80" s="3" t="str">
        <x:f>IF($A80="","",'Степенная'!D78)</x:f>
      </x:c>
      <x:c r="E80" s="3" t="str">
        <x:f>IF($A80="","",'Логарифмическая'!D78)</x:f>
      </x:c>
      <x:c r="F80" s="3" t="str">
        <x:f>IF($A80="","",'Экспоненциальная'!D78)</x:f>
      </x:c>
      <x:c r="G80" s="3"/>
      <x:c r="H80" s="3"/>
      <x:c r="I80" s="3"/>
      <x:c r="J80" s="3"/>
      <x:c r="K80" s="3"/>
      <x:c r="L80" s="3"/>
      <x:c r="M80" s="3"/>
      <x:c r="N80" s="3"/>
      <x:c r="O80" s="3"/>
    </x:row>
    <x:row r="81" ht="15" customHeight="1">
      <x:c r="A81" s="5" t="str">
        <x:f>IF(69&lt;=$B$3,$B$4+69,"")</x:f>
      </x:c>
      <x:c r="B81" s="3" t="str">
        <x:f>IF($A81="","",'Полином 2'!D79)</x:f>
      </x:c>
      <x:c r="C81" s="3" t="str">
        <x:f>IF($A81="","",'Полином 3'!D79)</x:f>
      </x:c>
      <x:c r="D81" s="3" t="str">
        <x:f>IF($A81="","",'Степенная'!D79)</x:f>
      </x:c>
      <x:c r="E81" s="3" t="str">
        <x:f>IF($A81="","",'Логарифмическая'!D79)</x:f>
      </x:c>
      <x:c r="F81" s="3" t="str">
        <x:f>IF($A81="","",'Экспоненциальная'!D79)</x:f>
      </x:c>
      <x:c r="G81" s="3"/>
      <x:c r="H81" s="3"/>
      <x:c r="I81" s="3"/>
      <x:c r="J81" s="3"/>
      <x:c r="K81" s="3"/>
      <x:c r="L81" s="3"/>
      <x:c r="M81" s="3"/>
      <x:c r="N81" s="3"/>
      <x:c r="O81" s="3"/>
    </x:row>
    <x:row r="82" ht="15" customHeight="1">
      <x:c r="A82" s="5" t="str">
        <x:f>IF(70&lt;=$B$3,$B$4+70,"")</x:f>
      </x:c>
      <x:c r="B82" s="3" t="str">
        <x:f>IF($A82="","",'Полином 2'!D80)</x:f>
      </x:c>
      <x:c r="C82" s="3" t="str">
        <x:f>IF($A82="","",'Полином 3'!D80)</x:f>
      </x:c>
      <x:c r="D82" s="3" t="str">
        <x:f>IF($A82="","",'Степенная'!D80)</x:f>
      </x:c>
      <x:c r="E82" s="3" t="str">
        <x:f>IF($A82="","",'Логарифмическая'!D80)</x:f>
      </x:c>
      <x:c r="F82" s="3" t="str">
        <x:f>IF($A82="","",'Экспоненциальная'!D80)</x:f>
      </x:c>
      <x:c r="G82" s="3"/>
      <x:c r="H82" s="3"/>
      <x:c r="I82" s="3"/>
      <x:c r="J82" s="3"/>
      <x:c r="K82" s="3"/>
      <x:c r="L82" s="3"/>
      <x:c r="M82" s="3"/>
      <x:c r="N82" s="3"/>
      <x:c r="O82" s="3"/>
    </x:row>
    <x:row r="83" ht="15" customHeight="1">
      <x:c r="A83" s="5" t="str">
        <x:f>IF(71&lt;=$B$3,$B$4+71,"")</x:f>
      </x:c>
      <x:c r="B83" s="3" t="str">
        <x:f>IF($A83="","",'Полином 2'!D81)</x:f>
      </x:c>
      <x:c r="C83" s="3" t="str">
        <x:f>IF($A83="","",'Полином 3'!D81)</x:f>
      </x:c>
      <x:c r="D83" s="3" t="str">
        <x:f>IF($A83="","",'Степенная'!D81)</x:f>
      </x:c>
      <x:c r="E83" s="3" t="str">
        <x:f>IF($A83="","",'Логарифмическая'!D81)</x:f>
      </x:c>
      <x:c r="F83" s="3" t="str">
        <x:f>IF($A83="","",'Экспоненциальная'!D81)</x:f>
      </x:c>
      <x:c r="G83" s="3"/>
      <x:c r="H83" s="3"/>
      <x:c r="I83" s="3"/>
      <x:c r="J83" s="3"/>
      <x:c r="K83" s="3"/>
      <x:c r="L83" s="3"/>
      <x:c r="M83" s="3"/>
      <x:c r="N83" s="3"/>
      <x:c r="O83" s="3"/>
    </x:row>
    <x:row r="84" ht="15" customHeight="1">
      <x:c r="A84" s="5" t="str">
        <x:f>IF(72&lt;=$B$3,$B$4+72,"")</x:f>
      </x:c>
      <x:c r="B84" s="3" t="str">
        <x:f>IF($A84="","",'Полином 2'!D82)</x:f>
      </x:c>
      <x:c r="C84" s="3" t="str">
        <x:f>IF($A84="","",'Полином 3'!D82)</x:f>
      </x:c>
      <x:c r="D84" s="3" t="str">
        <x:f>IF($A84="","",'Степенная'!D82)</x:f>
      </x:c>
      <x:c r="E84" s="3" t="str">
        <x:f>IF($A84="","",'Логарифмическая'!D82)</x:f>
      </x:c>
      <x:c r="F84" s="3" t="str">
        <x:f>IF($A84="","",'Экспоненциальная'!D82)</x:f>
      </x:c>
      <x:c r="G84" s="3"/>
      <x:c r="H84" s="3"/>
      <x:c r="I84" s="3"/>
      <x:c r="J84" s="3"/>
      <x:c r="K84" s="3"/>
      <x:c r="L84" s="3"/>
      <x:c r="M84" s="3"/>
      <x:c r="N84" s="3"/>
      <x:c r="O84" s="3"/>
    </x:row>
    <x:row r="85" ht="15" customHeight="1">
      <x:c r="A85" s="5" t="str">
        <x:f>IF(73&lt;=$B$3,$B$4+73,"")</x:f>
      </x:c>
      <x:c r="B85" s="3" t="str">
        <x:f>IF($A85="","",'Полином 2'!D83)</x:f>
      </x:c>
      <x:c r="C85" s="3" t="str">
        <x:f>IF($A85="","",'Полином 3'!D83)</x:f>
      </x:c>
      <x:c r="D85" s="3" t="str">
        <x:f>IF($A85="","",'Степенная'!D83)</x:f>
      </x:c>
      <x:c r="E85" s="3" t="str">
        <x:f>IF($A85="","",'Логарифмическая'!D83)</x:f>
      </x:c>
      <x:c r="F85" s="3" t="str">
        <x:f>IF($A85="","",'Экспоненциальная'!D83)</x:f>
      </x:c>
      <x:c r="G85" s="3"/>
      <x:c r="H85" s="3"/>
      <x:c r="I85" s="3"/>
      <x:c r="J85" s="3"/>
      <x:c r="K85" s="3"/>
      <x:c r="L85" s="3"/>
      <x:c r="M85" s="3"/>
      <x:c r="N85" s="3"/>
      <x:c r="O85" s="3"/>
    </x:row>
    <x:row r="86" ht="15" customHeight="1">
      <x:c r="A86" s="5" t="str">
        <x:f>IF(74&lt;=$B$3,$B$4+74,"")</x:f>
      </x:c>
      <x:c r="B86" s="3" t="str">
        <x:f>IF($A86="","",'Полином 2'!D84)</x:f>
      </x:c>
      <x:c r="C86" s="3" t="str">
        <x:f>IF($A86="","",'Полином 3'!D84)</x:f>
      </x:c>
      <x:c r="D86" s="3" t="str">
        <x:f>IF($A86="","",'Степенная'!D84)</x:f>
      </x:c>
      <x:c r="E86" s="3" t="str">
        <x:f>IF($A86="","",'Логарифмическая'!D84)</x:f>
      </x:c>
      <x:c r="F86" s="3" t="str">
        <x:f>IF($A86="","",'Экспоненциальная'!D84)</x:f>
      </x:c>
      <x:c r="G86" s="3"/>
      <x:c r="H86" s="3"/>
      <x:c r="I86" s="3"/>
      <x:c r="J86" s="3"/>
      <x:c r="K86" s="3"/>
      <x:c r="L86" s="3"/>
      <x:c r="M86" s="3"/>
      <x:c r="N86" s="3"/>
      <x:c r="O86" s="3"/>
    </x:row>
    <x:row r="87" ht="15" customHeight="1">
      <x:c r="A87" s="5" t="str">
        <x:f>IF(75&lt;=$B$3,$B$4+75,"")</x:f>
      </x:c>
      <x:c r="B87" s="3" t="str">
        <x:f>IF($A87="","",'Полином 2'!D85)</x:f>
      </x:c>
      <x:c r="C87" s="3" t="str">
        <x:f>IF($A87="","",'Полином 3'!D85)</x:f>
      </x:c>
      <x:c r="D87" s="3" t="str">
        <x:f>IF($A87="","",'Степенная'!D85)</x:f>
      </x:c>
      <x:c r="E87" s="3" t="str">
        <x:f>IF($A87="","",'Логарифмическая'!D85)</x:f>
      </x:c>
      <x:c r="F87" s="3" t="str">
        <x:f>IF($A87="","",'Экспоненциальная'!D85)</x:f>
      </x:c>
      <x:c r="G87" s="3"/>
      <x:c r="H87" s="3"/>
      <x:c r="I87" s="3"/>
      <x:c r="J87" s="3"/>
      <x:c r="K87" s="3"/>
      <x:c r="L87" s="3"/>
      <x:c r="M87" s="3"/>
      <x:c r="N87" s="3"/>
      <x:c r="O87" s="3"/>
    </x:row>
    <x:row r="88" ht="15" customHeight="1">
      <x:c r="A88" s="5" t="str">
        <x:f>IF(76&lt;=$B$3,$B$4+76,"")</x:f>
      </x:c>
      <x:c r="B88" s="3" t="str">
        <x:f>IF($A88="","",'Полином 2'!D86)</x:f>
      </x:c>
      <x:c r="C88" s="3" t="str">
        <x:f>IF($A88="","",'Полином 3'!D86)</x:f>
      </x:c>
      <x:c r="D88" s="3" t="str">
        <x:f>IF($A88="","",'Степенная'!D86)</x:f>
      </x:c>
      <x:c r="E88" s="3" t="str">
        <x:f>IF($A88="","",'Логарифмическая'!D86)</x:f>
      </x:c>
      <x:c r="F88" s="3" t="str">
        <x:f>IF($A88="","",'Экспоненциальная'!D86)</x:f>
      </x:c>
      <x:c r="G88" s="3"/>
      <x:c r="H88" s="3"/>
      <x:c r="I88" s="3"/>
      <x:c r="J88" s="3"/>
      <x:c r="K88" s="3"/>
      <x:c r="L88" s="3"/>
      <x:c r="M88" s="3"/>
      <x:c r="N88" s="3"/>
      <x:c r="O88" s="3"/>
    </x:row>
    <x:row r="89" ht="15" customHeight="1">
      <x:c r="A89" s="5" t="str">
        <x:f>IF(77&lt;=$B$3,$B$4+77,"")</x:f>
      </x:c>
      <x:c r="B89" s="3" t="str">
        <x:f>IF($A89="","",'Полином 2'!D87)</x:f>
      </x:c>
      <x:c r="C89" s="3" t="str">
        <x:f>IF($A89="","",'Полином 3'!D87)</x:f>
      </x:c>
      <x:c r="D89" s="3" t="str">
        <x:f>IF($A89="","",'Степенная'!D87)</x:f>
      </x:c>
      <x:c r="E89" s="3" t="str">
        <x:f>IF($A89="","",'Логарифмическая'!D87)</x:f>
      </x:c>
      <x:c r="F89" s="3" t="str">
        <x:f>IF($A89="","",'Экспоненциальная'!D87)</x:f>
      </x:c>
      <x:c r="G89" s="3"/>
      <x:c r="H89" s="3"/>
      <x:c r="I89" s="3"/>
      <x:c r="J89" s="3"/>
      <x:c r="K89" s="3"/>
      <x:c r="L89" s="3"/>
      <x:c r="M89" s="3"/>
      <x:c r="N89" s="3"/>
      <x:c r="O89" s="3"/>
    </x:row>
    <x:row r="90" ht="15" customHeight="1">
      <x:c r="A90" s="5" t="str">
        <x:f>IF(78&lt;=$B$3,$B$4+78,"")</x:f>
      </x:c>
      <x:c r="B90" s="3" t="str">
        <x:f>IF($A90="","",'Полином 2'!D88)</x:f>
      </x:c>
      <x:c r="C90" s="3" t="str">
        <x:f>IF($A90="","",'Полином 3'!D88)</x:f>
      </x:c>
      <x:c r="D90" s="3" t="str">
        <x:f>IF($A90="","",'Степенная'!D88)</x:f>
      </x:c>
      <x:c r="E90" s="3" t="str">
        <x:f>IF($A90="","",'Логарифмическая'!D88)</x:f>
      </x:c>
      <x:c r="F90" s="3" t="str">
        <x:f>IF($A90="","",'Экспоненциальная'!D88)</x:f>
      </x:c>
      <x:c r="G90" s="3"/>
      <x:c r="H90" s="3"/>
      <x:c r="I90" s="3"/>
      <x:c r="J90" s="3"/>
      <x:c r="K90" s="3"/>
      <x:c r="L90" s="3"/>
      <x:c r="M90" s="3"/>
      <x:c r="N90" s="3"/>
      <x:c r="O90" s="3"/>
    </x:row>
    <x:row r="91" ht="15" customHeight="1">
      <x:c r="A91" s="5" t="str">
        <x:f>IF(79&lt;=$B$3,$B$4+79,"")</x:f>
      </x:c>
      <x:c r="B91" s="3" t="str">
        <x:f>IF($A91="","",'Полином 2'!D89)</x:f>
      </x:c>
      <x:c r="C91" s="3" t="str">
        <x:f>IF($A91="","",'Полином 3'!D89)</x:f>
      </x:c>
      <x:c r="D91" s="3" t="str">
        <x:f>IF($A91="","",'Степенная'!D89)</x:f>
      </x:c>
      <x:c r="E91" s="3" t="str">
        <x:f>IF($A91="","",'Логарифмическая'!D89)</x:f>
      </x:c>
      <x:c r="F91" s="3" t="str">
        <x:f>IF($A91="","",'Экспоненциальная'!D89)</x:f>
      </x:c>
      <x:c r="G91" s="3"/>
      <x:c r="H91" s="3"/>
      <x:c r="I91" s="3"/>
      <x:c r="J91" s="3"/>
      <x:c r="K91" s="3"/>
      <x:c r="L91" s="3"/>
      <x:c r="M91" s="3"/>
      <x:c r="N91" s="3"/>
      <x:c r="O91" s="3"/>
    </x:row>
    <x:row r="92" ht="15" customHeight="1">
      <x:c r="A92" s="5" t="str">
        <x:f>IF(80&lt;=$B$3,$B$4+80,"")</x:f>
      </x:c>
      <x:c r="B92" s="3" t="str">
        <x:f>IF($A92="","",'Полином 2'!D90)</x:f>
      </x:c>
      <x:c r="C92" s="3" t="str">
        <x:f>IF($A92="","",'Полином 3'!D90)</x:f>
      </x:c>
      <x:c r="D92" s="3" t="str">
        <x:f>IF($A92="","",'Степенная'!D90)</x:f>
      </x:c>
      <x:c r="E92" s="3" t="str">
        <x:f>IF($A92="","",'Логарифмическая'!D90)</x:f>
      </x:c>
      <x:c r="F92" s="3" t="str">
        <x:f>IF($A92="","",'Экспоненциальная'!D90)</x:f>
      </x:c>
      <x:c r="G92" s="3"/>
      <x:c r="H92" s="3"/>
      <x:c r="I92" s="3"/>
      <x:c r="J92" s="3"/>
      <x:c r="K92" s="3"/>
      <x:c r="L92" s="3"/>
      <x:c r="M92" s="3"/>
      <x:c r="N92" s="3"/>
      <x:c r="O92" s="3"/>
    </x:row>
    <x:row r="93" ht="15" customHeight="1">
      <x:c r="A93" s="5" t="str">
        <x:f>IF(81&lt;=$B$3,$B$4+81,"")</x:f>
      </x:c>
      <x:c r="B93" s="3" t="str">
        <x:f>IF($A93="","",'Полином 2'!D91)</x:f>
      </x:c>
      <x:c r="C93" s="3" t="str">
        <x:f>IF($A93="","",'Полином 3'!D91)</x:f>
      </x:c>
      <x:c r="D93" s="3" t="str">
        <x:f>IF($A93="","",'Степенная'!D91)</x:f>
      </x:c>
      <x:c r="E93" s="3" t="str">
        <x:f>IF($A93="","",'Логарифмическая'!D91)</x:f>
      </x:c>
      <x:c r="F93" s="3" t="str">
        <x:f>IF($A93="","",'Экспоненциальная'!D91)</x:f>
      </x:c>
      <x:c r="G93" s="3"/>
      <x:c r="H93" s="3"/>
      <x:c r="I93" s="3"/>
      <x:c r="J93" s="3"/>
      <x:c r="K93" s="3"/>
      <x:c r="L93" s="3"/>
      <x:c r="M93" s="3"/>
      <x:c r="N93" s="3"/>
      <x:c r="O93" s="3"/>
    </x:row>
    <x:row r="94" ht="15" customHeight="1">
      <x:c r="A94" s="5" t="str">
        <x:f>IF(82&lt;=$B$3,$B$4+82,"")</x:f>
      </x:c>
      <x:c r="B94" s="3" t="str">
        <x:f>IF($A94="","",'Полином 2'!D92)</x:f>
      </x:c>
      <x:c r="C94" s="3" t="str">
        <x:f>IF($A94="","",'Полином 3'!D92)</x:f>
      </x:c>
      <x:c r="D94" s="3" t="str">
        <x:f>IF($A94="","",'Степенная'!D92)</x:f>
      </x:c>
      <x:c r="E94" s="3" t="str">
        <x:f>IF($A94="","",'Логарифмическая'!D92)</x:f>
      </x:c>
      <x:c r="F94" s="3" t="str">
        <x:f>IF($A94="","",'Экспоненциальная'!D92)</x:f>
      </x:c>
      <x:c r="G94" s="3"/>
      <x:c r="H94" s="3"/>
      <x:c r="I94" s="3"/>
      <x:c r="J94" s="3"/>
      <x:c r="K94" s="3"/>
      <x:c r="L94" s="3"/>
      <x:c r="M94" s="3"/>
      <x:c r="N94" s="3"/>
      <x:c r="O94" s="3"/>
    </x:row>
    <x:row r="95" ht="15" customHeight="1">
      <x:c r="A95" s="5" t="str">
        <x:f>IF(83&lt;=$B$3,$B$4+83,"")</x:f>
      </x:c>
      <x:c r="B95" s="3" t="str">
        <x:f>IF($A95="","",'Полином 2'!D93)</x:f>
      </x:c>
      <x:c r="C95" s="3" t="str">
        <x:f>IF($A95="","",'Полином 3'!D93)</x:f>
      </x:c>
      <x:c r="D95" s="3" t="str">
        <x:f>IF($A95="","",'Степенная'!D93)</x:f>
      </x:c>
      <x:c r="E95" s="3" t="str">
        <x:f>IF($A95="","",'Логарифмическая'!D93)</x:f>
      </x:c>
      <x:c r="F95" s="3" t="str">
        <x:f>IF($A95="","",'Экспоненциальная'!D93)</x:f>
      </x:c>
      <x:c r="G95" s="3"/>
      <x:c r="H95" s="3"/>
      <x:c r="I95" s="3"/>
      <x:c r="J95" s="3"/>
      <x:c r="K95" s="3"/>
      <x:c r="L95" s="3"/>
      <x:c r="M95" s="3"/>
      <x:c r="N95" s="3"/>
      <x:c r="O95" s="3"/>
    </x:row>
    <x:row r="96" ht="15" customHeight="1">
      <x:c r="A96" s="5" t="str">
        <x:f>IF(84&lt;=$B$3,$B$4+84,"")</x:f>
      </x:c>
      <x:c r="B96" s="3" t="str">
        <x:f>IF($A96="","",'Полином 2'!D94)</x:f>
      </x:c>
      <x:c r="C96" s="3" t="str">
        <x:f>IF($A96="","",'Полином 3'!D94)</x:f>
      </x:c>
      <x:c r="D96" s="3" t="str">
        <x:f>IF($A96="","",'Степенная'!D94)</x:f>
      </x:c>
      <x:c r="E96" s="3" t="str">
        <x:f>IF($A96="","",'Логарифмическая'!D94)</x:f>
      </x:c>
      <x:c r="F96" s="3" t="str">
        <x:f>IF($A96="","",'Экспоненциальная'!D94)</x:f>
      </x:c>
      <x:c r="G96" s="3"/>
      <x:c r="H96" s="3"/>
      <x:c r="I96" s="3"/>
      <x:c r="J96" s="3"/>
      <x:c r="K96" s="3"/>
      <x:c r="L96" s="3"/>
      <x:c r="M96" s="3"/>
      <x:c r="N96" s="3"/>
      <x:c r="O96" s="3"/>
    </x:row>
    <x:row r="97" ht="15" customHeight="1">
      <x:c r="A97" s="5" t="str">
        <x:f>IF(85&lt;=$B$3,$B$4+85,"")</x:f>
      </x:c>
      <x:c r="B97" s="3" t="str">
        <x:f>IF($A97="","",'Полином 2'!D95)</x:f>
      </x:c>
      <x:c r="C97" s="3" t="str">
        <x:f>IF($A97="","",'Полином 3'!D95)</x:f>
      </x:c>
      <x:c r="D97" s="3" t="str">
        <x:f>IF($A97="","",'Степенная'!D95)</x:f>
      </x:c>
      <x:c r="E97" s="3" t="str">
        <x:f>IF($A97="","",'Логарифмическая'!D95)</x:f>
      </x:c>
      <x:c r="F97" s="3" t="str">
        <x:f>IF($A97="","",'Экспоненциальная'!D95)</x:f>
      </x:c>
      <x:c r="G97" s="3"/>
      <x:c r="H97" s="3"/>
      <x:c r="I97" s="3"/>
      <x:c r="J97" s="3"/>
      <x:c r="K97" s="3"/>
      <x:c r="L97" s="3"/>
      <x:c r="M97" s="3"/>
      <x:c r="N97" s="3"/>
      <x:c r="O97" s="3"/>
    </x:row>
    <x:row r="98" ht="15" customHeight="1">
      <x:c r="A98" s="5" t="str">
        <x:f>IF(86&lt;=$B$3,$B$4+86,"")</x:f>
      </x:c>
      <x:c r="B98" s="3" t="str">
        <x:f>IF($A98="","",'Полином 2'!D96)</x:f>
      </x:c>
      <x:c r="C98" s="3" t="str">
        <x:f>IF($A98="","",'Полином 3'!D96)</x:f>
      </x:c>
      <x:c r="D98" s="3" t="str">
        <x:f>IF($A98="","",'Степенная'!D96)</x:f>
      </x:c>
      <x:c r="E98" s="3" t="str">
        <x:f>IF($A98="","",'Логарифмическая'!D96)</x:f>
      </x:c>
      <x:c r="F98" s="3" t="str">
        <x:f>IF($A98="","",'Экспоненциальная'!D96)</x:f>
      </x:c>
      <x:c r="G98" s="3"/>
      <x:c r="H98" s="3"/>
      <x:c r="I98" s="3"/>
      <x:c r="J98" s="3"/>
      <x:c r="K98" s="3"/>
      <x:c r="L98" s="3"/>
      <x:c r="M98" s="3"/>
      <x:c r="N98" s="3"/>
      <x:c r="O98" s="3"/>
    </x:row>
    <x:row r="99" ht="15" customHeight="1">
      <x:c r="A99" s="5" t="str">
        <x:f>IF(87&lt;=$B$3,$B$4+87,"")</x:f>
      </x:c>
      <x:c r="B99" s="3" t="str">
        <x:f>IF($A99="","",'Полином 2'!D97)</x:f>
      </x:c>
      <x:c r="C99" s="3" t="str">
        <x:f>IF($A99="","",'Полином 3'!D97)</x:f>
      </x:c>
      <x:c r="D99" s="3" t="str">
        <x:f>IF($A99="","",'Степенная'!D97)</x:f>
      </x:c>
      <x:c r="E99" s="3" t="str">
        <x:f>IF($A99="","",'Логарифмическая'!D97)</x:f>
      </x:c>
      <x:c r="F99" s="3" t="str">
        <x:f>IF($A99="","",'Экспоненциальная'!D97)</x:f>
      </x:c>
      <x:c r="G99" s="3"/>
      <x:c r="H99" s="3"/>
      <x:c r="I99" s="3"/>
      <x:c r="J99" s="3"/>
      <x:c r="K99" s="3"/>
      <x:c r="L99" s="3"/>
      <x:c r="M99" s="3"/>
      <x:c r="N99" s="3"/>
      <x:c r="O99" s="3"/>
    </x:row>
    <x:row r="100" ht="15" customHeight="1">
      <x:c r="A100" s="5" t="str">
        <x:f>IF(88&lt;=$B$3,$B$4+88,"")</x:f>
      </x:c>
      <x:c r="B100" s="3" t="str">
        <x:f>IF($A100="","",'Полином 2'!D98)</x:f>
      </x:c>
      <x:c r="C100" s="3" t="str">
        <x:f>IF($A100="","",'Полином 3'!D98)</x:f>
      </x:c>
      <x:c r="D100" s="3" t="str">
        <x:f>IF($A100="","",'Степенная'!D98)</x:f>
      </x:c>
      <x:c r="E100" s="3" t="str">
        <x:f>IF($A100="","",'Логарифмическая'!D98)</x:f>
      </x:c>
      <x:c r="F100" s="3" t="str">
        <x:f>IF($A100="","",'Экспоненциальная'!D98)</x:f>
      </x:c>
      <x:c r="G100" s="3"/>
      <x:c r="H100" s="3"/>
      <x:c r="I100" s="3"/>
      <x:c r="J100" s="3"/>
      <x:c r="K100" s="3"/>
      <x:c r="L100" s="3"/>
      <x:c r="M100" s="3"/>
      <x:c r="N100" s="3"/>
      <x:c r="O100" s="3"/>
    </x:row>
    <x:row r="101" ht="15" customHeight="1">
      <x:c r="A101" s="5" t="str">
        <x:f>IF(89&lt;=$B$3,$B$4+89,"")</x:f>
      </x:c>
      <x:c r="B101" s="3" t="str">
        <x:f>IF($A101="","",'Полином 2'!D99)</x:f>
      </x:c>
      <x:c r="C101" s="3" t="str">
        <x:f>IF($A101="","",'Полином 3'!D99)</x:f>
      </x:c>
      <x:c r="D101" s="3" t="str">
        <x:f>IF($A101="","",'Степенная'!D99)</x:f>
      </x:c>
      <x:c r="E101" s="3" t="str">
        <x:f>IF($A101="","",'Логарифмическая'!D99)</x:f>
      </x:c>
      <x:c r="F101" s="3" t="str">
        <x:f>IF($A101="","",'Экспоненциальная'!D99)</x:f>
      </x:c>
      <x:c r="G101" s="3"/>
      <x:c r="H101" s="3"/>
      <x:c r="I101" s="3"/>
      <x:c r="J101" s="3"/>
      <x:c r="K101" s="3"/>
      <x:c r="L101" s="3"/>
      <x:c r="M101" s="3"/>
      <x:c r="N101" s="3"/>
      <x:c r="O101" s="3"/>
    </x:row>
    <x:row r="102" ht="15" customHeight="1">
      <x:c r="A102" s="5" t="str">
        <x:f>IF(90&lt;=$B$3,$B$4+90,"")</x:f>
      </x:c>
      <x:c r="B102" s="3" t="str">
        <x:f>IF($A102="","",'Полином 2'!D100)</x:f>
      </x:c>
      <x:c r="C102" s="3" t="str">
        <x:f>IF($A102="","",'Полином 3'!D100)</x:f>
      </x:c>
      <x:c r="D102" s="3" t="str">
        <x:f>IF($A102="","",'Степенная'!D100)</x:f>
      </x:c>
      <x:c r="E102" s="3" t="str">
        <x:f>IF($A102="","",'Логарифмическая'!D100)</x:f>
      </x:c>
      <x:c r="F102" s="3" t="str">
        <x:f>IF($A102="","",'Экспоненциальная'!D100)</x:f>
      </x:c>
      <x:c r="G102" s="3"/>
      <x:c r="H102" s="3"/>
      <x:c r="I102" s="3"/>
      <x:c r="J102" s="3"/>
      <x:c r="K102" s="3"/>
      <x:c r="L102" s="3"/>
      <x:c r="M102" s="3"/>
      <x:c r="N102" s="3"/>
      <x:c r="O102" s="3"/>
    </x:row>
    <x:row r="103" ht="1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</x:row>
  </x:sheetData>
  <x:dataValidations count="1">
    <x:dataValidation type="whole" operator="between" sqref="B3">
      <x:formula1>1</x:formula1>
      <x:formula2>90</x:formula2>
    </x:dataValidation>
  </x:dataValidations>
  <x:pageMargins left="0.7" right="0.7" top="0.75" bottom="0.75" header="0.3" footer="0.3"/>
  <x:drawing xmlns:r="http://schemas.openxmlformats.org/officeDocument/2006/relationships" r:id="Rf5eba5316ef64d28"/>
</x:worksheet>
</file>

<file path=xl/worksheets/sheet2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5" customHeight="1">
      <x:c r="A1" s="3" t="str">
        <x:v>Полином 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customHeight="1">
      <x:c r="A2" s="3" t="str">
        <x:v>H = a0 + a1·u + a2·u²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customHeight="1">
      <x:c r="A3" s="12" t="str">
        <x:v>Коэф.</x:v>
      </x:c>
      <x:c r="B3" s="12" t="str">
        <x:v>Оценка</x:v>
      </x:c>
      <x:c r="C3" s="12" t="str">
        <x:v>SE</x:v>
      </x:c>
      <x:c r="D3" s="3" t="str">
        <x:v>Коэффициенты (тест)</x:v>
      </x:c>
      <x:c r="E3" s="3"/>
      <x:c r="F3" s="3" t="str">
        <x:v>Показатели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customHeight="1">
      <x:c r="A4" s="7" t="str">
        <x:v>a0</x:v>
      </x:c>
      <x:c r="B4" s="15" t="n">
        <x:f>$J$59*$O$52+$K$59*$O$53+$L$59*$O$54</x:f>
        <x:v>91.51585043404737</x:v>
      </x:c>
      <x:c r="C4" s="15" t="n">
        <x:f>161.91559342174708*SQRT($J$59)</x:f>
        <x:v>2.578567442174274</x:v>
      </x:c>
      <x:c r="D4" s="7" t="str">
        <x:v>a0</x:v>
      </x:c>
      <x:c r="E4" s="15" t="n">
        <x:v>91.90443544612148</x:v>
      </x:c>
      <x:c r="F4" s="7" t="str">
        <x:v>R²</x:v>
      </x:c>
      <x:c r="G4" s="17" t="n">
        <x:v>0.11469464587119282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customHeight="1">
      <x:c r="A5" s="7" t="str">
        <x:v>a1</x:v>
      </x:c>
      <x:c r="B5" s="15" t="n">
        <x:f>$J$60*$O$52+$K$60*$O$53+$L$60*$O$54</x:f>
        <x:v>95.16163767456462</x:v>
      </x:c>
      <x:c r="C5" s="15" t="n">
        <x:f>161.91559342174708*SQRT($K$60)</x:f>
        <x:v>3.0599283255456404</x:v>
      </x:c>
      <x:c r="D5" s="7" t="str">
        <x:v>a1</x:v>
      </x:c>
      <x:c r="E5" s="15" t="n">
        <x:v>93.73209480886686</x:v>
      </x:c>
      <x:c r="F5" s="7" t="str">
        <x:v>MAE</x:v>
      </x:c>
      <x:c r="G5" s="7" t="n">
        <x:f>AVERAGE(N20:N49)</x:f>
        <x:v>145.0114341712309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15" customHeight="1">
      <x:c r="A6" s="7" t="str">
        <x:v>a2</x:v>
      </x:c>
      <x:c r="B6" s="15" t="n">
        <x:f>$J$61*$O$52+$K$61*$O$53+$L$61*$O$54</x:f>
        <x:v>-68.02056616657097</x:v>
      </x:c>
      <x:c r="C6" s="15" t="n">
        <x:f>161.91559342174708*SQRT($L$61)</x:f>
        <x:v>5.816863085007985</x:v>
      </x:c>
      <x:c r="D6" s="7" t="str">
        <x:v>a2</x:v>
      </x:c>
      <x:c r="E6" s="15" t="n">
        <x:v>-71.32393044229164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1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1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ht="15" customHeight="1">
      <x:c r="A9" s="3" t="str">
        <x:v>Прогноз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ht="15" customHeight="1">
      <x:c r="A10" s="13" t="str">
        <x:v>Дата</x:v>
      </x:c>
      <x:c r="B10" s="13" t="str">
        <x:v>x</x:v>
      </x:c>
      <x:c r="C10" s="13" t="str">
        <x:v>u</x:v>
      </x:c>
      <x:c r="D10" s="13" t="str">
        <x:v>Прогноз</x:v>
      </x:c>
      <x:c r="E10" s="13" t="str">
        <x:v>SE прогноза</x:v>
      </x:c>
      <x:c r="F10" s="13" t="str">
        <x:v>Нижняя 95%</x:v>
      </x:c>
      <x:c r="G10" s="13" t="str">
        <x:v>Верхняя 95%</x:v>
      </x:c>
      <x:c r="H10" s="13" t="str">
        <x:v>SE среднего</x:v>
      </x:c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15" customHeight="1">
      <x:c r="A11" s="9" t="n">
        <x:f>IF(1&lt;='Сводка'!$B$3,'Сводка'!$B$4+1,"")</x:f>
        <x:v>46236</x:v>
      </x:c>
      <x:c r="B11" s="18" t="n">
        <x:f>IF($A11="","",(A11-37257+1)/1000)</x:f>
        <x:v>8.98</x:v>
      </x:c>
      <x:c r="C11" s="18" t="n">
        <x:f>IF($A11="","",2*(A11-37257)/8978-1)</x:f>
        <x:v>1.000222766763199</x:v>
      </x:c>
      <x:c r="D11" s="7" t="n">
        <x:f>IF($A11="","",$B$4+$B$5*C11^1+$B$6*C11^2)</x:f>
        <x:v>118.64781197381203</x:v>
      </x:c>
      <x:c r="E11" s="7" t="n">
        <x:f>IF($A11="","",161.91559342174727*SQRT(1+(1)*$J$59*(1)+(1)*$K$59*(C11^1)+(1)*$L$59*(C11^2)+(C11^1)*$J$60*(1)+(C11^1)*$K$60*(C11^1)+(C11^1)*$L$60*(C11^2)+(C11^2)*$J$61*(1)+(C11^2)*$K$61*(C11^1)+(C11^2)*$L$61*(C11^2)))</x:f>
        <x:v>162.00337055295958</x:v>
      </x:c>
      <x:c r="F11" s="7" t="n">
        <x:f>IF($A11="","",D11-1.9602401251089576*E11)</x:f>
        <x:v>-198.91769538699427</x:v>
      </x:c>
      <x:c r="G11" s="7" t="n">
        <x:f>IF($A11="","",D11+1.9602401251089576*E11)</x:f>
        <x:v>436.2133193346183</x:v>
      </x:c>
      <x:c r="H11" s="7" t="n">
        <x:f>IF($A11="","",161.91559342174727*SQRT((1)*$J$59*(1)+(1)*$K$59*(C11^1)+(1)*$L$59*(C11^2)+(C11^1)*$J$60*(1)+(C11^1)*$K$60*(C11^1)+(C11^1)*$L$60*(C11^2)+(C11^2)*$J$61*(1)+(C11^2)*$K$61*(C11^1)+(C11^2)*$L$61*(C11^2)))</x:f>
        <x:v>5.332230059080388</x:v>
      </x:c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customHeight="1">
      <x:c r="A12" s="9" t="n">
        <x:f>IF(2&lt;='Сводка'!$B$3,'Сводка'!$B$4+2,"")</x:f>
        <x:v>46237</x:v>
      </x:c>
      <x:c r="B12" s="18" t="n">
        <x:f>IF($A12="","",(A12-37257+1)/1000)</x:f>
        <x:v>8.981</x:v>
      </x:c>
      <x:c r="C12" s="18" t="n">
        <x:f>IF($A12="","",2*(A12-37257)/8978-1)</x:f>
        <x:v>1.0004455335263978</x:v>
      </x:c>
      <x:c r="D12" s="7" t="n">
        <x:f>IF($A12="","",$B$4+$B$5*C12^1+$B$6*C12^2)</x:f>
        <x:v>118.63869525453764</x:v>
      </x:c>
      <x:c r="E12" s="7" t="n">
        <x:f>IF($A12="","",161.91559342174727*SQRT(1+(1)*$J$59*(1)+(1)*$K$59*(C12^1)+(1)*$L$59*(C12^2)+(C12^1)*$J$60*(1)+(C12^1)*$K$60*(C12^1)+(C12^1)*$L$60*(C12^2)+(C12^2)*$J$61*(1)+(C12^2)*$K$61*(C12^1)+(C12^2)*$L$61*(C12^2)))</x:f>
        <x:v>162.00344726973438</x:v>
      </x:c>
      <x:c r="F12" s="7" t="n">
        <x:f>IF($A12="","",D12-1.9602401251089576*E12)</x:f>
        <x:v>-198.9269624895689</x:v>
      </x:c>
      <x:c r="G12" s="7" t="n">
        <x:f>IF($A12="","",D12+1.9602401251089576*E12)</x:f>
        <x:v>436.2043529986442</x:v>
      </x:c>
      <x:c r="H12" s="7" t="n">
        <x:f>IF($A12="","",161.91559342174727*SQRT((1)*$J$59*(1)+(1)*$K$59*(C12^1)+(1)*$L$59*(C12^2)+(C12^1)*$J$60*(1)+(C12^1)*$K$60*(C12^1)+(C12^1)*$L$60*(C12^2)+(C12^2)*$J$61*(1)+(C12^2)*$K$61*(C12^1)+(C12^2)*$L$61*(C12^2)))</x:f>
        <x:v>5.33456035311591</x:v>
      </x:c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customHeight="1">
      <x:c r="A13" s="9" t="n">
        <x:f>IF(3&lt;='Сводка'!$B$3,'Сводка'!$B$4+3,"")</x:f>
        <x:v>46238</x:v>
      </x:c>
      <x:c r="B13" s="18" t="n">
        <x:f>IF($A13="","",(A13-37257+1)/1000)</x:f>
        <x:v>8.982</x:v>
      </x:c>
      <x:c r="C13" s="18" t="n">
        <x:f>IF($A13="","",2*(A13-37257)/8978-1)</x:f>
        <x:v>1.0006683002895969</x:v>
      </x:c>
      <x:c r="D13" s="7" t="n">
        <x:f>IF($A13="","",$B$4+$B$5*C13^1+$B$6*C13^2)</x:f>
        <x:v>118.62957178421792</x:v>
      </x:c>
      <x:c r="E13" s="7" t="n">
        <x:f>IF($A13="","",161.91559342174727*SQRT(1+(1)*$J$59*(1)+(1)*$K$59*(C13^1)+(1)*$L$59*(C13^2)+(C13^1)*$J$60*(1)+(C13^1)*$K$60*(C13^1)+(C13^1)*$L$60*(C13^2)+(C13^2)*$J$61*(1)+(C13^2)*$K$61*(C13^1)+(C13^2)*$L$61*(C13^2)))</x:f>
        <x:v>162.00352404523338</x:v>
      </x:c>
      <x:c r="F13" s="7" t="n">
        <x:f>IF($A13="","",D13-1.9602401251089576*E13)</x:f>
        <x:v>-198.93623645830237</x:v>
      </x:c>
      <x:c r="G13" s="7" t="n">
        <x:f>IF($A13="","",D13+1.9602401251089576*E13)</x:f>
        <x:v>436.19538002673823</x:v>
      </x:c>
      <x:c r="H13" s="7" t="n">
        <x:f>IF($A13="","",161.91559342174727*SQRT((1)*$J$59*(1)+(1)*$K$59*(C13^1)+(1)*$L$59*(C13^2)+(C13^1)*$J$60*(1)+(C13^1)*$K$60*(C13^1)+(C13^1)*$L$60*(C13^2)+(C13^2)*$J$61*(1)+(C13^2)*$K$61*(C13^1)+(C13^2)*$L$61*(C13^2)))</x:f>
        <x:v>5.3368914133555725</x:v>
      </x:c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customHeight="1">
      <x:c r="A14" s="9" t="n">
        <x:f>IF(4&lt;='Сводка'!$B$3,'Сводка'!$B$4+4,"")</x:f>
        <x:v>46239</x:v>
      </x:c>
      <x:c r="B14" s="18" t="n">
        <x:f>IF($A14="","",(A14-37257+1)/1000)</x:f>
        <x:v>8.983</x:v>
      </x:c>
      <x:c r="C14" s="18" t="n">
        <x:f>IF($A14="","",2*(A14-37257)/8978-1)</x:f>
        <x:v>1.0008910670527955</x:v>
      </x:c>
      <x:c r="D14" s="7" t="n">
        <x:f>IF($A14="","",$B$4+$B$5*C14^1+$B$6*C14^2)</x:f>
        <x:v>118.62044156285278</x:v>
      </x:c>
      <x:c r="E14" s="7" t="n">
        <x:f>IF($A14="","",161.91559342174727*SQRT(1+(1)*$J$59*(1)+(1)*$K$59*(C14^1)+(1)*$L$59*(C14^2)+(C14^1)*$J$60*(1)+(C14^1)*$K$60*(C14^1)+(C14^1)*$L$60*(C14^2)+(C14^2)*$J$61*(1)+(C14^2)*$K$61*(C14^1)+(C14^2)*$L$61*(C14^2)))</x:f>
        <x:v>162.00360087948442</x:v>
      </x:c>
      <x:c r="F14" s="7" t="n">
        <x:f>IF($A14="","",D14-1.9602401251089576*E14)</x:f>
        <x:v>-198.9455172932494</x:v>
      </x:c>
      <x:c r="G14" s="7" t="n">
        <x:f>IF($A14="","",D14+1.9602401251089576*E14)</x:f>
        <x:v>436.1864004189549</x:v>
      </x:c>
      <x:c r="H14" s="7" t="n">
        <x:f>IF($A14="","",161.91559342174727*SQRT((1)*$J$59*(1)+(1)*$K$59*(C14^1)+(1)*$L$59*(C14^2)+(C14^1)*$J$60*(1)+(C14^1)*$K$60*(C14^1)+(C14^1)*$L$60*(C14^2)+(C14^2)*$J$61*(1)+(C14^2)*$K$61*(C14^1)+(C14^2)*$L$61*(C14^2)))</x:f>
        <x:v>5.339223239639716</x:v>
      </x:c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customHeight="1">
      <x:c r="A15" s="9" t="n">
        <x:f>IF(5&lt;='Сводка'!$B$3,'Сводка'!$B$4+5,"")</x:f>
        <x:v>46240</x:v>
      </x:c>
      <x:c r="B15" s="18" t="n">
        <x:f>IF($A15="","",(A15-37257+1)/1000)</x:f>
        <x:v>8.984</x:v>
      </x:c>
      <x:c r="C15" s="18" t="n">
        <x:f>IF($A15="","",2*(A15-37257)/8978-1)</x:f>
        <x:v>1.0011138338159946</x:v>
      </x:c>
      <x:c r="D15" s="7" t="n">
        <x:f>IF($A15="","",$B$4+$B$5*C15^1+$B$6*C15^2)</x:f>
        <x:v>118.61130459044226</x:v>
      </x:c>
      <x:c r="E15" s="7" t="n">
        <x:f>IF($A15="","",161.91559342174727*SQRT(1+(1)*$J$59*(1)+(1)*$K$59*(C15^1)+(1)*$L$59*(C15^2)+(C15^1)*$J$60*(1)+(C15^1)*$K$60*(C15^1)+(C15^1)*$L$60*(C15^2)+(C15^2)*$J$61*(1)+(C15^2)*$K$61*(C15^1)+(C15^2)*$L$61*(C15^2)))</x:f>
        <x:v>162.0036777725151</x:v>
      </x:c>
      <x:c r="F15" s="7" t="n">
        <x:f>IF($A15="","",D15-1.9602401251089576*E15)</x:f>
        <x:v>-198.95480499446398</x:v>
      </x:c>
      <x:c r="G15" s="7" t="n">
        <x:f>IF($A15="","",D15+1.9602401251089576*E15)</x:f>
        <x:v>436.17741417534853</x:v>
      </x:c>
      <x:c r="H15" s="7" t="n">
        <x:f>IF($A15="","",161.91559342174727*SQRT((1)*$J$59*(1)+(1)*$K$59*(C15^1)+(1)*$L$59*(C15^2)+(C15^1)*$J$60*(1)+(C15^1)*$K$60*(C15^1)+(C15^1)*$L$60*(C15^2)+(C15^2)*$J$61*(1)+(C15^2)*$K$61*(C15^1)+(C15^2)*$L$61*(C15^2)))</x:f>
        <x:v>5.3415558318088285</x:v>
      </x:c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customHeight="1">
      <x:c r="A16" s="9" t="n">
        <x:f>IF(6&lt;='Сводка'!$B$3,'Сводка'!$B$4+6,"")</x:f>
        <x:v>46241</x:v>
      </x:c>
      <x:c r="B16" s="18" t="n">
        <x:f>IF($A16="","",(A16-37257+1)/1000)</x:f>
        <x:v>8.985</x:v>
      </x:c>
      <x:c r="C16" s="18" t="n">
        <x:f>IF($A16="","",2*(A16-37257)/8978-1)</x:f>
        <x:v>1.0013366005791937</x:v>
      </x:c>
      <x:c r="D16" s="7" t="n">
        <x:f>IF($A16="","",$B$4+$B$5*C16^1+$B$6*C16^2)</x:f>
        <x:v>118.60216086698634</x:v>
      </x:c>
      <x:c r="E16" s="7" t="n">
        <x:f>IF($A16="","",161.91559342174727*SQRT(1+(1)*$J$59*(1)+(1)*$K$59*(C16^1)+(1)*$L$59*(C16^2)+(C16^1)*$J$60*(1)+(C16^1)*$K$60*(C16^1)+(C16^1)*$L$60*(C16^2)+(C16^2)*$J$61*(1)+(C16^2)*$K$61*(C16^1)+(C16^2)*$L$61*(C16^2)))</x:f>
        <x:v>162.0037547243532</x:v>
      </x:c>
      <x:c r="F16" s="7" t="n">
        <x:f>IF($A16="","",D16-1.9602401251089576*E16)</x:f>
        <x:v>-198.96409956200065</x:v>
      </x:c>
      <x:c r="G16" s="7" t="n">
        <x:f>IF($A16="","",D16+1.9602401251089576*E16)</x:f>
        <x:v>436.1684212959733</x:v>
      </x:c>
      <x:c r="H16" s="7" t="n">
        <x:f>IF($A16="","",161.91559342174727*SQRT((1)*$J$59*(1)+(1)*$K$59*(C16^1)+(1)*$L$59*(C16^2)+(C16^1)*$J$60*(1)+(C16^1)*$K$60*(C16^1)+(C16^1)*$L$60*(C16^2)+(C16^2)*$J$61*(1)+(C16^2)*$K$61*(C16^1)+(C16^2)*$L$61*(C16^2)))</x:f>
        <x:v>5.343889189703526</x:v>
      </x:c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customHeight="1">
      <x:c r="A17" s="9" t="n">
        <x:f>IF(7&lt;='Сводка'!$B$3,'Сводка'!$B$4+7,"")</x:f>
        <x:v>46242</x:v>
      </x:c>
      <x:c r="B17" s="18" t="n">
        <x:f>IF($A17="","",(A17-37257+1)/1000)</x:f>
        <x:v>8.986</x:v>
      </x:c>
      <x:c r="C17" s="18" t="n">
        <x:f>IF($A17="","",2*(A17-37257)/8978-1)</x:f>
        <x:v>1.0015593673423924</x:v>
      </x:c>
      <x:c r="D17" s="7" t="n">
        <x:f>IF($A17="","",$B$4+$B$5*C17^1+$B$6*C17^2)</x:f>
        <x:v>118.59301039248511</x:v>
      </x:c>
      <x:c r="E17" s="7" t="n">
        <x:f>IF($A17="","",161.91559342174727*SQRT(1+(1)*$J$59*(1)+(1)*$K$59*(C17^1)+(1)*$L$59*(C17^2)+(C17^1)*$J$60*(1)+(C17^1)*$K$60*(C17^1)+(C17^1)*$L$60*(C17^2)+(C17^2)*$J$61*(1)+(C17^2)*$K$61*(C17^1)+(C17^2)*$L$61*(C17^2)))</x:f>
        <x:v>162.00383173502655</x:v>
      </x:c>
      <x:c r="F17" s="7" t="n">
        <x:f>IF($A17="","",D17-1.9602401251089576*E17)</x:f>
        <x:v>-198.9734009959139</x:v>
      </x:c>
      <x:c r="G17" s="7" t="n">
        <x:f>IF($A17="","",D17+1.9602401251089576*E17)</x:f>
        <x:v>436.1594217808841</x:v>
      </x:c>
      <x:c r="H17" s="7" t="n">
        <x:f>IF($A17="","",161.91559342174727*SQRT((1)*$J$59*(1)+(1)*$K$59*(C17^1)+(1)*$L$59*(C17^2)+(C17^1)*$J$60*(1)+(C17^1)*$K$60*(C17^1)+(C17^1)*$L$60*(C17^2)+(C17^2)*$J$61*(1)+(C17^2)*$K$61*(C17^1)+(C17^2)*$L$61*(C17^2)))</x:f>
        <x:v>5.346223313164555</x:v>
      </x:c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customHeight="1">
      <x:c r="A18" s="9" t="n">
        <x:f>IF(8&lt;='Сводка'!$B$3,'Сводка'!$B$4+8,"")</x:f>
        <x:v>46243</x:v>
      </x:c>
      <x:c r="B18" s="18" t="n">
        <x:f>IF($A18="","",(A18-37257+1)/1000)</x:f>
        <x:v>8.987</x:v>
      </x:c>
      <x:c r="C18" s="18" t="n">
        <x:f>IF($A18="","",2*(A18-37257)/8978-1)</x:f>
        <x:v>1.0017821341055915</x:v>
      </x:c>
      <x:c r="D18" s="7" t="n">
        <x:f>IF($A18="","",$B$4+$B$5*C18^1+$B$6*C18^2)</x:f>
        <x:v>118.58385316693844</x:v>
      </x:c>
      <x:c r="E18" s="7" t="n">
        <x:f>IF($A18="","",161.91559342174727*SQRT(1+(1)*$J$59*(1)+(1)*$K$59*(C18^1)+(1)*$L$59*(C18^2)+(C18^1)*$J$60*(1)+(C18^1)*$K$60*(C18^1)+(C18^1)*$L$60*(C18^2)+(C18^2)*$J$61*(1)+(C18^2)*$K$61*(C18^1)+(C18^2)*$L$61*(C18^2)))</x:f>
        <x:v>162.0039088045628</x:v>
      </x:c>
      <x:c r="F18" s="7" t="n">
        <x:f>IF($A18="","",D18-1.9602401251089576*E18)</x:f>
        <x:v>-198.98270929625792</x:v>
      </x:c>
      <x:c r="G18" s="7" t="n">
        <x:f>IF($A18="","",D18+1.9602401251089576*E18)</x:f>
        <x:v>436.15041563013483</x:v>
      </x:c>
      <x:c r="H18" s="7" t="n">
        <x:f>IF($A18="","",161.91559342174727*SQRT((1)*$J$59*(1)+(1)*$K$59*(C18^1)+(1)*$L$59*(C18^2)+(C18^1)*$J$60*(1)+(C18^1)*$K$60*(C18^1)+(C18^1)*$L$60*(C18^2)+(C18^2)*$J$61*(1)+(C18^2)*$K$61*(C18^1)+(C18^2)*$L$61*(C18^2)))</x:f>
        <x:v>5.348558202032818</x:v>
      </x:c>
      <x:c r="I18" s="3"/>
      <x:c r="J18" s="3" t="str">
        <x:v>Тестовый период</x:v>
      </x:c>
      <x:c r="K18" s="3"/>
      <x:c r="L18" s="3"/>
      <x:c r="M18" s="3"/>
      <x:c r="N18" s="3"/>
      <x:c r="O18" s="3"/>
      <x:c r="P18" s="3"/>
      <x:c r="Q18" s="3"/>
    </x:row>
    <x:row r="19" ht="15" customHeight="1">
      <x:c r="A19" s="9" t="n">
        <x:f>IF(9&lt;='Сводка'!$B$3,'Сводка'!$B$4+9,"")</x:f>
        <x:v>46244</x:v>
      </x:c>
      <x:c r="B19" s="18" t="n">
        <x:f>IF($A19="","",(A19-37257+1)/1000)</x:f>
        <x:v>8.988</x:v>
      </x:c>
      <x:c r="C19" s="18" t="n">
        <x:f>IF($A19="","",2*(A19-37257)/8978-1)</x:f>
        <x:v>1.0020049008687906</x:v>
      </x:c>
      <x:c r="D19" s="7" t="n">
        <x:f>IF($A19="","",$B$4+$B$5*C19^1+$B$6*C19^2)</x:f>
        <x:v>118.57468919034639</x:v>
      </x:c>
      <x:c r="E19" s="7" t="n">
        <x:f>IF($A19="","",161.91559342174727*SQRT(1+(1)*$J$59*(1)+(1)*$K$59*(C19^1)+(1)*$L$59*(C19^2)+(C19^1)*$J$60*(1)+(C19^1)*$K$60*(C19^1)+(C19^1)*$L$60*(C19^2)+(C19^2)*$J$61*(1)+(C19^2)*$K$61*(C19^1)+(C19^2)*$L$61*(C19^2)))</x:f>
        <x:v>162.00398593298974</x:v>
      </x:c>
      <x:c r="F19" s="7" t="n">
        <x:f>IF($A19="","",D19-1.9602401251089576*E19)</x:f>
        <x:v>-198.99202446308723</x:v>
      </x:c>
      <x:c r="G19" s="7" t="n">
        <x:f>IF($A19="","",D19+1.9602401251089576*E19)</x:f>
        <x:v>436.14140284378004</x:v>
      </x:c>
      <x:c r="H19" s="7" t="n">
        <x:f>IF($A19="","",161.91559342174727*SQRT((1)*$J$59*(1)+(1)*$K$59*(C19^1)+(1)*$L$59*(C19^2)+(C19^1)*$J$60*(1)+(C19^1)*$K$60*(C19^1)+(C19^1)*$L$60*(C19^2)+(C19^2)*$J$61*(1)+(C19^2)*$K$61*(C19^1)+(C19^2)*$L$61*(C19^2)))</x:f>
        <x:v>5.350893856149336</x:v>
      </x:c>
      <x:c r="I19" s="3"/>
      <x:c r="J19" s="13" t="str">
        <x:v>Дата</x:v>
      </x:c>
      <x:c r="K19" s="13" t="str">
        <x:v>Факт</x:v>
      </x:c>
      <x:c r="L19" s="13" t="str">
        <x:v>Прогноз</x:v>
      </x:c>
      <x:c r="M19" s="13" t="str">
        <x:v>Ошибка</x:v>
      </x:c>
      <x:c r="N19" s="13" t="str">
        <x:v>|Ошибка|</x:v>
      </x:c>
      <x:c r="O19" s="3"/>
      <x:c r="P19" s="3"/>
      <x:c r="Q19" s="3"/>
    </x:row>
    <x:row r="20" ht="15" customHeight="1">
      <x:c r="A20" s="9" t="n">
        <x:f>IF(10&lt;='Сводка'!$B$3,'Сводка'!$B$4+10,"")</x:f>
        <x:v>46245</x:v>
      </x:c>
      <x:c r="B20" s="18" t="n">
        <x:f>IF($A20="","",(A20-37257+1)/1000)</x:f>
        <x:v>8.989</x:v>
      </x:c>
      <x:c r="C20" s="18" t="n">
        <x:f>IF($A20="","",2*(A20-37257)/8978-1)</x:f>
        <x:v>1.0022276676319892</x:v>
      </x:c>
      <x:c r="D20" s="7" t="n">
        <x:f>IF($A20="","",$B$4+$B$5*C20^1+$B$6*C20^2)</x:f>
        <x:v>118.56551846270902</x:v>
      </x:c>
      <x:c r="E20" s="7" t="n">
        <x:f>IF($A20="","",161.91559342174727*SQRT(1+(1)*$J$59*(1)+(1)*$K$59*(C20^1)+(1)*$L$59*(C20^2)+(C20^1)*$J$60*(1)+(C20^1)*$K$60*(C20^1)+(C20^1)*$L$60*(C20^2)+(C20^2)*$J$61*(1)+(C20^2)*$K$61*(C20^1)+(C20^2)*$L$61*(C20^2)))</x:f>
        <x:v>162.0040631203352</x:v>
      </x:c>
      <x:c r="F20" s="7" t="n">
        <x:f>IF($A20="","",D20-1.9602401251089576*E20)</x:f>
        <x:v>-199.00134649645634</x:v>
      </x:c>
      <x:c r="G20" s="7" t="n">
        <x:f>IF($A20="","",D20+1.9602401251089576*E20)</x:f>
        <x:v>436.13238342187435</x:v>
      </x:c>
      <x:c r="H20" s="7" t="n">
        <x:f>IF($A20="","",161.91559342174727*SQRT((1)*$J$59*(1)+(1)*$K$59*(C20^1)+(1)*$L$59*(C20^2)+(C20^1)*$J$60*(1)+(C20^1)*$K$60*(C20^1)+(C20^1)*$L$60*(C20^2)+(C20^2)*$J$61*(1)+(C20^2)*$K$61*(C20^1)+(C20^2)*$L$61*(C20^2)))</x:f>
        <x:v>5.353230275355268</x:v>
      </x:c>
      <x:c r="I20" s="3"/>
      <x:c r="J20" s="9" t="n">
        <x:v>46206</x:v>
      </x:c>
      <x:c r="K20" s="7" t="n">
        <x:v>105</x:v>
      </x:c>
      <x:c r="L20" s="7" t="n">
        <x:f>$E$4+$E$5*(2*(J20-37257)/('Сводка'!$B$7-37257)-1)^1+$E$6*(2*(J20-37257)/('Сводка'!$B$7-37257)-1)^2</x:f>
        <x:v>114.3016629088195</x:v>
      </x:c>
      <x:c r="M20" s="7" t="n">
        <x:f>K20-L20</x:f>
        <x:v>-9.301662908819495</x:v>
      </x:c>
      <x:c r="N20" s="7" t="n">
        <x:f>ABS(M20)</x:f>
        <x:v>9.301662908819495</x:v>
      </x:c>
      <x:c r="O20" s="3"/>
      <x:c r="P20" s="3"/>
      <x:c r="Q20" s="3"/>
    </x:row>
    <x:row r="21" ht="15" customHeight="1">
      <x:c r="A21" s="9" t="n">
        <x:f>IF(11&lt;='Сводка'!$B$3,'Сводка'!$B$4+11,"")</x:f>
        <x:v>46246</x:v>
      </x:c>
      <x:c r="B21" s="18" t="n">
        <x:f>IF($A21="","",(A21-37257+1)/1000)</x:f>
        <x:v>8.99</x:v>
      </x:c>
      <x:c r="C21" s="18" t="n">
        <x:f>IF($A21="","",2*(A21-37257)/8978-1)</x:f>
        <x:v>1.0024504343951883</x:v>
      </x:c>
      <x:c r="D21" s="7" t="n">
        <x:f>IF($A21="","",$B$4+$B$5*C21^1+$B$6*C21^2)</x:f>
        <x:v>118.5563409840262</x:v>
      </x:c>
      <x:c r="E21" s="7" t="n">
        <x:f>IF($A21="","",161.91559342174727*SQRT(1+(1)*$J$59*(1)+(1)*$K$59*(C21^1)+(1)*$L$59*(C21^2)+(C21^1)*$J$60*(1)+(C21^1)*$K$60*(C21^1)+(C21^1)*$L$60*(C21^2)+(C21^2)*$J$61*(1)+(C21^2)*$K$61*(C21^1)+(C21^2)*$L$61*(C21^2)))</x:f>
        <x:v>162.00414036662687</x:v>
      </x:c>
      <x:c r="F21" s="7" t="n">
        <x:f>IF($A21="","",D21-1.9602401251089576*E21)</x:f>
        <x:v>-199.0106753964196</x:v>
      </x:c>
      <x:c r="G21" s="7" t="n">
        <x:f>IF($A21="","",D21+1.9602401251089576*E21)</x:f>
        <x:v>436.123357364472</x:v>
      </x:c>
      <x:c r="H21" s="7" t="n">
        <x:f>IF($A21="","",161.91559342174727*SQRT((1)*$J$59*(1)+(1)*$K$59*(C21^1)+(1)*$L$59*(C21^2)+(C21^1)*$J$60*(1)+(C21^1)*$K$60*(C21^1)+(C21^1)*$L$60*(C21^2)+(C21^2)*$J$61*(1)+(C21^2)*$K$61*(C21^1)+(C21^2)*$L$61*(C21^2)))</x:f>
        <x:v>5.355567459491922</x:v>
      </x:c>
      <x:c r="I21" s="3"/>
      <x:c r="J21" s="9" t="n">
        <x:v>46207</x:v>
      </x:c>
      <x:c r="K21" s="7" t="n">
        <x:v>121</x:v>
      </x:c>
      <x:c r="L21" s="7" t="n">
        <x:f>$E$4+$E$5*(2*(J21-37257)/('Сводка'!$B$7-37257)-1)^1+$E$6*(2*(J21-37257)/('Сводка'!$B$7-37257)-1)^2</x:f>
        <x:v>114.29071887849129</x:v>
      </x:c>
      <x:c r="M21" s="7" t="n">
        <x:f>K21-L21</x:f>
        <x:v>6.70928112150871</x:v>
      </x:c>
      <x:c r="N21" s="7" t="n">
        <x:f>ABS(M21)</x:f>
        <x:v>6.70928112150871</x:v>
      </x:c>
      <x:c r="O21" s="3"/>
      <x:c r="P21" s="3"/>
      <x:c r="Q21" s="3"/>
    </x:row>
    <x:row r="22" ht="15" customHeight="1">
      <x:c r="A22" s="9" t="n">
        <x:f>IF(12&lt;='Сводка'!$B$3,'Сводка'!$B$4+12,"")</x:f>
        <x:v>46247</x:v>
      </x:c>
      <x:c r="B22" s="18" t="n">
        <x:f>IF($A22="","",(A22-37257+1)/1000)</x:f>
        <x:v>8.991</x:v>
      </x:c>
      <x:c r="C22" s="18" t="n">
        <x:f>IF($A22="","",2*(A22-37257)/8978-1)</x:f>
        <x:v>1.002673201158387</x:v>
      </x:c>
      <x:c r="D22" s="7" t="n">
        <x:f>IF($A22="","",$B$4+$B$5*C22^1+$B$6*C22^2)</x:f>
        <x:v>118.54715675429804</x:v>
      </x:c>
      <x:c r="E22" s="7" t="n">
        <x:f>IF($A22="","",161.91559342174727*SQRT(1+(1)*$J$59*(1)+(1)*$K$59*(C22^1)+(1)*$L$59*(C22^2)+(C22^1)*$J$60*(1)+(C22^1)*$K$60*(C22^1)+(C22^1)*$L$60*(C22^2)+(C22^2)*$J$61*(1)+(C22^2)*$K$61*(C22^1)+(C22^2)*$L$61*(C22^2)))</x:f>
        <x:v>162.00421767189252</x:v>
      </x:c>
      <x:c r="F22" s="7" t="n">
        <x:f>IF($A22="","",D22-1.9602401251089576*E22)</x:f>
        <x:v>-199.02001116303137</x:v>
      </x:c>
      <x:c r="G22" s="7" t="n">
        <x:f>IF($A22="","",D22+1.9602401251089576*E22)</x:f>
        <x:v>436.11432467162746</x:v>
      </x:c>
      <x:c r="H22" s="7" t="n">
        <x:f>IF($A22="","",161.91559342174727*SQRT((1)*$J$59*(1)+(1)*$K$59*(C22^1)+(1)*$L$59*(C22^2)+(C22^1)*$J$60*(1)+(C22^1)*$K$60*(C22^1)+(C22^1)*$L$60*(C22^2)+(C22^2)*$J$61*(1)+(C22^2)*$K$61*(C22^1)+(C22^2)*$L$61*(C22^2)))</x:f>
        <x:v>5.35790540840072</x:v>
      </x:c>
      <x:c r="I22" s="3"/>
      <x:c r="J22" s="9" t="n">
        <x:v>46208</x:v>
      </x:c>
      <x:c r="K22" s="7" t="n">
        <x:v>138</x:v>
      </x:c>
      <x:c r="L22" s="7" t="n">
        <x:f>$E$4+$E$5*(2*(J22-37257)/('Сводка'!$B$7-37257)-1)^1+$E$6*(2*(J22-37257)/('Сводка'!$B$7-37257)-1)^2</x:f>
        <x:v>114.27976772171206</x:v>
      </x:c>
      <x:c r="M22" s="7" t="n">
        <x:f>K22-L22</x:f>
        <x:v>23.720232278287938</x:v>
      </x:c>
      <x:c r="N22" s="7" t="n">
        <x:f>ABS(M22)</x:f>
        <x:v>23.720232278287938</x:v>
      </x:c>
      <x:c r="O22" s="3"/>
      <x:c r="P22" s="3"/>
      <x:c r="Q22" s="3"/>
    </x:row>
    <x:row r="23" ht="15" customHeight="1">
      <x:c r="A23" s="9" t="n">
        <x:f>IF(13&lt;='Сводка'!$B$3,'Сводка'!$B$4+13,"")</x:f>
        <x:v>46248</x:v>
      </x:c>
      <x:c r="B23" s="18" t="n">
        <x:f>IF($A23="","",(A23-37257+1)/1000)</x:f>
        <x:v>8.992</x:v>
      </x:c>
      <x:c r="C23" s="18" t="n">
        <x:f>IF($A23="","",2*(A23-37257)/8978-1)</x:f>
        <x:v>1.002895967921586</x:v>
      </x:c>
      <x:c r="D23" s="7" t="n">
        <x:f>IF($A23="","",$B$4+$B$5*C23^1+$B$6*C23^2)</x:f>
        <x:v>118.53796577352452</x:v>
      </x:c>
      <x:c r="E23" s="7" t="n">
        <x:f>IF($A23="","",161.91559342174727*SQRT(1+(1)*$J$59*(1)+(1)*$K$59*(C23^1)+(1)*$L$59*(C23^2)+(C23^1)*$J$60*(1)+(C23^1)*$K$60*(C23^1)+(C23^1)*$L$60*(C23^2)+(C23^2)*$J$61*(1)+(C23^2)*$K$61*(C23^1)+(C23^2)*$L$61*(C23^2)))</x:f>
        <x:v>162.00429503616004</x:v>
      </x:c>
      <x:c r="F23" s="7" t="n">
        <x:f>IF($A23="","",D23-1.9602401251089576*E23)</x:f>
        <x:v>-199.02935379634633</x:v>
      </x:c>
      <x:c r="G23" s="7" t="n">
        <x:f>IF($A23="","",D23+1.9602401251089576*E23)</x:f>
        <x:v>436.1052853433954</x:v>
      </x:c>
      <x:c r="H23" s="7" t="n">
        <x:f>IF($A23="","",161.91559342174727*SQRT((1)*$J$59*(1)+(1)*$K$59*(C23^1)+(1)*$L$59*(C23^2)+(C23^1)*$J$60*(1)+(C23^1)*$K$60*(C23^1)+(C23^1)*$L$60*(C23^2)+(C23^2)*$J$61*(1)+(C23^2)*$K$61*(C23^1)+(C23^2)*$L$61*(C23^2)))</x:f>
        <x:v>5.360244121923245</x:v>
      </x:c>
      <x:c r="I23" s="3"/>
      <x:c r="J23" s="9" t="n">
        <x:v>46209</x:v>
      </x:c>
      <x:c r="K23" s="7" t="n">
        <x:v>149</x:v>
      </x:c>
      <x:c r="L23" s="7" t="n">
        <x:f>$E$4+$E$5*(2*(J23-37257)/('Сводка'!$B$7-37257)-1)^1+$E$6*(2*(J23-37257)/('Сводка'!$B$7-37257)-1)^2</x:f>
        <x:v>114.2688094384818</x:v>
      </x:c>
      <x:c r="M23" s="7" t="n">
        <x:f>K23-L23</x:f>
        <x:v>34.731190561518204</x:v>
      </x:c>
      <x:c r="N23" s="7" t="n">
        <x:f>ABS(M23)</x:f>
        <x:v>34.731190561518204</x:v>
      </x:c>
      <x:c r="O23" s="3"/>
      <x:c r="P23" s="3"/>
      <x:c r="Q23" s="3"/>
    </x:row>
    <x:row r="24" ht="15" customHeight="1">
      <x:c r="A24" s="9" t="n">
        <x:f>IF(14&lt;='Сводка'!$B$3,'Сводка'!$B$4+14,"")</x:f>
        <x:v>46249</x:v>
      </x:c>
      <x:c r="B24" s="18" t="n">
        <x:f>IF($A24="","",(A24-37257+1)/1000)</x:f>
        <x:v>8.993</x:v>
      </x:c>
      <x:c r="C24" s="18" t="n">
        <x:f>IF($A24="","",2*(A24-37257)/8978-1)</x:f>
        <x:v>1.0031187346847852</x:v>
      </x:c>
      <x:c r="D24" s="7" t="n">
        <x:f>IF($A24="","",$B$4+$B$5*C24^1+$B$6*C24^2)</x:f>
        <x:v>118.52876804170556</x:v>
      </x:c>
      <x:c r="E24" s="7" t="n">
        <x:f>IF($A24="","",161.91559342174727*SQRT(1+(1)*$J$59*(1)+(1)*$K$59*(C24^1)+(1)*$L$59*(C24^2)+(C24^1)*$J$60*(1)+(C24^1)*$K$60*(C24^1)+(C24^1)*$L$60*(C24^2)+(C24^2)*$J$61*(1)+(C24^2)*$K$61*(C24^1)+(C24^2)*$L$61*(C24^2)))</x:f>
        <x:v>162.00437245945704</x:v>
      </x:c>
      <x:c r="F24" s="7" t="n">
        <x:f>IF($A24="","",D24-1.9602401251089576*E24)</x:f>
        <x:v>-199.03870329641865</x:v>
      </x:c>
      <x:c r="G24" s="7" t="n">
        <x:f>IF($A24="","",D24+1.9602401251089576*E24)</x:f>
        <x:v>436.0962393798298</x:v>
      </x:c>
      <x:c r="H24" s="7" t="n">
        <x:f>IF($A24="","",161.91559342174727*SQRT((1)*$J$59*(1)+(1)*$K$59*(C24^1)+(1)*$L$59*(C24^2)+(C24^1)*$J$60*(1)+(C24^1)*$K$60*(C24^1)+(C24^1)*$L$60*(C24^2)+(C24^2)*$J$61*(1)+(C24^2)*$K$61*(C24^1)+(C24^2)*$L$61*(C24^2)))</x:f>
        <x:v>5.362583599901197</x:v>
      </x:c>
      <x:c r="I24" s="3"/>
      <x:c r="J24" s="9" t="n">
        <x:v>46210</x:v>
      </x:c>
      <x:c r="K24" s="7" t="n">
        <x:v>158</x:v>
      </x:c>
      <x:c r="L24" s="7" t="n">
        <x:f>$E$4+$E$5*(2*(J24-37257)/('Сводка'!$B$7-37257)-1)^1+$E$6*(2*(J24-37257)/('Сводка'!$B$7-37257)-1)^2</x:f>
        <x:v>114.25784402880059</x:v>
      </x:c>
      <x:c r="M24" s="7" t="n">
        <x:f>K24-L24</x:f>
        <x:v>43.74215597119941</x:v>
      </x:c>
      <x:c r="N24" s="7" t="n">
        <x:f>ABS(M24)</x:f>
        <x:v>43.74215597119941</x:v>
      </x:c>
      <x:c r="O24" s="3"/>
      <x:c r="P24" s="3"/>
      <x:c r="Q24" s="3"/>
    </x:row>
    <x:row r="25" ht="15" customHeight="1">
      <x:c r="A25" s="9" t="n">
        <x:f>IF(15&lt;='Сводка'!$B$3,'Сводка'!$B$4+15,"")</x:f>
        <x:v>46250</x:v>
      </x:c>
      <x:c r="B25" s="18" t="n">
        <x:f>IF($A25="","",(A25-37257+1)/1000)</x:f>
        <x:v>8.994</x:v>
      </x:c>
      <x:c r="C25" s="18" t="n">
        <x:f>IF($A25="","",2*(A25-37257)/8978-1)</x:f>
        <x:v>1.0033415014479838</x:v>
      </x:c>
      <x:c r="D25" s="7" t="n">
        <x:f>IF($A25="","",$B$4+$B$5*C25^1+$B$6*C25^2)</x:f>
        <x:v>118.51956355884124</x:v>
      </x:c>
      <x:c r="E25" s="7" t="n">
        <x:f>IF($A25="","",161.91559342174727*SQRT(1+(1)*$J$59*(1)+(1)*$K$59*(C25^1)+(1)*$L$59*(C25^2)+(C25^1)*$J$60*(1)+(C25^1)*$K$60*(C25^1)+(C25^1)*$L$60*(C25^2)+(C25^2)*$J$61*(1)+(C25^2)*$K$61*(C25^1)+(C25^2)*$L$61*(C25^2)))</x:f>
        <x:v>162.00444994181154</x:v>
      </x:c>
      <x:c r="F25" s="7" t="n">
        <x:f>IF($A25="","",D25-1.9602401251089576*E25)</x:f>
        <x:v>-199.04805966330326</x:v>
      </x:c>
      <x:c r="G25" s="7" t="n">
        <x:f>IF($A25="","",D25+1.9602401251089576*E25)</x:f>
        <x:v>436.08718678098575</x:v>
      </x:c>
      <x:c r="H25" s="7" t="n">
        <x:f>IF($A25="","",161.91559342174727*SQRT((1)*$J$59*(1)+(1)*$K$59*(C25^1)+(1)*$L$59*(C25^2)+(C25^1)*$J$60*(1)+(C25^1)*$K$60*(C25^1)+(C25^1)*$L$60*(C25^2)+(C25^2)*$J$61*(1)+(C25^2)*$K$61*(C25^1)+(C25^2)*$L$61*(C25^2)))</x:f>
        <x:v>5.364923842176412</x:v>
      </x:c>
      <x:c r="I25" s="3"/>
      <x:c r="J25" s="9" t="n">
        <x:v>46211</x:v>
      </x:c>
      <x:c r="K25" s="7" t="n">
        <x:v>166</x:v>
      </x:c>
      <x:c r="L25" s="7" t="n">
        <x:f>$E$4+$E$5*(2*(J25-37257)/('Сводка'!$B$7-37257)-1)^1+$E$6*(2*(J25-37257)/('Сводка'!$B$7-37257)-1)^2</x:f>
        <x:v>114.2468714926683</x:v>
      </x:c>
      <x:c r="M25" s="7" t="n">
        <x:f>K25-L25</x:f>
        <x:v>51.753128507331695</x:v>
      </x:c>
      <x:c r="N25" s="7" t="n">
        <x:f>ABS(M25)</x:f>
        <x:v>51.753128507331695</x:v>
      </x:c>
      <x:c r="O25" s="3"/>
      <x:c r="P25" s="3"/>
      <x:c r="Q25" s="3"/>
    </x:row>
    <x:row r="26" ht="15" customHeight="1">
      <x:c r="A26" s="9" t="n">
        <x:f>IF(16&lt;='Сводка'!$B$3,'Сводка'!$B$4+16,"")</x:f>
        <x:v>46251</x:v>
      </x:c>
      <x:c r="B26" s="18" t="n">
        <x:f>IF($A26="","",(A26-37257+1)/1000)</x:f>
        <x:v>8.995</x:v>
      </x:c>
      <x:c r="C26" s="18" t="n">
        <x:f>IF($A26="","",2*(A26-37257)/8978-1)</x:f>
        <x:v>1.003564268211183</x:v>
      </x:c>
      <x:c r="D26" s="7" t="n">
        <x:f>IF($A26="","",$B$4+$B$5*C26^1+$B$6*C26^2)</x:f>
        <x:v>118.51035232493155</x:v>
      </x:c>
      <x:c r="E26" s="7" t="n">
        <x:f>IF($A26="","",161.91559342174727*SQRT(1+(1)*$J$59*(1)+(1)*$K$59*(C26^1)+(1)*$L$59*(C26^2)+(C26^1)*$J$60*(1)+(C26^1)*$K$60*(C26^1)+(C26^1)*$L$60*(C26^2)+(C26^2)*$J$61*(1)+(C26^2)*$K$61*(C26^1)+(C26^2)*$L$61*(C26^2)))</x:f>
        <x:v>162.0045274832512</x:v>
      </x:c>
      <x:c r="F26" s="7" t="n">
        <x:f>IF($A26="","",D26-1.9602401251089576*E26)</x:f>
        <x:v>-199.05742289705432</x:v>
      </x:c>
      <x:c r="G26" s="7" t="n">
        <x:f>IF($A26="","",D26+1.9602401251089576*E26)</x:f>
        <x:v>436.0781275469174</x:v>
      </x:c>
      <x:c r="H26" s="7" t="n">
        <x:f>IF($A26="","",161.91559342174727*SQRT((1)*$J$59*(1)+(1)*$K$59*(C26^1)+(1)*$L$59*(C26^2)+(C26^1)*$J$60*(1)+(C26^1)*$K$60*(C26^1)+(C26^1)*$L$60*(C26^2)+(C26^2)*$J$61*(1)+(C26^2)*$K$61*(C26^1)+(C26^2)*$L$61*(C26^2)))</x:f>
        <x:v>5.36726484859088</x:v>
      </x:c>
      <x:c r="I26" s="3"/>
      <x:c r="J26" s="9" t="n">
        <x:v>46212</x:v>
      </x:c>
      <x:c r="K26" s="7" t="n">
        <x:v>174</x:v>
      </x:c>
      <x:c r="L26" s="7" t="n">
        <x:f>$E$4+$E$5*(2*(J26-37257)/('Сводка'!$B$7-37257)-1)^1+$E$6*(2*(J26-37257)/('Сводка'!$B$7-37257)-1)^2</x:f>
        <x:v>114.23589183008505</x:v>
      </x:c>
      <x:c r="M26" s="7" t="n">
        <x:f>K26-L26</x:f>
        <x:v>59.76410816991495</x:v>
      </x:c>
      <x:c r="N26" s="7" t="n">
        <x:f>ABS(M26)</x:f>
        <x:v>59.76410816991495</x:v>
      </x:c>
      <x:c r="O26" s="3"/>
      <x:c r="P26" s="3"/>
      <x:c r="Q26" s="3"/>
    </x:row>
    <x:row r="27" ht="15" customHeight="1">
      <x:c r="A27" s="9" t="n">
        <x:f>IF(17&lt;='Сводка'!$B$3,'Сводка'!$B$4+17,"")</x:f>
        <x:v>46252</x:v>
      </x:c>
      <x:c r="B27" s="18" t="n">
        <x:f>IF($A27="","",(A27-37257+1)/1000)</x:f>
        <x:v>8.996</x:v>
      </x:c>
      <x:c r="C27" s="18" t="n">
        <x:f>IF($A27="","",2*(A27-37257)/8978-1)</x:f>
        <x:v>1.003787034974382</x:v>
      </x:c>
      <x:c r="D27" s="7" t="n">
        <x:f>IF($A27="","",$B$4+$B$5*C27^1+$B$6*C27^2)</x:f>
        <x:v>118.50113433997649</x:v>
      </x:c>
      <x:c r="E27" s="7" t="n">
        <x:f>IF($A27="","",161.91559342174727*SQRT(1+(1)*$J$59*(1)+(1)*$K$59*(C27^1)+(1)*$L$59*(C27^2)+(C27^1)*$J$60*(1)+(C27^1)*$K$60*(C27^1)+(C27^1)*$L$60*(C27^2)+(C27^2)*$J$61*(1)+(C27^2)*$K$61*(C27^1)+(C27^2)*$L$61*(C27^2)))</x:f>
        <x:v>162.00460508380382</x:v>
      </x:c>
      <x:c r="F27" s="7" t="n">
        <x:f>IF($A27="","",D27-1.9602401251089576*E27)</x:f>
        <x:v>-199.0667929977264</x:v>
      </x:c>
      <x:c r="G27" s="7" t="n">
        <x:f>IF($A27="","",D27+1.9602401251089576*E27)</x:f>
        <x:v>436.0690616776794</x:v>
      </x:c>
      <x:c r="H27" s="7" t="n">
        <x:f>IF($A27="","",161.91559342174727*SQRT((1)*$J$59*(1)+(1)*$K$59*(C27^1)+(1)*$L$59*(C27^2)+(C27^1)*$J$60*(1)+(C27^1)*$K$60*(C27^1)+(C27^1)*$L$60*(C27^2)+(C27^2)*$J$61*(1)+(C27^2)*$K$61*(C27^1)+(C27^2)*$L$61*(C27^2)))</x:f>
        <x:v>5.3696066189867055</x:v>
      </x:c>
      <x:c r="I27" s="3"/>
      <x:c r="J27" s="9" t="n">
        <x:v>46213</x:v>
      </x:c>
      <x:c r="K27" s="7" t="n">
        <x:v>180</x:v>
      </x:c>
      <x:c r="L27" s="7" t="n">
        <x:f>$E$4+$E$5*(2*(J27-37257)/('Сводка'!$B$7-37257)-1)^1+$E$6*(2*(J27-37257)/('Сводка'!$B$7-37257)-1)^2</x:f>
        <x:v>114.22490504105077</x:v>
      </x:c>
      <x:c r="M27" s="7" t="n">
        <x:f>K27-L27</x:f>
        <x:v>65.77509495894923</x:v>
      </x:c>
      <x:c r="N27" s="7" t="n">
        <x:f>ABS(M27)</x:f>
        <x:v>65.77509495894923</x:v>
      </x:c>
      <x:c r="O27" s="3"/>
      <x:c r="P27" s="3"/>
      <x:c r="Q27" s="3"/>
    </x:row>
    <x:row r="28" ht="15" customHeight="1">
      <x:c r="A28" s="9" t="n">
        <x:f>IF(18&lt;='Сводка'!$B$3,'Сводка'!$B$4+18,"")</x:f>
        <x:v>46253</x:v>
      </x:c>
      <x:c r="B28" s="18" t="n">
        <x:f>IF($A28="","",(A28-37257+1)/1000)</x:f>
        <x:v>8.997</x:v>
      </x:c>
      <x:c r="C28" s="18" t="n">
        <x:f>IF($A28="","",2*(A28-37257)/8978-1)</x:f>
        <x:v>1.0040098017375807</x:v>
      </x:c>
      <x:c r="D28" s="7" t="n">
        <x:f>IF($A28="","",$B$4+$B$5*C28^1+$B$6*C28^2)</x:f>
        <x:v>118.49190960397601</x:v>
      </x:c>
      <x:c r="E28" s="7" t="n">
        <x:f>IF($A28="","",161.91559342174727*SQRT(1+(1)*$J$59*(1)+(1)*$K$59*(C28^1)+(1)*$L$59*(C28^2)+(C28^1)*$J$60*(1)+(C28^1)*$K$60*(C28^1)+(C28^1)*$L$60*(C28^2)+(C28^2)*$J$61*(1)+(C28^2)*$K$61*(C28^1)+(C28^2)*$L$61*(C28^2)))</x:f>
        <x:v>162.00468274349726</x:v>
      </x:c>
      <x:c r="F28" s="7" t="n">
        <x:f>IF($A28="","",D28-1.9602401251089576*E28)</x:f>
        <x:v>-199.07616996537405</x:v>
      </x:c>
      <x:c r="G28" s="7" t="n">
        <x:f>IF($A28="","",D28+1.9602401251089576*E28)</x:f>
        <x:v>436.0599891733261</x:v>
      </x:c>
      <x:c r="H28" s="7" t="n">
        <x:f>IF($A28="","",161.91559342174727*SQRT((1)*$J$59*(1)+(1)*$K$59*(C28^1)+(1)*$L$59*(C28^2)+(C28^1)*$J$60*(1)+(C28^1)*$K$60*(C28^1)+(C28^1)*$L$60*(C28^2)+(C28^2)*$J$61*(1)+(C28^2)*$K$61*(C28^1)+(C28^2)*$L$61*(C28^2)))</x:f>
        <x:v>5.371949153206135</x:v>
      </x:c>
      <x:c r="I28" s="3"/>
      <x:c r="J28" s="9" t="n">
        <x:v>46214</x:v>
      </x:c>
      <x:c r="K28" s="7" t="n">
        <x:v>181</x:v>
      </x:c>
      <x:c r="L28" s="7" t="n">
        <x:f>$E$4+$E$5*(2*(J28-37257)/('Сводка'!$B$7-37257)-1)^1+$E$6*(2*(J28-37257)/('Сводка'!$B$7-37257)-1)^2</x:f>
        <x:v>114.21391112556553</x:v>
      </x:c>
      <x:c r="M28" s="7" t="n">
        <x:f>K28-L28</x:f>
        <x:v>66.78608887443447</x:v>
      </x:c>
      <x:c r="N28" s="7" t="n">
        <x:f>ABS(M28)</x:f>
        <x:v>66.78608887443447</x:v>
      </x:c>
      <x:c r="O28" s="3"/>
      <x:c r="P28" s="3"/>
      <x:c r="Q28" s="3"/>
    </x:row>
    <x:row r="29" ht="15" customHeight="1">
      <x:c r="A29" s="9" t="n">
        <x:f>IF(19&lt;='Сводка'!$B$3,'Сводка'!$B$4+19,"")</x:f>
        <x:v>46254</x:v>
      </x:c>
      <x:c r="B29" s="18" t="n">
        <x:f>IF($A29="","",(A29-37257+1)/1000)</x:f>
        <x:v>8.998</x:v>
      </x:c>
      <x:c r="C29" s="18" t="n">
        <x:f>IF($A29="","",2*(A29-37257)/8978-1)</x:f>
        <x:v>1.0042325685007798</x:v>
      </x:c>
      <x:c r="D29" s="7" t="n">
        <x:f>IF($A29="","",$B$4+$B$5*C29^1+$B$6*C29^2)</x:f>
        <x:v>118.48267811693019</x:v>
      </x:c>
      <x:c r="E29" s="7" t="n">
        <x:f>IF($A29="","",161.91559342174727*SQRT(1+(1)*$J$59*(1)+(1)*$K$59*(C29^1)+(1)*$L$59*(C29^2)+(C29^1)*$J$60*(1)+(C29^1)*$K$60*(C29^1)+(C29^1)*$L$60*(C29^2)+(C29^2)*$J$61*(1)+(C29^2)*$K$61*(C29^1)+(C29^2)*$L$61*(C29^2)))</x:f>
        <x:v>162.00476046235931</x:v>
      </x:c>
      <x:c r="F29" s="7" t="n">
        <x:f>IF($A29="","",D29-1.9602401251089576*E29)</x:f>
        <x:v>-199.08555380005174</x:v>
      </x:c>
      <x:c r="G29" s="7" t="n">
        <x:f>IF($A29="","",D29+1.9602401251089576*E29)</x:f>
        <x:v>436.0509100339121</x:v>
      </x:c>
      <x:c r="H29" s="7" t="n">
        <x:f>IF($A29="","",161.91559342174727*SQRT((1)*$J$59*(1)+(1)*$K$59*(C29^1)+(1)*$L$59*(C29^2)+(C29^1)*$J$60*(1)+(C29^1)*$K$60*(C29^1)+(C29^1)*$L$60*(C29^2)+(C29^2)*$J$61*(1)+(C29^2)*$K$61*(C29^1)+(C29^2)*$L$61*(C29^2)))</x:f>
        <x:v>5.374292451091557</x:v>
      </x:c>
      <x:c r="I29" s="3"/>
      <x:c r="J29" s="9" t="n">
        <x:v>46215</x:v>
      </x:c>
      <x:c r="K29" s="7" t="n">
        <x:v>179</x:v>
      </x:c>
      <x:c r="L29" s="7" t="n">
        <x:f>$E$4+$E$5*(2*(J29-37257)/('Сводка'!$B$7-37257)-1)^1+$E$6*(2*(J29-37257)/('Сводка'!$B$7-37257)-1)^2</x:f>
        <x:v>114.2029100836292</x:v>
      </x:c>
      <x:c r="M29" s="7" t="n">
        <x:f>K29-L29</x:f>
        <x:v>64.7970899163708</x:v>
      </x:c>
      <x:c r="N29" s="7" t="n">
        <x:f>ABS(M29)</x:f>
        <x:v>64.7970899163708</x:v>
      </x:c>
      <x:c r="O29" s="3"/>
      <x:c r="P29" s="3"/>
      <x:c r="Q29" s="3"/>
    </x:row>
    <x:row r="30" ht="15" customHeight="1">
      <x:c r="A30" s="9" t="n">
        <x:f>IF(20&lt;='Сводка'!$B$3,'Сводка'!$B$4+20,"")</x:f>
        <x:v>46255</x:v>
      </x:c>
      <x:c r="B30" s="18" t="n">
        <x:f>IF($A30="","",(A30-37257+1)/1000)</x:f>
        <x:v>8.999</x:v>
      </x:c>
      <x:c r="C30" s="18" t="n">
        <x:f>IF($A30="","",2*(A30-37257)/8978-1)</x:f>
        <x:v>1.0044553352639785</x:v>
      </x:c>
      <x:c r="D30" s="7" t="n">
        <x:f>IF($A30="","",$B$4+$B$5*C30^1+$B$6*C30^2)</x:f>
        <x:v>118.47343987883899</x:v>
      </x:c>
      <x:c r="E30" s="7" t="n">
        <x:f>IF($A30="","",161.91559342174727*SQRT(1+(1)*$J$59*(1)+(1)*$K$59*(C30^1)+(1)*$L$59*(C30^2)+(C30^1)*$J$60*(1)+(C30^1)*$K$60*(C30^1)+(C30^1)*$L$60*(C30^2)+(C30^2)*$J$61*(1)+(C30^2)*$K$61*(C30^1)+(C30^2)*$L$61*(C30^2)))</x:f>
        <x:v>162.00483824041788</x:v>
      </x:c>
      <x:c r="F30" s="7" t="n">
        <x:f>IF($A30="","",D30-1.9602401251089576*E30)</x:f>
        <x:v>-199.0949445018142</x:v>
      </x:c>
      <x:c r="G30" s="7" t="n">
        <x:f>IF($A30="","",D30+1.9602401251089576*E30)</x:f>
        <x:v>436.04182425949216</x:v>
      </x:c>
      <x:c r="H30" s="7" t="n">
        <x:f>IF($A30="","",161.91559342174727*SQRT((1)*$J$59*(1)+(1)*$K$59*(C30^1)+(1)*$L$59*(C30^2)+(C30^1)*$J$60*(1)+(C30^1)*$K$60*(C30^1)+(C30^1)*$L$60*(C30^2)+(C30^2)*$J$61*(1)+(C30^2)*$K$61*(C30^1)+(C30^2)*$L$61*(C30^2)))</x:f>
        <x:v>5.376636512485484</x:v>
      </x:c>
      <x:c r="I30" s="3"/>
      <x:c r="J30" s="9" t="n">
        <x:v>46216</x:v>
      </x:c>
      <x:c r="K30" s="7" t="n">
        <x:v>182</x:v>
      </x:c>
      <x:c r="L30" s="7" t="n">
        <x:f>$E$4+$E$5*(2*(J30-37257)/('Сводка'!$B$7-37257)-1)^1+$E$6*(2*(J30-37257)/('Сводка'!$B$7-37257)-1)^2</x:f>
        <x:v>114.19190191524194</x:v>
      </x:c>
      <x:c r="M30" s="7" t="n">
        <x:f>K30-L30</x:f>
        <x:v>67.80809808475806</x:v>
      </x:c>
      <x:c r="N30" s="7" t="n">
        <x:f>ABS(M30)</x:f>
        <x:v>67.80809808475806</x:v>
      </x:c>
      <x:c r="O30" s="3"/>
      <x:c r="P30" s="3"/>
      <x:c r="Q30" s="3"/>
    </x:row>
    <x:row r="31" ht="15" customHeight="1">
      <x:c r="A31" s="9" t="n">
        <x:f>IF(21&lt;='Сводка'!$B$3,'Сводка'!$B$4+21,"")</x:f>
        <x:v>46256</x:v>
      </x:c>
      <x:c r="B31" s="18" t="n">
        <x:f>IF($A31="","",(A31-37257+1)/1000)</x:f>
        <x:v>9</x:v>
      </x:c>
      <x:c r="C31" s="18" t="n">
        <x:f>IF($A31="","",2*(A31-37257)/8978-1)</x:f>
        <x:v>1.0046781020271776</x:v>
      </x:c>
      <x:c r="D31" s="7" t="n">
        <x:f>IF($A31="","",$B$4+$B$5*C31^1+$B$6*C31^2)</x:f>
        <x:v>118.46419488970238</x:v>
      </x:c>
      <x:c r="E31" s="7" t="n">
        <x:f>IF($A31="","",161.91559342174727*SQRT(1+(1)*$J$59*(1)+(1)*$K$59*(C31^1)+(1)*$L$59*(C31^2)+(C31^1)*$J$60*(1)+(C31^1)*$K$60*(C31^1)+(C31^1)*$L$60*(C31^2)+(C31^2)*$J$61*(1)+(C31^2)*$K$61*(C31^1)+(C31^2)*$L$61*(C31^2)))</x:f>
        <x:v>162.0049160777007</x:v>
      </x:c>
      <x:c r="F31" s="7" t="n">
        <x:f>IF($A31="","",D31-1.9602401251089576*E31)</x:f>
        <x:v>-199.10434207071583</x:v>
      </x:c>
      <x:c r="G31" s="7" t="n">
        <x:f>IF($A31="","",D31+1.9602401251089576*E31)</x:f>
        <x:v>436.0327318501206</x:v>
      </x:c>
      <x:c r="H31" s="7" t="n">
        <x:f>IF($A31="","",161.91559342174727*SQRT((1)*$J$59*(1)+(1)*$K$59*(C31^1)+(1)*$L$59*(C31^2)+(C31^1)*$J$60*(1)+(C31^1)*$K$60*(C31^1)+(C31^1)*$L$60*(C31^2)+(C31^2)*$J$61*(1)+(C31^2)*$K$61*(C31^1)+(C31^2)*$L$61*(C31^2)))</x:f>
        <x:v>5.37898133723058</x:v>
      </x:c>
      <x:c r="I31" s="3"/>
      <x:c r="J31" s="9" t="n">
        <x:v>46217</x:v>
      </x:c>
      <x:c r="K31" s="7" t="n">
        <x:v>191</x:v>
      </x:c>
      <x:c r="L31" s="7" t="n">
        <x:f>$E$4+$E$5*(2*(J31-37257)/('Сводка'!$B$7-37257)-1)^1+$E$6*(2*(J31-37257)/('Сводка'!$B$7-37257)-1)^2</x:f>
        <x:v>114.18088662040358</x:v>
      </x:c>
      <x:c r="M31" s="7" t="n">
        <x:f>K31-L31</x:f>
        <x:v>76.81911337959642</x:v>
      </x:c>
      <x:c r="N31" s="7" t="n">
        <x:f>ABS(M31)</x:f>
        <x:v>76.81911337959642</x:v>
      </x:c>
      <x:c r="O31" s="3"/>
      <x:c r="P31" s="3"/>
      <x:c r="Q31" s="3"/>
    </x:row>
    <x:row r="32" ht="15" customHeight="1">
      <x:c r="A32" s="9" t="n">
        <x:f>IF(22&lt;='Сводка'!$B$3,'Сводка'!$B$4+22,"")</x:f>
        <x:v>46257</x:v>
      </x:c>
      <x:c r="B32" s="18" t="n">
        <x:f>IF($A32="","",(A32-37257+1)/1000)</x:f>
        <x:v>9.001</x:v>
      </x:c>
      <x:c r="C32" s="18" t="n">
        <x:f>IF($A32="","",2*(A32-37257)/8978-1)</x:f>
        <x:v>1.0049008687903767</x:v>
      </x:c>
      <x:c r="D32" s="7" t="n">
        <x:f>IF($A32="","",$B$4+$B$5*C32^1+$B$6*C32^2)</x:f>
        <x:v>118.45494314952042</x:v>
      </x:c>
      <x:c r="E32" s="7" t="n">
        <x:f>IF($A32="","",161.91559342174727*SQRT(1+(1)*$J$59*(1)+(1)*$K$59*(C32^1)+(1)*$L$59*(C32^2)+(C32^1)*$J$60*(1)+(C32^1)*$K$60*(C32^1)+(C32^1)*$L$60*(C32^2)+(C32^2)*$J$61*(1)+(C32^2)*$K$61*(C32^1)+(C32^2)*$L$61*(C32^2)))</x:f>
        <x:v>162.00499397423562</x:v>
      </x:c>
      <x:c r="F32" s="7" t="n">
        <x:f>IF($A32="","",D32-1.9602401251089576*E32)</x:f>
        <x:v>-199.11374650681114</x:v>
      </x:c>
      <x:c r="G32" s="7" t="n">
        <x:f>IF($A32="","",D32+1.9602401251089576*E32)</x:f>
        <x:v>436.023632805852</x:v>
      </x:c>
      <x:c r="H32" s="7" t="n">
        <x:f>IF($A32="","",161.91559342174727*SQRT((1)*$J$59*(1)+(1)*$K$59*(C32^1)+(1)*$L$59*(C32^2)+(C32^1)*$J$60*(1)+(C32^1)*$K$60*(C32^1)+(C32^1)*$L$60*(C32^2)+(C32^2)*$J$61*(1)+(C32^2)*$K$61*(C32^1)+(C32^2)*$L$61*(C32^2)))</x:f>
        <x:v>5.381326925169628</x:v>
      </x:c>
      <x:c r="I32" s="3"/>
      <x:c r="J32" s="9" t="n">
        <x:v>46218</x:v>
      </x:c>
      <x:c r="K32" s="7" t="n">
        <x:v>206</x:v>
      </x:c>
      <x:c r="L32" s="7" t="n">
        <x:f>$E$4+$E$5*(2*(J32-37257)/('Сводка'!$B$7-37257)-1)^1+$E$6*(2*(J32-37257)/('Сводка'!$B$7-37257)-1)^2</x:f>
        <x:v>114.16986419911427</x:v>
      </x:c>
      <x:c r="M32" s="7" t="n">
        <x:f>K32-L32</x:f>
        <x:v>91.83013580088573</x:v>
      </x:c>
      <x:c r="N32" s="7" t="n">
        <x:f>ABS(M32)</x:f>
        <x:v>91.83013580088573</x:v>
      </x:c>
      <x:c r="O32" s="3"/>
      <x:c r="P32" s="3"/>
      <x:c r="Q32" s="3"/>
    </x:row>
    <x:row r="33" ht="15" customHeight="1">
      <x:c r="A33" s="9" t="n">
        <x:f>IF(23&lt;='Сводка'!$B$3,'Сводка'!$B$4+23,"")</x:f>
        <x:v>46258</x:v>
      </x:c>
      <x:c r="B33" s="18" t="n">
        <x:f>IF($A33="","",(A33-37257+1)/1000)</x:f>
        <x:v>9.002</x:v>
      </x:c>
      <x:c r="C33" s="18" t="n">
        <x:f>IF($A33="","",2*(A33-37257)/8978-1)</x:f>
        <x:v>1.0051236355535753</x:v>
      </x:c>
      <x:c r="D33" s="7" t="n">
        <x:f>IF($A33="","",$B$4+$B$5*C33^1+$B$6*C33^2)</x:f>
        <x:v>118.44568465829308</x:v>
      </x:c>
      <x:c r="E33" s="7" t="n">
        <x:f>IF($A33="","",161.91559342174727*SQRT(1+(1)*$J$59*(1)+(1)*$K$59*(C33^1)+(1)*$L$59*(C33^2)+(C33^1)*$J$60*(1)+(C33^1)*$K$60*(C33^1)+(C33^1)*$L$60*(C33^2)+(C33^2)*$J$61*(1)+(C33^2)*$K$61*(C33^1)+(C33^2)*$L$61*(C33^2)))</x:f>
        <x:v>162.00507193005055</x:v>
      </x:c>
      <x:c r="F33" s="7" t="n">
        <x:f>IF($A33="","",D33-1.9602401251089576*E33)</x:f>
        <x:v>-199.12315781015485</x:v>
      </x:c>
      <x:c r="G33" s="7" t="n">
        <x:f>IF($A33="","",D33+1.9602401251089576*E33)</x:f>
        <x:v>436.01452712674103</x:v>
      </x:c>
      <x:c r="H33" s="7" t="n">
        <x:f>IF($A33="","",161.91559342174727*SQRT((1)*$J$59*(1)+(1)*$K$59*(C33^1)+(1)*$L$59*(C33^2)+(C33^1)*$J$60*(1)+(C33^1)*$K$60*(C33^1)+(C33^1)*$L$60*(C33^2)+(C33^2)*$J$61*(1)+(C33^2)*$K$61*(C33^1)+(C33^2)*$L$61*(C33^2)))</x:f>
        <x:v>5.383673276145547</x:v>
      </x:c>
      <x:c r="I33" s="3"/>
      <x:c r="J33" s="9" t="n">
        <x:v>46219</x:v>
      </x:c>
      <x:c r="K33" s="7" t="n">
        <x:v>225</x:v>
      </x:c>
      <x:c r="L33" s="7" t="n">
        <x:f>$E$4+$E$5*(2*(J33-37257)/('Сводка'!$B$7-37257)-1)^1+$E$6*(2*(J33-37257)/('Сводка'!$B$7-37257)-1)^2</x:f>
        <x:v>114.15883465137395</x:v>
      </x:c>
      <x:c r="M33" s="7" t="n">
        <x:f>K33-L33</x:f>
        <x:v>110.84116534862605</x:v>
      </x:c>
      <x:c r="N33" s="7" t="n">
        <x:f>ABS(M33)</x:f>
        <x:v>110.84116534862605</x:v>
      </x:c>
      <x:c r="O33" s="3"/>
      <x:c r="P33" s="3"/>
      <x:c r="Q33" s="3"/>
    </x:row>
    <x:row r="34" ht="15" customHeight="1">
      <x:c r="A34" s="9" t="n">
        <x:f>IF(24&lt;='Сводка'!$B$3,'Сводка'!$B$4+24,"")</x:f>
        <x:v>46259</x:v>
      </x:c>
      <x:c r="B34" s="18" t="n">
        <x:f>IF($A34="","",(A34-37257+1)/1000)</x:f>
        <x:v>9.003</x:v>
      </x:c>
      <x:c r="C34" s="18" t="n">
        <x:f>IF($A34="","",2*(A34-37257)/8978-1)</x:f>
        <x:v>1.0053464023167744</x:v>
      </x:c>
      <x:c r="D34" s="7" t="n">
        <x:f>IF($A34="","",$B$4+$B$5*C34^1+$B$6*C34^2)</x:f>
        <x:v>118.43641941602033</x:v>
      </x:c>
      <x:c r="E34" s="7" t="n">
        <x:f>IF($A34="","",161.91559342174727*SQRT(1+(1)*$J$59*(1)+(1)*$K$59*(C34^1)+(1)*$L$59*(C34^2)+(C34^1)*$J$60*(1)+(C34^1)*$K$60*(C34^1)+(C34^1)*$L$60*(C34^2)+(C34^2)*$J$61*(1)+(C34^2)*$K$61*(C34^1)+(C34^2)*$L$61*(C34^2)))</x:f>
        <x:v>162.0051499451733</x:v>
      </x:c>
      <x:c r="F34" s="7" t="n">
        <x:f>IF($A34="","",D34-1.9602401251089576*E34)</x:f>
        <x:v>-199.13257598080162</x:v>
      </x:c>
      <x:c r="G34" s="7" t="n">
        <x:f>IF($A34="","",D34+1.9602401251089576*E34)</x:f>
        <x:v>436.0054148128423</x:v>
      </x:c>
      <x:c r="H34" s="7" t="n">
        <x:f>IF($A34="","",161.91559342174727*SQRT((1)*$J$59*(1)+(1)*$K$59*(C34^1)+(1)*$L$59*(C34^2)+(C34^1)*$J$60*(1)+(C34^1)*$K$60*(C34^1)+(C34^1)*$L$60*(C34^2)+(C34^2)*$J$61*(1)+(C34^2)*$K$61*(C34^1)+(C34^2)*$L$61*(C34^2)))</x:f>
        <x:v>5.38602039000141</x:v>
      </x:c>
      <x:c r="I34" s="3"/>
      <x:c r="J34" s="9" t="n">
        <x:v>46220</x:v>
      </x:c>
      <x:c r="K34" s="7" t="n">
        <x:v>245</x:v>
      </x:c>
      <x:c r="L34" s="7" t="n">
        <x:f>$E$4+$E$5*(2*(J34-37257)/('Сводка'!$B$7-37257)-1)^1+$E$6*(2*(J34-37257)/('Сводка'!$B$7-37257)-1)^2</x:f>
        <x:v>114.14779797718262</x:v>
      </x:c>
      <x:c r="M34" s="7" t="n">
        <x:f>K34-L34</x:f>
        <x:v>130.85220202281738</x:v>
      </x:c>
      <x:c r="N34" s="7" t="n">
        <x:f>ABS(M34)</x:f>
        <x:v>130.85220202281738</x:v>
      </x:c>
      <x:c r="O34" s="3"/>
      <x:c r="P34" s="3"/>
      <x:c r="Q34" s="3"/>
    </x:row>
    <x:row r="35" ht="15" customHeight="1">
      <x:c r="A35" s="9" t="n">
        <x:f>IF(25&lt;='Сводка'!$B$3,'Сводка'!$B$4+25,"")</x:f>
        <x:v>46260</x:v>
      </x:c>
      <x:c r="B35" s="18" t="n">
        <x:f>IF($A35="","",(A35-37257+1)/1000)</x:f>
        <x:v>9.004</x:v>
      </x:c>
      <x:c r="C35" s="18" t="n">
        <x:f>IF($A35="","",2*(A35-37257)/8978-1)</x:f>
        <x:v>1.005569169079973</x:v>
      </x:c>
      <x:c r="D35" s="7" t="n">
        <x:f>IF($A35="","",$B$4+$B$5*C35^1+$B$6*C35^2)</x:f>
        <x:v>118.42714742270222</x:v>
      </x:c>
      <x:c r="E35" s="7" t="n">
        <x:f>IF($A35="","",161.91559342174727*SQRT(1+(1)*$J$59*(1)+(1)*$K$59*(C35^1)+(1)*$L$59*(C35^2)+(C35^1)*$J$60*(1)+(C35^1)*$K$60*(C35^1)+(C35^1)*$L$60*(C35^2)+(C35^2)*$J$61*(1)+(C35^2)*$K$61*(C35^1)+(C35^2)*$L$61*(C35^2)))</x:f>
        <x:v>162.0052280196317</x:v>
      </x:c>
      <x:c r="F35" s="7" t="n">
        <x:f>IF($A35="","",D35-1.9602401251089576*E35)</x:f>
        <x:v>-199.14200101880584</x:v>
      </x:c>
      <x:c r="G35" s="7" t="n">
        <x:f>IF($A35="","",D35+1.9602401251089576*E35)</x:f>
        <x:v>435.99629586421025</x:v>
      </x:c>
      <x:c r="H35" s="7" t="n">
        <x:f>IF($A35="","",161.91559342174727*SQRT((1)*$J$59*(1)+(1)*$K$59*(C35^1)+(1)*$L$59*(C35^2)+(C35^1)*$J$60*(1)+(C35^1)*$K$60*(C35^1)+(C35^1)*$L$60*(C35^2)+(C35^2)*$J$61*(1)+(C35^2)*$K$61*(C35^1)+(C35^2)*$L$61*(C35^2)))</x:f>
        <x:v>5.388368266580398</x:v>
      </x:c>
      <x:c r="I35" s="3"/>
      <x:c r="J35" s="9" t="n">
        <x:v>46221</x:v>
      </x:c>
      <x:c r="K35" s="7" t="n">
        <x:v>266</x:v>
      </x:c>
      <x:c r="L35" s="7" t="n">
        <x:f>$E$4+$E$5*(2*(J35-37257)/('Сводка'!$B$7-37257)-1)^1+$E$6*(2*(J35-37257)/('Сводка'!$B$7-37257)-1)^2</x:f>
        <x:v>114.13675417654028</x:v>
      </x:c>
      <x:c r="M35" s="7" t="n">
        <x:f>K35-L35</x:f>
        <x:v>151.86324582345972</x:v>
      </x:c>
      <x:c r="N35" s="7" t="n">
        <x:f>ABS(M35)</x:f>
        <x:v>151.86324582345972</x:v>
      </x:c>
      <x:c r="O35" s="3"/>
      <x:c r="P35" s="3"/>
      <x:c r="Q35" s="3"/>
    </x:row>
    <x:row r="36" ht="15" customHeight="1">
      <x:c r="A36" s="9" t="n">
        <x:f>IF(26&lt;='Сводка'!$B$3,'Сводка'!$B$4+26,"")</x:f>
        <x:v>46261</x:v>
      </x:c>
      <x:c r="B36" s="18" t="n">
        <x:f>IF($A36="","",(A36-37257+1)/1000)</x:f>
        <x:v>9.005</x:v>
      </x:c>
      <x:c r="C36" s="18" t="n">
        <x:f>IF($A36="","",2*(A36-37257)/8978-1)</x:f>
        <x:v>1.0057919358431722</x:v>
      </x:c>
      <x:c r="D36" s="7" t="n">
        <x:f>IF($A36="","",$B$4+$B$5*C36^1+$B$6*C36^2)</x:f>
        <x:v>118.41786867833873</x:v>
      </x:c>
      <x:c r="E36" s="7" t="n">
        <x:f>IF($A36="","",161.91559342174727*SQRT(1+(1)*$J$59*(1)+(1)*$K$59*(C36^1)+(1)*$L$59*(C36^2)+(C36^1)*$J$60*(1)+(C36^1)*$K$60*(C36^1)+(C36^1)*$L$60*(C36^2)+(C36^2)*$J$61*(1)+(C36^2)*$K$61*(C36^1)+(C36^2)*$L$61*(C36^2)))</x:f>
        <x:v>162.00530615345363</x:v>
      </x:c>
      <x:c r="F36" s="7" t="n">
        <x:f>IF($A36="","",D36-1.9602401251089576*E36)</x:f>
        <x:v>-199.1514329242222</x:v>
      </x:c>
      <x:c r="G36" s="7" t="n">
        <x:f>IF($A36="","",D36+1.9602401251089576*E36)</x:f>
        <x:v>435.98717028089965</x:v>
      </x:c>
      <x:c r="H36" s="7" t="n">
        <x:f>IF($A36="","",161.91559342174727*SQRT((1)*$J$59*(1)+(1)*$K$59*(C36^1)+(1)*$L$59*(C36^2)+(C36^1)*$J$60*(1)+(C36^1)*$K$60*(C36^1)+(C36^1)*$L$60*(C36^2)+(C36^2)*$J$61*(1)+(C36^2)*$K$61*(C36^1)+(C36^2)*$L$61*(C36^2)))</x:f>
        <x:v>5.390716905725849</x:v>
      </x:c>
      <x:c r="I36" s="3"/>
      <x:c r="J36" s="9" t="n">
        <x:v>46222</x:v>
      </x:c>
      <x:c r="K36" s="7" t="n">
        <x:v>281</x:v>
      </x:c>
      <x:c r="L36" s="7" t="n">
        <x:f>$E$4+$E$5*(2*(J36-37257)/('Сводка'!$B$7-37257)-1)^1+$E$6*(2*(J36-37257)/('Сводка'!$B$7-37257)-1)^2</x:f>
        <x:v>114.12570324944689</x:v>
      </x:c>
      <x:c r="M36" s="7" t="n">
        <x:f>K36-L36</x:f>
        <x:v>166.87429675055313</x:v>
      </x:c>
      <x:c r="N36" s="7" t="n">
        <x:f>ABS(M36)</x:f>
        <x:v>166.87429675055313</x:v>
      </x:c>
      <x:c r="O36" s="3"/>
      <x:c r="P36" s="3"/>
      <x:c r="Q36" s="3"/>
    </x:row>
    <x:row r="37" ht="15" customHeight="1">
      <x:c r="A37" s="9" t="n">
        <x:f>IF(27&lt;='Сводка'!$B$3,'Сводка'!$B$4+27,"")</x:f>
        <x:v>46262</x:v>
      </x:c>
      <x:c r="B37" s="18" t="n">
        <x:f>IF($A37="","",(A37-37257+1)/1000)</x:f>
        <x:v>9.006</x:v>
      </x:c>
      <x:c r="C37" s="18" t="n">
        <x:f>IF($A37="","",2*(A37-37257)/8978-1)</x:f>
        <x:v>1.0060147026063713</x:v>
      </x:c>
      <x:c r="D37" s="7" t="n">
        <x:f>IF($A37="","",$B$4+$B$5*C37^1+$B$6*C37^2)</x:f>
        <x:v>118.40858318292985</x:v>
      </x:c>
      <x:c r="E37" s="7" t="n">
        <x:f>IF($A37="","",161.91559342174727*SQRT(1+(1)*$J$59*(1)+(1)*$K$59*(C37^1)+(1)*$L$59*(C37^2)+(C37^1)*$J$60*(1)+(C37^1)*$K$60*(C37^1)+(C37^1)*$L$60*(C37^2)+(C37^2)*$J$61*(1)+(C37^2)*$K$61*(C37^1)+(C37^2)*$L$61*(C37^2)))</x:f>
        <x:v>162.00538434666703</x:v>
      </x:c>
      <x:c r="F37" s="7" t="n">
        <x:f>IF($A37="","",D37-1.9602401251089576*E37)</x:f>
        <x:v>-199.16087169710548</x:v>
      </x:c>
      <x:c r="G37" s="7" t="n">
        <x:f>IF($A37="","",D37+1.9602401251089576*E37)</x:f>
        <x:v>435.9780380629652</x:v>
      </x:c>
      <x:c r="H37" s="7" t="n">
        <x:f>IF($A37="","",161.91559342174727*SQRT((1)*$J$59*(1)+(1)*$K$59*(C37^1)+(1)*$L$59*(C37^2)+(C37^1)*$J$60*(1)+(C37^1)*$K$60*(C37^1)+(C37^1)*$L$60*(C37^2)+(C37^2)*$J$61*(1)+(C37^2)*$K$61*(C37^1)+(C37^2)*$L$61*(C37^2)))</x:f>
        <x:v>5.393066307281225</x:v>
      </x:c>
      <x:c r="I37" s="3"/>
      <x:c r="J37" s="9" t="n">
        <x:v>46223</x:v>
      </x:c>
      <x:c r="K37" s="7" t="n">
        <x:v>292</x:v>
      </x:c>
      <x:c r="L37" s="7" t="n">
        <x:f>$E$4+$E$5*(2*(J37-37257)/('Сводка'!$B$7-37257)-1)^1+$E$6*(2*(J37-37257)/('Сводка'!$B$7-37257)-1)^2</x:f>
        <x:v>114.11464519590255</x:v>
      </x:c>
      <x:c r="M37" s="7" t="n">
        <x:f>K37-L37</x:f>
        <x:v>177.88535480409746</x:v>
      </x:c>
      <x:c r="N37" s="7" t="n">
        <x:f>ABS(M37)</x:f>
        <x:v>177.88535480409746</x:v>
      </x:c>
      <x:c r="O37" s="3"/>
      <x:c r="P37" s="3"/>
      <x:c r="Q37" s="3"/>
    </x:row>
    <x:row r="38" ht="15" customHeight="1">
      <x:c r="A38" s="9" t="n">
        <x:f>IF(28&lt;='Сводка'!$B$3,'Сводка'!$B$4+28,"")</x:f>
        <x:v>46263</x:v>
      </x:c>
      <x:c r="B38" s="18" t="n">
        <x:f>IF($A38="","",(A38-37257+1)/1000)</x:f>
        <x:v>9.007</x:v>
      </x:c>
      <x:c r="C38" s="18" t="n">
        <x:f>IF($A38="","",2*(A38-37257)/8978-1)</x:f>
        <x:v>1.00623746936957</x:v>
      </x:c>
      <x:c r="D38" s="7" t="n">
        <x:f>IF($A38="","",$B$4+$B$5*C38^1+$B$6*C38^2)</x:f>
        <x:v>118.3992909364756</x:v>
      </x:c>
      <x:c r="E38" s="7" t="n">
        <x:f>IF($A38="","",161.91559342174727*SQRT(1+(1)*$J$59*(1)+(1)*$K$59*(C38^1)+(1)*$L$59*(C38^2)+(C38^1)*$J$60*(1)+(C38^1)*$K$60*(C38^1)+(C38^1)*$L$60*(C38^2)+(C38^2)*$J$61*(1)+(C38^2)*$K$61*(C38^1)+(C38^2)*$L$61*(C38^2)))</x:f>
        <x:v>162.00546259929965</x:v>
      </x:c>
      <x:c r="F38" s="7" t="n">
        <x:f>IF($A38="","",D38-1.9602401251089576*E38)</x:f>
        <x:v>-199.17031733751008</x:v>
      </x:c>
      <x:c r="G38" s="7" t="n">
        <x:f>IF($A38="","",D38+1.9602401251089576*E38)</x:f>
        <x:v>435.9688992104613</x:v>
      </x:c>
      <x:c r="H38" s="7" t="n">
        <x:f>IF($A38="","",161.91559342174727*SQRT((1)*$J$59*(1)+(1)*$K$59*(C38^1)+(1)*$L$59*(C38^2)+(C38^1)*$J$60*(1)+(C38^1)*$K$60*(C38^1)+(C38^1)*$L$60*(C38^2)+(C38^2)*$J$61*(1)+(C38^2)*$K$61*(C38^1)+(C38^2)*$L$61*(C38^2)))</x:f>
        <x:v>5.395416471090117</x:v>
      </x:c>
      <x:c r="I38" s="3"/>
      <x:c r="J38" s="9" t="n">
        <x:v>46224</x:v>
      </x:c>
      <x:c r="K38" s="7" t="n">
        <x:v>303</x:v>
      </x:c>
      <x:c r="L38" s="7" t="n">
        <x:f>$E$4+$E$5*(2*(J38-37257)/('Сводка'!$B$7-37257)-1)^1+$E$6*(2*(J38-37257)/('Сводка'!$B$7-37257)-1)^2</x:f>
        <x:v>114.10358001590714</x:v>
      </x:c>
      <x:c r="M38" s="7" t="n">
        <x:f>K38-L38</x:f>
        <x:v>188.89641998409286</x:v>
      </x:c>
      <x:c r="N38" s="7" t="n">
        <x:f>ABS(M38)</x:f>
        <x:v>188.89641998409286</x:v>
      </x:c>
      <x:c r="O38" s="3"/>
      <x:c r="P38" s="3"/>
      <x:c r="Q38" s="3"/>
    </x:row>
    <x:row r="39" ht="15" customHeight="1">
      <x:c r="A39" s="9" t="n">
        <x:f>IF(29&lt;='Сводка'!$B$3,'Сводка'!$B$4+29,"")</x:f>
        <x:v>46264</x:v>
      </x:c>
      <x:c r="B39" s="18" t="n">
        <x:f>IF($A39="","",(A39-37257+1)/1000)</x:f>
        <x:v>9.008</x:v>
      </x:c>
      <x:c r="C39" s="18" t="n">
        <x:f>IF($A39="","",2*(A39-37257)/8978-1)</x:f>
        <x:v>1.006460236132769</x:v>
      </x:c>
      <x:c r="D39" s="7" t="n">
        <x:f>IF($A39="","",$B$4+$B$5*C39^1+$B$6*C39^2)</x:f>
        <x:v>118.38999193897597</x:v>
      </x:c>
      <x:c r="E39" s="7" t="n">
        <x:f>IF($A39="","",161.91559342174727*SQRT(1+(1)*$J$59*(1)+(1)*$K$59*(C39^1)+(1)*$L$59*(C39^2)+(C39^1)*$J$60*(1)+(C39^1)*$K$60*(C39^1)+(C39^1)*$L$60*(C39^2)+(C39^2)*$J$61*(1)+(C39^2)*$K$61*(C39^1)+(C39^2)*$L$61*(C39^2)))</x:f>
        <x:v>162.00554091137948</x:v>
      </x:c>
      <x:c r="F39" s="7" t="n">
        <x:f>IF($A39="","",D39-1.9602401251089576*E39)</x:f>
        <x:v>-199.1797698454909</x:v>
      </x:c>
      <x:c r="G39" s="7" t="n">
        <x:f>IF($A39="","",D39+1.9602401251089576*E39)</x:f>
        <x:v>435.9597537234429</x:v>
      </x:c>
      <x:c r="H39" s="7" t="n">
        <x:f>IF($A39="","",161.91559342174727*SQRT((1)*$J$59*(1)+(1)*$K$59*(C39^1)+(1)*$L$59*(C39^2)+(C39^1)*$J$60*(1)+(C39^1)*$K$60*(C39^1)+(C39^1)*$L$60*(C39^2)+(C39^2)*$J$61*(1)+(C39^2)*$K$61*(C39^1)+(C39^2)*$L$61*(C39^2)))</x:f>
        <x:v>5.397767396996272</x:v>
      </x:c>
      <x:c r="I39" s="3"/>
      <x:c r="J39" s="9" t="n">
        <x:v>46225</x:v>
      </x:c>
      <x:c r="K39" s="7" t="n">
        <x:v>311</x:v>
      </x:c>
      <x:c r="L39" s="7" t="n">
        <x:f>$E$4+$E$5*(2*(J39-37257)/('Сводка'!$B$7-37257)-1)^1+$E$6*(2*(J39-37257)/('Сводка'!$B$7-37257)-1)^2</x:f>
        <x:v>114.09250770946079</x:v>
      </x:c>
      <x:c r="M39" s="7" t="n">
        <x:f>K39-L39</x:f>
        <x:v>196.9074922905392</x:v>
      </x:c>
      <x:c r="N39" s="7" t="n">
        <x:f>ABS(M39)</x:f>
        <x:v>196.9074922905392</x:v>
      </x:c>
      <x:c r="O39" s="3"/>
      <x:c r="P39" s="3"/>
      <x:c r="Q39" s="3"/>
    </x:row>
    <x:row r="40" ht="15" customHeight="1">
      <x:c r="A40" s="9" t="n">
        <x:f>IF(30&lt;='Сводка'!$B$3,'Сводка'!$B$4+30,"")</x:f>
        <x:v>46265</x:v>
      </x:c>
      <x:c r="B40" s="18" t="n">
        <x:f>IF($A40="","",(A40-37257+1)/1000)</x:f>
        <x:v>9.009</x:v>
      </x:c>
      <x:c r="C40" s="18" t="n">
        <x:f>IF($A40="","",2*(A40-37257)/8978-1)</x:f>
        <x:v>1.0066830028959681</x:v>
      </x:c>
      <x:c r="D40" s="7" t="n">
        <x:f>IF($A40="","",$B$4+$B$5*C40^1+$B$6*C40^2)</x:f>
        <x:v>118.38068619043094</x:v>
      </x:c>
      <x:c r="E40" s="7" t="n">
        <x:f>IF($A40="","",161.91559342174727*SQRT(1+(1)*$J$59*(1)+(1)*$K$59*(C40^1)+(1)*$L$59*(C40^2)+(C40^1)*$J$60*(1)+(C40^1)*$K$60*(C40^1)+(C40^1)*$L$60*(C40^2)+(C40^2)*$J$61*(1)+(C40^2)*$K$61*(C40^1)+(C40^2)*$L$61*(C40^2)))</x:f>
        <x:v>162.0056192829343</x:v>
      </x:c>
      <x:c r="F40" s="7" t="n">
        <x:f>IF($A40="","",D40-1.9602401251089576*E40)</x:f>
        <x:v>-199.18922922110238</x:v>
      </x:c>
      <x:c r="G40" s="7" t="n">
        <x:f>IF($A40="","",D40+1.9602401251089576*E40)</x:f>
        <x:v>435.95060160196425</x:v>
      </x:c>
      <x:c r="H40" s="7" t="n">
        <x:f>IF($A40="","",161.91559342174727*SQRT((1)*$J$59*(1)+(1)*$K$59*(C40^1)+(1)*$L$59*(C40^2)+(C40^1)*$J$60*(1)+(C40^1)*$K$60*(C40^1)+(C40^1)*$L$60*(C40^2)+(C40^2)*$J$61*(1)+(C40^2)*$K$61*(C40^1)+(C40^2)*$L$61*(C40^2)))</x:f>
        <x:v>5.400119084843549</x:v>
      </x:c>
      <x:c r="I40" s="3"/>
      <x:c r="J40" s="9" t="n">
        <x:v>46226</x:v>
      </x:c>
      <x:c r="K40" s="7" t="n">
        <x:v>328</x:v>
      </x:c>
      <x:c r="L40" s="7" t="n">
        <x:f>$E$4+$E$5*(2*(J40-37257)/('Сводка'!$B$7-37257)-1)^1+$E$6*(2*(J40-37257)/('Сводка'!$B$7-37257)-1)^2</x:f>
        <x:v>114.08142827656337</x:v>
      </x:c>
      <x:c r="M40" s="7" t="n">
        <x:f>K40-L40</x:f>
        <x:v>213.91857172343663</x:v>
      </x:c>
      <x:c r="N40" s="7" t="n">
        <x:f>ABS(M40)</x:f>
        <x:v>213.91857172343663</x:v>
      </x:c>
      <x:c r="O40" s="3"/>
      <x:c r="P40" s="3"/>
      <x:c r="Q40" s="3"/>
    </x:row>
    <x:row r="41" ht="15" customHeight="1">
      <x:c r="A41" s="5" t="str">
        <x:f>IF(31&lt;='Сводка'!$B$3,'Сводка'!$B$4+31,"")</x:f>
      </x:c>
      <x:c r="B41" s="19" t="str">
        <x:f>IF($A41="","",(A41-37257+1)/1000)</x:f>
      </x:c>
      <x:c r="C41" s="19" t="str">
        <x:f>IF($A41="","",2*(A41-37257)/8978-1)</x:f>
      </x:c>
      <x:c r="D41" s="3" t="str">
        <x:f>IF($A41="","",$B$4+$B$5*C41^1+$B$6*C41^2)</x:f>
      </x:c>
      <x:c r="E41" s="3" t="str">
        <x:f>IF($A41="","",161.91559342174727*SQRT(1+(1)*$J$59*(1)+(1)*$K$59*(C41^1)+(1)*$L$59*(C41^2)+(C41^1)*$J$60*(1)+(C41^1)*$K$60*(C41^1)+(C41^1)*$L$60*(C41^2)+(C41^2)*$J$61*(1)+(C41^2)*$K$61*(C41^1)+(C41^2)*$L$61*(C41^2)))</x:f>
      </x:c>
      <x:c r="F41" s="3" t="str">
        <x:f>IF($A41="","",D41-1.9602401251089576*E41)</x:f>
      </x:c>
      <x:c r="G41" s="3" t="str">
        <x:f>IF($A41="","",D41+1.9602401251089576*E41)</x:f>
      </x:c>
      <x:c r="H41" s="3" t="str">
        <x:f>IF($A41="","",161.91559342174727*SQRT((1)*$J$59*(1)+(1)*$K$59*(C41^1)+(1)*$L$59*(C41^2)+(C41^1)*$J$60*(1)+(C41^1)*$K$60*(C41^1)+(C41^1)*$L$60*(C41^2)+(C41^2)*$J$61*(1)+(C41^2)*$K$61*(C41^1)+(C41^2)*$L$61*(C41^2)))</x:f>
      </x:c>
      <x:c r="I41" s="3"/>
      <x:c r="J41" s="9" t="n">
        <x:v>46227</x:v>
      </x:c>
      <x:c r="K41" s="7" t="n">
        <x:v>340</x:v>
      </x:c>
      <x:c r="L41" s="7" t="n">
        <x:f>$E$4+$E$5*(2*(J41-37257)/('Сводка'!$B$7-37257)-1)^1+$E$6*(2*(J41-37257)/('Сводка'!$B$7-37257)-1)^2</x:f>
        <x:v>114.070341717215</x:v>
      </x:c>
      <x:c r="M41" s="7" t="n">
        <x:f>K41-L41</x:f>
        <x:v>225.929658282785</x:v>
      </x:c>
      <x:c r="N41" s="7" t="n">
        <x:f>ABS(M41)</x:f>
        <x:v>225.929658282785</x:v>
      </x:c>
      <x:c r="O41" s="3"/>
      <x:c r="P41" s="3"/>
      <x:c r="Q41" s="3"/>
    </x:row>
    <x:row r="42" ht="15" customHeight="1">
      <x:c r="A42" s="5" t="str">
        <x:f>IF(32&lt;='Сводка'!$B$3,'Сводка'!$B$4+32,"")</x:f>
      </x:c>
      <x:c r="B42" s="19" t="str">
        <x:f>IF($A42="","",(A42-37257+1)/1000)</x:f>
      </x:c>
      <x:c r="C42" s="19" t="str">
        <x:f>IF($A42="","",2*(A42-37257)/8978-1)</x:f>
      </x:c>
      <x:c r="D42" s="3" t="str">
        <x:f>IF($A42="","",$B$4+$B$5*C42^1+$B$6*C42^2)</x:f>
      </x:c>
      <x:c r="E42" s="3" t="str">
        <x:f>IF($A42="","",161.91559342174727*SQRT(1+(1)*$J$59*(1)+(1)*$K$59*(C42^1)+(1)*$L$59*(C42^2)+(C42^1)*$J$60*(1)+(C42^1)*$K$60*(C42^1)+(C42^1)*$L$60*(C42^2)+(C42^2)*$J$61*(1)+(C42^2)*$K$61*(C42^1)+(C42^2)*$L$61*(C42^2)))</x:f>
      </x:c>
      <x:c r="F42" s="3" t="str">
        <x:f>IF($A42="","",D42-1.9602401251089576*E42)</x:f>
      </x:c>
      <x:c r="G42" s="3" t="str">
        <x:f>IF($A42="","",D42+1.9602401251089576*E42)</x:f>
      </x:c>
      <x:c r="H42" s="3" t="str">
        <x:f>IF($A42="","",161.91559342174727*SQRT((1)*$J$59*(1)+(1)*$K$59*(C42^1)+(1)*$L$59*(C42^2)+(C42^1)*$J$60*(1)+(C42^1)*$K$60*(C42^1)+(C42^1)*$L$60*(C42^2)+(C42^2)*$J$61*(1)+(C42^2)*$K$61*(C42^1)+(C42^2)*$L$61*(C42^2)))</x:f>
      </x:c>
      <x:c r="I42" s="3"/>
      <x:c r="J42" s="9" t="n">
        <x:v>46228</x:v>
      </x:c>
      <x:c r="K42" s="7" t="n">
        <x:v>350</x:v>
      </x:c>
      <x:c r="L42" s="7" t="n">
        <x:f>$E$4+$E$5*(2*(J42-37257)/('Сводка'!$B$7-37257)-1)^1+$E$6*(2*(J42-37257)/('Сводка'!$B$7-37257)-1)^2</x:f>
        <x:v>114.05924803141556</x:v>
      </x:c>
      <x:c r="M42" s="7" t="n">
        <x:f>K42-L42</x:f>
        <x:v>235.94075196858444</x:v>
      </x:c>
      <x:c r="N42" s="7" t="n">
        <x:f>ABS(M42)</x:f>
        <x:v>235.94075196858444</x:v>
      </x:c>
      <x:c r="O42" s="3"/>
      <x:c r="P42" s="3"/>
      <x:c r="Q42" s="3"/>
    </x:row>
    <x:row r="43" ht="15" customHeight="1">
      <x:c r="A43" s="5" t="str">
        <x:f>IF(33&lt;='Сводка'!$B$3,'Сводка'!$B$4+33,"")</x:f>
      </x:c>
      <x:c r="B43" s="19" t="str">
        <x:f>IF($A43="","",(A43-37257+1)/1000)</x:f>
      </x:c>
      <x:c r="C43" s="19" t="str">
        <x:f>IF($A43="","",2*(A43-37257)/8978-1)</x:f>
      </x:c>
      <x:c r="D43" s="3" t="str">
        <x:f>IF($A43="","",$B$4+$B$5*C43^1+$B$6*C43^2)</x:f>
      </x:c>
      <x:c r="E43" s="3" t="str">
        <x:f>IF($A43="","",161.91559342174727*SQRT(1+(1)*$J$59*(1)+(1)*$K$59*(C43^1)+(1)*$L$59*(C43^2)+(C43^1)*$J$60*(1)+(C43^1)*$K$60*(C43^1)+(C43^1)*$L$60*(C43^2)+(C43^2)*$J$61*(1)+(C43^2)*$K$61*(C43^1)+(C43^2)*$L$61*(C43^2)))</x:f>
      </x:c>
      <x:c r="F43" s="3" t="str">
        <x:f>IF($A43="","",D43-1.9602401251089576*E43)</x:f>
      </x:c>
      <x:c r="G43" s="3" t="str">
        <x:f>IF($A43="","",D43+1.9602401251089576*E43)</x:f>
      </x:c>
      <x:c r="H43" s="3" t="str">
        <x:f>IF($A43="","",161.91559342174727*SQRT((1)*$J$59*(1)+(1)*$K$59*(C43^1)+(1)*$L$59*(C43^2)+(C43^1)*$J$60*(1)+(C43^1)*$K$60*(C43^1)+(C43^1)*$L$60*(C43^2)+(C43^2)*$J$61*(1)+(C43^2)*$K$61*(C43^1)+(C43^2)*$L$61*(C43^2)))</x:f>
      </x:c>
      <x:c r="I43" s="3"/>
      <x:c r="J43" s="9" t="n">
        <x:v>46229</x:v>
      </x:c>
      <x:c r="K43" s="7" t="n">
        <x:v>361</x:v>
      </x:c>
      <x:c r="L43" s="7" t="n">
        <x:f>$E$4+$E$5*(2*(J43-37257)/('Сводка'!$B$7-37257)-1)^1+$E$6*(2*(J43-37257)/('Сводка'!$B$7-37257)-1)^2</x:f>
        <x:v>114.04814721916516</x:v>
      </x:c>
      <x:c r="M43" s="7" t="n">
        <x:f>K43-L43</x:f>
        <x:v>246.95185278083483</x:v>
      </x:c>
      <x:c r="N43" s="7" t="n">
        <x:f>ABS(M43)</x:f>
        <x:v>246.95185278083483</x:v>
      </x:c>
      <x:c r="O43" s="3"/>
      <x:c r="P43" s="3"/>
      <x:c r="Q43" s="3"/>
    </x:row>
    <x:row r="44" ht="15" customHeight="1">
      <x:c r="A44" s="5" t="str">
        <x:f>IF(34&lt;='Сводка'!$B$3,'Сводка'!$B$4+34,"")</x:f>
      </x:c>
      <x:c r="B44" s="19" t="str">
        <x:f>IF($A44="","",(A44-37257+1)/1000)</x:f>
      </x:c>
      <x:c r="C44" s="19" t="str">
        <x:f>IF($A44="","",2*(A44-37257)/8978-1)</x:f>
      </x:c>
      <x:c r="D44" s="3" t="str">
        <x:f>IF($A44="","",$B$4+$B$5*C44^1+$B$6*C44^2)</x:f>
      </x:c>
      <x:c r="E44" s="3" t="str">
        <x:f>IF($A44="","",161.91559342174727*SQRT(1+(1)*$J$59*(1)+(1)*$K$59*(C44^1)+(1)*$L$59*(C44^2)+(C44^1)*$J$60*(1)+(C44^1)*$K$60*(C44^1)+(C44^1)*$L$60*(C44^2)+(C44^2)*$J$61*(1)+(C44^2)*$K$61*(C44^1)+(C44^2)*$L$61*(C44^2)))</x:f>
      </x:c>
      <x:c r="F44" s="3" t="str">
        <x:f>IF($A44="","",D44-1.9602401251089576*E44)</x:f>
      </x:c>
      <x:c r="G44" s="3" t="str">
        <x:f>IF($A44="","",D44+1.9602401251089576*E44)</x:f>
      </x:c>
      <x:c r="H44" s="3" t="str">
        <x:f>IF($A44="","",161.91559342174727*SQRT((1)*$J$59*(1)+(1)*$K$59*(C44^1)+(1)*$L$59*(C44^2)+(C44^1)*$J$60*(1)+(C44^1)*$K$60*(C44^1)+(C44^1)*$L$60*(C44^2)+(C44^2)*$J$61*(1)+(C44^2)*$K$61*(C44^1)+(C44^2)*$L$61*(C44^2)))</x:f>
      </x:c>
      <x:c r="I44" s="3"/>
      <x:c r="J44" s="9" t="n">
        <x:v>46230</x:v>
      </x:c>
      <x:c r="K44" s="7" t="n">
        <x:v>369</x:v>
      </x:c>
      <x:c r="L44" s="7" t="n">
        <x:f>$E$4+$E$5*(2*(J44-37257)/('Сводка'!$B$7-37257)-1)^1+$E$6*(2*(J44-37257)/('Сводка'!$B$7-37257)-1)^2</x:f>
        <x:v>114.0370392804637</x:v>
      </x:c>
      <x:c r="M44" s="7" t="n">
        <x:f>K44-L44</x:f>
        <x:v>254.96296071953628</x:v>
      </x:c>
      <x:c r="N44" s="7" t="n">
        <x:f>ABS(M44)</x:f>
        <x:v>254.96296071953628</x:v>
      </x:c>
      <x:c r="O44" s="3"/>
      <x:c r="P44" s="3"/>
      <x:c r="Q44" s="3"/>
    </x:row>
    <x:row r="45" ht="15" customHeight="1">
      <x:c r="A45" s="5" t="str">
        <x:f>IF(35&lt;='Сводка'!$B$3,'Сводка'!$B$4+35,"")</x:f>
      </x:c>
      <x:c r="B45" s="19" t="str">
        <x:f>IF($A45="","",(A45-37257+1)/1000)</x:f>
      </x:c>
      <x:c r="C45" s="19" t="str">
        <x:f>IF($A45="","",2*(A45-37257)/8978-1)</x:f>
      </x:c>
      <x:c r="D45" s="3" t="str">
        <x:f>IF($A45="","",$B$4+$B$5*C45^1+$B$6*C45^2)</x:f>
      </x:c>
      <x:c r="E45" s="3" t="str">
        <x:f>IF($A45="","",161.91559342174727*SQRT(1+(1)*$J$59*(1)+(1)*$K$59*(C45^1)+(1)*$L$59*(C45^2)+(C45^1)*$J$60*(1)+(C45^1)*$K$60*(C45^1)+(C45^1)*$L$60*(C45^2)+(C45^2)*$J$61*(1)+(C45^2)*$K$61*(C45^1)+(C45^2)*$L$61*(C45^2)))</x:f>
      </x:c>
      <x:c r="F45" s="3" t="str">
        <x:f>IF($A45="","",D45-1.9602401251089576*E45)</x:f>
      </x:c>
      <x:c r="G45" s="3" t="str">
        <x:f>IF($A45="","",D45+1.9602401251089576*E45)</x:f>
      </x:c>
      <x:c r="H45" s="3" t="str">
        <x:f>IF($A45="","",161.91559342174727*SQRT((1)*$J$59*(1)+(1)*$K$59*(C45^1)+(1)*$L$59*(C45^2)+(C45^1)*$J$60*(1)+(C45^1)*$K$60*(C45^1)+(C45^1)*$L$60*(C45^2)+(C45^2)*$J$61*(1)+(C45^2)*$K$61*(C45^1)+(C45^2)*$L$61*(C45^2)))</x:f>
      </x:c>
      <x:c r="I45" s="3"/>
      <x:c r="J45" s="9" t="n">
        <x:v>46231</x:v>
      </x:c>
      <x:c r="K45" s="7" t="n">
        <x:v>377</x:v>
      </x:c>
      <x:c r="L45" s="7" t="n">
        <x:f>$E$4+$E$5*(2*(J45-37257)/('Сводка'!$B$7-37257)-1)^1+$E$6*(2*(J45-37257)/('Сводка'!$B$7-37257)-1)^2</x:f>
        <x:v>114.02592421531126</x:v>
      </x:c>
      <x:c r="M45" s="7" t="n">
        <x:f>K45-L45</x:f>
        <x:v>262.97407578468875</x:v>
      </x:c>
      <x:c r="N45" s="7" t="n">
        <x:f>ABS(M45)</x:f>
        <x:v>262.97407578468875</x:v>
      </x:c>
      <x:c r="O45" s="3"/>
      <x:c r="P45" s="3"/>
      <x:c r="Q45" s="3"/>
    </x:row>
    <x:row r="46" ht="15" customHeight="1">
      <x:c r="A46" s="5" t="str">
        <x:f>IF(36&lt;='Сводка'!$B$3,'Сводка'!$B$4+36,"")</x:f>
      </x:c>
      <x:c r="B46" s="19" t="str">
        <x:f>IF($A46="","",(A46-37257+1)/1000)</x:f>
      </x:c>
      <x:c r="C46" s="19" t="str">
        <x:f>IF($A46="","",2*(A46-37257)/8978-1)</x:f>
      </x:c>
      <x:c r="D46" s="3" t="str">
        <x:f>IF($A46="","",$B$4+$B$5*C46^1+$B$6*C46^2)</x:f>
      </x:c>
      <x:c r="E46" s="3" t="str">
        <x:f>IF($A46="","",161.91559342174727*SQRT(1+(1)*$J$59*(1)+(1)*$K$59*(C46^1)+(1)*$L$59*(C46^2)+(C46^1)*$J$60*(1)+(C46^1)*$K$60*(C46^1)+(C46^1)*$L$60*(C46^2)+(C46^2)*$J$61*(1)+(C46^2)*$K$61*(C46^1)+(C46^2)*$L$61*(C46^2)))</x:f>
      </x:c>
      <x:c r="F46" s="3" t="str">
        <x:f>IF($A46="","",D46-1.9602401251089576*E46)</x:f>
      </x:c>
      <x:c r="G46" s="3" t="str">
        <x:f>IF($A46="","",D46+1.9602401251089576*E46)</x:f>
      </x:c>
      <x:c r="H46" s="3" t="str">
        <x:f>IF($A46="","",161.91559342174727*SQRT((1)*$J$59*(1)+(1)*$K$59*(C46^1)+(1)*$L$59*(C46^2)+(C46^1)*$J$60*(1)+(C46^1)*$K$60*(C46^1)+(C46^1)*$L$60*(C46^2)+(C46^2)*$J$61*(1)+(C46^2)*$K$61*(C46^1)+(C46^2)*$L$61*(C46^2)))</x:f>
      </x:c>
      <x:c r="I46" s="3"/>
      <x:c r="J46" s="9" t="n">
        <x:v>46232</x:v>
      </x:c>
      <x:c r="K46" s="7" t="n">
        <x:v>385</x:v>
      </x:c>
      <x:c r="L46" s="7" t="n">
        <x:f>$E$4+$E$5*(2*(J46-37257)/('Сводка'!$B$7-37257)-1)^1+$E$6*(2*(J46-37257)/('Сводка'!$B$7-37257)-1)^2</x:f>
        <x:v>114.01480202370782</x:v>
      </x:c>
      <x:c r="M46" s="7" t="n">
        <x:f>K46-L46</x:f>
        <x:v>270.98519797629217</x:v>
      </x:c>
      <x:c r="N46" s="7" t="n">
        <x:f>ABS(M46)</x:f>
        <x:v>270.98519797629217</x:v>
      </x:c>
      <x:c r="O46" s="3"/>
      <x:c r="P46" s="3"/>
      <x:c r="Q46" s="3"/>
    </x:row>
    <x:row r="47" ht="15" customHeight="1">
      <x:c r="A47" s="5" t="str">
        <x:f>IF(37&lt;='Сводка'!$B$3,'Сводка'!$B$4+37,"")</x:f>
      </x:c>
      <x:c r="B47" s="19" t="str">
        <x:f>IF($A47="","",(A47-37257+1)/1000)</x:f>
      </x:c>
      <x:c r="C47" s="19" t="str">
        <x:f>IF($A47="","",2*(A47-37257)/8978-1)</x:f>
      </x:c>
      <x:c r="D47" s="3" t="str">
        <x:f>IF($A47="","",$B$4+$B$5*C47^1+$B$6*C47^2)</x:f>
      </x:c>
      <x:c r="E47" s="3" t="str">
        <x:f>IF($A47="","",161.91559342174727*SQRT(1+(1)*$J$59*(1)+(1)*$K$59*(C47^1)+(1)*$L$59*(C47^2)+(C47^1)*$J$60*(1)+(C47^1)*$K$60*(C47^1)+(C47^1)*$L$60*(C47^2)+(C47^2)*$J$61*(1)+(C47^2)*$K$61*(C47^1)+(C47^2)*$L$61*(C47^2)))</x:f>
      </x:c>
      <x:c r="F47" s="3" t="str">
        <x:f>IF($A47="","",D47-1.9602401251089576*E47)</x:f>
      </x:c>
      <x:c r="G47" s="3" t="str">
        <x:f>IF($A47="","",D47+1.9602401251089576*E47)</x:f>
      </x:c>
      <x:c r="H47" s="3" t="str">
        <x:f>IF($A47="","",161.91559342174727*SQRT((1)*$J$59*(1)+(1)*$K$59*(C47^1)+(1)*$L$59*(C47^2)+(C47^1)*$J$60*(1)+(C47^1)*$K$60*(C47^1)+(C47^1)*$L$60*(C47^2)+(C47^2)*$J$61*(1)+(C47^2)*$K$61*(C47^1)+(C47^2)*$L$61*(C47^2)))</x:f>
      </x:c>
      <x:c r="I47" s="3"/>
      <x:c r="J47" s="9" t="n">
        <x:v>46233</x:v>
      </x:c>
      <x:c r="K47" s="7" t="n">
        <x:v>389</x:v>
      </x:c>
      <x:c r="L47" s="7" t="n">
        <x:f>$E$4+$E$5*(2*(J47-37257)/('Сводка'!$B$7-37257)-1)^1+$E$6*(2*(J47-37257)/('Сводка'!$B$7-37257)-1)^2</x:f>
        <x:v>114.00367270565337</x:v>
      </x:c>
      <x:c r="M47" s="7" t="n">
        <x:f>K47-L47</x:f>
        <x:v>274.99632729434666</x:v>
      </x:c>
      <x:c r="N47" s="7" t="n">
        <x:f>ABS(M47)</x:f>
        <x:v>274.99632729434666</x:v>
      </x:c>
      <x:c r="O47" s="3"/>
      <x:c r="P47" s="3"/>
      <x:c r="Q47" s="3"/>
    </x:row>
    <x:row r="48" ht="15" customHeight="1">
      <x:c r="A48" s="5" t="str">
        <x:f>IF(38&lt;='Сводка'!$B$3,'Сводка'!$B$4+38,"")</x:f>
      </x:c>
      <x:c r="B48" s="19" t="str">
        <x:f>IF($A48="","",(A48-37257+1)/1000)</x:f>
      </x:c>
      <x:c r="C48" s="19" t="str">
        <x:f>IF($A48="","",2*(A48-37257)/8978-1)</x:f>
      </x:c>
      <x:c r="D48" s="3" t="str">
        <x:f>IF($A48="","",$B$4+$B$5*C48^1+$B$6*C48^2)</x:f>
      </x:c>
      <x:c r="E48" s="3" t="str">
        <x:f>IF($A48="","",161.91559342174727*SQRT(1+(1)*$J$59*(1)+(1)*$K$59*(C48^1)+(1)*$L$59*(C48^2)+(C48^1)*$J$60*(1)+(C48^1)*$K$60*(C48^1)+(C48^1)*$L$60*(C48^2)+(C48^2)*$J$61*(1)+(C48^2)*$K$61*(C48^1)+(C48^2)*$L$61*(C48^2)))</x:f>
      </x:c>
      <x:c r="F48" s="3" t="str">
        <x:f>IF($A48="","",D48-1.9602401251089576*E48)</x:f>
      </x:c>
      <x:c r="G48" s="3" t="str">
        <x:f>IF($A48="","",D48+1.9602401251089576*E48)</x:f>
      </x:c>
      <x:c r="H48" s="3" t="str">
        <x:f>IF($A48="","",161.91559342174727*SQRT((1)*$J$59*(1)+(1)*$K$59*(C48^1)+(1)*$L$59*(C48^2)+(C48^1)*$J$60*(1)+(C48^1)*$K$60*(C48^1)+(C48^1)*$L$60*(C48^2)+(C48^2)*$J$61*(1)+(C48^2)*$K$61*(C48^1)+(C48^2)*$L$61*(C48^2)))</x:f>
      </x:c>
      <x:c r="I48" s="3"/>
      <x:c r="J48" s="9" t="n">
        <x:v>46234</x:v>
      </x:c>
      <x:c r="K48" s="7" t="n">
        <x:v>399</x:v>
      </x:c>
      <x:c r="L48" s="7" t="n">
        <x:f>$E$4+$E$5*(2*(J48-37257)/('Сводка'!$B$7-37257)-1)^1+$E$6*(2*(J48-37257)/('Сводка'!$B$7-37257)-1)^2</x:f>
        <x:v>113.9925362611479</x:v>
      </x:c>
      <x:c r="M48" s="7" t="n">
        <x:f>K48-L48</x:f>
        <x:v>285.0074637388521</x:v>
      </x:c>
      <x:c r="N48" s="7" t="n">
        <x:f>ABS(M48)</x:f>
        <x:v>285.0074637388521</x:v>
      </x:c>
      <x:c r="O48" s="3"/>
      <x:c r="P48" s="3"/>
      <x:c r="Q48" s="3"/>
    </x:row>
    <x:row r="49" ht="15" customHeight="1">
      <x:c r="A49" s="5" t="str">
        <x:f>IF(39&lt;='Сводка'!$B$3,'Сводка'!$B$4+39,"")</x:f>
      </x:c>
      <x:c r="B49" s="19" t="str">
        <x:f>IF($A49="","",(A49-37257+1)/1000)</x:f>
      </x:c>
      <x:c r="C49" s="19" t="str">
        <x:f>IF($A49="","",2*(A49-37257)/8978-1)</x:f>
      </x:c>
      <x:c r="D49" s="3" t="str">
        <x:f>IF($A49="","",$B$4+$B$5*C49^1+$B$6*C49^2)</x:f>
      </x:c>
      <x:c r="E49" s="3" t="str">
        <x:f>IF($A49="","",161.91559342174727*SQRT(1+(1)*$J$59*(1)+(1)*$K$59*(C49^1)+(1)*$L$59*(C49^2)+(C49^1)*$J$60*(1)+(C49^1)*$K$60*(C49^1)+(C49^1)*$L$60*(C49^2)+(C49^2)*$J$61*(1)+(C49^2)*$K$61*(C49^1)+(C49^2)*$L$61*(C49^2)))</x:f>
      </x:c>
      <x:c r="F49" s="3" t="str">
        <x:f>IF($A49="","",D49-1.9602401251089576*E49)</x:f>
      </x:c>
      <x:c r="G49" s="3" t="str">
        <x:f>IF($A49="","",D49+1.9602401251089576*E49)</x:f>
      </x:c>
      <x:c r="H49" s="3" t="str">
        <x:f>IF($A49="","",161.91559342174727*SQRT((1)*$J$59*(1)+(1)*$K$59*(C49^1)+(1)*$L$59*(C49^2)+(C49^1)*$J$60*(1)+(C49^1)*$K$60*(C49^1)+(C49^1)*$L$60*(C49^2)+(C49^2)*$J$61*(1)+(C49^2)*$K$61*(C49^1)+(C49^2)*$L$61*(C49^2)))</x:f>
      </x:c>
      <x:c r="I49" s="3"/>
      <x:c r="J49" s="9" t="n">
        <x:v>46235</x:v>
      </x:c>
      <x:c r="K49" s="7" t="n">
        <x:v>405</x:v>
      </x:c>
      <x:c r="L49" s="7" t="n">
        <x:f>$E$4+$E$5*(2*(J49-37257)/('Сводка'!$B$7-37257)-1)^1+$E$6*(2*(J49-37257)/('Сводка'!$B$7-37257)-1)^2</x:f>
        <x:v>113.98139269019138</x:v>
      </x:c>
      <x:c r="M49" s="7" t="n">
        <x:f>K49-L49</x:f>
        <x:v>291.0186073098086</x:v>
      </x:c>
      <x:c r="N49" s="7" t="n">
        <x:f>ABS(M49)</x:f>
        <x:v>291.0186073098086</x:v>
      </x:c>
      <x:c r="O49" s="3"/>
      <x:c r="P49" s="3"/>
      <x:c r="Q49" s="3"/>
    </x:row>
    <x:row r="50" ht="15" customHeight="1">
      <x:c r="A50" s="5" t="str">
        <x:f>IF(40&lt;='Сводка'!$B$3,'Сводка'!$B$4+40,"")</x:f>
      </x:c>
      <x:c r="B50" s="19" t="str">
        <x:f>IF($A50="","",(A50-37257+1)/1000)</x:f>
      </x:c>
      <x:c r="C50" s="19" t="str">
        <x:f>IF($A50="","",2*(A50-37257)/8978-1)</x:f>
      </x:c>
      <x:c r="D50" s="3" t="str">
        <x:f>IF($A50="","",$B$4+$B$5*C50^1+$B$6*C50^2)</x:f>
      </x:c>
      <x:c r="E50" s="3" t="str">
        <x:f>IF($A50="","",161.91559342174727*SQRT(1+(1)*$J$59*(1)+(1)*$K$59*(C50^1)+(1)*$L$59*(C50^2)+(C50^1)*$J$60*(1)+(C50^1)*$K$60*(C50^1)+(C50^1)*$L$60*(C50^2)+(C50^2)*$J$61*(1)+(C50^2)*$K$61*(C50^1)+(C50^2)*$L$61*(C50^2)))</x:f>
      </x:c>
      <x:c r="F50" s="3" t="str">
        <x:f>IF($A50="","",D50-1.9602401251089576*E50)</x:f>
      </x:c>
      <x:c r="G50" s="3" t="str">
        <x:f>IF($A50="","",D50+1.9602401251089576*E50)</x:f>
      </x:c>
      <x:c r="H50" s="3" t="str">
        <x:f>IF($A50="","",161.91559342174727*SQRT((1)*$J$59*(1)+(1)*$K$59*(C50^1)+(1)*$L$59*(C50^2)+(C50^1)*$J$60*(1)+(C50^1)*$K$60*(C50^1)+(C50^1)*$L$60*(C50^2)+(C50^2)*$J$61*(1)+(C50^2)*$K$61*(C50^1)+(C50^2)*$L$61*(C50^2)))</x:f>
      </x:c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customHeight="1">
      <x:c r="A51" s="5" t="str">
        <x:f>IF(41&lt;='Сводка'!$B$3,'Сводка'!$B$4+41,"")</x:f>
      </x:c>
      <x:c r="B51" s="19" t="str">
        <x:f>IF($A51="","",(A51-37257+1)/1000)</x:f>
      </x:c>
      <x:c r="C51" s="19" t="str">
        <x:f>IF($A51="","",2*(A51-37257)/8978-1)</x:f>
      </x:c>
      <x:c r="D51" s="3" t="str">
        <x:f>IF($A51="","",$B$4+$B$5*C51^1+$B$6*C51^2)</x:f>
      </x:c>
      <x:c r="E51" s="3" t="str">
        <x:f>IF($A51="","",161.91559342174727*SQRT(1+(1)*$J$59*(1)+(1)*$K$59*(C51^1)+(1)*$L$59*(C51^2)+(C51^1)*$J$60*(1)+(C51^1)*$K$60*(C51^1)+(C51^1)*$L$60*(C51^2)+(C51^2)*$J$61*(1)+(C51^2)*$K$61*(C51^1)+(C51^2)*$L$61*(C51^2)))</x:f>
      </x:c>
      <x:c r="F51" s="3" t="str">
        <x:f>IF($A51="","",D51-1.9602401251089576*E51)</x:f>
      </x:c>
      <x:c r="G51" s="3" t="str">
        <x:f>IF($A51="","",D51+1.9602401251089576*E51)</x:f>
      </x:c>
      <x:c r="H51" s="3" t="str">
        <x:f>IF($A51="","",161.91559342174727*SQRT((1)*$J$59*(1)+(1)*$K$59*(C51^1)+(1)*$L$59*(C51^2)+(C51^1)*$J$60*(1)+(C51^1)*$K$60*(C51^1)+(C51^1)*$L$60*(C51^2)+(C51^2)*$J$61*(1)+(C51^2)*$K$61*(C51^1)+(C51^2)*$L$61*(C51^2)))</x:f>
      </x:c>
      <x:c r="I51" s="3"/>
      <x:c r="J51" s="3" t="str">
        <x:v>XᵀX</x:v>
      </x:c>
      <x:c r="K51" s="3"/>
      <x:c r="L51" s="3"/>
      <x:c r="M51" s="3"/>
      <x:c r="N51" s="3"/>
      <x:c r="O51" s="3" t="str">
        <x:v>Xᵀy</x:v>
      </x:c>
      <x:c r="P51" s="3"/>
      <x:c r="Q51" s="3"/>
    </x:row>
    <x:row r="52" ht="15" customHeight="1">
      <x:c r="A52" s="5" t="str">
        <x:f>IF(42&lt;='Сводка'!$B$3,'Сводка'!$B$4+42,"")</x:f>
      </x:c>
      <x:c r="B52" s="19" t="str">
        <x:f>IF($A52="","",(A52-37257+1)/1000)</x:f>
      </x:c>
      <x:c r="C52" s="19" t="str">
        <x:f>IF($A52="","",2*(A52-37257)/8978-1)</x:f>
      </x:c>
      <x:c r="D52" s="3" t="str">
        <x:f>IF($A52="","",$B$4+$B$5*C52^1+$B$6*C52^2)</x:f>
      </x:c>
      <x:c r="E52" s="3" t="str">
        <x:f>IF($A52="","",161.91559342174727*SQRT(1+(1)*$J$59*(1)+(1)*$K$59*(C52^1)+(1)*$L$59*(C52^2)+(C52^1)*$J$60*(1)+(C52^1)*$K$60*(C52^1)+(C52^1)*$L$60*(C52^2)+(C52^2)*$J$61*(1)+(C52^2)*$K$61*(C52^1)+(C52^2)*$L$61*(C52^2)))</x:f>
      </x:c>
      <x:c r="F52" s="3" t="str">
        <x:f>IF($A52="","",D52-1.9602401251089576*E52)</x:f>
      </x:c>
      <x:c r="G52" s="3" t="str">
        <x:f>IF($A52="","",D52+1.9602401251089576*E52)</x:f>
      </x:c>
      <x:c r="H52" s="3" t="str">
        <x:f>IF($A52="","",161.91559342174727*SQRT((1)*$J$59*(1)+(1)*$K$59*(C52^1)+(1)*$L$59*(C52^2)+(C52^1)*$J$60*(1)+(C52^1)*$K$60*(C52^1)+(C52^1)*$L$60*(C52^2)+(C52^2)*$J$61*(1)+(C52^2)*$K$61*(C52^1)+(C52^2)*$L$61*(C52^2)))</x:f>
      </x:c>
      <x:c r="I52" s="3"/>
      <x:c r="J52" s="7" t="n">
        <x:v>8595</x:v>
      </x:c>
      <x:c r="K52" s="7" t="n">
        <x:v>-148.09044330585888</x:v>
      </x:c>
      <x:c r="L52" s="7" t="n">
        <x:v>2802.964105073849</x:v>
      </x:c>
      <x:c r="M52" s="3"/>
      <x:c r="N52" s="3"/>
      <x:c r="O52" s="7" t="n">
        <x:v>581827</x:v>
      </x:c>
      <x:c r="P52" s="3"/>
      <x:c r="Q52" s="3"/>
    </x:row>
    <x:row r="53" ht="15" customHeight="1">
      <x:c r="A53" s="5" t="str">
        <x:f>IF(43&lt;='Сводка'!$B$3,'Сводка'!$B$4+43,"")</x:f>
      </x:c>
      <x:c r="B53" s="19" t="str">
        <x:f>IF($A53="","",(A53-37257+1)/1000)</x:f>
      </x:c>
      <x:c r="C53" s="19" t="str">
        <x:f>IF($A53="","",2*(A53-37257)/8978-1)</x:f>
      </x:c>
      <x:c r="D53" s="3" t="str">
        <x:f>IF($A53="","",$B$4+$B$5*C53^1+$B$6*C53^2)</x:f>
      </x:c>
      <x:c r="E53" s="3" t="str">
        <x:f>IF($A53="","",161.91559342174727*SQRT(1+(1)*$J$59*(1)+(1)*$K$59*(C53^1)+(1)*$L$59*(C53^2)+(C53^1)*$J$60*(1)+(C53^1)*$K$60*(C53^1)+(C53^1)*$L$60*(C53^2)+(C53^2)*$J$61*(1)+(C53^2)*$K$61*(C53^1)+(C53^2)*$L$61*(C53^2)))</x:f>
      </x:c>
      <x:c r="F53" s="3" t="str">
        <x:f>IF($A53="","",D53-1.9602401251089576*E53)</x:f>
      </x:c>
      <x:c r="G53" s="3" t="str">
        <x:f>IF($A53="","",D53+1.9602401251089576*E53)</x:f>
      </x:c>
      <x:c r="H53" s="3" t="str">
        <x:f>IF($A53="","",161.91559342174727*SQRT((1)*$J$59*(1)+(1)*$K$59*(C53^1)+(1)*$L$59*(C53^2)+(C53^1)*$J$60*(1)+(C53^1)*$K$60*(C53^1)+(C53^1)*$L$60*(C53^2)+(C53^2)*$J$61*(1)+(C53^2)*$K$61*(C53^1)+(C53^2)*$L$61*(C53^2)))</x:f>
      </x:c>
      <x:c r="I53" s="3"/>
      <x:c r="J53" s="7" t="n">
        <x:v>-148.09044330585888</x:v>
      </x:c>
      <x:c r="K53" s="7" t="n">
        <x:v>2802.964105073849</x:v>
      </x:c>
      <x:c r="L53" s="7" t="n">
        <x:v>-66.61428481971063</x:v>
      </x:c>
      <x:c r="M53" s="3"/>
      <x:c r="N53" s="3"/>
      <x:c r="O53" s="7" t="n">
        <x:v>257713.17308977508</x:v>
      </x:c>
      <x:c r="P53" s="3"/>
      <x:c r="Q53" s="3"/>
    </x:row>
    <x:row r="54" ht="15" customHeight="1">
      <x:c r="A54" s="5" t="str">
        <x:f>IF(44&lt;='Сводка'!$B$3,'Сводка'!$B$4+44,"")</x:f>
      </x:c>
      <x:c r="B54" s="19" t="str">
        <x:f>IF($A54="","",(A54-37257+1)/1000)</x:f>
      </x:c>
      <x:c r="C54" s="19" t="str">
        <x:f>IF($A54="","",2*(A54-37257)/8978-1)</x:f>
      </x:c>
      <x:c r="D54" s="3" t="str">
        <x:f>IF($A54="","",$B$4+$B$5*C54^1+$B$6*C54^2)</x:f>
      </x:c>
      <x:c r="E54" s="3" t="str">
        <x:f>IF($A54="","",161.91559342174727*SQRT(1+(1)*$J$59*(1)+(1)*$K$59*(C54^1)+(1)*$L$59*(C54^2)+(C54^1)*$J$60*(1)+(C54^1)*$K$60*(C54^1)+(C54^1)*$L$60*(C54^2)+(C54^2)*$J$61*(1)+(C54^2)*$K$61*(C54^1)+(C54^2)*$L$61*(C54^2)))</x:f>
      </x:c>
      <x:c r="F54" s="3" t="str">
        <x:f>IF($A54="","",D54-1.9602401251089576*E54)</x:f>
      </x:c>
      <x:c r="G54" s="3" t="str">
        <x:f>IF($A54="","",D54+1.9602401251089576*E54)</x:f>
      </x:c>
      <x:c r="H54" s="3" t="str">
        <x:f>IF($A54="","",161.91559342174727*SQRT((1)*$J$59*(1)+(1)*$K$59*(C54^1)+(1)*$L$59*(C54^2)+(C54^1)*$J$60*(1)+(C54^1)*$K$60*(C54^1)+(C54^1)*$L$60*(C54^2)+(C54^2)*$J$61*(1)+(C54^2)*$K$61*(C54^1)+(C54^2)*$L$61*(C54^2)))</x:f>
      </x:c>
      <x:c r="I54" s="3"/>
      <x:c r="J54" s="7" t="n">
        <x:v>2802.964105073849</x:v>
      </x:c>
      <x:c r="K54" s="7" t="n">
        <x:v>-66.61428481971063</x:v>
      </x:c>
      <x:c r="L54" s="7" t="n">
        <x:v>1689.0282758735536</x:v>
      </x:c>
      <x:c r="M54" s="3"/>
      <x:c r="N54" s="3"/>
      <x:c r="O54" s="7" t="n">
        <x:v>135287.85977971184</x:v>
      </x:c>
      <x:c r="P54" s="3"/>
      <x:c r="Q54" s="3"/>
    </x:row>
    <x:row r="55" ht="15" customHeight="1">
      <x:c r="A55" s="5" t="str">
        <x:f>IF(45&lt;='Сводка'!$B$3,'Сводка'!$B$4+45,"")</x:f>
      </x:c>
      <x:c r="B55" s="19" t="str">
        <x:f>IF($A55="","",(A55-37257+1)/1000)</x:f>
      </x:c>
      <x:c r="C55" s="19" t="str">
        <x:f>IF($A55="","",2*(A55-37257)/8978-1)</x:f>
      </x:c>
      <x:c r="D55" s="3" t="str">
        <x:f>IF($A55="","",$B$4+$B$5*C55^1+$B$6*C55^2)</x:f>
      </x:c>
      <x:c r="E55" s="3" t="str">
        <x:f>IF($A55="","",161.91559342174727*SQRT(1+(1)*$J$59*(1)+(1)*$K$59*(C55^1)+(1)*$L$59*(C55^2)+(C55^1)*$J$60*(1)+(C55^1)*$K$60*(C55^1)+(C55^1)*$L$60*(C55^2)+(C55^2)*$J$61*(1)+(C55^2)*$K$61*(C55^1)+(C55^2)*$L$61*(C55^2)))</x:f>
      </x:c>
      <x:c r="F55" s="3" t="str">
        <x:f>IF($A55="","",D55-1.9602401251089576*E55)</x:f>
      </x:c>
      <x:c r="G55" s="3" t="str">
        <x:f>IF($A55="","",D55+1.9602401251089576*E55)</x:f>
      </x:c>
      <x:c r="H55" s="3" t="str">
        <x:f>IF($A55="","",161.91559342174727*SQRT((1)*$J$59*(1)+(1)*$K$59*(C55^1)+(1)*$L$59*(C55^2)+(C55^1)*$J$60*(1)+(C55^1)*$K$60*(C55^1)+(C55^1)*$L$60*(C55^2)+(C55^2)*$J$61*(1)+(C55^2)*$K$61*(C55^1)+(C55^2)*$L$61*(C55^2)))</x:f>
      </x:c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15" customHeight="1">
      <x:c r="A56" s="5" t="str">
        <x:f>IF(46&lt;='Сводка'!$B$3,'Сводка'!$B$4+46,"")</x:f>
      </x:c>
      <x:c r="B56" s="19" t="str">
        <x:f>IF($A56="","",(A56-37257+1)/1000)</x:f>
      </x:c>
      <x:c r="C56" s="19" t="str">
        <x:f>IF($A56="","",2*(A56-37257)/8978-1)</x:f>
      </x:c>
      <x:c r="D56" s="3" t="str">
        <x:f>IF($A56="","",$B$4+$B$5*C56^1+$B$6*C56^2)</x:f>
      </x:c>
      <x:c r="E56" s="3" t="str">
        <x:f>IF($A56="","",161.91559342174727*SQRT(1+(1)*$J$59*(1)+(1)*$K$59*(C56^1)+(1)*$L$59*(C56^2)+(C56^1)*$J$60*(1)+(C56^1)*$K$60*(C56^1)+(C56^1)*$L$60*(C56^2)+(C56^2)*$J$61*(1)+(C56^2)*$K$61*(C56^1)+(C56^2)*$L$61*(C56^2)))</x:f>
      </x:c>
      <x:c r="F56" s="3" t="str">
        <x:f>IF($A56="","",D56-1.9602401251089576*E56)</x:f>
      </x:c>
      <x:c r="G56" s="3" t="str">
        <x:f>IF($A56="","",D56+1.9602401251089576*E56)</x:f>
      </x:c>
      <x:c r="H56" s="3" t="str">
        <x:f>IF($A56="","",161.91559342174727*SQRT((1)*$J$59*(1)+(1)*$K$59*(C56^1)+(1)*$L$59*(C56^2)+(C56^1)*$J$60*(1)+(C56^1)*$K$60*(C56^1)+(C56^1)*$L$60*(C56^2)+(C56^2)*$J$61*(1)+(C56^2)*$K$61*(C56^1)+(C56^2)*$L$61*(C56^2)))</x:f>
      </x:c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customHeight="1">
      <x:c r="A57" s="5" t="str">
        <x:f>IF(47&lt;='Сводка'!$B$3,'Сводка'!$B$4+47,"")</x:f>
      </x:c>
      <x:c r="B57" s="19" t="str">
        <x:f>IF($A57="","",(A57-37257+1)/1000)</x:f>
      </x:c>
      <x:c r="C57" s="19" t="str">
        <x:f>IF($A57="","",2*(A57-37257)/8978-1)</x:f>
      </x:c>
      <x:c r="D57" s="3" t="str">
        <x:f>IF($A57="","",$B$4+$B$5*C57^1+$B$6*C57^2)</x:f>
      </x:c>
      <x:c r="E57" s="3" t="str">
        <x:f>IF($A57="","",161.91559342174727*SQRT(1+(1)*$J$59*(1)+(1)*$K$59*(C57^1)+(1)*$L$59*(C57^2)+(C57^1)*$J$60*(1)+(C57^1)*$K$60*(C57^1)+(C57^1)*$L$60*(C57^2)+(C57^2)*$J$61*(1)+(C57^2)*$K$61*(C57^1)+(C57^2)*$L$61*(C57^2)))</x:f>
      </x:c>
      <x:c r="F57" s="3" t="str">
        <x:f>IF($A57="","",D57-1.9602401251089576*E57)</x:f>
      </x:c>
      <x:c r="G57" s="3" t="str">
        <x:f>IF($A57="","",D57+1.9602401251089576*E57)</x:f>
      </x:c>
      <x:c r="H57" s="3" t="str">
        <x:f>IF($A57="","",161.91559342174727*SQRT((1)*$J$59*(1)+(1)*$K$59*(C57^1)+(1)*$L$59*(C57^2)+(C57^1)*$J$60*(1)+(C57^1)*$K$60*(C57^1)+(C57^1)*$L$60*(C57^2)+(C57^2)*$J$61*(1)+(C57^2)*$K$61*(C57^1)+(C57^2)*$L$61*(C57^2)))</x:f>
      </x:c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customHeight="1">
      <x:c r="A58" s="5" t="str">
        <x:f>IF(48&lt;='Сводка'!$B$3,'Сводка'!$B$4+48,"")</x:f>
      </x:c>
      <x:c r="B58" s="19" t="str">
        <x:f>IF($A58="","",(A58-37257+1)/1000)</x:f>
      </x:c>
      <x:c r="C58" s="19" t="str">
        <x:f>IF($A58="","",2*(A58-37257)/8978-1)</x:f>
      </x:c>
      <x:c r="D58" s="3" t="str">
        <x:f>IF($A58="","",$B$4+$B$5*C58^1+$B$6*C58^2)</x:f>
      </x:c>
      <x:c r="E58" s="3" t="str">
        <x:f>IF($A58="","",161.91559342174727*SQRT(1+(1)*$J$59*(1)+(1)*$K$59*(C58^1)+(1)*$L$59*(C58^2)+(C58^1)*$J$60*(1)+(C58^1)*$K$60*(C58^1)+(C58^1)*$L$60*(C58^2)+(C58^2)*$J$61*(1)+(C58^2)*$K$61*(C58^1)+(C58^2)*$L$61*(C58^2)))</x:f>
      </x:c>
      <x:c r="F58" s="3" t="str">
        <x:f>IF($A58="","",D58-1.9602401251089576*E58)</x:f>
      </x:c>
      <x:c r="G58" s="3" t="str">
        <x:f>IF($A58="","",D58+1.9602401251089576*E58)</x:f>
      </x:c>
      <x:c r="H58" s="3" t="str">
        <x:f>IF($A58="","",161.91559342174727*SQRT((1)*$J$59*(1)+(1)*$K$59*(C58^1)+(1)*$L$59*(C58^2)+(C58^1)*$J$60*(1)+(C58^1)*$K$60*(C58^1)+(C58^1)*$L$60*(C58^2)+(C58^2)*$J$61*(1)+(C58^2)*$K$61*(C58^1)+(C58^2)*$L$61*(C58^2)))</x:f>
      </x:c>
      <x:c r="I58" s="3"/>
      <x:c r="J58" s="3" t="str">
        <x:v>(XᵀX)⁻¹</x:v>
      </x:c>
      <x:c r="K58" s="3"/>
      <x:c r="L58" s="3"/>
      <x:c r="M58" s="3"/>
      <x:c r="N58" s="3"/>
      <x:c r="O58" s="3" t="str">
        <x:v>det</x:v>
      </x:c>
      <x:c r="P58" s="3"/>
      <x:c r="Q58" s="3"/>
    </x:row>
    <x:row r="59" ht="15" customHeight="1">
      <x:c r="A59" s="5" t="str">
        <x:f>IF(49&lt;='Сводка'!$B$3,'Сводка'!$B$4+49,"")</x:f>
      </x:c>
      <x:c r="B59" s="19" t="str">
        <x:f>IF($A59="","",(A59-37257+1)/1000)</x:f>
      </x:c>
      <x:c r="C59" s="19" t="str">
        <x:f>IF($A59="","",2*(A59-37257)/8978-1)</x:f>
      </x:c>
      <x:c r="D59" s="3" t="str">
        <x:f>IF($A59="","",$B$4+$B$5*C59^1+$B$6*C59^2)</x:f>
      </x:c>
      <x:c r="E59" s="3" t="str">
        <x:f>IF($A59="","",161.91559342174727*SQRT(1+(1)*$J$59*(1)+(1)*$K$59*(C59^1)+(1)*$L$59*(C59^2)+(C59^1)*$J$60*(1)+(C59^1)*$K$60*(C59^1)+(C59^1)*$L$60*(C59^2)+(C59^2)*$J$61*(1)+(C59^2)*$K$61*(C59^1)+(C59^2)*$L$61*(C59^2)))</x:f>
      </x:c>
      <x:c r="F59" s="3" t="str">
        <x:f>IF($A59="","",D59-1.9602401251089576*E59)</x:f>
      </x:c>
      <x:c r="G59" s="3" t="str">
        <x:f>IF($A59="","",D59+1.9602401251089576*E59)</x:f>
      </x:c>
      <x:c r="H59" s="3" t="str">
        <x:f>IF($A59="","",161.91559342174727*SQRT((1)*$J$59*(1)+(1)*$K$59*(C59^1)+(1)*$L$59*(C59^2)+(C59^1)*$J$60*(1)+(C59^1)*$K$60*(C59^1)+(C59^1)*$L$60*(C59^2)+(C59^2)*$J$61*(1)+(C59^2)*$K$61*(C59^1)+(C59^2)*$L$61*(C59^2)))</x:f>
      </x:c>
      <x:c r="I59" s="3"/>
      <x:c r="J59" s="7" t="n">
        <x:f>($K$53*$L$54-$L$53*$K$54)/$O$59</x:f>
        <x:v>0.000253617745653245</x:v>
      </x:c>
      <x:c r="K59" s="7" t="n">
        <x:f>-($K$52*$L$54-$L$52*$K$54)/$O$59</x:f>
        <x:v>0.000003400168530577572</x:v>
      </x:c>
      <x:c r="L59" s="7" t="n">
        <x:f>($K$52*$L$53-$L$52*$K$53)/$O$59</x:f>
        <x:v>-0.00042074780383017464</x:v>
      </x:c>
      <x:c r="M59" s="3"/>
      <x:c r="N59" s="3"/>
      <x:c r="O59" s="3" t="n">
        <x:f>($J$52*($K$53*$L$54-$L$53*$K$54)-$K$52*($J$53*$L$54-$L$53*$J$54)+$L$52*($J$53*$K$54-$K$53*$J$54))</x:f>
        <x:v>18649515847.574455</x:v>
      </x:c>
      <x:c r="P59" s="3"/>
      <x:c r="Q59" s="3"/>
    </x:row>
    <x:row r="60" ht="15" customHeight="1">
      <x:c r="A60" s="5" t="str">
        <x:f>IF(50&lt;='Сводка'!$B$3,'Сводка'!$B$4+50,"")</x:f>
      </x:c>
      <x:c r="B60" s="19" t="str">
        <x:f>IF($A60="","",(A60-37257+1)/1000)</x:f>
      </x:c>
      <x:c r="C60" s="19" t="str">
        <x:f>IF($A60="","",2*(A60-37257)/8978-1)</x:f>
      </x:c>
      <x:c r="D60" s="3" t="str">
        <x:f>IF($A60="","",$B$4+$B$5*C60^1+$B$6*C60^2)</x:f>
      </x:c>
      <x:c r="E60" s="3" t="str">
        <x:f>IF($A60="","",161.91559342174727*SQRT(1+(1)*$J$59*(1)+(1)*$K$59*(C60^1)+(1)*$L$59*(C60^2)+(C60^1)*$J$60*(1)+(C60^1)*$K$60*(C60^1)+(C60^1)*$L$60*(C60^2)+(C60^2)*$J$61*(1)+(C60^2)*$K$61*(C60^1)+(C60^2)*$L$61*(C60^2)))</x:f>
      </x:c>
      <x:c r="F60" s="3" t="str">
        <x:f>IF($A60="","",D60-1.9602401251089576*E60)</x:f>
      </x:c>
      <x:c r="G60" s="3" t="str">
        <x:f>IF($A60="","",D60+1.9602401251089576*E60)</x:f>
      </x:c>
      <x:c r="H60" s="3" t="str">
        <x:f>IF($A60="","",161.91559342174727*SQRT((1)*$J$59*(1)+(1)*$K$59*(C60^1)+(1)*$L$59*(C60^2)+(C60^1)*$J$60*(1)+(C60^1)*$K$60*(C60^1)+(C60^1)*$L$60*(C60^2)+(C60^2)*$J$61*(1)+(C60^2)*$K$61*(C60^1)+(C60^2)*$L$61*(C60^2)))</x:f>
      </x:c>
      <x:c r="I60" s="3"/>
      <x:c r="J60" s="7" t="n">
        <x:f>-($J$53*$L$54-$L$53*$J$54)/$O$59</x:f>
        <x:v>0.000003400168530577572</x:v>
      </x:c>
      <x:c r="K60" s="7" t="n">
        <x:f>($J$52*$L$54-$L$52*$J$54)/$O$59</x:f>
        <x:v>0.0003571454782654329</x:v>
      </x:c>
      <x:c r="L60" s="7" t="n">
        <x:f>-($J$52*$L$53-$L$52*$J$53)/$O$59</x:f>
        <x:v>0.000008442984923659313</x:v>
      </x:c>
      <x:c r="M60" s="3"/>
      <x:c r="N60" s="3"/>
      <x:c r="O60" s="3"/>
      <x:c r="P60" s="3"/>
      <x:c r="Q60" s="3"/>
    </x:row>
    <x:row r="61" ht="15" customHeight="1">
      <x:c r="A61" s="5" t="str">
        <x:f>IF(51&lt;='Сводка'!$B$3,'Сводка'!$B$4+51,"")</x:f>
      </x:c>
      <x:c r="B61" s="19" t="str">
        <x:f>IF($A61="","",(A61-37257+1)/1000)</x:f>
      </x:c>
      <x:c r="C61" s="19" t="str">
        <x:f>IF($A61="","",2*(A61-37257)/8978-1)</x:f>
      </x:c>
      <x:c r="D61" s="3" t="str">
        <x:f>IF($A61="","",$B$4+$B$5*C61^1+$B$6*C61^2)</x:f>
      </x:c>
      <x:c r="E61" s="3" t="str">
        <x:f>IF($A61="","",161.91559342174727*SQRT(1+(1)*$J$59*(1)+(1)*$K$59*(C61^1)+(1)*$L$59*(C61^2)+(C61^1)*$J$60*(1)+(C61^1)*$K$60*(C61^1)+(C61^1)*$L$60*(C61^2)+(C61^2)*$J$61*(1)+(C61^2)*$K$61*(C61^1)+(C61^2)*$L$61*(C61^2)))</x:f>
      </x:c>
      <x:c r="F61" s="3" t="str">
        <x:f>IF($A61="","",D61-1.9602401251089576*E61)</x:f>
      </x:c>
      <x:c r="G61" s="3" t="str">
        <x:f>IF($A61="","",D61+1.9602401251089576*E61)</x:f>
      </x:c>
      <x:c r="H61" s="3" t="str">
        <x:f>IF($A61="","",161.91559342174727*SQRT((1)*$J$59*(1)+(1)*$K$59*(C61^1)+(1)*$L$59*(C61^2)+(C61^1)*$J$60*(1)+(C61^1)*$K$60*(C61^1)+(C61^1)*$L$60*(C61^2)+(C61^2)*$J$61*(1)+(C61^2)*$K$61*(C61^1)+(C61^2)*$L$61*(C61^2)))</x:f>
      </x:c>
      <x:c r="I61" s="3"/>
      <x:c r="J61" s="7" t="n">
        <x:f>($J$53*$K$54-$K$53*$J$54)/$O$59</x:f>
        <x:v>-0.00042074780383017464</x:v>
      </x:c>
      <x:c r="K61" s="7" t="n">
        <x:f>-($J$52*$K$54-$K$52*$J$54)/$O$59</x:f>
        <x:v>0.000008442984923659313</x:v>
      </x:c>
      <x:c r="L61" s="7" t="n">
        <x:f>($J$52*$K$53-$K$52*$J$53)/$O$59</x:f>
        <x:v>0.0012906257674695442</x:v>
      </x:c>
      <x:c r="M61" s="3"/>
      <x:c r="N61" s="3"/>
      <x:c r="O61" s="3"/>
      <x:c r="P61" s="3"/>
      <x:c r="Q61" s="3"/>
    </x:row>
    <x:row r="62" ht="15" customHeight="1">
      <x:c r="A62" s="5" t="str">
        <x:f>IF(52&lt;='Сводка'!$B$3,'Сводка'!$B$4+52,"")</x:f>
      </x:c>
      <x:c r="B62" s="19" t="str">
        <x:f>IF($A62="","",(A62-37257+1)/1000)</x:f>
      </x:c>
      <x:c r="C62" s="19" t="str">
        <x:f>IF($A62="","",2*(A62-37257)/8978-1)</x:f>
      </x:c>
      <x:c r="D62" s="3" t="str">
        <x:f>IF($A62="","",$B$4+$B$5*C62^1+$B$6*C62^2)</x:f>
      </x:c>
      <x:c r="E62" s="3" t="str">
        <x:f>IF($A62="","",161.91559342174727*SQRT(1+(1)*$J$59*(1)+(1)*$K$59*(C62^1)+(1)*$L$59*(C62^2)+(C62^1)*$J$60*(1)+(C62^1)*$K$60*(C62^1)+(C62^1)*$L$60*(C62^2)+(C62^2)*$J$61*(1)+(C62^2)*$K$61*(C62^1)+(C62^2)*$L$61*(C62^2)))</x:f>
      </x:c>
      <x:c r="F62" s="3" t="str">
        <x:f>IF($A62="","",D62-1.9602401251089576*E62)</x:f>
      </x:c>
      <x:c r="G62" s="3" t="str">
        <x:f>IF($A62="","",D62+1.9602401251089576*E62)</x:f>
      </x:c>
      <x:c r="H62" s="3" t="str">
        <x:f>IF($A62="","",161.91559342174727*SQRT((1)*$J$59*(1)+(1)*$K$59*(C62^1)+(1)*$L$59*(C62^2)+(C62^1)*$J$60*(1)+(C62^1)*$K$60*(C62^1)+(C62^1)*$L$60*(C62^2)+(C62^2)*$J$61*(1)+(C62^2)*$K$61*(C62^1)+(C62^2)*$L$61*(C62^2)))</x:f>
      </x:c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15" customHeight="1">
      <x:c r="A63" s="5" t="str">
        <x:f>IF(53&lt;='Сводка'!$B$3,'Сводка'!$B$4+53,"")</x:f>
      </x:c>
      <x:c r="B63" s="19" t="str">
        <x:f>IF($A63="","",(A63-37257+1)/1000)</x:f>
      </x:c>
      <x:c r="C63" s="19" t="str">
        <x:f>IF($A63="","",2*(A63-37257)/8978-1)</x:f>
      </x:c>
      <x:c r="D63" s="3" t="str">
        <x:f>IF($A63="","",$B$4+$B$5*C63^1+$B$6*C63^2)</x:f>
      </x:c>
      <x:c r="E63" s="3" t="str">
        <x:f>IF($A63="","",161.91559342174727*SQRT(1+(1)*$J$59*(1)+(1)*$K$59*(C63^1)+(1)*$L$59*(C63^2)+(C63^1)*$J$60*(1)+(C63^1)*$K$60*(C63^1)+(C63^1)*$L$60*(C63^2)+(C63^2)*$J$61*(1)+(C63^2)*$K$61*(C63^1)+(C63^2)*$L$61*(C63^2)))</x:f>
      </x:c>
      <x:c r="F63" s="3" t="str">
        <x:f>IF($A63="","",D63-1.9602401251089576*E63)</x:f>
      </x:c>
      <x:c r="G63" s="3" t="str">
        <x:f>IF($A63="","",D63+1.9602401251089576*E63)</x:f>
      </x:c>
      <x:c r="H63" s="3" t="str">
        <x:f>IF($A63="","",161.91559342174727*SQRT((1)*$J$59*(1)+(1)*$K$59*(C63^1)+(1)*$L$59*(C63^2)+(C63^1)*$J$60*(1)+(C63^1)*$K$60*(C63^1)+(C63^1)*$L$60*(C63^2)+(C63^2)*$J$61*(1)+(C63^2)*$K$61*(C63^1)+(C63^2)*$L$61*(C63^2)))</x:f>
      </x:c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customHeight="1">
      <x:c r="A64" s="5" t="str">
        <x:f>IF(54&lt;='Сводка'!$B$3,'Сводка'!$B$4+54,"")</x:f>
      </x:c>
      <x:c r="B64" s="19" t="str">
        <x:f>IF($A64="","",(A64-37257+1)/1000)</x:f>
      </x:c>
      <x:c r="C64" s="19" t="str">
        <x:f>IF($A64="","",2*(A64-37257)/8978-1)</x:f>
      </x:c>
      <x:c r="D64" s="3" t="str">
        <x:f>IF($A64="","",$B$4+$B$5*C64^1+$B$6*C64^2)</x:f>
      </x:c>
      <x:c r="E64" s="3" t="str">
        <x:f>IF($A64="","",161.91559342174727*SQRT(1+(1)*$J$59*(1)+(1)*$K$59*(C64^1)+(1)*$L$59*(C64^2)+(C64^1)*$J$60*(1)+(C64^1)*$K$60*(C64^1)+(C64^1)*$L$60*(C64^2)+(C64^2)*$J$61*(1)+(C64^2)*$K$61*(C64^1)+(C64^2)*$L$61*(C64^2)))</x:f>
      </x:c>
      <x:c r="F64" s="3" t="str">
        <x:f>IF($A64="","",D64-1.9602401251089576*E64)</x:f>
      </x:c>
      <x:c r="G64" s="3" t="str">
        <x:f>IF($A64="","",D64+1.9602401251089576*E64)</x:f>
      </x:c>
      <x:c r="H64" s="3" t="str">
        <x:f>IF($A64="","",161.91559342174727*SQRT((1)*$J$59*(1)+(1)*$K$59*(C64^1)+(1)*$L$59*(C64^2)+(C64^1)*$J$60*(1)+(C64^1)*$K$60*(C64^1)+(C64^1)*$L$60*(C64^2)+(C64^2)*$J$61*(1)+(C64^2)*$K$61*(C64^1)+(C64^2)*$L$61*(C64^2)))</x:f>
      </x:c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customHeight="1">
      <x:c r="A65" s="5" t="str">
        <x:f>IF(55&lt;='Сводка'!$B$3,'Сводка'!$B$4+55,"")</x:f>
      </x:c>
      <x:c r="B65" s="19" t="str">
        <x:f>IF($A65="","",(A65-37257+1)/1000)</x:f>
      </x:c>
      <x:c r="C65" s="19" t="str">
        <x:f>IF($A65="","",2*(A65-37257)/8978-1)</x:f>
      </x:c>
      <x:c r="D65" s="3" t="str">
        <x:f>IF($A65="","",$B$4+$B$5*C65^1+$B$6*C65^2)</x:f>
      </x:c>
      <x:c r="E65" s="3" t="str">
        <x:f>IF($A65="","",161.91559342174727*SQRT(1+(1)*$J$59*(1)+(1)*$K$59*(C65^1)+(1)*$L$59*(C65^2)+(C65^1)*$J$60*(1)+(C65^1)*$K$60*(C65^1)+(C65^1)*$L$60*(C65^2)+(C65^2)*$J$61*(1)+(C65^2)*$K$61*(C65^1)+(C65^2)*$L$61*(C65^2)))</x:f>
      </x:c>
      <x:c r="F65" s="3" t="str">
        <x:f>IF($A65="","",D65-1.9602401251089576*E65)</x:f>
      </x:c>
      <x:c r="G65" s="3" t="str">
        <x:f>IF($A65="","",D65+1.9602401251089576*E65)</x:f>
      </x:c>
      <x:c r="H65" s="3" t="str">
        <x:f>IF($A65="","",161.91559342174727*SQRT((1)*$J$59*(1)+(1)*$K$59*(C65^1)+(1)*$L$59*(C65^2)+(C65^1)*$J$60*(1)+(C65^1)*$K$60*(C65^1)+(C65^1)*$L$60*(C65^2)+(C65^2)*$J$61*(1)+(C65^2)*$K$61*(C65^1)+(C65^2)*$L$61*(C65^2)))</x:f>
      </x:c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customHeight="1">
      <x:c r="A66" s="5" t="str">
        <x:f>IF(56&lt;='Сводка'!$B$3,'Сводка'!$B$4+56,"")</x:f>
      </x:c>
      <x:c r="B66" s="19" t="str">
        <x:f>IF($A66="","",(A66-37257+1)/1000)</x:f>
      </x:c>
      <x:c r="C66" s="19" t="str">
        <x:f>IF($A66="","",2*(A66-37257)/8978-1)</x:f>
      </x:c>
      <x:c r="D66" s="3" t="str">
        <x:f>IF($A66="","",$B$4+$B$5*C66^1+$B$6*C66^2)</x:f>
      </x:c>
      <x:c r="E66" s="3" t="str">
        <x:f>IF($A66="","",161.91559342174727*SQRT(1+(1)*$J$59*(1)+(1)*$K$59*(C66^1)+(1)*$L$59*(C66^2)+(C66^1)*$J$60*(1)+(C66^1)*$K$60*(C66^1)+(C66^1)*$L$60*(C66^2)+(C66^2)*$J$61*(1)+(C66^2)*$K$61*(C66^1)+(C66^2)*$L$61*(C66^2)))</x:f>
      </x:c>
      <x:c r="F66" s="3" t="str">
        <x:f>IF($A66="","",D66-1.9602401251089576*E66)</x:f>
      </x:c>
      <x:c r="G66" s="3" t="str">
        <x:f>IF($A66="","",D66+1.9602401251089576*E66)</x:f>
      </x:c>
      <x:c r="H66" s="3" t="str">
        <x:f>IF($A66="","",161.91559342174727*SQRT((1)*$J$59*(1)+(1)*$K$59*(C66^1)+(1)*$L$59*(C66^2)+(C66^1)*$J$60*(1)+(C66^1)*$K$60*(C66^1)+(C66^1)*$L$60*(C66^2)+(C66^2)*$J$61*(1)+(C66^2)*$K$61*(C66^1)+(C66^2)*$L$61*(C66^2)))</x:f>
      </x:c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customHeight="1">
      <x:c r="A67" s="5" t="str">
        <x:f>IF(57&lt;='Сводка'!$B$3,'Сводка'!$B$4+57,"")</x:f>
      </x:c>
      <x:c r="B67" s="19" t="str">
        <x:f>IF($A67="","",(A67-37257+1)/1000)</x:f>
      </x:c>
      <x:c r="C67" s="19" t="str">
        <x:f>IF($A67="","",2*(A67-37257)/8978-1)</x:f>
      </x:c>
      <x:c r="D67" s="3" t="str">
        <x:f>IF($A67="","",$B$4+$B$5*C67^1+$B$6*C67^2)</x:f>
      </x:c>
      <x:c r="E67" s="3" t="str">
        <x:f>IF($A67="","",161.91559342174727*SQRT(1+(1)*$J$59*(1)+(1)*$K$59*(C67^1)+(1)*$L$59*(C67^2)+(C67^1)*$J$60*(1)+(C67^1)*$K$60*(C67^1)+(C67^1)*$L$60*(C67^2)+(C67^2)*$J$61*(1)+(C67^2)*$K$61*(C67^1)+(C67^2)*$L$61*(C67^2)))</x:f>
      </x:c>
      <x:c r="F67" s="3" t="str">
        <x:f>IF($A67="","",D67-1.9602401251089576*E67)</x:f>
      </x:c>
      <x:c r="G67" s="3" t="str">
        <x:f>IF($A67="","",D67+1.9602401251089576*E67)</x:f>
      </x:c>
      <x:c r="H67" s="3" t="str">
        <x:f>IF($A67="","",161.91559342174727*SQRT((1)*$J$59*(1)+(1)*$K$59*(C67^1)+(1)*$L$59*(C67^2)+(C67^1)*$J$60*(1)+(C67^1)*$K$60*(C67^1)+(C67^1)*$L$60*(C67^2)+(C67^2)*$J$61*(1)+(C67^2)*$K$61*(C67^1)+(C67^2)*$L$61*(C67^2)))</x:f>
      </x:c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customHeight="1">
      <x:c r="A68" s="5" t="str">
        <x:f>IF(58&lt;='Сводка'!$B$3,'Сводка'!$B$4+58,"")</x:f>
      </x:c>
      <x:c r="B68" s="19" t="str">
        <x:f>IF($A68="","",(A68-37257+1)/1000)</x:f>
      </x:c>
      <x:c r="C68" s="19" t="str">
        <x:f>IF($A68="","",2*(A68-37257)/8978-1)</x:f>
      </x:c>
      <x:c r="D68" s="3" t="str">
        <x:f>IF($A68="","",$B$4+$B$5*C68^1+$B$6*C68^2)</x:f>
      </x:c>
      <x:c r="E68" s="3" t="str">
        <x:f>IF($A68="","",161.91559342174727*SQRT(1+(1)*$J$59*(1)+(1)*$K$59*(C68^1)+(1)*$L$59*(C68^2)+(C68^1)*$J$60*(1)+(C68^1)*$K$60*(C68^1)+(C68^1)*$L$60*(C68^2)+(C68^2)*$J$61*(1)+(C68^2)*$K$61*(C68^1)+(C68^2)*$L$61*(C68^2)))</x:f>
      </x:c>
      <x:c r="F68" s="3" t="str">
        <x:f>IF($A68="","",D68-1.9602401251089576*E68)</x:f>
      </x:c>
      <x:c r="G68" s="3" t="str">
        <x:f>IF($A68="","",D68+1.9602401251089576*E68)</x:f>
      </x:c>
      <x:c r="H68" s="3" t="str">
        <x:f>IF($A68="","",161.91559342174727*SQRT((1)*$J$59*(1)+(1)*$K$59*(C68^1)+(1)*$L$59*(C68^2)+(C68^1)*$J$60*(1)+(C68^1)*$K$60*(C68^1)+(C68^1)*$L$60*(C68^2)+(C68^2)*$J$61*(1)+(C68^2)*$K$61*(C68^1)+(C68^2)*$L$61*(C68^2)))</x:f>
      </x:c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customHeight="1">
      <x:c r="A69" s="5" t="str">
        <x:f>IF(59&lt;='Сводка'!$B$3,'Сводка'!$B$4+59,"")</x:f>
      </x:c>
      <x:c r="B69" s="19" t="str">
        <x:f>IF($A69="","",(A69-37257+1)/1000)</x:f>
      </x:c>
      <x:c r="C69" s="19" t="str">
        <x:f>IF($A69="","",2*(A69-37257)/8978-1)</x:f>
      </x:c>
      <x:c r="D69" s="3" t="str">
        <x:f>IF($A69="","",$B$4+$B$5*C69^1+$B$6*C69^2)</x:f>
      </x:c>
      <x:c r="E69" s="3" t="str">
        <x:f>IF($A69="","",161.91559342174727*SQRT(1+(1)*$J$59*(1)+(1)*$K$59*(C69^1)+(1)*$L$59*(C69^2)+(C69^1)*$J$60*(1)+(C69^1)*$K$60*(C69^1)+(C69^1)*$L$60*(C69^2)+(C69^2)*$J$61*(1)+(C69^2)*$K$61*(C69^1)+(C69^2)*$L$61*(C69^2)))</x:f>
      </x:c>
      <x:c r="F69" s="3" t="str">
        <x:f>IF($A69="","",D69-1.9602401251089576*E69)</x:f>
      </x:c>
      <x:c r="G69" s="3" t="str">
        <x:f>IF($A69="","",D69+1.9602401251089576*E69)</x:f>
      </x:c>
      <x:c r="H69" s="3" t="str">
        <x:f>IF($A69="","",161.91559342174727*SQRT((1)*$J$59*(1)+(1)*$K$59*(C69^1)+(1)*$L$59*(C69^2)+(C69^1)*$J$60*(1)+(C69^1)*$K$60*(C69^1)+(C69^1)*$L$60*(C69^2)+(C69^2)*$J$61*(1)+(C69^2)*$K$61*(C69^1)+(C69^2)*$L$61*(C69^2)))</x:f>
      </x:c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customHeight="1">
      <x:c r="A70" s="5" t="str">
        <x:f>IF(60&lt;='Сводка'!$B$3,'Сводка'!$B$4+60,"")</x:f>
      </x:c>
      <x:c r="B70" s="19" t="str">
        <x:f>IF($A70="","",(A70-37257+1)/1000)</x:f>
      </x:c>
      <x:c r="C70" s="19" t="str">
        <x:f>IF($A70="","",2*(A70-37257)/8978-1)</x:f>
      </x:c>
      <x:c r="D70" s="3" t="str">
        <x:f>IF($A70="","",$B$4+$B$5*C70^1+$B$6*C70^2)</x:f>
      </x:c>
      <x:c r="E70" s="3" t="str">
        <x:f>IF($A70="","",161.91559342174727*SQRT(1+(1)*$J$59*(1)+(1)*$K$59*(C70^1)+(1)*$L$59*(C70^2)+(C70^1)*$J$60*(1)+(C70^1)*$K$60*(C70^1)+(C70^1)*$L$60*(C70^2)+(C70^2)*$J$61*(1)+(C70^2)*$K$61*(C70^1)+(C70^2)*$L$61*(C70^2)))</x:f>
      </x:c>
      <x:c r="F70" s="3" t="str">
        <x:f>IF($A70="","",D70-1.9602401251089576*E70)</x:f>
      </x:c>
      <x:c r="G70" s="3" t="str">
        <x:f>IF($A70="","",D70+1.9602401251089576*E70)</x:f>
      </x:c>
      <x:c r="H70" s="3" t="str">
        <x:f>IF($A70="","",161.91559342174727*SQRT((1)*$J$59*(1)+(1)*$K$59*(C70^1)+(1)*$L$59*(C70^2)+(C70^1)*$J$60*(1)+(C70^1)*$K$60*(C70^1)+(C70^1)*$L$60*(C70^2)+(C70^2)*$J$61*(1)+(C70^2)*$K$61*(C70^1)+(C70^2)*$L$61*(C70^2)))</x:f>
      </x:c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customHeight="1">
      <x:c r="A71" s="5" t="str">
        <x:f>IF(61&lt;='Сводка'!$B$3,'Сводка'!$B$4+61,"")</x:f>
      </x:c>
      <x:c r="B71" s="19" t="str">
        <x:f>IF($A71="","",(A71-37257+1)/1000)</x:f>
      </x:c>
      <x:c r="C71" s="19" t="str">
        <x:f>IF($A71="","",2*(A71-37257)/8978-1)</x:f>
      </x:c>
      <x:c r="D71" s="3" t="str">
        <x:f>IF($A71="","",$B$4+$B$5*C71^1+$B$6*C71^2)</x:f>
      </x:c>
      <x:c r="E71" s="3" t="str">
        <x:f>IF($A71="","",161.91559342174727*SQRT(1+(1)*$J$59*(1)+(1)*$K$59*(C71^1)+(1)*$L$59*(C71^2)+(C71^1)*$J$60*(1)+(C71^1)*$K$60*(C71^1)+(C71^1)*$L$60*(C71^2)+(C71^2)*$J$61*(1)+(C71^2)*$K$61*(C71^1)+(C71^2)*$L$61*(C71^2)))</x:f>
      </x:c>
      <x:c r="F71" s="3" t="str">
        <x:f>IF($A71="","",D71-1.9602401251089576*E71)</x:f>
      </x:c>
      <x:c r="G71" s="3" t="str">
        <x:f>IF($A71="","",D71+1.9602401251089576*E71)</x:f>
      </x:c>
      <x:c r="H71" s="3" t="str">
        <x:f>IF($A71="","",161.91559342174727*SQRT((1)*$J$59*(1)+(1)*$K$59*(C71^1)+(1)*$L$59*(C71^2)+(C71^1)*$J$60*(1)+(C71^1)*$K$60*(C71^1)+(C71^1)*$L$60*(C71^2)+(C71^2)*$J$61*(1)+(C71^2)*$K$61*(C71^1)+(C71^2)*$L$61*(C71^2)))</x:f>
      </x:c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customHeight="1">
      <x:c r="A72" s="5" t="str">
        <x:f>IF(62&lt;='Сводка'!$B$3,'Сводка'!$B$4+62,"")</x:f>
      </x:c>
      <x:c r="B72" s="19" t="str">
        <x:f>IF($A72="","",(A72-37257+1)/1000)</x:f>
      </x:c>
      <x:c r="C72" s="19" t="str">
        <x:f>IF($A72="","",2*(A72-37257)/8978-1)</x:f>
      </x:c>
      <x:c r="D72" s="3" t="str">
        <x:f>IF($A72="","",$B$4+$B$5*C72^1+$B$6*C72^2)</x:f>
      </x:c>
      <x:c r="E72" s="3" t="str">
        <x:f>IF($A72="","",161.91559342174727*SQRT(1+(1)*$J$59*(1)+(1)*$K$59*(C72^1)+(1)*$L$59*(C72^2)+(C72^1)*$J$60*(1)+(C72^1)*$K$60*(C72^1)+(C72^1)*$L$60*(C72^2)+(C72^2)*$J$61*(1)+(C72^2)*$K$61*(C72^1)+(C72^2)*$L$61*(C72^2)))</x:f>
      </x:c>
      <x:c r="F72" s="3" t="str">
        <x:f>IF($A72="","",D72-1.9602401251089576*E72)</x:f>
      </x:c>
      <x:c r="G72" s="3" t="str">
        <x:f>IF($A72="","",D72+1.9602401251089576*E72)</x:f>
      </x:c>
      <x:c r="H72" s="3" t="str">
        <x:f>IF($A72="","",161.91559342174727*SQRT((1)*$J$59*(1)+(1)*$K$59*(C72^1)+(1)*$L$59*(C72^2)+(C72^1)*$J$60*(1)+(C72^1)*$K$60*(C72^1)+(C72^1)*$L$60*(C72^2)+(C72^2)*$J$61*(1)+(C72^2)*$K$61*(C72^1)+(C72^2)*$L$61*(C72^2)))</x:f>
      </x:c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customHeight="1">
      <x:c r="A73" s="5" t="str">
        <x:f>IF(63&lt;='Сводка'!$B$3,'Сводка'!$B$4+63,"")</x:f>
      </x:c>
      <x:c r="B73" s="19" t="str">
        <x:f>IF($A73="","",(A73-37257+1)/1000)</x:f>
      </x:c>
      <x:c r="C73" s="19" t="str">
        <x:f>IF($A73="","",2*(A73-37257)/8978-1)</x:f>
      </x:c>
      <x:c r="D73" s="3" t="str">
        <x:f>IF($A73="","",$B$4+$B$5*C73^1+$B$6*C73^2)</x:f>
      </x:c>
      <x:c r="E73" s="3" t="str">
        <x:f>IF($A73="","",161.91559342174727*SQRT(1+(1)*$J$59*(1)+(1)*$K$59*(C73^1)+(1)*$L$59*(C73^2)+(C73^1)*$J$60*(1)+(C73^1)*$K$60*(C73^1)+(C73^1)*$L$60*(C73^2)+(C73^2)*$J$61*(1)+(C73^2)*$K$61*(C73^1)+(C73^2)*$L$61*(C73^2)))</x:f>
      </x:c>
      <x:c r="F73" s="3" t="str">
        <x:f>IF($A73="","",D73-1.9602401251089576*E73)</x:f>
      </x:c>
      <x:c r="G73" s="3" t="str">
        <x:f>IF($A73="","",D73+1.9602401251089576*E73)</x:f>
      </x:c>
      <x:c r="H73" s="3" t="str">
        <x:f>IF($A73="","",161.91559342174727*SQRT((1)*$J$59*(1)+(1)*$K$59*(C73^1)+(1)*$L$59*(C73^2)+(C73^1)*$J$60*(1)+(C73^1)*$K$60*(C73^1)+(C73^1)*$L$60*(C73^2)+(C73^2)*$J$61*(1)+(C73^2)*$K$61*(C73^1)+(C73^2)*$L$61*(C73^2)))</x:f>
      </x:c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customHeight="1">
      <x:c r="A74" s="5" t="str">
        <x:f>IF(64&lt;='Сводка'!$B$3,'Сводка'!$B$4+64,"")</x:f>
      </x:c>
      <x:c r="B74" s="19" t="str">
        <x:f>IF($A74="","",(A74-37257+1)/1000)</x:f>
      </x:c>
      <x:c r="C74" s="19" t="str">
        <x:f>IF($A74="","",2*(A74-37257)/8978-1)</x:f>
      </x:c>
      <x:c r="D74" s="3" t="str">
        <x:f>IF($A74="","",$B$4+$B$5*C74^1+$B$6*C74^2)</x:f>
      </x:c>
      <x:c r="E74" s="3" t="str">
        <x:f>IF($A74="","",161.91559342174727*SQRT(1+(1)*$J$59*(1)+(1)*$K$59*(C74^1)+(1)*$L$59*(C74^2)+(C74^1)*$J$60*(1)+(C74^1)*$K$60*(C74^1)+(C74^1)*$L$60*(C74^2)+(C74^2)*$J$61*(1)+(C74^2)*$K$61*(C74^1)+(C74^2)*$L$61*(C74^2)))</x:f>
      </x:c>
      <x:c r="F74" s="3" t="str">
        <x:f>IF($A74="","",D74-1.9602401251089576*E74)</x:f>
      </x:c>
      <x:c r="G74" s="3" t="str">
        <x:f>IF($A74="","",D74+1.9602401251089576*E74)</x:f>
      </x:c>
      <x:c r="H74" s="3" t="str">
        <x:f>IF($A74="","",161.91559342174727*SQRT((1)*$J$59*(1)+(1)*$K$59*(C74^1)+(1)*$L$59*(C74^2)+(C74^1)*$J$60*(1)+(C74^1)*$K$60*(C74^1)+(C74^1)*$L$60*(C74^2)+(C74^2)*$J$61*(1)+(C74^2)*$K$61*(C74^1)+(C74^2)*$L$61*(C74^2)))</x:f>
      </x:c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customHeight="1">
      <x:c r="A75" s="5" t="str">
        <x:f>IF(65&lt;='Сводка'!$B$3,'Сводка'!$B$4+65,"")</x:f>
      </x:c>
      <x:c r="B75" s="19" t="str">
        <x:f>IF($A75="","",(A75-37257+1)/1000)</x:f>
      </x:c>
      <x:c r="C75" s="19" t="str">
        <x:f>IF($A75="","",2*(A75-37257)/8978-1)</x:f>
      </x:c>
      <x:c r="D75" s="3" t="str">
        <x:f>IF($A75="","",$B$4+$B$5*C75^1+$B$6*C75^2)</x:f>
      </x:c>
      <x:c r="E75" s="3" t="str">
        <x:f>IF($A75="","",161.91559342174727*SQRT(1+(1)*$J$59*(1)+(1)*$K$59*(C75^1)+(1)*$L$59*(C75^2)+(C75^1)*$J$60*(1)+(C75^1)*$K$60*(C75^1)+(C75^1)*$L$60*(C75^2)+(C75^2)*$J$61*(1)+(C75^2)*$K$61*(C75^1)+(C75^2)*$L$61*(C75^2)))</x:f>
      </x:c>
      <x:c r="F75" s="3" t="str">
        <x:f>IF($A75="","",D75-1.9602401251089576*E75)</x:f>
      </x:c>
      <x:c r="G75" s="3" t="str">
        <x:f>IF($A75="","",D75+1.9602401251089576*E75)</x:f>
      </x:c>
      <x:c r="H75" s="3" t="str">
        <x:f>IF($A75="","",161.91559342174727*SQRT((1)*$J$59*(1)+(1)*$K$59*(C75^1)+(1)*$L$59*(C75^2)+(C75^1)*$J$60*(1)+(C75^1)*$K$60*(C75^1)+(C75^1)*$L$60*(C75^2)+(C75^2)*$J$61*(1)+(C75^2)*$K$61*(C75^1)+(C75^2)*$L$61*(C75^2)))</x:f>
      </x:c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customHeight="1">
      <x:c r="A76" s="5" t="str">
        <x:f>IF(66&lt;='Сводка'!$B$3,'Сводка'!$B$4+66,"")</x:f>
      </x:c>
      <x:c r="B76" s="19" t="str">
        <x:f>IF($A76="","",(A76-37257+1)/1000)</x:f>
      </x:c>
      <x:c r="C76" s="19" t="str">
        <x:f>IF($A76="","",2*(A76-37257)/8978-1)</x:f>
      </x:c>
      <x:c r="D76" s="3" t="str">
        <x:f>IF($A76="","",$B$4+$B$5*C76^1+$B$6*C76^2)</x:f>
      </x:c>
      <x:c r="E76" s="3" t="str">
        <x:f>IF($A76="","",161.91559342174727*SQRT(1+(1)*$J$59*(1)+(1)*$K$59*(C76^1)+(1)*$L$59*(C76^2)+(C76^1)*$J$60*(1)+(C76^1)*$K$60*(C76^1)+(C76^1)*$L$60*(C76^2)+(C76^2)*$J$61*(1)+(C76^2)*$K$61*(C76^1)+(C76^2)*$L$61*(C76^2)))</x:f>
      </x:c>
      <x:c r="F76" s="3" t="str">
        <x:f>IF($A76="","",D76-1.9602401251089576*E76)</x:f>
      </x:c>
      <x:c r="G76" s="3" t="str">
        <x:f>IF($A76="","",D76+1.9602401251089576*E76)</x:f>
      </x:c>
      <x:c r="H76" s="3" t="str">
        <x:f>IF($A76="","",161.91559342174727*SQRT((1)*$J$59*(1)+(1)*$K$59*(C76^1)+(1)*$L$59*(C76^2)+(C76^1)*$J$60*(1)+(C76^1)*$K$60*(C76^1)+(C76^1)*$L$60*(C76^2)+(C76^2)*$J$61*(1)+(C76^2)*$K$61*(C76^1)+(C76^2)*$L$61*(C76^2)))</x:f>
      </x:c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customHeight="1">
      <x:c r="A77" s="5" t="str">
        <x:f>IF(67&lt;='Сводка'!$B$3,'Сводка'!$B$4+67,"")</x:f>
      </x:c>
      <x:c r="B77" s="19" t="str">
        <x:f>IF($A77="","",(A77-37257+1)/1000)</x:f>
      </x:c>
      <x:c r="C77" s="19" t="str">
        <x:f>IF($A77="","",2*(A77-37257)/8978-1)</x:f>
      </x:c>
      <x:c r="D77" s="3" t="str">
        <x:f>IF($A77="","",$B$4+$B$5*C77^1+$B$6*C77^2)</x:f>
      </x:c>
      <x:c r="E77" s="3" t="str">
        <x:f>IF($A77="","",161.91559342174727*SQRT(1+(1)*$J$59*(1)+(1)*$K$59*(C77^1)+(1)*$L$59*(C77^2)+(C77^1)*$J$60*(1)+(C77^1)*$K$60*(C77^1)+(C77^1)*$L$60*(C77^2)+(C77^2)*$J$61*(1)+(C77^2)*$K$61*(C77^1)+(C77^2)*$L$61*(C77^2)))</x:f>
      </x:c>
      <x:c r="F77" s="3" t="str">
        <x:f>IF($A77="","",D77-1.9602401251089576*E77)</x:f>
      </x:c>
      <x:c r="G77" s="3" t="str">
        <x:f>IF($A77="","",D77+1.9602401251089576*E77)</x:f>
      </x:c>
      <x:c r="H77" s="3" t="str">
        <x:f>IF($A77="","",161.91559342174727*SQRT((1)*$J$59*(1)+(1)*$K$59*(C77^1)+(1)*$L$59*(C77^2)+(C77^1)*$J$60*(1)+(C77^1)*$K$60*(C77^1)+(C77^1)*$L$60*(C77^2)+(C77^2)*$J$61*(1)+(C77^2)*$K$61*(C77^1)+(C77^2)*$L$61*(C77^2)))</x:f>
      </x:c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customHeight="1">
      <x:c r="A78" s="5" t="str">
        <x:f>IF(68&lt;='Сводка'!$B$3,'Сводка'!$B$4+68,"")</x:f>
      </x:c>
      <x:c r="B78" s="19" t="str">
        <x:f>IF($A78="","",(A78-37257+1)/1000)</x:f>
      </x:c>
      <x:c r="C78" s="19" t="str">
        <x:f>IF($A78="","",2*(A78-37257)/8978-1)</x:f>
      </x:c>
      <x:c r="D78" s="3" t="str">
        <x:f>IF($A78="","",$B$4+$B$5*C78^1+$B$6*C78^2)</x:f>
      </x:c>
      <x:c r="E78" s="3" t="str">
        <x:f>IF($A78="","",161.91559342174727*SQRT(1+(1)*$J$59*(1)+(1)*$K$59*(C78^1)+(1)*$L$59*(C78^2)+(C78^1)*$J$60*(1)+(C78^1)*$K$60*(C78^1)+(C78^1)*$L$60*(C78^2)+(C78^2)*$J$61*(1)+(C78^2)*$K$61*(C78^1)+(C78^2)*$L$61*(C78^2)))</x:f>
      </x:c>
      <x:c r="F78" s="3" t="str">
        <x:f>IF($A78="","",D78-1.9602401251089576*E78)</x:f>
      </x:c>
      <x:c r="G78" s="3" t="str">
        <x:f>IF($A78="","",D78+1.9602401251089576*E78)</x:f>
      </x:c>
      <x:c r="H78" s="3" t="str">
        <x:f>IF($A78="","",161.91559342174727*SQRT((1)*$J$59*(1)+(1)*$K$59*(C78^1)+(1)*$L$59*(C78^2)+(C78^1)*$J$60*(1)+(C78^1)*$K$60*(C78^1)+(C78^1)*$L$60*(C78^2)+(C78^2)*$J$61*(1)+(C78^2)*$K$61*(C78^1)+(C78^2)*$L$61*(C78^2)))</x:f>
      </x:c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customHeight="1">
      <x:c r="A79" s="5" t="str">
        <x:f>IF(69&lt;='Сводка'!$B$3,'Сводка'!$B$4+69,"")</x:f>
      </x:c>
      <x:c r="B79" s="19" t="str">
        <x:f>IF($A79="","",(A79-37257+1)/1000)</x:f>
      </x:c>
      <x:c r="C79" s="19" t="str">
        <x:f>IF($A79="","",2*(A79-37257)/8978-1)</x:f>
      </x:c>
      <x:c r="D79" s="3" t="str">
        <x:f>IF($A79="","",$B$4+$B$5*C79^1+$B$6*C79^2)</x:f>
      </x:c>
      <x:c r="E79" s="3" t="str">
        <x:f>IF($A79="","",161.91559342174727*SQRT(1+(1)*$J$59*(1)+(1)*$K$59*(C79^1)+(1)*$L$59*(C79^2)+(C79^1)*$J$60*(1)+(C79^1)*$K$60*(C79^1)+(C79^1)*$L$60*(C79^2)+(C79^2)*$J$61*(1)+(C79^2)*$K$61*(C79^1)+(C79^2)*$L$61*(C79^2)))</x:f>
      </x:c>
      <x:c r="F79" s="3" t="str">
        <x:f>IF($A79="","",D79-1.9602401251089576*E79)</x:f>
      </x:c>
      <x:c r="G79" s="3" t="str">
        <x:f>IF($A79="","",D79+1.9602401251089576*E79)</x:f>
      </x:c>
      <x:c r="H79" s="3" t="str">
        <x:f>IF($A79="","",161.91559342174727*SQRT((1)*$J$59*(1)+(1)*$K$59*(C79^1)+(1)*$L$59*(C79^2)+(C79^1)*$J$60*(1)+(C79^1)*$K$60*(C79^1)+(C79^1)*$L$60*(C79^2)+(C79^2)*$J$61*(1)+(C79^2)*$K$61*(C79^1)+(C79^2)*$L$61*(C79^2)))</x:f>
      </x:c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customHeight="1">
      <x:c r="A80" s="5" t="str">
        <x:f>IF(70&lt;='Сводка'!$B$3,'Сводка'!$B$4+70,"")</x:f>
      </x:c>
      <x:c r="B80" s="19" t="str">
        <x:f>IF($A80="","",(A80-37257+1)/1000)</x:f>
      </x:c>
      <x:c r="C80" s="19" t="str">
        <x:f>IF($A80="","",2*(A80-37257)/8978-1)</x:f>
      </x:c>
      <x:c r="D80" s="3" t="str">
        <x:f>IF($A80="","",$B$4+$B$5*C80^1+$B$6*C80^2)</x:f>
      </x:c>
      <x:c r="E80" s="3" t="str">
        <x:f>IF($A80="","",161.91559342174727*SQRT(1+(1)*$J$59*(1)+(1)*$K$59*(C80^1)+(1)*$L$59*(C80^2)+(C80^1)*$J$60*(1)+(C80^1)*$K$60*(C80^1)+(C80^1)*$L$60*(C80^2)+(C80^2)*$J$61*(1)+(C80^2)*$K$61*(C80^1)+(C80^2)*$L$61*(C80^2)))</x:f>
      </x:c>
      <x:c r="F80" s="3" t="str">
        <x:f>IF($A80="","",D80-1.9602401251089576*E80)</x:f>
      </x:c>
      <x:c r="G80" s="3" t="str">
        <x:f>IF($A80="","",D80+1.9602401251089576*E80)</x:f>
      </x:c>
      <x:c r="H80" s="3" t="str">
        <x:f>IF($A80="","",161.91559342174727*SQRT((1)*$J$59*(1)+(1)*$K$59*(C80^1)+(1)*$L$59*(C80^2)+(C80^1)*$J$60*(1)+(C80^1)*$K$60*(C80^1)+(C80^1)*$L$60*(C80^2)+(C80^2)*$J$61*(1)+(C80^2)*$K$61*(C80^1)+(C80^2)*$L$61*(C80^2)))</x:f>
      </x:c>
      <x:c r="I80" s="3"/>
      <x:c r="J80" s="3"/>
      <x:c r="K80" s="3"/>
      <x:c r="L80" s="3"/>
      <x:c r="M80" s="3"/>
      <x:c r="N80" s="3"/>
      <x:c r="O80" s="3"/>
      <x:c r="P80" s="3"/>
      <x:c r="Q80" s="3"/>
    </x:row>
    <x:row r="81" ht="15" customHeight="1">
      <x:c r="A81" s="5" t="str">
        <x:f>IF(71&lt;='Сводка'!$B$3,'Сводка'!$B$4+71,"")</x:f>
      </x:c>
      <x:c r="B81" s="19" t="str">
        <x:f>IF($A81="","",(A81-37257+1)/1000)</x:f>
      </x:c>
      <x:c r="C81" s="19" t="str">
        <x:f>IF($A81="","",2*(A81-37257)/8978-1)</x:f>
      </x:c>
      <x:c r="D81" s="3" t="str">
        <x:f>IF($A81="","",$B$4+$B$5*C81^1+$B$6*C81^2)</x:f>
      </x:c>
      <x:c r="E81" s="3" t="str">
        <x:f>IF($A81="","",161.91559342174727*SQRT(1+(1)*$J$59*(1)+(1)*$K$59*(C81^1)+(1)*$L$59*(C81^2)+(C81^1)*$J$60*(1)+(C81^1)*$K$60*(C81^1)+(C81^1)*$L$60*(C81^2)+(C81^2)*$J$61*(1)+(C81^2)*$K$61*(C81^1)+(C81^2)*$L$61*(C81^2)))</x:f>
      </x:c>
      <x:c r="F81" s="3" t="str">
        <x:f>IF($A81="","",D81-1.9602401251089576*E81)</x:f>
      </x:c>
      <x:c r="G81" s="3" t="str">
        <x:f>IF($A81="","",D81+1.9602401251089576*E81)</x:f>
      </x:c>
      <x:c r="H81" s="3" t="str">
        <x:f>IF($A81="","",161.91559342174727*SQRT((1)*$J$59*(1)+(1)*$K$59*(C81^1)+(1)*$L$59*(C81^2)+(C81^1)*$J$60*(1)+(C81^1)*$K$60*(C81^1)+(C81^1)*$L$60*(C81^2)+(C81^2)*$J$61*(1)+(C81^2)*$K$61*(C81^1)+(C81^2)*$L$61*(C81^2)))</x:f>
      </x:c>
      <x:c r="I81" s="3"/>
      <x:c r="J81" s="3"/>
      <x:c r="K81" s="3"/>
      <x:c r="L81" s="3"/>
      <x:c r="M81" s="3"/>
      <x:c r="N81" s="3"/>
      <x:c r="O81" s="3"/>
      <x:c r="P81" s="3"/>
      <x:c r="Q81" s="3"/>
    </x:row>
    <x:row r="82" ht="15" customHeight="1">
      <x:c r="A82" s="5" t="str">
        <x:f>IF(72&lt;='Сводка'!$B$3,'Сводка'!$B$4+72,"")</x:f>
      </x:c>
      <x:c r="B82" s="19" t="str">
        <x:f>IF($A82="","",(A82-37257+1)/1000)</x:f>
      </x:c>
      <x:c r="C82" s="19" t="str">
        <x:f>IF($A82="","",2*(A82-37257)/8978-1)</x:f>
      </x:c>
      <x:c r="D82" s="3" t="str">
        <x:f>IF($A82="","",$B$4+$B$5*C82^1+$B$6*C82^2)</x:f>
      </x:c>
      <x:c r="E82" s="3" t="str">
        <x:f>IF($A82="","",161.91559342174727*SQRT(1+(1)*$J$59*(1)+(1)*$K$59*(C82^1)+(1)*$L$59*(C82^2)+(C82^1)*$J$60*(1)+(C82^1)*$K$60*(C82^1)+(C82^1)*$L$60*(C82^2)+(C82^2)*$J$61*(1)+(C82^2)*$K$61*(C82^1)+(C82^2)*$L$61*(C82^2)))</x:f>
      </x:c>
      <x:c r="F82" s="3" t="str">
        <x:f>IF($A82="","",D82-1.9602401251089576*E82)</x:f>
      </x:c>
      <x:c r="G82" s="3" t="str">
        <x:f>IF($A82="","",D82+1.9602401251089576*E82)</x:f>
      </x:c>
      <x:c r="H82" s="3" t="str">
        <x:f>IF($A82="","",161.91559342174727*SQRT((1)*$J$59*(1)+(1)*$K$59*(C82^1)+(1)*$L$59*(C82^2)+(C82^1)*$J$60*(1)+(C82^1)*$K$60*(C82^1)+(C82^1)*$L$60*(C82^2)+(C82^2)*$J$61*(1)+(C82^2)*$K$61*(C82^1)+(C82^2)*$L$61*(C82^2)))</x:f>
      </x:c>
      <x:c r="I82" s="3"/>
      <x:c r="J82" s="3"/>
      <x:c r="K82" s="3"/>
      <x:c r="L82" s="3"/>
      <x:c r="M82" s="3"/>
      <x:c r="N82" s="3"/>
      <x:c r="O82" s="3"/>
      <x:c r="P82" s="3"/>
      <x:c r="Q82" s="3"/>
    </x:row>
    <x:row r="83" ht="15" customHeight="1">
      <x:c r="A83" s="5" t="str">
        <x:f>IF(73&lt;='Сводка'!$B$3,'Сводка'!$B$4+73,"")</x:f>
      </x:c>
      <x:c r="B83" s="19" t="str">
        <x:f>IF($A83="","",(A83-37257+1)/1000)</x:f>
      </x:c>
      <x:c r="C83" s="19" t="str">
        <x:f>IF($A83="","",2*(A83-37257)/8978-1)</x:f>
      </x:c>
      <x:c r="D83" s="3" t="str">
        <x:f>IF($A83="","",$B$4+$B$5*C83^1+$B$6*C83^2)</x:f>
      </x:c>
      <x:c r="E83" s="3" t="str">
        <x:f>IF($A83="","",161.91559342174727*SQRT(1+(1)*$J$59*(1)+(1)*$K$59*(C83^1)+(1)*$L$59*(C83^2)+(C83^1)*$J$60*(1)+(C83^1)*$K$60*(C83^1)+(C83^1)*$L$60*(C83^2)+(C83^2)*$J$61*(1)+(C83^2)*$K$61*(C83^1)+(C83^2)*$L$61*(C83^2)))</x:f>
      </x:c>
      <x:c r="F83" s="3" t="str">
        <x:f>IF($A83="","",D83-1.9602401251089576*E83)</x:f>
      </x:c>
      <x:c r="G83" s="3" t="str">
        <x:f>IF($A83="","",D83+1.9602401251089576*E83)</x:f>
      </x:c>
      <x:c r="H83" s="3" t="str">
        <x:f>IF($A83="","",161.91559342174727*SQRT((1)*$J$59*(1)+(1)*$K$59*(C83^1)+(1)*$L$59*(C83^2)+(C83^1)*$J$60*(1)+(C83^1)*$K$60*(C83^1)+(C83^1)*$L$60*(C83^2)+(C83^2)*$J$61*(1)+(C83^2)*$K$61*(C83^1)+(C83^2)*$L$61*(C83^2)))</x:f>
      </x:c>
      <x:c r="I83" s="3"/>
      <x:c r="J83" s="3"/>
      <x:c r="K83" s="3"/>
      <x:c r="L83" s="3"/>
      <x:c r="M83" s="3"/>
      <x:c r="N83" s="3"/>
      <x:c r="O83" s="3"/>
      <x:c r="P83" s="3"/>
      <x:c r="Q83" s="3"/>
    </x:row>
    <x:row r="84" ht="15" customHeight="1">
      <x:c r="A84" s="5" t="str">
        <x:f>IF(74&lt;='Сводка'!$B$3,'Сводка'!$B$4+74,"")</x:f>
      </x:c>
      <x:c r="B84" s="19" t="str">
        <x:f>IF($A84="","",(A84-37257+1)/1000)</x:f>
      </x:c>
      <x:c r="C84" s="19" t="str">
        <x:f>IF($A84="","",2*(A84-37257)/8978-1)</x:f>
      </x:c>
      <x:c r="D84" s="3" t="str">
        <x:f>IF($A84="","",$B$4+$B$5*C84^1+$B$6*C84^2)</x:f>
      </x:c>
      <x:c r="E84" s="3" t="str">
        <x:f>IF($A84="","",161.91559342174727*SQRT(1+(1)*$J$59*(1)+(1)*$K$59*(C84^1)+(1)*$L$59*(C84^2)+(C84^1)*$J$60*(1)+(C84^1)*$K$60*(C84^1)+(C84^1)*$L$60*(C84^2)+(C84^2)*$J$61*(1)+(C84^2)*$K$61*(C84^1)+(C84^2)*$L$61*(C84^2)))</x:f>
      </x:c>
      <x:c r="F84" s="3" t="str">
        <x:f>IF($A84="","",D84-1.9602401251089576*E84)</x:f>
      </x:c>
      <x:c r="G84" s="3" t="str">
        <x:f>IF($A84="","",D84+1.9602401251089576*E84)</x:f>
      </x:c>
      <x:c r="H84" s="3" t="str">
        <x:f>IF($A84="","",161.91559342174727*SQRT((1)*$J$59*(1)+(1)*$K$59*(C84^1)+(1)*$L$59*(C84^2)+(C84^1)*$J$60*(1)+(C84^1)*$K$60*(C84^1)+(C84^1)*$L$60*(C84^2)+(C84^2)*$J$61*(1)+(C84^2)*$K$61*(C84^1)+(C84^2)*$L$61*(C84^2)))</x:f>
      </x:c>
      <x:c r="I84" s="3"/>
      <x:c r="J84" s="3"/>
      <x:c r="K84" s="3"/>
      <x:c r="L84" s="3"/>
      <x:c r="M84" s="3"/>
      <x:c r="N84" s="3"/>
      <x:c r="O84" s="3"/>
      <x:c r="P84" s="3"/>
      <x:c r="Q84" s="3"/>
    </x:row>
    <x:row r="85" ht="15" customHeight="1">
      <x:c r="A85" s="5" t="str">
        <x:f>IF(75&lt;='Сводка'!$B$3,'Сводка'!$B$4+75,"")</x:f>
      </x:c>
      <x:c r="B85" s="19" t="str">
        <x:f>IF($A85="","",(A85-37257+1)/1000)</x:f>
      </x:c>
      <x:c r="C85" s="19" t="str">
        <x:f>IF($A85="","",2*(A85-37257)/8978-1)</x:f>
      </x:c>
      <x:c r="D85" s="3" t="str">
        <x:f>IF($A85="","",$B$4+$B$5*C85^1+$B$6*C85^2)</x:f>
      </x:c>
      <x:c r="E85" s="3" t="str">
        <x:f>IF($A85="","",161.91559342174727*SQRT(1+(1)*$J$59*(1)+(1)*$K$59*(C85^1)+(1)*$L$59*(C85^2)+(C85^1)*$J$60*(1)+(C85^1)*$K$60*(C85^1)+(C85^1)*$L$60*(C85^2)+(C85^2)*$J$61*(1)+(C85^2)*$K$61*(C85^1)+(C85^2)*$L$61*(C85^2)))</x:f>
      </x:c>
      <x:c r="F85" s="3" t="str">
        <x:f>IF($A85="","",D85-1.9602401251089576*E85)</x:f>
      </x:c>
      <x:c r="G85" s="3" t="str">
        <x:f>IF($A85="","",D85+1.9602401251089576*E85)</x:f>
      </x:c>
      <x:c r="H85" s="3" t="str">
        <x:f>IF($A85="","",161.91559342174727*SQRT((1)*$J$59*(1)+(1)*$K$59*(C85^1)+(1)*$L$59*(C85^2)+(C85^1)*$J$60*(1)+(C85^1)*$K$60*(C85^1)+(C85^1)*$L$60*(C85^2)+(C85^2)*$J$61*(1)+(C85^2)*$K$61*(C85^1)+(C85^2)*$L$61*(C85^2)))</x:f>
      </x:c>
      <x:c r="I85" s="3"/>
      <x:c r="J85" s="3"/>
      <x:c r="K85" s="3"/>
      <x:c r="L85" s="3"/>
      <x:c r="M85" s="3"/>
      <x:c r="N85" s="3"/>
      <x:c r="O85" s="3"/>
      <x:c r="P85" s="3"/>
      <x:c r="Q85" s="3"/>
    </x:row>
    <x:row r="86" ht="15" customHeight="1">
      <x:c r="A86" s="5" t="str">
        <x:f>IF(76&lt;='Сводка'!$B$3,'Сводка'!$B$4+76,"")</x:f>
      </x:c>
      <x:c r="B86" s="19" t="str">
        <x:f>IF($A86="","",(A86-37257+1)/1000)</x:f>
      </x:c>
      <x:c r="C86" s="19" t="str">
        <x:f>IF($A86="","",2*(A86-37257)/8978-1)</x:f>
      </x:c>
      <x:c r="D86" s="3" t="str">
        <x:f>IF($A86="","",$B$4+$B$5*C86^1+$B$6*C86^2)</x:f>
      </x:c>
      <x:c r="E86" s="3" t="str">
        <x:f>IF($A86="","",161.91559342174727*SQRT(1+(1)*$J$59*(1)+(1)*$K$59*(C86^1)+(1)*$L$59*(C86^2)+(C86^1)*$J$60*(1)+(C86^1)*$K$60*(C86^1)+(C86^1)*$L$60*(C86^2)+(C86^2)*$J$61*(1)+(C86^2)*$K$61*(C86^1)+(C86^2)*$L$61*(C86^2)))</x:f>
      </x:c>
      <x:c r="F86" s="3" t="str">
        <x:f>IF($A86="","",D86-1.9602401251089576*E86)</x:f>
      </x:c>
      <x:c r="G86" s="3" t="str">
        <x:f>IF($A86="","",D86+1.9602401251089576*E86)</x:f>
      </x:c>
      <x:c r="H86" s="3" t="str">
        <x:f>IF($A86="","",161.91559342174727*SQRT((1)*$J$59*(1)+(1)*$K$59*(C86^1)+(1)*$L$59*(C86^2)+(C86^1)*$J$60*(1)+(C86^1)*$K$60*(C86^1)+(C86^1)*$L$60*(C86^2)+(C86^2)*$J$61*(1)+(C86^2)*$K$61*(C86^1)+(C86^2)*$L$61*(C86^2)))</x:f>
      </x:c>
      <x:c r="I86" s="3"/>
      <x:c r="J86" s="3"/>
      <x:c r="K86" s="3"/>
      <x:c r="L86" s="3"/>
      <x:c r="M86" s="3"/>
      <x:c r="N86" s="3"/>
      <x:c r="O86" s="3"/>
      <x:c r="P86" s="3"/>
      <x:c r="Q86" s="3"/>
    </x:row>
    <x:row r="87" ht="15" customHeight="1">
      <x:c r="A87" s="5" t="str">
        <x:f>IF(77&lt;='Сводка'!$B$3,'Сводка'!$B$4+77,"")</x:f>
      </x:c>
      <x:c r="B87" s="19" t="str">
        <x:f>IF($A87="","",(A87-37257+1)/1000)</x:f>
      </x:c>
      <x:c r="C87" s="19" t="str">
        <x:f>IF($A87="","",2*(A87-37257)/8978-1)</x:f>
      </x:c>
      <x:c r="D87" s="3" t="str">
        <x:f>IF($A87="","",$B$4+$B$5*C87^1+$B$6*C87^2)</x:f>
      </x:c>
      <x:c r="E87" s="3" t="str">
        <x:f>IF($A87="","",161.91559342174727*SQRT(1+(1)*$J$59*(1)+(1)*$K$59*(C87^1)+(1)*$L$59*(C87^2)+(C87^1)*$J$60*(1)+(C87^1)*$K$60*(C87^1)+(C87^1)*$L$60*(C87^2)+(C87^2)*$J$61*(1)+(C87^2)*$K$61*(C87^1)+(C87^2)*$L$61*(C87^2)))</x:f>
      </x:c>
      <x:c r="F87" s="3" t="str">
        <x:f>IF($A87="","",D87-1.9602401251089576*E87)</x:f>
      </x:c>
      <x:c r="G87" s="3" t="str">
        <x:f>IF($A87="","",D87+1.9602401251089576*E87)</x:f>
      </x:c>
      <x:c r="H87" s="3" t="str">
        <x:f>IF($A87="","",161.91559342174727*SQRT((1)*$J$59*(1)+(1)*$K$59*(C87^1)+(1)*$L$59*(C87^2)+(C87^1)*$J$60*(1)+(C87^1)*$K$60*(C87^1)+(C87^1)*$L$60*(C87^2)+(C87^2)*$J$61*(1)+(C87^2)*$K$61*(C87^1)+(C87^2)*$L$61*(C87^2)))</x:f>
      </x:c>
      <x:c r="I87" s="3"/>
      <x:c r="J87" s="3"/>
      <x:c r="K87" s="3"/>
      <x:c r="L87" s="3"/>
      <x:c r="M87" s="3"/>
      <x:c r="N87" s="3"/>
      <x:c r="O87" s="3"/>
      <x:c r="P87" s="3"/>
      <x:c r="Q87" s="3"/>
    </x:row>
    <x:row r="88" ht="15" customHeight="1">
      <x:c r="A88" s="5" t="str">
        <x:f>IF(78&lt;='Сводка'!$B$3,'Сводка'!$B$4+78,"")</x:f>
      </x:c>
      <x:c r="B88" s="19" t="str">
        <x:f>IF($A88="","",(A88-37257+1)/1000)</x:f>
      </x:c>
      <x:c r="C88" s="19" t="str">
        <x:f>IF($A88="","",2*(A88-37257)/8978-1)</x:f>
      </x:c>
      <x:c r="D88" s="3" t="str">
        <x:f>IF($A88="","",$B$4+$B$5*C88^1+$B$6*C88^2)</x:f>
      </x:c>
      <x:c r="E88" s="3" t="str">
        <x:f>IF($A88="","",161.91559342174727*SQRT(1+(1)*$J$59*(1)+(1)*$K$59*(C88^1)+(1)*$L$59*(C88^2)+(C88^1)*$J$60*(1)+(C88^1)*$K$60*(C88^1)+(C88^1)*$L$60*(C88^2)+(C88^2)*$J$61*(1)+(C88^2)*$K$61*(C88^1)+(C88^2)*$L$61*(C88^2)))</x:f>
      </x:c>
      <x:c r="F88" s="3" t="str">
        <x:f>IF($A88="","",D88-1.9602401251089576*E88)</x:f>
      </x:c>
      <x:c r="G88" s="3" t="str">
        <x:f>IF($A88="","",D88+1.9602401251089576*E88)</x:f>
      </x:c>
      <x:c r="H88" s="3" t="str">
        <x:f>IF($A88="","",161.91559342174727*SQRT((1)*$J$59*(1)+(1)*$K$59*(C88^1)+(1)*$L$59*(C88^2)+(C88^1)*$J$60*(1)+(C88^1)*$K$60*(C88^1)+(C88^1)*$L$60*(C88^2)+(C88^2)*$J$61*(1)+(C88^2)*$K$61*(C88^1)+(C88^2)*$L$61*(C88^2)))</x:f>
      </x:c>
      <x:c r="I88" s="3"/>
      <x:c r="J88" s="3"/>
      <x:c r="K88" s="3"/>
      <x:c r="L88" s="3"/>
      <x:c r="M88" s="3"/>
      <x:c r="N88" s="3"/>
      <x:c r="O88" s="3"/>
      <x:c r="P88" s="3"/>
      <x:c r="Q88" s="3"/>
    </x:row>
    <x:row r="89" ht="15" customHeight="1">
      <x:c r="A89" s="5" t="str">
        <x:f>IF(79&lt;='Сводка'!$B$3,'Сводка'!$B$4+79,"")</x:f>
      </x:c>
      <x:c r="B89" s="19" t="str">
        <x:f>IF($A89="","",(A89-37257+1)/1000)</x:f>
      </x:c>
      <x:c r="C89" s="19" t="str">
        <x:f>IF($A89="","",2*(A89-37257)/8978-1)</x:f>
      </x:c>
      <x:c r="D89" s="3" t="str">
        <x:f>IF($A89="","",$B$4+$B$5*C89^1+$B$6*C89^2)</x:f>
      </x:c>
      <x:c r="E89" s="3" t="str">
        <x:f>IF($A89="","",161.91559342174727*SQRT(1+(1)*$J$59*(1)+(1)*$K$59*(C89^1)+(1)*$L$59*(C89^2)+(C89^1)*$J$60*(1)+(C89^1)*$K$60*(C89^1)+(C89^1)*$L$60*(C89^2)+(C89^2)*$J$61*(1)+(C89^2)*$K$61*(C89^1)+(C89^2)*$L$61*(C89^2)))</x:f>
      </x:c>
      <x:c r="F89" s="3" t="str">
        <x:f>IF($A89="","",D89-1.9602401251089576*E89)</x:f>
      </x:c>
      <x:c r="G89" s="3" t="str">
        <x:f>IF($A89="","",D89+1.9602401251089576*E89)</x:f>
      </x:c>
      <x:c r="H89" s="3" t="str">
        <x:f>IF($A89="","",161.91559342174727*SQRT((1)*$J$59*(1)+(1)*$K$59*(C89^1)+(1)*$L$59*(C89^2)+(C89^1)*$J$60*(1)+(C89^1)*$K$60*(C89^1)+(C89^1)*$L$60*(C89^2)+(C89^2)*$J$61*(1)+(C89^2)*$K$61*(C89^1)+(C89^2)*$L$61*(C89^2)))</x:f>
      </x:c>
      <x:c r="I89" s="3"/>
      <x:c r="J89" s="3"/>
      <x:c r="K89" s="3"/>
      <x:c r="L89" s="3"/>
      <x:c r="M89" s="3"/>
      <x:c r="N89" s="3"/>
      <x:c r="O89" s="3"/>
      <x:c r="P89" s="3"/>
      <x:c r="Q89" s="3"/>
    </x:row>
    <x:row r="90" ht="15" customHeight="1">
      <x:c r="A90" s="5" t="str">
        <x:f>IF(80&lt;='Сводка'!$B$3,'Сводка'!$B$4+80,"")</x:f>
      </x:c>
      <x:c r="B90" s="19" t="str">
        <x:f>IF($A90="","",(A90-37257+1)/1000)</x:f>
      </x:c>
      <x:c r="C90" s="19" t="str">
        <x:f>IF($A90="","",2*(A90-37257)/8978-1)</x:f>
      </x:c>
      <x:c r="D90" s="3" t="str">
        <x:f>IF($A90="","",$B$4+$B$5*C90^1+$B$6*C90^2)</x:f>
      </x:c>
      <x:c r="E90" s="3" t="str">
        <x:f>IF($A90="","",161.91559342174727*SQRT(1+(1)*$J$59*(1)+(1)*$K$59*(C90^1)+(1)*$L$59*(C90^2)+(C90^1)*$J$60*(1)+(C90^1)*$K$60*(C90^1)+(C90^1)*$L$60*(C90^2)+(C90^2)*$J$61*(1)+(C90^2)*$K$61*(C90^1)+(C90^2)*$L$61*(C90^2)))</x:f>
      </x:c>
      <x:c r="F90" s="3" t="str">
        <x:f>IF($A90="","",D90-1.9602401251089576*E90)</x:f>
      </x:c>
      <x:c r="G90" s="3" t="str">
        <x:f>IF($A90="","",D90+1.9602401251089576*E90)</x:f>
      </x:c>
      <x:c r="H90" s="3" t="str">
        <x:f>IF($A90="","",161.91559342174727*SQRT((1)*$J$59*(1)+(1)*$K$59*(C90^1)+(1)*$L$59*(C90^2)+(C90^1)*$J$60*(1)+(C90^1)*$K$60*(C90^1)+(C90^1)*$L$60*(C90^2)+(C90^2)*$J$61*(1)+(C90^2)*$K$61*(C90^1)+(C90^2)*$L$61*(C90^2)))</x:f>
      </x:c>
      <x:c r="I90" s="3"/>
      <x:c r="J90" s="3"/>
      <x:c r="K90" s="3"/>
      <x:c r="L90" s="3"/>
      <x:c r="M90" s="3"/>
      <x:c r="N90" s="3"/>
      <x:c r="O90" s="3"/>
      <x:c r="P90" s="3"/>
      <x:c r="Q90" s="3"/>
    </x:row>
    <x:row r="91" ht="15" customHeight="1">
      <x:c r="A91" s="5" t="str">
        <x:f>IF(81&lt;='Сводка'!$B$3,'Сводка'!$B$4+81,"")</x:f>
      </x:c>
      <x:c r="B91" s="19" t="str">
        <x:f>IF($A91="","",(A91-37257+1)/1000)</x:f>
      </x:c>
      <x:c r="C91" s="19" t="str">
        <x:f>IF($A91="","",2*(A91-37257)/8978-1)</x:f>
      </x:c>
      <x:c r="D91" s="3" t="str">
        <x:f>IF($A91="","",$B$4+$B$5*C91^1+$B$6*C91^2)</x:f>
      </x:c>
      <x:c r="E91" s="3" t="str">
        <x:f>IF($A91="","",161.91559342174727*SQRT(1+(1)*$J$59*(1)+(1)*$K$59*(C91^1)+(1)*$L$59*(C91^2)+(C91^1)*$J$60*(1)+(C91^1)*$K$60*(C91^1)+(C91^1)*$L$60*(C91^2)+(C91^2)*$J$61*(1)+(C91^2)*$K$61*(C91^1)+(C91^2)*$L$61*(C91^2)))</x:f>
      </x:c>
      <x:c r="F91" s="3" t="str">
        <x:f>IF($A91="","",D91-1.9602401251089576*E91)</x:f>
      </x:c>
      <x:c r="G91" s="3" t="str">
        <x:f>IF($A91="","",D91+1.9602401251089576*E91)</x:f>
      </x:c>
      <x:c r="H91" s="3" t="str">
        <x:f>IF($A91="","",161.91559342174727*SQRT((1)*$J$59*(1)+(1)*$K$59*(C91^1)+(1)*$L$59*(C91^2)+(C91^1)*$J$60*(1)+(C91^1)*$K$60*(C91^1)+(C91^1)*$L$60*(C91^2)+(C91^2)*$J$61*(1)+(C91^2)*$K$61*(C91^1)+(C91^2)*$L$61*(C91^2)))</x:f>
      </x:c>
      <x:c r="I91" s="3"/>
      <x:c r="J91" s="3"/>
      <x:c r="K91" s="3"/>
      <x:c r="L91" s="3"/>
      <x:c r="M91" s="3"/>
      <x:c r="N91" s="3"/>
      <x:c r="O91" s="3"/>
      <x:c r="P91" s="3"/>
      <x:c r="Q91" s="3"/>
    </x:row>
    <x:row r="92" ht="15" customHeight="1">
      <x:c r="A92" s="5" t="str">
        <x:f>IF(82&lt;='Сводка'!$B$3,'Сводка'!$B$4+82,"")</x:f>
      </x:c>
      <x:c r="B92" s="19" t="str">
        <x:f>IF($A92="","",(A92-37257+1)/1000)</x:f>
      </x:c>
      <x:c r="C92" s="19" t="str">
        <x:f>IF($A92="","",2*(A92-37257)/8978-1)</x:f>
      </x:c>
      <x:c r="D92" s="3" t="str">
        <x:f>IF($A92="","",$B$4+$B$5*C92^1+$B$6*C92^2)</x:f>
      </x:c>
      <x:c r="E92" s="3" t="str">
        <x:f>IF($A92="","",161.91559342174727*SQRT(1+(1)*$J$59*(1)+(1)*$K$59*(C92^1)+(1)*$L$59*(C92^2)+(C92^1)*$J$60*(1)+(C92^1)*$K$60*(C92^1)+(C92^1)*$L$60*(C92^2)+(C92^2)*$J$61*(1)+(C92^2)*$K$61*(C92^1)+(C92^2)*$L$61*(C92^2)))</x:f>
      </x:c>
      <x:c r="F92" s="3" t="str">
        <x:f>IF($A92="","",D92-1.9602401251089576*E92)</x:f>
      </x:c>
      <x:c r="G92" s="3" t="str">
        <x:f>IF($A92="","",D92+1.9602401251089576*E92)</x:f>
      </x:c>
      <x:c r="H92" s="3" t="str">
        <x:f>IF($A92="","",161.91559342174727*SQRT((1)*$J$59*(1)+(1)*$K$59*(C92^1)+(1)*$L$59*(C92^2)+(C92^1)*$J$60*(1)+(C92^1)*$K$60*(C92^1)+(C92^1)*$L$60*(C92^2)+(C92^2)*$J$61*(1)+(C92^2)*$K$61*(C92^1)+(C92^2)*$L$61*(C92^2)))</x:f>
      </x:c>
      <x:c r="I92" s="3"/>
      <x:c r="J92" s="3"/>
      <x:c r="K92" s="3"/>
      <x:c r="L92" s="3"/>
      <x:c r="M92" s="3"/>
      <x:c r="N92" s="3"/>
      <x:c r="O92" s="3"/>
      <x:c r="P92" s="3"/>
      <x:c r="Q92" s="3"/>
    </x:row>
    <x:row r="93" ht="15" customHeight="1">
      <x:c r="A93" s="5" t="str">
        <x:f>IF(83&lt;='Сводка'!$B$3,'Сводка'!$B$4+83,"")</x:f>
      </x:c>
      <x:c r="B93" s="19" t="str">
        <x:f>IF($A93="","",(A93-37257+1)/1000)</x:f>
      </x:c>
      <x:c r="C93" s="19" t="str">
        <x:f>IF($A93="","",2*(A93-37257)/8978-1)</x:f>
      </x:c>
      <x:c r="D93" s="3" t="str">
        <x:f>IF($A93="","",$B$4+$B$5*C93^1+$B$6*C93^2)</x:f>
      </x:c>
      <x:c r="E93" s="3" t="str">
        <x:f>IF($A93="","",161.91559342174727*SQRT(1+(1)*$J$59*(1)+(1)*$K$59*(C93^1)+(1)*$L$59*(C93^2)+(C93^1)*$J$60*(1)+(C93^1)*$K$60*(C93^1)+(C93^1)*$L$60*(C93^2)+(C93^2)*$J$61*(1)+(C93^2)*$K$61*(C93^1)+(C93^2)*$L$61*(C93^2)))</x:f>
      </x:c>
      <x:c r="F93" s="3" t="str">
        <x:f>IF($A93="","",D93-1.9602401251089576*E93)</x:f>
      </x:c>
      <x:c r="G93" s="3" t="str">
        <x:f>IF($A93="","",D93+1.9602401251089576*E93)</x:f>
      </x:c>
      <x:c r="H93" s="3" t="str">
        <x:f>IF($A93="","",161.91559342174727*SQRT((1)*$J$59*(1)+(1)*$K$59*(C93^1)+(1)*$L$59*(C93^2)+(C93^1)*$J$60*(1)+(C93^1)*$K$60*(C93^1)+(C93^1)*$L$60*(C93^2)+(C93^2)*$J$61*(1)+(C93^2)*$K$61*(C93^1)+(C93^2)*$L$61*(C93^2)))</x:f>
      </x:c>
      <x:c r="I93" s="3"/>
      <x:c r="J93" s="3"/>
      <x:c r="K93" s="3"/>
      <x:c r="L93" s="3"/>
      <x:c r="M93" s="3"/>
      <x:c r="N93" s="3"/>
      <x:c r="O93" s="3"/>
      <x:c r="P93" s="3"/>
      <x:c r="Q93" s="3"/>
    </x:row>
    <x:row r="94" ht="15" customHeight="1">
      <x:c r="A94" s="5" t="str">
        <x:f>IF(84&lt;='Сводка'!$B$3,'Сводка'!$B$4+84,"")</x:f>
      </x:c>
      <x:c r="B94" s="19" t="str">
        <x:f>IF($A94="","",(A94-37257+1)/1000)</x:f>
      </x:c>
      <x:c r="C94" s="19" t="str">
        <x:f>IF($A94="","",2*(A94-37257)/8978-1)</x:f>
      </x:c>
      <x:c r="D94" s="3" t="str">
        <x:f>IF($A94="","",$B$4+$B$5*C94^1+$B$6*C94^2)</x:f>
      </x:c>
      <x:c r="E94" s="3" t="str">
        <x:f>IF($A94="","",161.91559342174727*SQRT(1+(1)*$J$59*(1)+(1)*$K$59*(C94^1)+(1)*$L$59*(C94^2)+(C94^1)*$J$60*(1)+(C94^1)*$K$60*(C94^1)+(C94^1)*$L$60*(C94^2)+(C94^2)*$J$61*(1)+(C94^2)*$K$61*(C94^1)+(C94^2)*$L$61*(C94^2)))</x:f>
      </x:c>
      <x:c r="F94" s="3" t="str">
        <x:f>IF($A94="","",D94-1.9602401251089576*E94)</x:f>
      </x:c>
      <x:c r="G94" s="3" t="str">
        <x:f>IF($A94="","",D94+1.9602401251089576*E94)</x:f>
      </x:c>
      <x:c r="H94" s="3" t="str">
        <x:f>IF($A94="","",161.91559342174727*SQRT((1)*$J$59*(1)+(1)*$K$59*(C94^1)+(1)*$L$59*(C94^2)+(C94^1)*$J$60*(1)+(C94^1)*$K$60*(C94^1)+(C94^1)*$L$60*(C94^2)+(C94^2)*$J$61*(1)+(C94^2)*$K$61*(C94^1)+(C94^2)*$L$61*(C94^2)))</x:f>
      </x:c>
      <x:c r="I94" s="3"/>
      <x:c r="J94" s="3"/>
      <x:c r="K94" s="3"/>
      <x:c r="L94" s="3"/>
      <x:c r="M94" s="3"/>
      <x:c r="N94" s="3"/>
      <x:c r="O94" s="3"/>
      <x:c r="P94" s="3"/>
      <x:c r="Q94" s="3"/>
    </x:row>
    <x:row r="95" ht="15" customHeight="1">
      <x:c r="A95" s="5" t="str">
        <x:f>IF(85&lt;='Сводка'!$B$3,'Сводка'!$B$4+85,"")</x:f>
      </x:c>
      <x:c r="B95" s="19" t="str">
        <x:f>IF($A95="","",(A95-37257+1)/1000)</x:f>
      </x:c>
      <x:c r="C95" s="19" t="str">
        <x:f>IF($A95="","",2*(A95-37257)/8978-1)</x:f>
      </x:c>
      <x:c r="D95" s="3" t="str">
        <x:f>IF($A95="","",$B$4+$B$5*C95^1+$B$6*C95^2)</x:f>
      </x:c>
      <x:c r="E95" s="3" t="str">
        <x:f>IF($A95="","",161.91559342174727*SQRT(1+(1)*$J$59*(1)+(1)*$K$59*(C95^1)+(1)*$L$59*(C95^2)+(C95^1)*$J$60*(1)+(C95^1)*$K$60*(C95^1)+(C95^1)*$L$60*(C95^2)+(C95^2)*$J$61*(1)+(C95^2)*$K$61*(C95^1)+(C95^2)*$L$61*(C95^2)))</x:f>
      </x:c>
      <x:c r="F95" s="3" t="str">
        <x:f>IF($A95="","",D95-1.9602401251089576*E95)</x:f>
      </x:c>
      <x:c r="G95" s="3" t="str">
        <x:f>IF($A95="","",D95+1.9602401251089576*E95)</x:f>
      </x:c>
      <x:c r="H95" s="3" t="str">
        <x:f>IF($A95="","",161.91559342174727*SQRT((1)*$J$59*(1)+(1)*$K$59*(C95^1)+(1)*$L$59*(C95^2)+(C95^1)*$J$60*(1)+(C95^1)*$K$60*(C95^1)+(C95^1)*$L$60*(C95^2)+(C95^2)*$J$61*(1)+(C95^2)*$K$61*(C95^1)+(C95^2)*$L$61*(C95^2)))</x:f>
      </x:c>
      <x:c r="I95" s="3"/>
      <x:c r="J95" s="3"/>
      <x:c r="K95" s="3"/>
      <x:c r="L95" s="3"/>
      <x:c r="M95" s="3"/>
      <x:c r="N95" s="3"/>
      <x:c r="O95" s="3"/>
      <x:c r="P95" s="3"/>
      <x:c r="Q95" s="3"/>
    </x:row>
    <x:row r="96" ht="15" customHeight="1">
      <x:c r="A96" s="5" t="str">
        <x:f>IF(86&lt;='Сводка'!$B$3,'Сводка'!$B$4+86,"")</x:f>
      </x:c>
      <x:c r="B96" s="19" t="str">
        <x:f>IF($A96="","",(A96-37257+1)/1000)</x:f>
      </x:c>
      <x:c r="C96" s="19" t="str">
        <x:f>IF($A96="","",2*(A96-37257)/8978-1)</x:f>
      </x:c>
      <x:c r="D96" s="3" t="str">
        <x:f>IF($A96="","",$B$4+$B$5*C96^1+$B$6*C96^2)</x:f>
      </x:c>
      <x:c r="E96" s="3" t="str">
        <x:f>IF($A96="","",161.91559342174727*SQRT(1+(1)*$J$59*(1)+(1)*$K$59*(C96^1)+(1)*$L$59*(C96^2)+(C96^1)*$J$60*(1)+(C96^1)*$K$60*(C96^1)+(C96^1)*$L$60*(C96^2)+(C96^2)*$J$61*(1)+(C96^2)*$K$61*(C96^1)+(C96^2)*$L$61*(C96^2)))</x:f>
      </x:c>
      <x:c r="F96" s="3" t="str">
        <x:f>IF($A96="","",D96-1.9602401251089576*E96)</x:f>
      </x:c>
      <x:c r="G96" s="3" t="str">
        <x:f>IF($A96="","",D96+1.9602401251089576*E96)</x:f>
      </x:c>
      <x:c r="H96" s="3" t="str">
        <x:f>IF($A96="","",161.91559342174727*SQRT((1)*$J$59*(1)+(1)*$K$59*(C96^1)+(1)*$L$59*(C96^2)+(C96^1)*$J$60*(1)+(C96^1)*$K$60*(C96^1)+(C96^1)*$L$60*(C96^2)+(C96^2)*$J$61*(1)+(C96^2)*$K$61*(C96^1)+(C96^2)*$L$61*(C96^2)))</x:f>
      </x:c>
      <x:c r="I96" s="3"/>
      <x:c r="J96" s="3"/>
      <x:c r="K96" s="3"/>
      <x:c r="L96" s="3"/>
      <x:c r="M96" s="3"/>
      <x:c r="N96" s="3"/>
      <x:c r="O96" s="3"/>
      <x:c r="P96" s="3"/>
      <x:c r="Q96" s="3"/>
    </x:row>
    <x:row r="97" ht="15" customHeight="1">
      <x:c r="A97" s="5" t="str">
        <x:f>IF(87&lt;='Сводка'!$B$3,'Сводка'!$B$4+87,"")</x:f>
      </x:c>
      <x:c r="B97" s="19" t="str">
        <x:f>IF($A97="","",(A97-37257+1)/1000)</x:f>
      </x:c>
      <x:c r="C97" s="19" t="str">
        <x:f>IF($A97="","",2*(A97-37257)/8978-1)</x:f>
      </x:c>
      <x:c r="D97" s="3" t="str">
        <x:f>IF($A97="","",$B$4+$B$5*C97^1+$B$6*C97^2)</x:f>
      </x:c>
      <x:c r="E97" s="3" t="str">
        <x:f>IF($A97="","",161.91559342174727*SQRT(1+(1)*$J$59*(1)+(1)*$K$59*(C97^1)+(1)*$L$59*(C97^2)+(C97^1)*$J$60*(1)+(C97^1)*$K$60*(C97^1)+(C97^1)*$L$60*(C97^2)+(C97^2)*$J$61*(1)+(C97^2)*$K$61*(C97^1)+(C97^2)*$L$61*(C97^2)))</x:f>
      </x:c>
      <x:c r="F97" s="3" t="str">
        <x:f>IF($A97="","",D97-1.9602401251089576*E97)</x:f>
      </x:c>
      <x:c r="G97" s="3" t="str">
        <x:f>IF($A97="","",D97+1.9602401251089576*E97)</x:f>
      </x:c>
      <x:c r="H97" s="3" t="str">
        <x:f>IF($A97="","",161.91559342174727*SQRT((1)*$J$59*(1)+(1)*$K$59*(C97^1)+(1)*$L$59*(C97^2)+(C97^1)*$J$60*(1)+(C97^1)*$K$60*(C97^1)+(C97^1)*$L$60*(C97^2)+(C97^2)*$J$61*(1)+(C97^2)*$K$61*(C97^1)+(C97^2)*$L$61*(C97^2)))</x:f>
      </x:c>
      <x:c r="I97" s="3"/>
      <x:c r="J97" s="3"/>
      <x:c r="K97" s="3"/>
      <x:c r="L97" s="3"/>
      <x:c r="M97" s="3"/>
      <x:c r="N97" s="3"/>
      <x:c r="O97" s="3"/>
      <x:c r="P97" s="3"/>
      <x:c r="Q97" s="3"/>
    </x:row>
    <x:row r="98" ht="15" customHeight="1">
      <x:c r="A98" s="5" t="str">
        <x:f>IF(88&lt;='Сводка'!$B$3,'Сводка'!$B$4+88,"")</x:f>
      </x:c>
      <x:c r="B98" s="19" t="str">
        <x:f>IF($A98="","",(A98-37257+1)/1000)</x:f>
      </x:c>
      <x:c r="C98" s="19" t="str">
        <x:f>IF($A98="","",2*(A98-37257)/8978-1)</x:f>
      </x:c>
      <x:c r="D98" s="3" t="str">
        <x:f>IF($A98="","",$B$4+$B$5*C98^1+$B$6*C98^2)</x:f>
      </x:c>
      <x:c r="E98" s="3" t="str">
        <x:f>IF($A98="","",161.91559342174727*SQRT(1+(1)*$J$59*(1)+(1)*$K$59*(C98^1)+(1)*$L$59*(C98^2)+(C98^1)*$J$60*(1)+(C98^1)*$K$60*(C98^1)+(C98^1)*$L$60*(C98^2)+(C98^2)*$J$61*(1)+(C98^2)*$K$61*(C98^1)+(C98^2)*$L$61*(C98^2)))</x:f>
      </x:c>
      <x:c r="F98" s="3" t="str">
        <x:f>IF($A98="","",D98-1.9602401251089576*E98)</x:f>
      </x:c>
      <x:c r="G98" s="3" t="str">
        <x:f>IF($A98="","",D98+1.9602401251089576*E98)</x:f>
      </x:c>
      <x:c r="H98" s="3" t="str">
        <x:f>IF($A98="","",161.91559342174727*SQRT((1)*$J$59*(1)+(1)*$K$59*(C98^1)+(1)*$L$59*(C98^2)+(C98^1)*$J$60*(1)+(C98^1)*$K$60*(C98^1)+(C98^1)*$L$60*(C98^2)+(C98^2)*$J$61*(1)+(C98^2)*$K$61*(C98^1)+(C98^2)*$L$61*(C98^2)))</x:f>
      </x:c>
      <x:c r="I98" s="3"/>
      <x:c r="J98" s="3"/>
      <x:c r="K98" s="3"/>
      <x:c r="L98" s="3"/>
      <x:c r="M98" s="3"/>
      <x:c r="N98" s="3"/>
      <x:c r="O98" s="3"/>
      <x:c r="P98" s="3"/>
      <x:c r="Q98" s="3"/>
    </x:row>
    <x:row r="99" ht="15" customHeight="1">
      <x:c r="A99" s="5" t="str">
        <x:f>IF(89&lt;='Сводка'!$B$3,'Сводка'!$B$4+89,"")</x:f>
      </x:c>
      <x:c r="B99" s="19" t="str">
        <x:f>IF($A99="","",(A99-37257+1)/1000)</x:f>
      </x:c>
      <x:c r="C99" s="19" t="str">
        <x:f>IF($A99="","",2*(A99-37257)/8978-1)</x:f>
      </x:c>
      <x:c r="D99" s="3" t="str">
        <x:f>IF($A99="","",$B$4+$B$5*C99^1+$B$6*C99^2)</x:f>
      </x:c>
      <x:c r="E99" s="3" t="str">
        <x:f>IF($A99="","",161.91559342174727*SQRT(1+(1)*$J$59*(1)+(1)*$K$59*(C99^1)+(1)*$L$59*(C99^2)+(C99^1)*$J$60*(1)+(C99^1)*$K$60*(C99^1)+(C99^1)*$L$60*(C99^2)+(C99^2)*$J$61*(1)+(C99^2)*$K$61*(C99^1)+(C99^2)*$L$61*(C99^2)))</x:f>
      </x:c>
      <x:c r="F99" s="3" t="str">
        <x:f>IF($A99="","",D99-1.9602401251089576*E99)</x:f>
      </x:c>
      <x:c r="G99" s="3" t="str">
        <x:f>IF($A99="","",D99+1.9602401251089576*E99)</x:f>
      </x:c>
      <x:c r="H99" s="3" t="str">
        <x:f>IF($A99="","",161.91559342174727*SQRT((1)*$J$59*(1)+(1)*$K$59*(C99^1)+(1)*$L$59*(C99^2)+(C99^1)*$J$60*(1)+(C99^1)*$K$60*(C99^1)+(C99^1)*$L$60*(C99^2)+(C99^2)*$J$61*(1)+(C99^2)*$K$61*(C99^1)+(C99^2)*$L$61*(C99^2)))</x:f>
      </x:c>
      <x:c r="I99" s="3"/>
      <x:c r="J99" s="3"/>
      <x:c r="K99" s="3"/>
      <x:c r="L99" s="3"/>
      <x:c r="M99" s="3"/>
      <x:c r="N99" s="3"/>
      <x:c r="O99" s="3"/>
      <x:c r="P99" s="3"/>
      <x:c r="Q99" s="3"/>
    </x:row>
    <x:row r="100" ht="15" customHeight="1">
      <x:c r="A100" s="5" t="str">
        <x:f>IF(90&lt;='Сводка'!$B$3,'Сводка'!$B$4+90,"")</x:f>
      </x:c>
      <x:c r="B100" s="19" t="str">
        <x:f>IF($A100="","",(A100-37257+1)/1000)</x:f>
      </x:c>
      <x:c r="C100" s="19" t="str">
        <x:f>IF($A100="","",2*(A100-37257)/8978-1)</x:f>
      </x:c>
      <x:c r="D100" s="3" t="str">
        <x:f>IF($A100="","",$B$4+$B$5*C100^1+$B$6*C100^2)</x:f>
      </x:c>
      <x:c r="E100" s="3" t="str">
        <x:f>IF($A100="","",161.91559342174727*SQRT(1+(1)*$J$59*(1)+(1)*$K$59*(C100^1)+(1)*$L$59*(C100^2)+(C100^1)*$J$60*(1)+(C100^1)*$K$60*(C100^1)+(C100^1)*$L$60*(C100^2)+(C100^2)*$J$61*(1)+(C100^2)*$K$61*(C100^1)+(C100^2)*$L$61*(C100^2)))</x:f>
      </x:c>
      <x:c r="F100" s="3" t="str">
        <x:f>IF($A100="","",D100-1.9602401251089576*E100)</x:f>
      </x:c>
      <x:c r="G100" s="3" t="str">
        <x:f>IF($A100="","",D100+1.9602401251089576*E100)</x:f>
      </x:c>
      <x:c r="H100" s="3" t="str">
        <x:f>IF($A100="","",161.91559342174727*SQRT((1)*$J$59*(1)+(1)*$K$59*(C100^1)+(1)*$L$59*(C100^2)+(C100^1)*$J$60*(1)+(C100^1)*$K$60*(C100^1)+(C100^1)*$L$60*(C100^2)+(C100^2)*$J$61*(1)+(C100^2)*$K$61*(C100^1)+(C100^2)*$L$61*(C100^2)))</x:f>
      </x:c>
      <x:c r="I100" s="3"/>
      <x:c r="J100" s="3"/>
      <x:c r="K100" s="3"/>
      <x:c r="L100" s="3"/>
      <x:c r="M100" s="3"/>
      <x:c r="N100" s="3"/>
      <x:c r="O100" s="3"/>
      <x:c r="P100" s="3"/>
      <x:c r="Q100" s="3"/>
    </x:row>
    <x:row r="101" ht="1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</x:row>
  </x:sheetData>
  <x:pageMargins left="0.7" right="0.7" top="0.75" bottom="0.75" header="0.3" footer="0.3"/>
  <x:drawing xmlns:r="http://schemas.openxmlformats.org/officeDocument/2006/relationships" r:id="R515188e5ebf84f85"/>
</x:worksheet>
</file>

<file path=xl/worksheets/sheet3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5" customHeight="1">
      <x:c r="A1" s="3" t="str">
        <x:v>Полином 3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customHeight="1">
      <x:c r="A2" s="3" t="str">
        <x:v>H = a0 + a1·u + a2·u² + a3·u³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customHeight="1">
      <x:c r="A3" s="12" t="str">
        <x:v>Коэф.</x:v>
      </x:c>
      <x:c r="B3" s="12" t="str">
        <x:v>Оценка</x:v>
      </x:c>
      <x:c r="C3" s="12" t="str">
        <x:v>SE</x:v>
      </x:c>
      <x:c r="D3" s="3" t="str">
        <x:v>Коэффициенты (тест)</x:v>
      </x:c>
      <x:c r="E3" s="3"/>
      <x:c r="F3" s="3" t="str">
        <x:v>Показатели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customHeight="1">
      <x:c r="A4" s="7" t="str">
        <x:v>a0</x:v>
      </x:c>
      <x:c r="B4" s="15" t="n">
        <x:f>$J$59*$O$52+$K$59*$O$53+$L$59*$O$54+$M$59*$O$55</x:f>
        <x:v>91.62735984202727</x:v>
      </x:c>
      <x:c r="C4" s="15" t="n">
        <x:f>161.8079477996237*SQRT($J$59)</x:f>
        <x:v>2.577047150381927</x:v>
      </x:c>
      <x:c r="D4" s="7" t="str">
        <x:v>a0</x:v>
      </x:c>
      <x:c r="E4" s="15" t="n">
        <x:v>92.03926292390902</x:v>
      </x:c>
      <x:c r="F4" s="7" t="str">
        <x:v>R²</x:v>
      </x:c>
      <x:c r="G4" s="17" t="n">
        <x:v>0.11597430316902846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customHeight="1">
      <x:c r="A5" s="7" t="str">
        <x:v>a1</x:v>
      </x:c>
      <x:c r="B5" s="15" t="n">
        <x:f>$J$60*$O$52+$K$60*$O$53+$L$60*$O$54+$M$60*$O$55</x:f>
        <x:v>119.55856991171049</x:v>
      </x:c>
      <x:c r="C5" s="15" t="n">
        <x:f>161.8079477996237*SQRT($K$60)</x:f>
        <x:v>7.56396041192975</x:v>
      </x:c>
      <x:c r="D5" s="7" t="str">
        <x:v>a1</x:v>
      </x:c>
      <x:c r="E5" s="15" t="n">
        <x:v>123.64220312111763</x:v>
      </x:c>
      <x:c r="F5" s="7" t="str">
        <x:v>MAE</x:v>
      </x:c>
      <x:c r="G5" s="7" t="n">
        <x:f>AVERAGE(N20:N49)</x:f>
        <x:v>164.45488948550974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15" customHeight="1">
      <x:c r="A6" s="7" t="str">
        <x:v>a2</x:v>
      </x:c>
      <x:c r="B6" s="15" t="n">
        <x:f>$J$61*$O$52+$K$61*$O$53+$L$61*$O$54+$M$61*$O$55</x:f>
        <x:v>-68.0355049403262</x:v>
      </x:c>
      <x:c r="C6" s="15" t="n">
        <x:f>161.8079477996237*SQRT($L$61)</x:f>
        <x:v>5.8129974294294176</x:v>
      </x:c>
      <x:c r="D6" s="7" t="str">
        <x:v>a2</x:v>
      </x:c>
      <x:c r="E6" s="15" t="n">
        <x:v>-71.36307325326372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15" customHeight="1">
      <x:c r="A7" s="7" t="str">
        <x:v>a3</x:v>
      </x:c>
      <x:c r="B7" s="15" t="n">
        <x:f>$J$62*$O$52+$K$62*$O$53+$L$62*$O$54+$M$62*$O$55</x:f>
        <x:v>-40.47783448583675</x:v>
      </x:c>
      <x:c r="C7" s="15" t="n">
        <x:f>161.8079477996237*SQRT($M$62)</x:f>
        <x:v>11.478391052289252</x:v>
      </x:c>
      <x:c r="D7" s="7" t="str">
        <x:v>a3</x:v>
      </x:c>
      <x:c r="E7" s="15" t="n">
        <x:v>-49.65428424367901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1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ht="15" customHeight="1">
      <x:c r="A9" s="3" t="str">
        <x:v>Прогноз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ht="15" customHeight="1">
      <x:c r="A10" s="13" t="str">
        <x:v>Дата</x:v>
      </x:c>
      <x:c r="B10" s="13" t="str">
        <x:v>x</x:v>
      </x:c>
      <x:c r="C10" s="13" t="str">
        <x:v>u</x:v>
      </x:c>
      <x:c r="D10" s="13" t="str">
        <x:v>Прогноз</x:v>
      </x:c>
      <x:c r="E10" s="13" t="str">
        <x:v>SE прогноза</x:v>
      </x:c>
      <x:c r="F10" s="13" t="str">
        <x:v>Нижняя 95%</x:v>
      </x:c>
      <x:c r="G10" s="13" t="str">
        <x:v>Верхняя 95%</x:v>
      </x:c>
      <x:c r="H10" s="13" t="str">
        <x:v>SE среднего</x:v>
      </x:c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15" customHeight="1">
      <x:c r="A11" s="9" t="n">
        <x:f>IF(1&lt;='Сводка'!$B$3,'Сводка'!$B$4+1,"")</x:f>
        <x:v>46236</x:v>
      </x:c>
      <x:c r="B11" s="18" t="n">
        <x:f>IF($A11="","",(A11-37257+1)/1000)</x:f>
        <x:v>8.98</x:v>
      </x:c>
      <x:c r="C11" s="18" t="n">
        <x:f>IF($A11="","",2*(A11-37257)/8978-1)</x:f>
        <x:v>1.000222766763199</x:v>
      </x:c>
      <x:c r="D11" s="7" t="n">
        <x:f>IF($A11="","",$B$4+$B$5*C11^1+$B$6*C11^2+$B$7*C11^3)</x:f>
        <x:v>102.64185115340841</x:v>
      </x:c>
      <x:c r="E11" s="7" t="n">
        <x:f>IF($A11="","",161.80794779962352*SQRT(1+(1)*$J$59*(1)+(1)*$K$59*(C11^1)+(1)*$L$59*(C11^2)+(1)*$M$59*(C11^3)+(C11^1)*$J$60*(1)+(C11^1)*$K$60*(C11^1)+(C11^1)*$L$60*(C11^2)+(C11^1)*$M$60*(C11^3)+(C11^2)*$J$61*(1)+(C11^2)*$K$61*(C11^1)+(C11^2)*$L$61*(C11^2)+(C11^2)*$M$61*(C11^3)+(C11^3)*$J$62*(1)+(C11^3)*$K$62*(C11^1)+(C11^3)*$L$62*(C11^2)+(C11^3)*$M$62*(C11^3)))</x:f>
        <x:v>161.95927878057498</x:v>
      </x:c>
      <x:c r="F11" s="7" t="n">
        <x:f>IF($A11="","",D11-1.960240157256416*E11)</x:f>
        <x:v>-214.83723095256158</x:v>
      </x:c>
      <x:c r="G11" s="7" t="n">
        <x:f>IF($A11="","",D11+1.960240157256416*E11)</x:f>
        <x:v>420.12093325937843</x:v>
      </x:c>
      <x:c r="H11" s="7" t="n">
        <x:f>IF($A11="","",161.80794779962352*SQRT((1)*$J$59*(1)+(1)*$K$59*(C11^1)+(1)*$L$59*(C11^2)+(1)*$M$59*(C11^3)+(C11^1)*$J$60*(1)+(C11^1)*$K$60*(C11^1)+(C11^1)*$L$60*(C11^2)+(C11^1)*$M$60*(C11^3)+(C11^2)*$J$61*(1)+(C11^2)*$K$61*(C11^1)+(C11^2)*$L$61*(C11^2)+(C11^2)*$M$61*(C11^3)+(C11^3)*$J$62*(1)+(C11^3)*$K$62*(C11^1)+(C11^3)*$L$62*(C11^2)+(C11^3)*$M$62*(C11^3)))</x:f>
        <x:v>6.999715136941168</x:v>
      </x:c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customHeight="1">
      <x:c r="A12" s="9" t="n">
        <x:f>IF(2&lt;='Сводка'!$B$3,'Сводка'!$B$4+2,"")</x:f>
        <x:v>46237</x:v>
      </x:c>
      <x:c r="B12" s="18" t="n">
        <x:f>IF($A12="","",(A12-37257+1)/1000)</x:f>
        <x:v>8.981</x:v>
      </x:c>
      <x:c r="C12" s="18" t="n">
        <x:f>IF($A12="","",2*(A12-37257)/8978-1)</x:f>
        <x:v>1.0004455335263978</x:v>
      </x:c>
      <x:c r="D12" s="7" t="n">
        <x:f>IF($A12="","",$B$4+$B$5*C12^1+$B$6*C12^2+$B$7*C12^3)</x:f>
        <x:v>102.61109317174646</x:v>
      </x:c>
      <x:c r="E12" s="7" t="n">
        <x:f>IF($A12="","",161.80794779962352*SQRT(1+(1)*$J$59*(1)+(1)*$K$59*(C12^1)+(1)*$L$59*(C12^2)+(1)*$M$59*(C12^3)+(C12^1)*$J$60*(1)+(C12^1)*$K$60*(C12^1)+(C12^1)*$L$60*(C12^2)+(C12^1)*$M$60*(C12^3)+(C12^2)*$J$61*(1)+(C12^2)*$K$61*(C12^1)+(C12^2)*$L$61*(C12^2)+(C12^2)*$M$61*(C12^3)+(C12^3)*$J$62*(1)+(C12^3)*$K$62*(C12^1)+(C12^3)*$L$62*(C12^2)+(C12^3)*$M$62*(C12^3)))</x:f>
        <x:v>161.95952751551835</x:v>
      </x:c>
      <x:c r="F12" s="7" t="n">
        <x:f>IF($A12="","",D12-1.960240157256416*E12)</x:f>
        <x:v>-214.86847651444805</x:v>
      </x:c>
      <x:c r="G12" s="7" t="n">
        <x:f>IF($A12="","",D12+1.960240157256416*E12)</x:f>
        <x:v>420.09066285794097</x:v>
      </x:c>
      <x:c r="H12" s="7" t="n">
        <x:f>IF($A12="","",161.80794779962352*SQRT((1)*$J$59*(1)+(1)*$K$59*(C12^1)+(1)*$L$59*(C12^2)+(1)*$M$59*(C12^3)+(C12^1)*$J$60*(1)+(C12^1)*$K$60*(C12^1)+(C12^1)*$L$60*(C12^2)+(C12^1)*$M$60*(C12^3)+(C12^2)*$J$61*(1)+(C12^2)*$K$61*(C12^1)+(C12^2)*$L$61*(C12^2)+(C12^2)*$M$61*(C12^3)+(C12^3)*$J$62*(1)+(C12^3)*$K$62*(C12^1)+(C12^3)*$L$62*(C12^2)+(C12^3)*$M$62*(C12^3)))</x:f>
        <x:v>7.005468001800516</x:v>
      </x:c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customHeight="1">
      <x:c r="A13" s="9" t="n">
        <x:f>IF(3&lt;='Сводка'!$B$3,'Сводка'!$B$4+3,"")</x:f>
        <x:v>46238</x:v>
      </x:c>
      <x:c r="B13" s="18" t="n">
        <x:f>IF($A13="","",(A13-37257+1)/1000)</x:f>
        <x:v>8.982</x:v>
      </x:c>
      <x:c r="C13" s="18" t="n">
        <x:f>IF($A13="","",2*(A13-37257)/8978-1)</x:f>
        <x:v>1.0006683002895969</x:v>
      </x:c>
      <x:c r="D13" s="7" t="n">
        <x:f>IF($A13="","",$B$4+$B$5*C13^1+$B$6*C13^2+$B$7*C13^3)</x:f>
        <x:v>102.58031637990402</x:v>
      </x:c>
      <x:c r="E13" s="7" t="n">
        <x:f>IF($A13="","",161.80794779962352*SQRT(1+(1)*$J$59*(1)+(1)*$K$59*(C13^1)+(1)*$L$59*(C13^2)+(1)*$M$59*(C13^3)+(C13^1)*$J$60*(1)+(C13^1)*$K$60*(C13^1)+(C13^1)*$L$60*(C13^2)+(C13^1)*$M$60*(C13^3)+(C13^2)*$J$61*(1)+(C13^2)*$K$61*(C13^1)+(C13^2)*$L$61*(C13^2)+(C13^2)*$M$61*(C13^3)+(C13^3)*$J$62*(1)+(C13^3)*$K$62*(C13^1)+(C13^3)*$L$62*(C13^2)+(C13^3)*$M$62*(C13^3)))</x:f>
        <x:v>161.95977663740436</x:v>
      </x:c>
      <x:c r="F13" s="7" t="n">
        <x:f>IF($A13="","",D13-1.960240157256416*E13)</x:f>
        <x:v>-214.89974164501555</x:v>
      </x:c>
      <x:c r="G13" s="7" t="n">
        <x:f>IF($A13="","",D13+1.960240157256416*E13)</x:f>
        <x:v>420.0603744048236</x:v>
      </x:c>
      <x:c r="H13" s="7" t="n">
        <x:f>IF($A13="","",161.80794779962352*SQRT((1)*$J$59*(1)+(1)*$K$59*(C13^1)+(1)*$L$59*(C13^2)+(1)*$M$59*(C13^3)+(C13^1)*$J$60*(1)+(C13^1)*$K$60*(C13^1)+(C13^1)*$L$60*(C13^2)+(C13^1)*$M$60*(C13^3)+(C13^2)*$J$61*(1)+(C13^2)*$K$61*(C13^1)+(C13^2)*$L$61*(C13^2)+(C13^2)*$M$61*(C13^3)+(C13^3)*$J$62*(1)+(C13^3)*$K$62*(C13^1)+(C13^3)*$L$62*(C13^2)+(C13^3)*$M$62*(C13^3)))</x:f>
        <x:v>7.011225093534977</x:v>
      </x:c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customHeight="1">
      <x:c r="A14" s="9" t="n">
        <x:f>IF(4&lt;='Сводка'!$B$3,'Сводка'!$B$4+4,"")</x:f>
        <x:v>46239</x:v>
      </x:c>
      <x:c r="B14" s="18" t="n">
        <x:f>IF($A14="","",(A14-37257+1)/1000)</x:f>
        <x:v>8.983</x:v>
      </x:c>
      <x:c r="C14" s="18" t="n">
        <x:f>IF($A14="","",2*(A14-37257)/8978-1)</x:f>
        <x:v>1.0008910670527955</x:v>
      </x:c>
      <x:c r="D14" s="7" t="n">
        <x:f>IF($A14="","",$B$4+$B$5*C14^1+$B$6*C14^2+$B$7*C14^3)</x:f>
        <x:v>102.5495207751963</x:v>
      </x:c>
      <x:c r="E14" s="7" t="n">
        <x:f>IF($A14="","",161.80794779962352*SQRT(1+(1)*$J$59*(1)+(1)*$K$59*(C14^1)+(1)*$L$59*(C14^2)+(1)*$M$59*(C14^3)+(C14^1)*$J$60*(1)+(C14^1)*$K$60*(C14^1)+(C14^1)*$L$60*(C14^2)+(C14^1)*$M$60*(C14^3)+(C14^2)*$J$61*(1)+(C14^2)*$K$61*(C14^1)+(C14^2)*$L$61*(C14^2)+(C14^2)*$M$61*(C14^3)+(C14^3)*$J$62*(1)+(C14^3)*$K$62*(C14^1)+(C14^3)*$L$62*(C14^2)+(C14^3)*$M$62*(C14^3)))</x:f>
        <x:v>161.9600261466694</x:v>
      </x:c>
      <x:c r="F14" s="7" t="n">
        <x:f>IF($A14="","",D14-1.960240157256416*E14)</x:f>
        <x:v>-214.93102634780422</x:v>
      </x:c>
      <x:c r="G14" s="7" t="n">
        <x:f>IF($A14="","",D14+1.960240157256416*E14)</x:f>
        <x:v>420.0300678981968</x:v>
      </x:c>
      <x:c r="H14" s="7" t="n">
        <x:f>IF($A14="","",161.80794779962352*SQRT((1)*$J$59*(1)+(1)*$K$59*(C14^1)+(1)*$L$59*(C14^2)+(1)*$M$59*(C14^3)+(C14^1)*$J$60*(1)+(C14^1)*$K$60*(C14^1)+(C14^1)*$L$60*(C14^2)+(C14^1)*$M$60*(C14^3)+(C14^2)*$J$61*(1)+(C14^2)*$K$61*(C14^1)+(C14^2)*$L$61*(C14^2)+(C14^2)*$M$61*(C14^3)+(C14^3)*$J$62*(1)+(C14^3)*$K$62*(C14^1)+(C14^3)*$L$62*(C14^2)+(C14^3)*$M$62*(C14^3)))</x:f>
        <x:v>7.016986411853592</x:v>
      </x:c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customHeight="1">
      <x:c r="A15" s="9" t="n">
        <x:f>IF(5&lt;='Сводка'!$B$3,'Сводка'!$B$4+5,"")</x:f>
        <x:v>46240</x:v>
      </x:c>
      <x:c r="B15" s="18" t="n">
        <x:f>IF($A15="","",(A15-37257+1)/1000)</x:f>
        <x:v>8.984</x:v>
      </x:c>
      <x:c r="C15" s="18" t="n">
        <x:f>IF($A15="","",2*(A15-37257)/8978-1)</x:f>
        <x:v>1.0011138338159946</x:v>
      </x:c>
      <x:c r="D15" s="7" t="n">
        <x:f>IF($A15="","",$B$4+$B$5*C15^1+$B$6*C15^2+$B$7*C15^3)</x:f>
        <x:v>102.51870635493843</x:v>
      </x:c>
      <x:c r="E15" s="7" t="n">
        <x:f>IF($A15="","",161.80794779962352*SQRT(1+(1)*$J$59*(1)+(1)*$K$59*(C15^1)+(1)*$L$59*(C15^2)+(1)*$M$59*(C15^3)+(C15^1)*$J$60*(1)+(C15^1)*$K$60*(C15^1)+(C15^1)*$L$60*(C15^2)+(C15^1)*$M$60*(C15^3)+(C15^2)*$J$61*(1)+(C15^2)*$K$61*(C15^1)+(C15^2)*$L$61*(C15^2)+(C15^2)*$M$61*(C15^3)+(C15^3)*$J$62*(1)+(C15^3)*$K$62*(C15^1)+(C15^3)*$L$62*(C15^2)+(C15^3)*$M$62*(C15^3)))</x:f>
        <x:v>161.96027604375013</x:v>
      </x:c>
      <x:c r="F15" s="7" t="n">
        <x:f>IF($A15="","",D15-1.960240157256416*E15)</x:f>
        <x:v>-214.96233062635486</x:v>
      </x:c>
      <x:c r="G15" s="7" t="n">
        <x:f>IF($A15="","",D15+1.960240157256416*E15)</x:f>
        <x:v>419.99974333623175</x:v>
      </x:c>
      <x:c r="H15" s="7" t="n">
        <x:f>IF($A15="","",161.80794779962352*SQRT((1)*$J$59*(1)+(1)*$K$59*(C15^1)+(1)*$L$59*(C15^2)+(1)*$M$59*(C15^3)+(C15^1)*$J$60*(1)+(C15^1)*$K$60*(C15^1)+(C15^1)*$L$60*(C15^2)+(C15^1)*$M$60*(C15^3)+(C15^2)*$J$61*(1)+(C15^2)*$K$61*(C15^1)+(C15^2)*$L$61*(C15^2)+(C15^2)*$M$61*(C15^3)+(C15^3)*$J$62*(1)+(C15^3)*$K$62*(C15^1)+(C15^3)*$L$62*(C15^2)+(C15^3)*$M$62*(C15^3)))</x:f>
        <x:v>7.022751956466583</x:v>
      </x:c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customHeight="1">
      <x:c r="A16" s="9" t="n">
        <x:f>IF(6&lt;='Сводка'!$B$3,'Сводка'!$B$4+6,"")</x:f>
        <x:v>46241</x:v>
      </x:c>
      <x:c r="B16" s="18" t="n">
        <x:f>IF($A16="","",(A16-37257+1)/1000)</x:f>
        <x:v>8.985</x:v>
      </x:c>
      <x:c r="C16" s="18" t="n">
        <x:f>IF($A16="","",2*(A16-37257)/8978-1)</x:f>
        <x:v>1.0013366005791937</x:v>
      </x:c>
      <x:c r="D16" s="7" t="n">
        <x:f>IF($A16="","",$B$4+$B$5*C16^1+$B$6*C16^2+$B$7*C16^3)</x:f>
        <x:v>102.48787311644556</x:v>
      </x:c>
      <x:c r="E16" s="7" t="n">
        <x:f>IF($A16="","",161.80794779962352*SQRT(1+(1)*$J$59*(1)+(1)*$K$59*(C16^1)+(1)*$L$59*(C16^2)+(1)*$M$59*(C16^3)+(C16^1)*$J$60*(1)+(C16^1)*$K$60*(C16^1)+(C16^1)*$L$60*(C16^2)+(C16^1)*$M$60*(C16^3)+(C16^2)*$J$61*(1)+(C16^2)*$K$61*(C16^1)+(C16^2)*$L$61*(C16^2)+(C16^2)*$M$61*(C16^3)+(C16^3)*$J$62*(1)+(C16^3)*$K$62*(C16^1)+(C16^3)*$L$62*(C16^2)+(C16^3)*$M$62*(C16^3)))</x:f>
        <x:v>161.96052632908365</x:v>
      </x:c>
      <x:c r="F16" s="7" t="n">
        <x:f>IF($A16="","",D16-1.960240157256416*E16)</x:f>
        <x:v>-214.9936544842093</x:v>
      </x:c>
      <x:c r="G16" s="7" t="n">
        <x:f>IF($A16="","",D16+1.960240157256416*E16)</x:f>
        <x:v>419.96940071710037</x:v>
      </x:c>
      <x:c r="H16" s="7" t="n">
        <x:f>IF($A16="","",161.80794779962352*SQRT((1)*$J$59*(1)+(1)*$K$59*(C16^1)+(1)*$L$59*(C16^2)+(1)*$M$59*(C16^3)+(C16^1)*$J$60*(1)+(C16^1)*$K$60*(C16^1)+(C16^1)*$L$60*(C16^2)+(C16^1)*$M$60*(C16^3)+(C16^2)*$J$61*(1)+(C16^2)*$K$61*(C16^1)+(C16^2)*$L$61*(C16^2)+(C16^2)*$M$61*(C16^3)+(C16^3)*$J$62*(1)+(C16^3)*$K$62*(C16^1)+(C16^3)*$L$62*(C16^2)+(C16^3)*$M$62*(C16^3)))</x:f>
        <x:v>7.028521727085245</x:v>
      </x:c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customHeight="1">
      <x:c r="A17" s="9" t="n">
        <x:f>IF(7&lt;='Сводка'!$B$3,'Сводка'!$B$4+7,"")</x:f>
        <x:v>46242</x:v>
      </x:c>
      <x:c r="B17" s="18" t="n">
        <x:f>IF($A17="","",(A17-37257+1)/1000)</x:f>
        <x:v>8.986</x:v>
      </x:c>
      <x:c r="C17" s="18" t="n">
        <x:f>IF($A17="","",2*(A17-37257)/8978-1)</x:f>
        <x:v>1.0015593673423924</x:v>
      </x:c>
      <x:c r="D17" s="7" t="n">
        <x:f>IF($A17="","",$B$4+$B$5*C17^1+$B$6*C17^2+$B$7*C17^3)</x:f>
        <x:v>102.4570210570329</x:v>
      </x:c>
      <x:c r="E17" s="7" t="n">
        <x:f>IF($A17="","",161.80794779962352*SQRT(1+(1)*$J$59*(1)+(1)*$K$59*(C17^1)+(1)*$L$59*(C17^2)+(1)*$M$59*(C17^3)+(C17^1)*$J$60*(1)+(C17^1)*$K$60*(C17^1)+(C17^1)*$L$60*(C17^2)+(C17^1)*$M$60*(C17^3)+(C17^2)*$J$61*(1)+(C17^2)*$K$61*(C17^1)+(C17^2)*$L$61*(C17^2)+(C17^2)*$M$61*(C17^3)+(C17^3)*$J$62*(1)+(C17^3)*$K$62*(C17^1)+(C17^3)*$L$62*(C17^2)+(C17^3)*$M$62*(C17^3)))</x:f>
        <x:v>161.96077700310727</x:v>
      </x:c>
      <x:c r="F17" s="7" t="n">
        <x:f>IF($A17="","",D17-1.960240157256416*E17)</x:f>
        <x:v>-215.0249979249094</x:v>
      </x:c>
      <x:c r="G17" s="7" t="n">
        <x:f>IF($A17="","",D17+1.960240157256416*E17)</x:f>
        <x:v>419.93904003897524</x:v>
      </x:c>
      <x:c r="H17" s="7" t="n">
        <x:f>IF($A17="","",161.80794779962352*SQRT((1)*$J$59*(1)+(1)*$K$59*(C17^1)+(1)*$L$59*(C17^2)+(1)*$M$59*(C17^3)+(C17^1)*$J$60*(1)+(C17^1)*$K$60*(C17^1)+(C17^1)*$L$60*(C17^2)+(C17^1)*$M$60*(C17^3)+(C17^2)*$J$61*(1)+(C17^2)*$K$61*(C17^1)+(C17^2)*$L$61*(C17^2)+(C17^2)*$M$61*(C17^3)+(C17^3)*$J$62*(1)+(C17^3)*$K$62*(C17^1)+(C17^3)*$L$62*(C17^2)+(C17^3)*$M$62*(C17^3)))</x:f>
        <x:v>7.034295723422028</x:v>
      </x:c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customHeight="1">
      <x:c r="A18" s="9" t="n">
        <x:f>IF(8&lt;='Сводка'!$B$3,'Сводка'!$B$4+8,"")</x:f>
        <x:v>46243</x:v>
      </x:c>
      <x:c r="B18" s="18" t="n">
        <x:f>IF($A18="","",(A18-37257+1)/1000)</x:f>
        <x:v>8.987</x:v>
      </x:c>
      <x:c r="C18" s="18" t="n">
        <x:f>IF($A18="","",2*(A18-37257)/8978-1)</x:f>
        <x:v>1.0017821341055915</x:v>
      </x:c>
      <x:c r="D18" s="7" t="n">
        <x:f>IF($A18="","",$B$4+$B$5*C18^1+$B$6*C18^2+$B$7*C18^3)</x:f>
        <x:v>102.4261501740155</x:v>
      </x:c>
      <x:c r="E18" s="7" t="n">
        <x:f>IF($A18="","",161.80794779962352*SQRT(1+(1)*$J$59*(1)+(1)*$K$59*(C18^1)+(1)*$L$59*(C18^2)+(1)*$M$59*(C18^3)+(C18^1)*$J$60*(1)+(C18^1)*$K$60*(C18^1)+(C18^1)*$L$60*(C18^2)+(C18^1)*$M$60*(C18^3)+(C18^2)*$J$61*(1)+(C18^2)*$K$61*(C18^1)+(C18^2)*$L$61*(C18^2)+(C18^2)*$M$61*(C18^3)+(C18^3)*$J$62*(1)+(C18^3)*$K$62*(C18^1)+(C18^3)*$L$62*(C18^2)+(C18^3)*$M$62*(C18^3)))</x:f>
        <x:v>161.9610280662587</x:v>
      </x:c>
      <x:c r="F18" s="7" t="n">
        <x:f>IF($A18="","",D18-1.960240157256416*E18)</x:f>
        <x:v>-215.05636095199827</x:v>
      </x:c>
      <x:c r="G18" s="7" t="n">
        <x:f>IF($A18="","",D18+1.960240157256416*E18)</x:f>
        <x:v>419.9086613000293</x:v>
      </x:c>
      <x:c r="H18" s="7" t="n">
        <x:f>IF($A18="","",161.80794779962352*SQRT((1)*$J$59*(1)+(1)*$K$59*(C18^1)+(1)*$L$59*(C18^2)+(1)*$M$59*(C18^3)+(C18^1)*$J$60*(1)+(C18^1)*$K$60*(C18^1)+(C18^1)*$L$60*(C18^2)+(C18^1)*$M$60*(C18^3)+(C18^2)*$J$61*(1)+(C18^2)*$K$61*(C18^1)+(C18^2)*$L$61*(C18^2)+(C18^2)*$M$61*(C18^3)+(C18^3)*$J$62*(1)+(C18^3)*$K$62*(C18^1)+(C18^3)*$L$62*(C18^2)+(C18^3)*$M$62*(C18^3)))</x:f>
        <x:v>7.040073945190519</x:v>
      </x:c>
      <x:c r="I18" s="3"/>
      <x:c r="J18" s="3" t="str">
        <x:v>Тестовый период</x:v>
      </x:c>
      <x:c r="K18" s="3"/>
      <x:c r="L18" s="3"/>
      <x:c r="M18" s="3"/>
      <x:c r="N18" s="3"/>
      <x:c r="O18" s="3"/>
      <x:c r="P18" s="3"/>
      <x:c r="Q18" s="3"/>
    </x:row>
    <x:row r="19" ht="15" customHeight="1">
      <x:c r="A19" s="9" t="n">
        <x:f>IF(9&lt;='Сводка'!$B$3,'Сводка'!$B$4+9,"")</x:f>
        <x:v>46244</x:v>
      </x:c>
      <x:c r="B19" s="18" t="n">
        <x:f>IF($A19="","",(A19-37257+1)/1000)</x:f>
        <x:v>8.988</x:v>
      </x:c>
      <x:c r="C19" s="18" t="n">
        <x:f>IF($A19="","",2*(A19-37257)/8978-1)</x:f>
        <x:v>1.0020049008687906</x:v>
      </x:c>
      <x:c r="D19" s="7" t="n">
        <x:f>IF($A19="","",$B$4+$B$5*C19^1+$B$6*C19^2+$B$7*C19^3)</x:f>
        <x:v>102.3952604647086</x:v>
      </x:c>
      <x:c r="E19" s="7" t="n">
        <x:f>IF($A19="","",161.80794779962352*SQRT(1+(1)*$J$59*(1)+(1)*$K$59*(C19^1)+(1)*$L$59*(C19^2)+(1)*$M$59*(C19^3)+(C19^1)*$J$60*(1)+(C19^1)*$K$60*(C19^1)+(C19^1)*$L$60*(C19^2)+(C19^1)*$M$60*(C19^3)+(C19^2)*$J$61*(1)+(C19^2)*$K$61*(C19^1)+(C19^2)*$L$61*(C19^2)+(C19^2)*$M$61*(C19^3)+(C19^3)*$J$62*(1)+(C19^3)*$K$62*(C19^1)+(C19^3)*$L$62*(C19^2)+(C19^3)*$M$62*(C19^3)))</x:f>
        <x:v>161.96127951897597</x:v>
      </x:c>
      <x:c r="F19" s="7" t="n">
        <x:f>IF($A19="","",D19-1.960240157256416*E19)</x:f>
        <x:v>-215.0877435690192</x:v>
      </x:c>
      <x:c r="G19" s="7" t="n">
        <x:f>IF($A19="","",D19+1.960240157256416*E19)</x:f>
        <x:v>419.8782644984364</x:v>
      </x:c>
      <x:c r="H19" s="7" t="n">
        <x:f>IF($A19="","",161.80794779962352*SQRT((1)*$J$59*(1)+(1)*$K$59*(C19^1)+(1)*$L$59*(C19^2)+(1)*$M$59*(C19^3)+(C19^1)*$J$60*(1)+(C19^1)*$K$60*(C19^1)+(C19^1)*$L$60*(C19^2)+(C19^1)*$M$60*(C19^3)+(C19^2)*$J$61*(1)+(C19^2)*$K$61*(C19^1)+(C19^2)*$L$61*(C19^2)+(C19^2)*$M$61*(C19^3)+(C19^3)*$J$62*(1)+(C19^3)*$K$62*(C19^1)+(C19^3)*$L$62*(C19^2)+(C19^3)*$M$62*(C19^3)))</x:f>
        <x:v>7.045856392105422</x:v>
      </x:c>
      <x:c r="I19" s="3"/>
      <x:c r="J19" s="13" t="str">
        <x:v>Дата</x:v>
      </x:c>
      <x:c r="K19" s="13" t="str">
        <x:v>Факт</x:v>
      </x:c>
      <x:c r="L19" s="13" t="str">
        <x:v>Прогноз</x:v>
      </x:c>
      <x:c r="M19" s="13" t="str">
        <x:v>Ошибка</x:v>
      </x:c>
      <x:c r="N19" s="13" t="str">
        <x:v>|Ошибка|</x:v>
      </x:c>
      <x:c r="O19" s="3"/>
      <x:c r="P19" s="3"/>
      <x:c r="Q19" s="3"/>
    </x:row>
    <x:row r="20" ht="15" customHeight="1">
      <x:c r="A20" s="9" t="n">
        <x:f>IF(10&lt;='Сводка'!$B$3,'Сводка'!$B$4+10,"")</x:f>
        <x:v>46245</x:v>
      </x:c>
      <x:c r="B20" s="18" t="n">
        <x:f>IF($A20="","",(A20-37257+1)/1000)</x:f>
        <x:v>8.989</x:v>
      </x:c>
      <x:c r="C20" s="18" t="n">
        <x:f>IF($A20="","",2*(A20-37257)/8978-1)</x:f>
        <x:v>1.0022276676319892</x:v>
      </x:c>
      <x:c r="D20" s="7" t="n">
        <x:f>IF($A20="","",$B$4+$B$5*C20^1+$B$6*C20^2+$B$7*C20^3)</x:f>
        <x:v>102.36435192642733</x:v>
      </x:c>
      <x:c r="E20" s="7" t="n">
        <x:f>IF($A20="","",161.80794779962352*SQRT(1+(1)*$J$59*(1)+(1)*$K$59*(C20^1)+(1)*$L$59*(C20^2)+(1)*$M$59*(C20^3)+(C20^1)*$J$60*(1)+(C20^1)*$K$60*(C20^1)+(C20^1)*$L$60*(C20^2)+(C20^1)*$M$60*(C20^3)+(C20^2)*$J$61*(1)+(C20^2)*$K$61*(C20^1)+(C20^2)*$L$61*(C20^2)+(C20^2)*$M$61*(C20^3)+(C20^3)*$J$62*(1)+(C20^3)*$K$62*(C20^1)+(C20^3)*$L$62*(C20^2)+(C20^3)*$M$62*(C20^3)))</x:f>
        <x:v>161.96153136169744</x:v>
      </x:c>
      <x:c r="F20" s="7" t="n">
        <x:f>IF($A20="","",D20-1.960240157256416*E20)</x:f>
        <x:v>-215.11914577951643</x:v>
      </x:c>
      <x:c r="G20" s="7" t="n">
        <x:f>IF($A20="","",D20+1.960240157256416*E20)</x:f>
        <x:v>419.8478496323711</x:v>
      </x:c>
      <x:c r="H20" s="7" t="n">
        <x:f>IF($A20="","",161.80794779962352*SQRT((1)*$J$59*(1)+(1)*$K$59*(C20^1)+(1)*$L$59*(C20^2)+(1)*$M$59*(C20^3)+(C20^1)*$J$60*(1)+(C20^1)*$K$60*(C20^1)+(C20^1)*$L$60*(C20^2)+(C20^1)*$M$60*(C20^3)+(C20^2)*$J$61*(1)+(C20^2)*$K$61*(C20^1)+(C20^2)*$L$61*(C20^2)+(C20^2)*$M$61*(C20^3)+(C20^3)*$J$62*(1)+(C20^3)*$K$62*(C20^1)+(C20^3)*$L$62*(C20^2)+(C20^3)*$M$62*(C20^3)))</x:f>
        <x:v>7.051643063882554</x:v>
      </x:c>
      <x:c r="I20" s="3"/>
      <x:c r="J20" s="9" t="n">
        <x:v>46206</x:v>
      </x:c>
      <x:c r="K20" s="7" t="n">
        <x:v>105</x:v>
      </x:c>
      <x:c r="L20" s="7" t="n">
        <x:f>$E$4+$E$5*(2*(J20-37257)/('Сводка'!$B$7-37257)-1)^1+$E$6*(2*(J20-37257)/('Сводка'!$B$7-37257)-1)^2+$E$7*(2*(J20-37257)/('Сводка'!$B$7-37257)-1)^3</x:f>
        <x:v>94.62653679027314</x:v>
      </x:c>
      <x:c r="M20" s="7" t="n">
        <x:f>K20-L20</x:f>
        <x:v>10.373463209726864</x:v>
      </x:c>
      <x:c r="N20" s="7" t="n">
        <x:f>ABS(M20)</x:f>
        <x:v>10.373463209726864</x:v>
      </x:c>
      <x:c r="O20" s="3"/>
      <x:c r="P20" s="3"/>
      <x:c r="Q20" s="3"/>
    </x:row>
    <x:row r="21" ht="15" customHeight="1">
      <x:c r="A21" s="9" t="n">
        <x:f>IF(11&lt;='Сводка'!$B$3,'Сводка'!$B$4+11,"")</x:f>
        <x:v>46246</x:v>
      </x:c>
      <x:c r="B21" s="18" t="n">
        <x:f>IF($A21="","",(A21-37257+1)/1000)</x:f>
        <x:v>8.99</x:v>
      </x:c>
      <x:c r="C21" s="18" t="n">
        <x:f>IF($A21="","",2*(A21-37257)/8978-1)</x:f>
        <x:v>1.0024504343951883</x:v>
      </x:c>
      <x:c r="D21" s="7" t="n">
        <x:f>IF($A21="","",$B$4+$B$5*C21^1+$B$6*C21^2+$B$7*C21^3)</x:f>
        <x:v>102.33342455648682</x:v>
      </x:c>
      <x:c r="E21" s="7" t="n">
        <x:f>IF($A21="","",161.80794779962352*SQRT(1+(1)*$J$59*(1)+(1)*$K$59*(C21^1)+(1)*$L$59*(C21^2)+(1)*$M$59*(C21^3)+(C21^1)*$J$60*(1)+(C21^1)*$K$60*(C21^1)+(C21^1)*$L$60*(C21^2)+(C21^1)*$M$60*(C21^3)+(C21^2)*$J$61*(1)+(C21^2)*$K$61*(C21^1)+(C21^2)*$L$61*(C21^2)+(C21^2)*$M$61*(C21^3)+(C21^3)*$J$62*(1)+(C21^3)*$K$62*(C21^1)+(C21^3)*$L$62*(C21^2)+(C21^3)*$M$62*(C21^3)))</x:f>
        <x:v>161.96178359486174</x:v>
      </x:c>
      <x:c r="F21" s="7" t="n">
        <x:f>IF($A21="","",D21-1.960240157256416*E21)</x:f>
        <x:v>-215.15056758703457</x:v>
      </x:c>
      <x:c r="G21" s="7" t="n">
        <x:f>IF($A21="","",D21+1.960240157256416*E21)</x:f>
        <x:v>419.8174167000082</x:v>
      </x:c>
      <x:c r="H21" s="7" t="n">
        <x:f>IF($A21="","",161.80794779962352*SQRT((1)*$J$59*(1)+(1)*$K$59*(C21^1)+(1)*$L$59*(C21^2)+(1)*$M$59*(C21^3)+(C21^1)*$J$60*(1)+(C21^1)*$K$60*(C21^1)+(C21^1)*$L$60*(C21^2)+(C21^1)*$M$60*(C21^3)+(C21^2)*$J$61*(1)+(C21^2)*$K$61*(C21^1)+(C21^2)*$L$61*(C21^2)+(C21^2)*$M$61*(C21^3)+(C21^3)*$J$62*(1)+(C21^3)*$K$62*(C21^1)+(C21^3)*$L$62*(C21^2)+(C21^3)*$M$62*(C21^3)))</x:f>
        <x:v>7.057433960238906</x:v>
      </x:c>
      <x:c r="I21" s="3"/>
      <x:c r="J21" s="9" t="n">
        <x:v>46207</x:v>
      </x:c>
      <x:c r="K21" s="7" t="n">
        <x:v>121</x:v>
      </x:c>
      <x:c r="L21" s="7" t="n">
        <x:f>$E$4+$E$5*(2*(J21-37257)/('Сводка'!$B$7-37257)-1)^1+$E$6*(2*(J21-37257)/('Сводка'!$B$7-37257)-1)^2+$E$7*(2*(J21-37257)/('Сводка'!$B$7-37257)-1)^3</x:f>
        <x:v>94.58894301489846</x:v>
      </x:c>
      <x:c r="M21" s="7" t="n">
        <x:f>K21-L21</x:f>
        <x:v>26.41105698510154</x:v>
      </x:c>
      <x:c r="N21" s="7" t="n">
        <x:f>ABS(M21)</x:f>
        <x:v>26.41105698510154</x:v>
      </x:c>
      <x:c r="O21" s="3"/>
      <x:c r="P21" s="3"/>
      <x:c r="Q21" s="3"/>
    </x:row>
    <x:row r="22" ht="15" customHeight="1">
      <x:c r="A22" s="9" t="n">
        <x:f>IF(12&lt;='Сводка'!$B$3,'Сводка'!$B$4+12,"")</x:f>
        <x:v>46247</x:v>
      </x:c>
      <x:c r="B22" s="18" t="n">
        <x:f>IF($A22="","",(A22-37257+1)/1000)</x:f>
        <x:v>8.991</x:v>
      </x:c>
      <x:c r="C22" s="18" t="n">
        <x:f>IF($A22="","",2*(A22-37257)/8978-1)</x:f>
        <x:v>1.002673201158387</x:v>
      </x:c>
      <x:c r="D22" s="7" t="n">
        <x:f>IF($A22="","",$B$4+$B$5*C22^1+$B$6*C22^2+$B$7*C22^3)</x:f>
        <x:v>102.30247835220224</x:v>
      </x:c>
      <x:c r="E22" s="7" t="n">
        <x:f>IF($A22="","",161.80794779962352*SQRT(1+(1)*$J$59*(1)+(1)*$K$59*(C22^1)+(1)*$L$59*(C22^2)+(1)*$M$59*(C22^3)+(C22^1)*$J$60*(1)+(C22^1)*$K$60*(C22^1)+(C22^1)*$L$60*(C22^2)+(C22^1)*$M$60*(C22^3)+(C22^2)*$J$61*(1)+(C22^2)*$K$61*(C22^1)+(C22^2)*$L$61*(C22^2)+(C22^2)*$M$61*(C22^3)+(C22^3)*$J$62*(1)+(C22^3)*$K$62*(C22^1)+(C22^3)*$L$62*(C22^2)+(C22^3)*$M$62*(C22^3)))</x:f>
        <x:v>161.96203621890797</x:v>
      </x:c>
      <x:c r="F22" s="7" t="n">
        <x:f>IF($A22="","",D22-1.960240157256416*E22)</x:f>
        <x:v>-215.1820089951193</x:v>
      </x:c>
      <x:c r="G22" s="7" t="n">
        <x:f>IF($A22="","",D22+1.960240157256416*E22)</x:f>
        <x:v>419.78696569952376</x:v>
      </x:c>
      <x:c r="H22" s="7" t="n">
        <x:f>IF($A22="","",161.80794779962352*SQRT((1)*$J$59*(1)+(1)*$K$59*(C22^1)+(1)*$L$59*(C22^2)+(1)*$M$59*(C22^3)+(C22^1)*$J$60*(1)+(C22^1)*$K$60*(C22^1)+(C22^1)*$L$60*(C22^2)+(C22^1)*$M$60*(C22^3)+(C22^2)*$J$61*(1)+(C22^2)*$K$61*(C22^1)+(C22^2)*$L$61*(C22^2)+(C22^2)*$M$61*(C22^3)+(C22^3)*$J$62*(1)+(C22^3)*$K$62*(C22^1)+(C22^3)*$L$62*(C22^2)+(C22^3)*$M$62*(C22^3)))</x:f>
        <x:v>7.063229080892559</x:v>
      </x:c>
      <x:c r="I22" s="3"/>
      <x:c r="J22" s="9" t="n">
        <x:v>46208</x:v>
      </x:c>
      <x:c r="K22" s="7" t="n">
        <x:v>138</x:v>
      </x:c>
      <x:c r="L22" s="7" t="n">
        <x:f>$E$4+$E$5*(2*(J22-37257)/('Сводка'!$B$7-37257)-1)^1+$E$6*(2*(J22-37257)/('Сводка'!$B$7-37257)-1)^2+$E$7*(2*(J22-37257)/('Сводка'!$B$7-37257)-1)^3</x:f>
        <x:v>94.5513272186331</x:v>
      </x:c>
      <x:c r="M22" s="7" t="n">
        <x:f>K22-L22</x:f>
        <x:v>43.448672781366895</x:v>
      </x:c>
      <x:c r="N22" s="7" t="n">
        <x:f>ABS(M22)</x:f>
        <x:v>43.448672781366895</x:v>
      </x:c>
      <x:c r="O22" s="3"/>
      <x:c r="P22" s="3"/>
      <x:c r="Q22" s="3"/>
    </x:row>
    <x:row r="23" ht="15" customHeight="1">
      <x:c r="A23" s="9" t="n">
        <x:f>IF(13&lt;='Сводка'!$B$3,'Сводка'!$B$4+13,"")</x:f>
        <x:v>46248</x:v>
      </x:c>
      <x:c r="B23" s="18" t="n">
        <x:f>IF($A23="","",(A23-37257+1)/1000)</x:f>
        <x:v>8.992</x:v>
      </x:c>
      <x:c r="C23" s="18" t="n">
        <x:f>IF($A23="","",2*(A23-37257)/8978-1)</x:f>
        <x:v>1.002895967921586</x:v>
      </x:c>
      <x:c r="D23" s="7" t="n">
        <x:f>IF($A23="","",$B$4+$B$5*C23^1+$B$6*C23^2+$B$7*C23^3)</x:f>
        <x:v>102.27151331088871</x:v>
      </x:c>
      <x:c r="E23" s="7" t="n">
        <x:f>IF($A23="","",161.80794779962352*SQRT(1+(1)*$J$59*(1)+(1)*$K$59*(C23^1)+(1)*$L$59*(C23^2)+(1)*$M$59*(C23^3)+(C23^1)*$J$60*(1)+(C23^1)*$K$60*(C23^1)+(C23^1)*$L$60*(C23^2)+(C23^1)*$M$60*(C23^3)+(C23^2)*$J$61*(1)+(C23^2)*$K$61*(C23^1)+(C23^2)*$L$61*(C23^2)+(C23^2)*$M$61*(C23^3)+(C23^3)*$J$62*(1)+(C23^3)*$K$62*(C23^1)+(C23^3)*$L$62*(C23^2)+(C23^3)*$M$62*(C23^3)))</x:f>
        <x:v>161.96228923427546</x:v>
      </x:c>
      <x:c r="F23" s="7" t="n">
        <x:f>IF($A23="","",D23-1.960240157256416*E23)</x:f>
        <x:v>-215.21347000731654</x:v>
      </x:c>
      <x:c r="G23" s="7" t="n">
        <x:f>IF($A23="","",D23+1.960240157256416*E23)</x:f>
        <x:v>419.75649662909393</x:v>
      </x:c>
      <x:c r="H23" s="7" t="n">
        <x:f>IF($A23="","",161.80794779962352*SQRT((1)*$J$59*(1)+(1)*$K$59*(C23^1)+(1)*$L$59*(C23^2)+(1)*$M$59*(C23^3)+(C23^1)*$J$60*(1)+(C23^1)*$K$60*(C23^1)+(C23^1)*$L$60*(C23^2)+(C23^1)*$M$60*(C23^3)+(C23^2)*$J$61*(1)+(C23^2)*$K$61*(C23^1)+(C23^2)*$L$61*(C23^2)+(C23^2)*$M$61*(C23^3)+(C23^3)*$J$62*(1)+(C23^3)*$K$62*(C23^1)+(C23^3)*$L$62*(C23^2)+(C23^3)*$M$62*(C23^3)))</x:f>
        <x:v>7.069028425562766</x:v>
      </x:c>
      <x:c r="I23" s="3"/>
      <x:c r="J23" s="9" t="n">
        <x:v>46209</x:v>
      </x:c>
      <x:c r="K23" s="7" t="n">
        <x:v>149</x:v>
      </x:c>
      <x:c r="L23" s="7" t="n">
        <x:f>$E$4+$E$5*(2*(J23-37257)/('Сводка'!$B$7-37257)-1)^1+$E$6*(2*(J23-37257)/('Сводка'!$B$7-37257)-1)^2+$E$7*(2*(J23-37257)/('Сводка'!$B$7-37257)-1)^3</x:f>
        <x:v>94.51368939815045</x:v>
      </x:c>
      <x:c r="M23" s="7" t="n">
        <x:f>K23-L23</x:f>
        <x:v>54.48631060184955</x:v>
      </x:c>
      <x:c r="N23" s="7" t="n">
        <x:f>ABS(M23)</x:f>
        <x:v>54.48631060184955</x:v>
      </x:c>
      <x:c r="O23" s="3"/>
      <x:c r="P23" s="3"/>
      <x:c r="Q23" s="3"/>
    </x:row>
    <x:row r="24" ht="15" customHeight="1">
      <x:c r="A24" s="9" t="n">
        <x:f>IF(14&lt;='Сводка'!$B$3,'Сводка'!$B$4+14,"")</x:f>
        <x:v>46249</x:v>
      </x:c>
      <x:c r="B24" s="18" t="n">
        <x:f>IF($A24="","",(A24-37257+1)/1000)</x:f>
        <x:v>8.993</x:v>
      </x:c>
      <x:c r="C24" s="18" t="n">
        <x:f>IF($A24="","",2*(A24-37257)/8978-1)</x:f>
        <x:v>1.0031187346847852</x:v>
      </x:c>
      <x:c r="D24" s="7" t="n">
        <x:f>IF($A24="","",$B$4+$B$5*C24^1+$B$6*C24^2+$B$7*C24^3)</x:f>
        <x:v>102.24052942986137</x:v>
      </x:c>
      <x:c r="E24" s="7" t="n">
        <x:f>IF($A24="","",161.80794779962352*SQRT(1+(1)*$J$59*(1)+(1)*$K$59*(C24^1)+(1)*$L$59*(C24^2)+(1)*$M$59*(C24^3)+(C24^1)*$J$60*(1)+(C24^1)*$K$60*(C24^1)+(C24^1)*$L$60*(C24^2)+(C24^1)*$M$60*(C24^3)+(C24^2)*$J$61*(1)+(C24^2)*$K$61*(C24^1)+(C24^2)*$L$61*(C24^2)+(C24^2)*$M$61*(C24^3)+(C24^3)*$J$62*(1)+(C24^3)*$K$62*(C24^1)+(C24^3)*$L$62*(C24^2)+(C24^3)*$M$62*(C24^3)))</x:f>
        <x:v>161.96254264140393</x:v>
      </x:c>
      <x:c r="F24" s="7" t="n">
        <x:f>IF($A24="","",D24-1.960240157256416*E24)</x:f>
        <x:v>-215.24495062717327</x:v>
      </x:c>
      <x:c r="G24" s="7" t="n">
        <x:f>IF($A24="","",D24+1.960240157256416*E24)</x:f>
        <x:v>419.72600948689603</x:v>
      </x:c>
      <x:c r="H24" s="7" t="n">
        <x:f>IF($A24="","",161.80794779962352*SQRT((1)*$J$59*(1)+(1)*$K$59*(C24^1)+(1)*$L$59*(C24^2)+(1)*$M$59*(C24^3)+(C24^1)*$J$60*(1)+(C24^1)*$K$60*(C24^1)+(C24^1)*$L$60*(C24^2)+(C24^1)*$M$60*(C24^3)+(C24^2)*$J$61*(1)+(C24^2)*$K$61*(C24^1)+(C24^2)*$L$61*(C24^2)+(C24^2)*$M$61*(C24^3)+(C24^3)*$J$62*(1)+(C24^3)*$K$62*(C24^1)+(C24^3)*$L$62*(C24^2)+(C24^3)*$M$62*(C24^3)))</x:f>
        <x:v>7.07483199396988</x:v>
      </x:c>
      <x:c r="I24" s="3"/>
      <x:c r="J24" s="9" t="n">
        <x:v>46210</x:v>
      </x:c>
      <x:c r="K24" s="7" t="n">
        <x:v>158</x:v>
      </x:c>
      <x:c r="L24" s="7" t="n">
        <x:f>$E$4+$E$5*(2*(J24-37257)/('Сводка'!$B$7-37257)-1)^1+$E$6*(2*(J24-37257)/('Сводка'!$B$7-37257)-1)^2+$E$7*(2*(J24-37257)/('Сводка'!$B$7-37257)-1)^3</x:f>
        <x:v>94.47602955012366</x:v>
      </x:c>
      <x:c r="M24" s="7" t="n">
        <x:f>K24-L24</x:f>
        <x:v>63.523970449876344</x:v>
      </x:c>
      <x:c r="N24" s="7" t="n">
        <x:f>ABS(M24)</x:f>
        <x:v>63.523970449876344</x:v>
      </x:c>
      <x:c r="O24" s="3"/>
      <x:c r="P24" s="3"/>
      <x:c r="Q24" s="3"/>
    </x:row>
    <x:row r="25" ht="15" customHeight="1">
      <x:c r="A25" s="9" t="n">
        <x:f>IF(15&lt;='Сводка'!$B$3,'Сводка'!$B$4+15,"")</x:f>
        <x:v>46250</x:v>
      </x:c>
      <x:c r="B25" s="18" t="n">
        <x:f>IF($A25="","",(A25-37257+1)/1000)</x:f>
        <x:v>8.994</x:v>
      </x:c>
      <x:c r="C25" s="18" t="n">
        <x:f>IF($A25="","",2*(A25-37257)/8978-1)</x:f>
        <x:v>1.0033415014479838</x:v>
      </x:c>
      <x:c r="D25" s="7" t="n">
        <x:f>IF($A25="","",$B$4+$B$5*C25^1+$B$6*C25^2+$B$7*C25^3)</x:f>
        <x:v>102.2095267064355</x:v>
      </x:c>
      <x:c r="E25" s="7" t="n">
        <x:f>IF($A25="","",161.80794779962352*SQRT(1+(1)*$J$59*(1)+(1)*$K$59*(C25^1)+(1)*$L$59*(C25^2)+(1)*$M$59*(C25^3)+(C25^1)*$J$60*(1)+(C25^1)*$K$60*(C25^1)+(C25^1)*$L$60*(C25^2)+(C25^1)*$M$60*(C25^3)+(C25^2)*$J$61*(1)+(C25^2)*$K$61*(C25^1)+(C25^2)*$L$61*(C25^2)+(C25^2)*$M$61*(C25^3)+(C25^3)*$J$62*(1)+(C25^3)*$K$62*(C25^1)+(C25^3)*$L$62*(C25^2)+(C25^3)*$M$62*(C25^3)))</x:f>
        <x:v>161.9627964407334</x:v>
      </x:c>
      <x:c r="F25" s="7" t="n">
        <x:f>IF($A25="","",D25-1.960240157256416*E25)</x:f>
        <x:v>-215.27645085823667</x:v>
      </x:c>
      <x:c r="G25" s="7" t="n">
        <x:f>IF($A25="","",D25+1.960240157256416*E25)</x:f>
        <x:v>419.69550427110767</x:v>
      </x:c>
      <x:c r="H25" s="7" t="n">
        <x:f>IF($A25="","",161.80794779962352*SQRT((1)*$J$59*(1)+(1)*$K$59*(C25^1)+(1)*$L$59*(C25^2)+(1)*$M$59*(C25^3)+(C25^1)*$J$60*(1)+(C25^1)*$K$60*(C25^1)+(C25^1)*$L$60*(C25^2)+(C25^1)*$M$60*(C25^3)+(C25^2)*$J$61*(1)+(C25^2)*$K$61*(C25^1)+(C25^2)*$L$61*(C25^2)+(C25^2)*$M$61*(C25^3)+(C25^3)*$J$62*(1)+(C25^3)*$K$62*(C25^1)+(C25^3)*$L$62*(C25^2)+(C25^3)*$M$62*(C25^3)))</x:f>
        <x:v>7.080639785835392</x:v>
      </x:c>
      <x:c r="I25" s="3"/>
      <x:c r="J25" s="9" t="n">
        <x:v>46211</x:v>
      </x:c>
      <x:c r="K25" s="7" t="n">
        <x:v>166</x:v>
      </x:c>
      <x:c r="L25" s="7" t="n">
        <x:f>$E$4+$E$5*(2*(J25-37257)/('Сводка'!$B$7-37257)-1)^1+$E$6*(2*(J25-37257)/('Сводка'!$B$7-37257)-1)^2+$E$7*(2*(J25-37257)/('Сводка'!$B$7-37257)-1)^3</x:f>
        <x:v>94.43834767122596</x:v>
      </x:c>
      <x:c r="M25" s="7" t="n">
        <x:f>K25-L25</x:f>
        <x:v>71.56165232877404</x:v>
      </x:c>
      <x:c r="N25" s="7" t="n">
        <x:f>ABS(M25)</x:f>
        <x:v>71.56165232877404</x:v>
      </x:c>
      <x:c r="O25" s="3"/>
      <x:c r="P25" s="3"/>
      <x:c r="Q25" s="3"/>
    </x:row>
    <x:row r="26" ht="15" customHeight="1">
      <x:c r="A26" s="9" t="n">
        <x:f>IF(16&lt;='Сводка'!$B$3,'Сводка'!$B$4+16,"")</x:f>
        <x:v>46251</x:v>
      </x:c>
      <x:c r="B26" s="18" t="n">
        <x:f>IF($A26="","",(A26-37257+1)/1000)</x:f>
        <x:v>8.995</x:v>
      </x:c>
      <x:c r="C26" s="18" t="n">
        <x:f>IF($A26="","",2*(A26-37257)/8978-1)</x:f>
        <x:v>1.003564268211183</x:v>
      </x:c>
      <x:c r="D26" s="7" t="n">
        <x:f>IF($A26="","",$B$4+$B$5*C26^1+$B$6*C26^2+$B$7*C26^3)</x:f>
        <x:v>102.17850513792608</x:v>
      </x:c>
      <x:c r="E26" s="7" t="n">
        <x:f>IF($A26="","",161.80794779962352*SQRT(1+(1)*$J$59*(1)+(1)*$K$59*(C26^1)+(1)*$L$59*(C26^2)+(1)*$M$59*(C26^3)+(C26^1)*$J$60*(1)+(C26^1)*$K$60*(C26^1)+(C26^1)*$L$60*(C26^2)+(C26^1)*$M$60*(C26^3)+(C26^2)*$J$61*(1)+(C26^2)*$K$61*(C26^1)+(C26^2)*$L$61*(C26^2)+(C26^2)*$M$61*(C26^3)+(C26^3)*$J$62*(1)+(C26^3)*$K$62*(C26^1)+(C26^3)*$L$62*(C26^2)+(C26^3)*$M$62*(C26^3)))</x:f>
        <x:v>161.96305063270424</x:v>
      </x:c>
      <x:c r="F26" s="7" t="n">
        <x:f>IF($A26="","",D26-1.960240157256416*E26)</x:f>
        <x:v>-215.30797070405492</x:v>
      </x:c>
      <x:c r="G26" s="7" t="n">
        <x:f>IF($A26="","",D26+1.960240157256416*E26)</x:f>
        <x:v>419.6649809799071</x:v>
      </x:c>
      <x:c r="H26" s="7" t="n">
        <x:f>IF($A26="","",161.80794779962352*SQRT((1)*$J$59*(1)+(1)*$K$59*(C26^1)+(1)*$L$59*(C26^2)+(1)*$M$59*(C26^3)+(C26^1)*$J$60*(1)+(C26^1)*$K$60*(C26^1)+(C26^1)*$L$60*(C26^2)+(C26^1)*$M$60*(C26^3)+(C26^2)*$J$61*(1)+(C26^2)*$K$61*(C26^1)+(C26^2)*$L$61*(C26^2)+(C26^2)*$M$61*(C26^3)+(C26^3)*$J$62*(1)+(C26^3)*$K$62*(C26^1)+(C26^3)*$L$62*(C26^2)+(C26^3)*$M$62*(C26^3)))</x:f>
        <x:v>7.08645180088196</x:v>
      </x:c>
      <x:c r="I26" s="3"/>
      <x:c r="J26" s="9" t="n">
        <x:v>46212</x:v>
      </x:c>
      <x:c r="K26" s="7" t="n">
        <x:v>174</x:v>
      </x:c>
      <x:c r="L26" s="7" t="n">
        <x:f>$E$4+$E$5*(2*(J26-37257)/('Сводка'!$B$7-37257)-1)^1+$E$6*(2*(J26-37257)/('Сводка'!$B$7-37257)-1)^2+$E$7*(2*(J26-37257)/('Сводка'!$B$7-37257)-1)^3</x:f>
        <x:v>94.4006437581306</x:v>
      </x:c>
      <x:c r="M26" s="7" t="n">
        <x:f>K26-L26</x:f>
        <x:v>79.5993562418694</x:v>
      </x:c>
      <x:c r="N26" s="7" t="n">
        <x:f>ABS(M26)</x:f>
        <x:v>79.5993562418694</x:v>
      </x:c>
      <x:c r="O26" s="3"/>
      <x:c r="P26" s="3"/>
      <x:c r="Q26" s="3"/>
    </x:row>
    <x:row r="27" ht="15" customHeight="1">
      <x:c r="A27" s="9" t="n">
        <x:f>IF(17&lt;='Сводка'!$B$3,'Сводка'!$B$4+17,"")</x:f>
        <x:v>46252</x:v>
      </x:c>
      <x:c r="B27" s="18" t="n">
        <x:f>IF($A27="","",(A27-37257+1)/1000)</x:f>
        <x:v>8.996</x:v>
      </x:c>
      <x:c r="C27" s="18" t="n">
        <x:f>IF($A27="","",2*(A27-37257)/8978-1)</x:f>
        <x:v>1.003787034974382</x:v>
      </x:c>
      <x:c r="D27" s="7" t="n">
        <x:f>IF($A27="","",$B$4+$B$5*C27^1+$B$6*C27^2+$B$7*C27^3)</x:f>
        <x:v>102.14746472164835</x:v>
      </x:c>
      <x:c r="E27" s="7" t="n">
        <x:f>IF($A27="","",161.80794779962352*SQRT(1+(1)*$J$59*(1)+(1)*$K$59*(C27^1)+(1)*$L$59*(C27^2)+(1)*$M$59*(C27^3)+(C27^1)*$J$60*(1)+(C27^1)*$K$60*(C27^1)+(C27^1)*$L$60*(C27^2)+(C27^1)*$M$60*(C27^3)+(C27^2)*$J$61*(1)+(C27^2)*$K$61*(C27^1)+(C27^2)*$L$61*(C27^2)+(C27^2)*$M$61*(C27^3)+(C27^3)*$J$62*(1)+(C27^3)*$K$62*(C27^1)+(C27^3)*$L$62*(C27^2)+(C27^3)*$M$62*(C27^3)))</x:f>
        <x:v>161.96330521775712</x:v>
      </x:c>
      <x:c r="F27" s="7" t="n">
        <x:f>IF($A27="","",D27-1.960240157256416*E27)</x:f>
        <x:v>-215.3395101681768</x:v>
      </x:c>
      <x:c r="G27" s="7" t="n">
        <x:f>IF($A27="","",D27+1.960240157256416*E27)</x:f>
        <x:v>419.6344396114735</x:v>
      </x:c>
      <x:c r="H27" s="7" t="n">
        <x:f>IF($A27="","",161.80794779962352*SQRT((1)*$J$59*(1)+(1)*$K$59*(C27^1)+(1)*$L$59*(C27^2)+(1)*$M$59*(C27^3)+(C27^1)*$J$60*(1)+(C27^1)*$K$60*(C27^1)+(C27^1)*$L$60*(C27^2)+(C27^1)*$M$60*(C27^3)+(C27^2)*$J$61*(1)+(C27^2)*$K$61*(C27^1)+(C27^2)*$L$61*(C27^2)+(C27^2)*$M$61*(C27^3)+(C27^3)*$J$62*(1)+(C27^3)*$K$62*(C27^1)+(C27^3)*$L$62*(C27^2)+(C27^3)*$M$62*(C27^3)))</x:f>
        <x:v>7.092268038833336</x:v>
      </x:c>
      <x:c r="I27" s="3"/>
      <x:c r="J27" s="9" t="n">
        <x:v>46213</x:v>
      </x:c>
      <x:c r="K27" s="7" t="n">
        <x:v>180</x:v>
      </x:c>
      <x:c r="L27" s="7" t="n">
        <x:f>$E$4+$E$5*(2*(J27-37257)/('Сводка'!$B$7-37257)-1)^1+$E$6*(2*(J27-37257)/('Сводка'!$B$7-37257)-1)^2+$E$7*(2*(J27-37257)/('Сводка'!$B$7-37257)-1)^3</x:f>
        <x:v>94.36291780751097</x:v>
      </x:c>
      <x:c r="M27" s="7" t="n">
        <x:f>K27-L27</x:f>
        <x:v>85.63708219248903</x:v>
      </x:c>
      <x:c r="N27" s="7" t="n">
        <x:f>ABS(M27)</x:f>
        <x:v>85.63708219248903</x:v>
      </x:c>
      <x:c r="O27" s="3"/>
      <x:c r="P27" s="3"/>
      <x:c r="Q27" s="3"/>
    </x:row>
    <x:row r="28" ht="15" customHeight="1">
      <x:c r="A28" s="9" t="n">
        <x:f>IF(18&lt;='Сводка'!$B$3,'Сводка'!$B$4+18,"")</x:f>
        <x:v>46253</x:v>
      </x:c>
      <x:c r="B28" s="18" t="n">
        <x:f>IF($A28="","",(A28-37257+1)/1000)</x:f>
        <x:v>8.997</x:v>
      </x:c>
      <x:c r="C28" s="18" t="n">
        <x:f>IF($A28="","",2*(A28-37257)/8978-1)</x:f>
        <x:v>1.0040098017375807</x:v>
      </x:c>
      <x:c r="D28" s="7" t="n">
        <x:f>IF($A28="","",$B$4+$B$5*C28^1+$B$6*C28^2+$B$7*C28^3)</x:f>
        <x:v>102.11640545491751</x:v>
      </x:c>
      <x:c r="E28" s="7" t="n">
        <x:f>IF($A28="","",161.80794779962352*SQRT(1+(1)*$J$59*(1)+(1)*$K$59*(C28^1)+(1)*$L$59*(C28^2)+(1)*$M$59*(C28^3)+(C28^1)*$J$60*(1)+(C28^1)*$K$60*(C28^1)+(C28^1)*$L$60*(C28^2)+(C28^1)*$M$60*(C28^3)+(C28^2)*$J$61*(1)+(C28^2)*$K$61*(C28^1)+(C28^2)*$L$61*(C28^2)+(C28^2)*$M$61*(C28^3)+(C28^3)*$J$62*(1)+(C28^3)*$K$62*(C28^1)+(C28^3)*$L$62*(C28^2)+(C28^3)*$M$62*(C28^3)))</x:f>
        <x:v>161.96356019633305</x:v>
      </x:c>
      <x:c r="F28" s="7" t="n">
        <x:f>IF($A28="","",D28-1.960240157256416*E28)</x:f>
        <x:v>-215.3710692541514</x:v>
      </x:c>
      <x:c r="G28" s="7" t="n">
        <x:f>IF($A28="","",D28+1.960240157256416*E28)</x:f>
        <x:v>419.60388016398645</x:v>
      </x:c>
      <x:c r="H28" s="7" t="n">
        <x:f>IF($A28="","",161.80794779962352*SQRT((1)*$J$59*(1)+(1)*$K$59*(C28^1)+(1)*$L$59*(C28^2)+(1)*$M$59*(C28^3)+(C28^1)*$J$60*(1)+(C28^1)*$K$60*(C28^1)+(C28^1)*$L$60*(C28^2)+(C28^1)*$M$60*(C28^3)+(C28^2)*$J$61*(1)+(C28^2)*$K$61*(C28^1)+(C28^2)*$L$61*(C28^2)+(C28^2)*$M$61*(C28^3)+(C28^3)*$J$62*(1)+(C28^3)*$K$62*(C28^1)+(C28^3)*$L$62*(C28^2)+(C28^3)*$M$62*(C28^3)))</x:f>
        <x:v>7.098088499414422</x:v>
      </x:c>
      <x:c r="I28" s="3"/>
      <x:c r="J28" s="9" t="n">
        <x:v>46214</x:v>
      </x:c>
      <x:c r="K28" s="7" t="n">
        <x:v>181</x:v>
      </x:c>
      <x:c r="L28" s="7" t="n">
        <x:f>$E$4+$E$5*(2*(J28-37257)/('Сводка'!$B$7-37257)-1)^1+$E$6*(2*(J28-37257)/('Сводка'!$B$7-37257)-1)^2+$E$7*(2*(J28-37257)/('Сводка'!$B$7-37257)-1)^3</x:f>
        <x:v>94.32516981604017</x:v>
      </x:c>
      <x:c r="M28" s="7" t="n">
        <x:f>K28-L28</x:f>
        <x:v>86.67483018395983</x:v>
      </x:c>
      <x:c r="N28" s="7" t="n">
        <x:f>ABS(M28)</x:f>
        <x:v>86.67483018395983</x:v>
      </x:c>
      <x:c r="O28" s="3"/>
      <x:c r="P28" s="3"/>
      <x:c r="Q28" s="3"/>
    </x:row>
    <x:row r="29" ht="15" customHeight="1">
      <x:c r="A29" s="9" t="n">
        <x:f>IF(19&lt;='Сводка'!$B$3,'Сводка'!$B$4+19,"")</x:f>
        <x:v>46254</x:v>
      </x:c>
      <x:c r="B29" s="18" t="n">
        <x:f>IF($A29="","",(A29-37257+1)/1000)</x:f>
        <x:v>8.998</x:v>
      </x:c>
      <x:c r="C29" s="18" t="n">
        <x:f>IF($A29="","",2*(A29-37257)/8978-1)</x:f>
        <x:v>1.0042325685007798</x:v>
      </x:c>
      <x:c r="D29" s="7" t="n">
        <x:f>IF($A29="","",$B$4+$B$5*C29^1+$B$6*C29^2+$B$7*C29^3)</x:f>
        <x:v>102.0853273350486</x:v>
      </x:c>
      <x:c r="E29" s="7" t="n">
        <x:f>IF($A29="","",161.80794779962352*SQRT(1+(1)*$J$59*(1)+(1)*$K$59*(C29^1)+(1)*$L$59*(C29^2)+(1)*$M$59*(C29^3)+(C29^1)*$J$60*(1)+(C29^1)*$K$60*(C29^1)+(C29^1)*$L$60*(C29^2)+(C29^1)*$M$60*(C29^3)+(C29^2)*$J$61*(1)+(C29^2)*$K$61*(C29^1)+(C29^2)*$L$61*(C29^2)+(C29^2)*$M$61*(C29^3)+(C29^3)*$J$62*(1)+(C29^3)*$K$62*(C29^1)+(C29^3)*$L$62*(C29^2)+(C29^3)*$M$62*(C29^3)))</x:f>
        <x:v>161.9638155688735</x:v>
      </x:c>
      <x:c r="F29" s="7" t="n">
        <x:f>IF($A29="","",D29-1.960240157256416*E29)</x:f>
        <x:v>-215.40264796552918</x:v>
      </x:c>
      <x:c r="G29" s="7" t="n">
        <x:f>IF($A29="","",D29+1.960240157256416*E29)</x:f>
        <x:v>419.57330263562636</x:v>
      </x:c>
      <x:c r="H29" s="7" t="n">
        <x:f>IF($A29="","",161.80794779962352*SQRT((1)*$J$59*(1)+(1)*$K$59*(C29^1)+(1)*$L$59*(C29^2)+(1)*$M$59*(C29^3)+(C29^1)*$J$60*(1)+(C29^1)*$K$60*(C29^1)+(C29^1)*$L$60*(C29^2)+(C29^1)*$M$60*(C29^3)+(C29^2)*$J$61*(1)+(C29^2)*$K$61*(C29^1)+(C29^2)*$L$61*(C29^2)+(C29^2)*$M$61*(C29^3)+(C29^3)*$J$62*(1)+(C29^3)*$K$62*(C29^1)+(C29^3)*$L$62*(C29^2)+(C29^3)*$M$62*(C29^3)))</x:f>
        <x:v>7.103913182351283</x:v>
      </x:c>
      <x:c r="I29" s="3"/>
      <x:c r="J29" s="9" t="n">
        <x:v>46215</x:v>
      </x:c>
      <x:c r="K29" s="7" t="n">
        <x:v>179</x:v>
      </x:c>
      <x:c r="L29" s="7" t="n">
        <x:f>$E$4+$E$5*(2*(J29-37257)/('Сводка'!$B$7-37257)-1)^1+$E$6*(2*(J29-37257)/('Сводка'!$B$7-37257)-1)^2+$E$7*(2*(J29-37257)/('Сводка'!$B$7-37257)-1)^3</x:f>
        <x:v>94.28739978039154</x:v>
      </x:c>
      <x:c r="M29" s="7" t="n">
        <x:f>K29-L29</x:f>
        <x:v>84.71260021960846</x:v>
      </x:c>
      <x:c r="N29" s="7" t="n">
        <x:f>ABS(M29)</x:f>
        <x:v>84.71260021960846</x:v>
      </x:c>
      <x:c r="O29" s="3"/>
      <x:c r="P29" s="3"/>
      <x:c r="Q29" s="3"/>
    </x:row>
    <x:row r="30" ht="15" customHeight="1">
      <x:c r="A30" s="9" t="n">
        <x:f>IF(20&lt;='Сводка'!$B$3,'Сводка'!$B$4+20,"")</x:f>
        <x:v>46255</x:v>
      </x:c>
      <x:c r="B30" s="18" t="n">
        <x:f>IF($A30="","",(A30-37257+1)/1000)</x:f>
        <x:v>8.999</x:v>
      </x:c>
      <x:c r="C30" s="18" t="n">
        <x:f>IF($A30="","",2*(A30-37257)/8978-1)</x:f>
        <x:v>1.0044553352639785</x:v>
      </x:c>
      <x:c r="D30" s="7" t="n">
        <x:f>IF($A30="","",$B$4+$B$5*C30^1+$B$6*C30^2+$B$7*C30^3)</x:f>
        <x:v>102.0542303593569</x:v>
      </x:c>
      <x:c r="E30" s="7" t="n">
        <x:f>IF($A30="","",161.80794779962352*SQRT(1+(1)*$J$59*(1)+(1)*$K$59*(C30^1)+(1)*$L$59*(C30^2)+(1)*$M$59*(C30^3)+(C30^1)*$J$60*(1)+(C30^1)*$K$60*(C30^1)+(C30^1)*$L$60*(C30^2)+(C30^1)*$M$60*(C30^3)+(C30^2)*$J$61*(1)+(C30^2)*$K$61*(C30^1)+(C30^2)*$L$61*(C30^2)+(C30^2)*$M$61*(C30^3)+(C30^3)*$J$62*(1)+(C30^3)*$K$62*(C30^1)+(C30^3)*$L$62*(C30^2)+(C30^3)*$M$62*(C30^3)))</x:f>
        <x:v>161.96407133582014</x:v>
      </x:c>
      <x:c r="F30" s="7" t="n">
        <x:f>IF($A30="","",D30-1.960240157256416*E30)</x:f>
        <x:v>-215.43424630586054</x:v>
      </x:c>
      <x:c r="G30" s="7" t="n">
        <x:f>IF($A30="","",D30+1.960240157256416*E30)</x:f>
        <x:v>419.5427070245743</x:v>
      </x:c>
      <x:c r="H30" s="7" t="n">
        <x:f>IF($A30="","",161.80794779962352*SQRT((1)*$J$59*(1)+(1)*$K$59*(C30^1)+(1)*$L$59*(C30^2)+(1)*$M$59*(C30^3)+(C30^1)*$J$60*(1)+(C30^1)*$K$60*(C30^1)+(C30^1)*$L$60*(C30^2)+(C30^1)*$M$60*(C30^3)+(C30^2)*$J$61*(1)+(C30^2)*$K$61*(C30^1)+(C30^2)*$L$61*(C30^2)+(C30^2)*$M$61*(C30^3)+(C30^3)*$J$62*(1)+(C30^3)*$K$62*(C30^1)+(C30^3)*$L$62*(C30^2)+(C30^3)*$M$62*(C30^3)))</x:f>
        <x:v>7.109742087371075</x:v>
      </x:c>
      <x:c r="I30" s="3"/>
      <x:c r="J30" s="9" t="n">
        <x:v>46216</x:v>
      </x:c>
      <x:c r="K30" s="7" t="n">
        <x:v>182</x:v>
      </x:c>
      <x:c r="L30" s="7" t="n">
        <x:f>$E$4+$E$5*(2*(J30-37257)/('Сводка'!$B$7-37257)-1)^1+$E$6*(2*(J30-37257)/('Сводка'!$B$7-37257)-1)^2+$E$7*(2*(J30-37257)/('Сводка'!$B$7-37257)-1)^3</x:f>
        <x:v>94.2496076972383</x:v>
      </x:c>
      <x:c r="M30" s="7" t="n">
        <x:f>K30-L30</x:f>
        <x:v>87.7503923027617</x:v>
      </x:c>
      <x:c r="N30" s="7" t="n">
        <x:f>ABS(M30)</x:f>
        <x:v>87.7503923027617</x:v>
      </x:c>
      <x:c r="O30" s="3"/>
      <x:c r="P30" s="3"/>
      <x:c r="Q30" s="3"/>
    </x:row>
    <x:row r="31" ht="15" customHeight="1">
      <x:c r="A31" s="9" t="n">
        <x:f>IF(21&lt;='Сводка'!$B$3,'Сводка'!$B$4+21,"")</x:f>
        <x:v>46256</x:v>
      </x:c>
      <x:c r="B31" s="18" t="n">
        <x:f>IF($A31="","",(A31-37257+1)/1000)</x:f>
        <x:v>9</x:v>
      </x:c>
      <x:c r="C31" s="18" t="n">
        <x:f>IF($A31="","",2*(A31-37257)/8978-1)</x:f>
        <x:v>1.0046781020271776</x:v>
      </x:c>
      <x:c r="D31" s="7" t="n">
        <x:f>IF($A31="","",$B$4+$B$5*C31^1+$B$6*C31^2+$B$7*C31^3)</x:f>
        <x:v>102.02311452515745</x:v>
      </x:c>
      <x:c r="E31" s="7" t="n">
        <x:f>IF($A31="","",161.80794779962352*SQRT(1+(1)*$J$59*(1)+(1)*$K$59*(C31^1)+(1)*$L$59*(C31^2)+(1)*$M$59*(C31^3)+(C31^1)*$J$60*(1)+(C31^1)*$K$60*(C31^1)+(C31^1)*$L$60*(C31^2)+(C31^1)*$M$60*(C31^3)+(C31^2)*$J$61*(1)+(C31^2)*$K$61*(C31^1)+(C31^2)*$L$61*(C31^2)+(C31^2)*$M$61*(C31^3)+(C31^3)*$J$62*(1)+(C31^3)*$K$62*(C31^1)+(C31^3)*$L$62*(C31^2)+(C31^3)*$M$62*(C31^3)))</x:f>
        <x:v>161.9643274976149</x:v>
      </x:c>
      <x:c r="F31" s="7" t="n">
        <x:f>IF($A31="","",D31-1.960240157256416*E31)</x:f>
        <x:v>-215.46586427869687</x:v>
      </x:c>
      <x:c r="G31" s="7" t="n">
        <x:f>IF($A31="","",D31+1.960240157256416*E31)</x:f>
        <x:v>419.51209332901175</x:v>
      </x:c>
      <x:c r="H31" s="7" t="n">
        <x:f>IF($A31="","",161.80794779962352*SQRT((1)*$J$59*(1)+(1)*$K$59*(C31^1)+(1)*$L$59*(C31^2)+(1)*$M$59*(C31^3)+(C31^1)*$J$60*(1)+(C31^1)*$K$60*(C31^1)+(C31^1)*$L$60*(C31^2)+(C31^1)*$M$60*(C31^3)+(C31^2)*$J$61*(1)+(C31^2)*$K$61*(C31^1)+(C31^2)*$L$61*(C31^2)+(C31^2)*$M$61*(C31^3)+(C31^3)*$J$62*(1)+(C31^3)*$K$62*(C31^1)+(C31^3)*$L$62*(C31^2)+(C31^3)*$M$62*(C31^3)))</x:f>
        <x:v>7.11557521420214</x:v>
      </x:c>
      <x:c r="I31" s="3"/>
      <x:c r="J31" s="9" t="n">
        <x:v>46217</x:v>
      </x:c>
      <x:c r="K31" s="7" t="n">
        <x:v>191</x:v>
      </x:c>
      <x:c r="L31" s="7" t="n">
        <x:f>$E$4+$E$5*(2*(J31-37257)/('Сводка'!$B$7-37257)-1)^1+$E$6*(2*(J31-37257)/('Сводка'!$B$7-37257)-1)^2+$E$7*(2*(J31-37257)/('Сводка'!$B$7-37257)-1)^3</x:f>
        <x:v>94.2117935632536</x:v>
      </x:c>
      <x:c r="M31" s="7" t="n">
        <x:f>K31-L31</x:f>
        <x:v>96.7882064367464</x:v>
      </x:c>
      <x:c r="N31" s="7" t="n">
        <x:f>ABS(M31)</x:f>
        <x:v>96.7882064367464</x:v>
      </x:c>
      <x:c r="O31" s="3"/>
      <x:c r="P31" s="3"/>
      <x:c r="Q31" s="3"/>
    </x:row>
    <x:row r="32" ht="15" customHeight="1">
      <x:c r="A32" s="9" t="n">
        <x:f>IF(22&lt;='Сводка'!$B$3,'Сводка'!$B$4+22,"")</x:f>
        <x:v>46257</x:v>
      </x:c>
      <x:c r="B32" s="18" t="n">
        <x:f>IF($A32="","",(A32-37257+1)/1000)</x:f>
        <x:v>9.001</x:v>
      </x:c>
      <x:c r="C32" s="18" t="n">
        <x:f>IF($A32="","",2*(A32-37257)/8978-1)</x:f>
        <x:v>1.0049008687903767</x:v>
      </x:c>
      <x:c r="D32" s="7" t="n">
        <x:f>IF($A32="","",$B$4+$B$5*C32^1+$B$6*C32^2+$B$7*C32^3)</x:f>
        <x:v>101.9919798297654</x:v>
      </x:c>
      <x:c r="E32" s="7" t="n">
        <x:f>IF($A32="","",161.80794779962352*SQRT(1+(1)*$J$59*(1)+(1)*$K$59*(C32^1)+(1)*$L$59*(C32^2)+(1)*$M$59*(C32^3)+(C32^1)*$J$60*(1)+(C32^1)*$K$60*(C32^1)+(C32^1)*$L$60*(C32^2)+(C32^1)*$M$60*(C32^3)+(C32^2)*$J$61*(1)+(C32^2)*$K$61*(C32^1)+(C32^2)*$L$61*(C32^2)+(C32^2)*$M$61*(C32^3)+(C32^3)*$J$62*(1)+(C32^3)*$K$62*(C32^1)+(C32^3)*$L$62*(C32^2)+(C32^3)*$M$62*(C32^3)))</x:f>
        <x:v>161.96458405470028</x:v>
      </x:c>
      <x:c r="F32" s="7" t="n">
        <x:f>IF($A32="","",D32-1.960240157256416*E32)</x:f>
        <x:v>-215.49750188759032</x:v>
      </x:c>
      <x:c r="G32" s="7" t="n">
        <x:f>IF($A32="","",D32+1.960240157256416*E32)</x:f>
        <x:v>419.4814615471211</x:v>
      </x:c>
      <x:c r="H32" s="7" t="n">
        <x:f>IF($A32="","",161.80794779962352*SQRT((1)*$J$59*(1)+(1)*$K$59*(C32^1)+(1)*$L$59*(C32^2)+(1)*$M$59*(C32^3)+(C32^1)*$J$60*(1)+(C32^1)*$K$60*(C32^1)+(C32^1)*$L$60*(C32^2)+(C32^1)*$M$60*(C32^3)+(C32^2)*$J$61*(1)+(C32^2)*$K$61*(C32^1)+(C32^2)*$L$61*(C32^2)+(C32^2)*$M$61*(C32^3)+(C32^3)*$J$62*(1)+(C32^3)*$K$62*(C32^1)+(C32^3)*$L$62*(C32^2)+(C32^3)*$M$62*(C32^3)))</x:f>
        <x:v>7.12141256257393</x:v>
      </x:c>
      <x:c r="I32" s="3"/>
      <x:c r="J32" s="9" t="n">
        <x:v>46218</x:v>
      </x:c>
      <x:c r="K32" s="7" t="n">
        <x:v>206</x:v>
      </x:c>
      <x:c r="L32" s="7" t="n">
        <x:f>$E$4+$E$5*(2*(J32-37257)/('Сводка'!$B$7-37257)-1)^1+$E$6*(2*(J32-37257)/('Сводка'!$B$7-37257)-1)^2+$E$7*(2*(J32-37257)/('Сводка'!$B$7-37257)-1)^3</x:f>
        <x:v>94.17395737511083</x:v>
      </x:c>
      <x:c r="M32" s="7" t="n">
        <x:f>K32-L32</x:f>
        <x:v>111.82604262488917</x:v>
      </x:c>
      <x:c r="N32" s="7" t="n">
        <x:f>ABS(M32)</x:f>
        <x:v>111.82604262488917</x:v>
      </x:c>
      <x:c r="O32" s="3"/>
      <x:c r="P32" s="3"/>
      <x:c r="Q32" s="3"/>
    </x:row>
    <x:row r="33" ht="15" customHeight="1">
      <x:c r="A33" s="9" t="n">
        <x:f>IF(23&lt;='Сводка'!$B$3,'Сводка'!$B$4+23,"")</x:f>
        <x:v>46258</x:v>
      </x:c>
      <x:c r="B33" s="18" t="n">
        <x:f>IF($A33="","",(A33-37257+1)/1000)</x:f>
        <x:v>9.002</x:v>
      </x:c>
      <x:c r="C33" s="18" t="n">
        <x:f>IF($A33="","",2*(A33-37257)/8978-1)</x:f>
        <x:v>1.0051236355535753</x:v>
      </x:c>
      <x:c r="D33" s="7" t="n">
        <x:f>IF($A33="","",$B$4+$B$5*C33^1+$B$6*C33^2+$B$7*C33^3)</x:f>
        <x:v>101.96082627049603</x:v>
      </x:c>
      <x:c r="E33" s="7" t="n">
        <x:f>IF($A33="","",161.80794779962352*SQRT(1+(1)*$J$59*(1)+(1)*$K$59*(C33^1)+(1)*$L$59*(C33^2)+(1)*$M$59*(C33^3)+(C33^1)*$J$60*(1)+(C33^1)*$K$60*(C33^1)+(C33^1)*$L$60*(C33^2)+(C33^1)*$M$60*(C33^3)+(C33^2)*$J$61*(1)+(C33^2)*$K$61*(C33^1)+(C33^2)*$L$61*(C33^2)+(C33^2)*$M$61*(C33^3)+(C33^3)*$J$62*(1)+(C33^3)*$K$62*(C33^1)+(C33^3)*$L$62*(C33^2)+(C33^3)*$M$62*(C33^3)))</x:f>
        <x:v>161.96484100751894</x:v>
      </x:c>
      <x:c r="F33" s="7" t="n">
        <x:f>IF($A33="","",D33-1.960240157256416*E33)</x:f>
        <x:v>-215.52915913609334</x:v>
      </x:c>
      <x:c r="G33" s="7" t="n">
        <x:f>IF($A33="","",D33+1.960240157256416*E33)</x:f>
        <x:v>419.4508116770854</x:v>
      </x:c>
      <x:c r="H33" s="7" t="n">
        <x:f>IF($A33="","",161.80794779962352*SQRT((1)*$J$59*(1)+(1)*$K$59*(C33^1)+(1)*$L$59*(C33^2)+(1)*$M$59*(C33^3)+(C33^1)*$J$60*(1)+(C33^1)*$K$60*(C33^1)+(C33^1)*$L$60*(C33^2)+(C33^1)*$M$60*(C33^3)+(C33^2)*$J$61*(1)+(C33^2)*$K$61*(C33^1)+(C33^2)*$L$61*(C33^2)+(C33^2)*$M$61*(C33^3)+(C33^3)*$J$62*(1)+(C33^3)*$K$62*(C33^1)+(C33^3)*$L$62*(C33^2)+(C33^3)*$M$62*(C33^3)))</x:f>
        <x:v>7.127254132217022</x:v>
      </x:c>
      <x:c r="I33" s="3"/>
      <x:c r="J33" s="9" t="n">
        <x:v>46219</x:v>
      </x:c>
      <x:c r="K33" s="7" t="n">
        <x:v>225</x:v>
      </x:c>
      <x:c r="L33" s="7" t="n">
        <x:f>$E$4+$E$5*(2*(J33-37257)/('Сводка'!$B$7-37257)-1)^1+$E$6*(2*(J33-37257)/('Сводка'!$B$7-37257)-1)^2+$E$7*(2*(J33-37257)/('Сводка'!$B$7-37257)-1)^3</x:f>
        <x:v>94.13609912948326</x:v>
      </x:c>
      <x:c r="M33" s="7" t="n">
        <x:f>K33-L33</x:f>
        <x:v>130.86390087051674</x:v>
      </x:c>
      <x:c r="N33" s="7" t="n">
        <x:f>ABS(M33)</x:f>
        <x:v>130.86390087051674</x:v>
      </x:c>
      <x:c r="O33" s="3"/>
      <x:c r="P33" s="3"/>
      <x:c r="Q33" s="3"/>
    </x:row>
    <x:row r="34" ht="15" customHeight="1">
      <x:c r="A34" s="9" t="n">
        <x:f>IF(24&lt;='Сводка'!$B$3,'Сводка'!$B$4+24,"")</x:f>
        <x:v>46259</x:v>
      </x:c>
      <x:c r="B34" s="18" t="n">
        <x:f>IF($A34="","",(A34-37257+1)/1000)</x:f>
        <x:v>9.003</x:v>
      </x:c>
      <x:c r="C34" s="18" t="n">
        <x:f>IF($A34="","",2*(A34-37257)/8978-1)</x:f>
        <x:v>1.0053464023167744</x:v>
      </x:c>
      <x:c r="D34" s="7" t="n">
        <x:f>IF($A34="","",$B$4+$B$5*C34^1+$B$6*C34^2+$B$7*C34^3)</x:f>
        <x:v>101.92965384466433</x:v>
      </x:c>
      <x:c r="E34" s="7" t="n">
        <x:f>IF($A34="","",161.80794779962352*SQRT(1+(1)*$J$59*(1)+(1)*$K$59*(C34^1)+(1)*$L$59*(C34^2)+(1)*$M$59*(C34^3)+(C34^1)*$J$60*(1)+(C34^1)*$K$60*(C34^1)+(C34^1)*$L$60*(C34^2)+(C34^1)*$M$60*(C34^3)+(C34^2)*$J$61*(1)+(C34^2)*$K$61*(C34^1)+(C34^2)*$L$61*(C34^2)+(C34^2)*$M$61*(C34^3)+(C34^3)*$J$62*(1)+(C34^3)*$K$62*(C34^1)+(C34^3)*$L$62*(C34^2)+(C34^3)*$M$62*(C34^3)))</x:f>
        <x:v>161.96509835651395</x:v>
      </x:c>
      <x:c r="F34" s="7" t="n">
        <x:f>IF($A34="","",D34-1.960240157256416*E34)</x:f>
        <x:v>-215.56083602775945</x:v>
      </x:c>
      <x:c r="G34" s="7" t="n">
        <x:f>IF($A34="","",D34+1.960240157256416*E34)</x:f>
        <x:v>419.4201437170881</x:v>
      </x:c>
      <x:c r="H34" s="7" t="n">
        <x:f>IF($A34="","",161.80794779962352*SQRT((1)*$J$59*(1)+(1)*$K$59*(C34^1)+(1)*$L$59*(C34^2)+(1)*$M$59*(C34^3)+(C34^1)*$J$60*(1)+(C34^1)*$K$60*(C34^1)+(C34^1)*$L$60*(C34^2)+(C34^1)*$M$60*(C34^3)+(C34^2)*$J$61*(1)+(C34^2)*$K$61*(C34^1)+(C34^2)*$L$61*(C34^2)+(C34^2)*$M$61*(C34^3)+(C34^3)*$J$62*(1)+(C34^3)*$K$62*(C34^1)+(C34^3)*$L$62*(C34^2)+(C34^3)*$M$62*(C34^3)))</x:f>
        <x:v>7.133099922863182</x:v>
      </x:c>
      <x:c r="I34" s="3"/>
      <x:c r="J34" s="9" t="n">
        <x:v>46220</x:v>
      </x:c>
      <x:c r="K34" s="7" t="n">
        <x:v>245</x:v>
      </x:c>
      <x:c r="L34" s="7" t="n">
        <x:f>$E$4+$E$5*(2*(J34-37257)/('Сводка'!$B$7-37257)-1)^1+$E$6*(2*(J34-37257)/('Сводка'!$B$7-37257)-1)^2+$E$7*(2*(J34-37257)/('Сводка'!$B$7-37257)-1)^3</x:f>
        <x:v>94.09821882304401</x:v>
      </x:c>
      <x:c r="M34" s="7" t="n">
        <x:f>K34-L34</x:f>
        <x:v>150.90178117695598</x:v>
      </x:c>
      <x:c r="N34" s="7" t="n">
        <x:f>ABS(M34)</x:f>
        <x:v>150.90178117695598</x:v>
      </x:c>
      <x:c r="O34" s="3"/>
      <x:c r="P34" s="3"/>
      <x:c r="Q34" s="3"/>
    </x:row>
    <x:row r="35" ht="15" customHeight="1">
      <x:c r="A35" s="9" t="n">
        <x:f>IF(25&lt;='Сводка'!$B$3,'Сводка'!$B$4+25,"")</x:f>
        <x:v>46260</x:v>
      </x:c>
      <x:c r="B35" s="18" t="n">
        <x:f>IF($A35="","",(A35-37257+1)/1000)</x:f>
        <x:v>9.004</x:v>
      </x:c>
      <x:c r="C35" s="18" t="n">
        <x:f>IF($A35="","",2*(A35-37257)/8978-1)</x:f>
        <x:v>1.005569169079973</x:v>
      </x:c>
      <x:c r="D35" s="7" t="n">
        <x:f>IF($A35="","",$B$4+$B$5*C35^1+$B$6*C35^2+$B$7*C35^3)</x:f>
        <x:v>101.89846254958557</x:v>
      </x:c>
      <x:c r="E35" s="7" t="n">
        <x:f>IF($A35="","",161.80794779962352*SQRT(1+(1)*$J$59*(1)+(1)*$K$59*(C35^1)+(1)*$L$59*(C35^2)+(1)*$M$59*(C35^3)+(C35^1)*$J$60*(1)+(C35^1)*$K$60*(C35^1)+(C35^1)*$L$60*(C35^2)+(C35^1)*$M$60*(C35^3)+(C35^2)*$J$61*(1)+(C35^2)*$K$61*(C35^1)+(C35^2)*$L$61*(C35^2)+(C35^2)*$M$61*(C35^3)+(C35^3)*$J$62*(1)+(C35^3)*$K$62*(C35^1)+(C35^3)*$L$62*(C35^2)+(C35^3)*$M$62*(C35^3)))</x:f>
        <x:v>161.96535610212868</x:v>
      </x:c>
      <x:c r="F35" s="7" t="n">
        <x:f>IF($A35="","",D35-1.960240157256416*E35)</x:f>
        <x:v>-215.59253256614255</x:v>
      </x:c>
      <x:c r="G35" s="7" t="n">
        <x:f>IF($A35="","",D35+1.960240157256416*E35)</x:f>
        <x:v>419.3894576653137</x:v>
      </x:c>
      <x:c r="H35" s="7" t="n">
        <x:f>IF($A35="","",161.80794779962352*SQRT((1)*$J$59*(1)+(1)*$K$59*(C35^1)+(1)*$L$59*(C35^2)+(1)*$M$59*(C35^3)+(C35^1)*$J$60*(1)+(C35^1)*$K$60*(C35^1)+(C35^1)*$L$60*(C35^2)+(C35^1)*$M$60*(C35^3)+(C35^2)*$J$61*(1)+(C35^2)*$K$61*(C35^1)+(C35^2)*$L$61*(C35^2)+(C35^2)*$M$61*(C35^3)+(C35^3)*$J$62*(1)+(C35^3)*$K$62*(C35^1)+(C35^3)*$L$62*(C35^2)+(C35^3)*$M$62*(C35^3)))</x:f>
        <x:v>7.1389499342452645</x:v>
      </x:c>
      <x:c r="I35" s="3"/>
      <x:c r="J35" s="9" t="n">
        <x:v>46221</x:v>
      </x:c>
      <x:c r="K35" s="7" t="n">
        <x:v>266</x:v>
      </x:c>
      <x:c r="L35" s="7" t="n">
        <x:f>$E$4+$E$5*(2*(J35-37257)/('Сводка'!$B$7-37257)-1)^1+$E$6*(2*(J35-37257)/('Сводка'!$B$7-37257)-1)^2+$E$7*(2*(J35-37257)/('Сводка'!$B$7-37257)-1)^3</x:f>
        <x:v>94.06031645246637</x:v>
      </x:c>
      <x:c r="M35" s="7" t="n">
        <x:f>K35-L35</x:f>
        <x:v>171.93968354753363</x:v>
      </x:c>
      <x:c r="N35" s="7" t="n">
        <x:f>ABS(M35)</x:f>
        <x:v>171.93968354753363</x:v>
      </x:c>
      <x:c r="O35" s="3"/>
      <x:c r="P35" s="3"/>
      <x:c r="Q35" s="3"/>
    </x:row>
    <x:row r="36" ht="15" customHeight="1">
      <x:c r="A36" s="9" t="n">
        <x:f>IF(26&lt;='Сводка'!$B$3,'Сводка'!$B$4+26,"")</x:f>
        <x:v>46261</x:v>
      </x:c>
      <x:c r="B36" s="18" t="n">
        <x:f>IF($A36="","",(A36-37257+1)/1000)</x:f>
        <x:v>9.005</x:v>
      </x:c>
      <x:c r="C36" s="18" t="n">
        <x:f>IF($A36="","",2*(A36-37257)/8978-1)</x:f>
        <x:v>1.0057919358431722</x:v>
      </x:c>
      <x:c r="D36" s="7" t="n">
        <x:f>IF($A36="","",$B$4+$B$5*C36^1+$B$6*C36^2+$B$7*C36^3)</x:f>
        <x:v>101.86725238257486</x:v>
      </x:c>
      <x:c r="E36" s="7" t="n">
        <x:f>IF($A36="","",161.80794779962352*SQRT(1+(1)*$J$59*(1)+(1)*$K$59*(C36^1)+(1)*$L$59*(C36^2)+(1)*$M$59*(C36^3)+(C36^1)*$J$60*(1)+(C36^1)*$K$60*(C36^1)+(C36^1)*$L$60*(C36^2)+(C36^1)*$M$60*(C36^3)+(C36^2)*$J$61*(1)+(C36^2)*$K$61*(C36^1)+(C36^2)*$L$61*(C36^2)+(C36^2)*$M$61*(C36^3)+(C36^3)*$J$62*(1)+(C36^3)*$K$62*(C36^1)+(C36^3)*$L$62*(C36^2)+(C36^3)*$M$62*(C36^3)))</x:f>
        <x:v>161.96561424480686</x:v>
      </x:c>
      <x:c r="F36" s="7" t="n">
        <x:f>IF($A36="","",D36-1.960240157256416*E36)</x:f>
        <x:v>-215.62424875479735</x:v>
      </x:c>
      <x:c r="G36" s="7" t="n">
        <x:f>IF($A36="","",D36+1.960240157256416*E36)</x:f>
        <x:v>419.3587535199471</x:v>
      </x:c>
      <x:c r="H36" s="7" t="n">
        <x:f>IF($A36="","",161.80794779962352*SQRT((1)*$J$59*(1)+(1)*$K$59*(C36^1)+(1)*$L$59*(C36^2)+(1)*$M$59*(C36^3)+(C36^1)*$J$60*(1)+(C36^1)*$K$60*(C36^1)+(C36^1)*$L$60*(C36^2)+(C36^1)*$M$60*(C36^3)+(C36^2)*$J$61*(1)+(C36^2)*$K$61*(C36^1)+(C36^2)*$L$61*(C36^2)+(C36^2)*$M$61*(C36^3)+(C36^3)*$J$62*(1)+(C36^3)*$K$62*(C36^1)+(C36^3)*$L$62*(C36^2)+(C36^3)*$M$62*(C36^3)))</x:f>
        <x:v>7.144804166097312</x:v>
      </x:c>
      <x:c r="I36" s="3"/>
      <x:c r="J36" s="9" t="n">
        <x:v>46222</x:v>
      </x:c>
      <x:c r="K36" s="7" t="n">
        <x:v>281</x:v>
      </x:c>
      <x:c r="L36" s="7" t="n">
        <x:f>$E$4+$E$5*(2*(J36-37257)/('Сводка'!$B$7-37257)-1)^1+$E$6*(2*(J36-37257)/('Сводка'!$B$7-37257)-1)^2+$E$7*(2*(J36-37257)/('Сводка'!$B$7-37257)-1)^3</x:f>
        <x:v>94.02239201442366</x:v>
      </x:c>
      <x:c r="M36" s="7" t="n">
        <x:f>K36-L36</x:f>
        <x:v>186.97760798557636</x:v>
      </x:c>
      <x:c r="N36" s="7" t="n">
        <x:f>ABS(M36)</x:f>
        <x:v>186.97760798557636</x:v>
      </x:c>
      <x:c r="O36" s="3"/>
      <x:c r="P36" s="3"/>
      <x:c r="Q36" s="3"/>
    </x:row>
    <x:row r="37" ht="15" customHeight="1">
      <x:c r="A37" s="9" t="n">
        <x:f>IF(27&lt;='Сводка'!$B$3,'Сводка'!$B$4+27,"")</x:f>
        <x:v>46262</x:v>
      </x:c>
      <x:c r="B37" s="18" t="n">
        <x:f>IF($A37="","",(A37-37257+1)/1000)</x:f>
        <x:v>9.006</x:v>
      </x:c>
      <x:c r="C37" s="18" t="n">
        <x:f>IF($A37="","",2*(A37-37257)/8978-1)</x:f>
        <x:v>1.0060147026063713</x:v>
      </x:c>
      <x:c r="D37" s="7" t="n">
        <x:f>IF($A37="","",$B$4+$B$5*C37^1+$B$6*C37^2+$B$7*C37^3)</x:f>
        <x:v>101.83602334094732</x:v>
      </x:c>
      <x:c r="E37" s="7" t="n">
        <x:f>IF($A37="","",161.80794779962352*SQRT(1+(1)*$J$59*(1)+(1)*$K$59*(C37^1)+(1)*$L$59*(C37^2)+(1)*$M$59*(C37^3)+(C37^1)*$J$60*(1)+(C37^1)*$K$60*(C37^1)+(C37^1)*$L$60*(C37^2)+(C37^1)*$M$60*(C37^3)+(C37^2)*$J$61*(1)+(C37^2)*$K$61*(C37^1)+(C37^2)*$L$61*(C37^2)+(C37^2)*$M$61*(C37^3)+(C37^3)*$J$62*(1)+(C37^3)*$K$62*(C37^1)+(C37^3)*$L$62*(C37^2)+(C37^3)*$M$62*(C37^3)))</x:f>
        <x:v>161.96587278499248</x:v>
      </x:c>
      <x:c r="F37" s="7" t="n">
        <x:f>IF($A37="","",D37-1.960240157256416*E37)</x:f>
        <x:v>-215.65598459727906</x:v>
      </x:c>
      <x:c r="G37" s="7" t="n">
        <x:f>IF($A37="","",D37+1.960240157256416*E37)</x:f>
        <x:v>419.32803127917373</x:v>
      </x:c>
      <x:c r="H37" s="7" t="n">
        <x:f>IF($A37="","",161.80794779962352*SQRT((1)*$J$59*(1)+(1)*$K$59*(C37^1)+(1)*$L$59*(C37^2)+(1)*$M$59*(C37^3)+(C37^1)*$J$60*(1)+(C37^1)*$K$60*(C37^1)+(C37^1)*$L$60*(C37^2)+(C37^1)*$M$60*(C37^3)+(C37^2)*$J$61*(1)+(C37^2)*$K$61*(C37^1)+(C37^2)*$L$61*(C37^2)+(C37^2)*$M$61*(C37^3)+(C37^3)*$J$62*(1)+(C37^3)*$K$62*(C37^1)+(C37^3)*$L$62*(C37^2)+(C37^3)*$M$62*(C37^3)))</x:f>
        <x:v>7.150662618154471</x:v>
      </x:c>
      <x:c r="I37" s="3"/>
      <x:c r="J37" s="9" t="n">
        <x:v>46223</x:v>
      </x:c>
      <x:c r="K37" s="7" t="n">
        <x:v>292</x:v>
      </x:c>
      <x:c r="L37" s="7" t="n">
        <x:f>$E$4+$E$5*(2*(J37-37257)/('Сводка'!$B$7-37257)-1)^1+$E$6*(2*(J37-37257)/('Сводка'!$B$7-37257)-1)^2+$E$7*(2*(J37-37257)/('Сводка'!$B$7-37257)-1)^3</x:f>
        <x:v>93.98444550558912</x:v>
      </x:c>
      <x:c r="M37" s="7" t="n">
        <x:f>K37-L37</x:f>
        <x:v>198.01555449441088</x:v>
      </x:c>
      <x:c r="N37" s="7" t="n">
        <x:f>ABS(M37)</x:f>
        <x:v>198.01555449441088</x:v>
      </x:c>
      <x:c r="O37" s="3"/>
      <x:c r="P37" s="3"/>
      <x:c r="Q37" s="3"/>
    </x:row>
    <x:row r="38" ht="15" customHeight="1">
      <x:c r="A38" s="9" t="n">
        <x:f>IF(28&lt;='Сводка'!$B$3,'Сводка'!$B$4+28,"")</x:f>
        <x:v>46263</x:v>
      </x:c>
      <x:c r="B38" s="18" t="n">
        <x:f>IF($A38="","",(A38-37257+1)/1000)</x:f>
        <x:v>9.007</x:v>
      </x:c>
      <x:c r="C38" s="18" t="n">
        <x:f>IF($A38="","",2*(A38-37257)/8978-1)</x:f>
        <x:v>1.00623746936957</x:v>
      </x:c>
      <x:c r="D38" s="7" t="n">
        <x:f>IF($A38="","",$B$4+$B$5*C38^1+$B$6*C38^2+$B$7*C38^3)</x:f>
        <x:v>101.80477542201817</x:v>
      </x:c>
      <x:c r="E38" s="7" t="n">
        <x:f>IF($A38="","",161.80794779962352*SQRT(1+(1)*$J$59*(1)+(1)*$K$59*(C38^1)+(1)*$L$59*(C38^2)+(1)*$M$59*(C38^3)+(C38^1)*$J$60*(1)+(C38^1)*$K$60*(C38^1)+(C38^1)*$L$60*(C38^2)+(C38^1)*$M$60*(C38^3)+(C38^2)*$J$61*(1)+(C38^2)*$K$61*(C38^1)+(C38^2)*$L$61*(C38^2)+(C38^2)*$M$61*(C38^3)+(C38^3)*$J$62*(1)+(C38^3)*$K$62*(C38^1)+(C38^3)*$L$62*(C38^2)+(C38^3)*$M$62*(C38^3)))</x:f>
        <x:v>161.96613172313</x:v>
      </x:c>
      <x:c r="F38" s="7" t="n">
        <x:f>IF($A38="","",D38-1.960240157256416*E38)</x:f>
        <x:v>-215.68774009714355</x:v>
      </x:c>
      <x:c r="G38" s="7" t="n">
        <x:f>IF($A38="","",D38+1.960240157256416*E38)</x:f>
        <x:v>419.2972909411799</x:v>
      </x:c>
      <x:c r="H38" s="7" t="n">
        <x:f>IF($A38="","",161.80794779962352*SQRT((1)*$J$59*(1)+(1)*$K$59*(C38^1)+(1)*$L$59*(C38^2)+(1)*$M$59*(C38^3)+(C38^1)*$J$60*(1)+(C38^1)*$K$60*(C38^1)+(C38^1)*$L$60*(C38^2)+(C38^1)*$M$60*(C38^3)+(C38^2)*$J$61*(1)+(C38^2)*$K$61*(C38^1)+(C38^2)*$L$61*(C38^2)+(C38^2)*$M$61*(C38^3)+(C38^3)*$J$62*(1)+(C38^3)*$K$62*(C38^1)+(C38^3)*$L$62*(C38^2)+(C38^3)*$M$62*(C38^3)))</x:f>
        <x:v>7.156525290153038</x:v>
      </x:c>
      <x:c r="I38" s="3"/>
      <x:c r="J38" s="9" t="n">
        <x:v>46224</x:v>
      </x:c>
      <x:c r="K38" s="7" t="n">
        <x:v>303</x:v>
      </x:c>
      <x:c r="L38" s="7" t="n">
        <x:f>$E$4+$E$5*(2*(J38-37257)/('Сводка'!$B$7-37257)-1)^1+$E$6*(2*(J38-37257)/('Сводка'!$B$7-37257)-1)^2+$E$7*(2*(J38-37257)/('Сводка'!$B$7-37257)-1)^3</x:f>
        <x:v>93.94647692263592</x:v>
      </x:c>
      <x:c r="M38" s="7" t="n">
        <x:f>K38-L38</x:f>
        <x:v>209.05352307736408</x:v>
      </x:c>
      <x:c r="N38" s="7" t="n">
        <x:f>ABS(M38)</x:f>
        <x:v>209.05352307736408</x:v>
      </x:c>
      <x:c r="O38" s="3"/>
      <x:c r="P38" s="3"/>
      <x:c r="Q38" s="3"/>
    </x:row>
    <x:row r="39" ht="15" customHeight="1">
      <x:c r="A39" s="9" t="n">
        <x:f>IF(29&lt;='Сводка'!$B$3,'Сводка'!$B$4+29,"")</x:f>
        <x:v>46264</x:v>
      </x:c>
      <x:c r="B39" s="18" t="n">
        <x:f>IF($A39="","",(A39-37257+1)/1000)</x:f>
        <x:v>9.008</x:v>
      </x:c>
      <x:c r="C39" s="18" t="n">
        <x:f>IF($A39="","",2*(A39-37257)/8978-1)</x:f>
        <x:v>1.006460236132769</x:v>
      </x:c>
      <x:c r="D39" s="7" t="n">
        <x:f>IF($A39="","",$B$4+$B$5*C39^1+$B$6*C39^2+$B$7*C39^3)</x:f>
        <x:v>101.77350862310252</x:v>
      </x:c>
      <x:c r="E39" s="7" t="n">
        <x:f>IF($A39="","",161.80794779962352*SQRT(1+(1)*$J$59*(1)+(1)*$K$59*(C39^1)+(1)*$L$59*(C39^2)+(1)*$M$59*(C39^3)+(C39^1)*$J$60*(1)+(C39^1)*$K$60*(C39^1)+(C39^1)*$L$60*(C39^2)+(C39^1)*$M$60*(C39^3)+(C39^2)*$J$61*(1)+(C39^2)*$K$61*(C39^1)+(C39^2)*$L$61*(C39^2)+(C39^2)*$M$61*(C39^3)+(C39^3)*$J$62*(1)+(C39^3)*$K$62*(C39^1)+(C39^3)*$L$62*(C39^2)+(C39^3)*$M$62*(C39^3)))</x:f>
        <x:v>161.9663910596641</x:v>
      </x:c>
      <x:c r="F39" s="7" t="n">
        <x:f>IF($A39="","",D39-1.960240157256416*E39)</x:f>
        <x:v>-215.71951525794762</x:v>
      </x:c>
      <x:c r="G39" s="7" t="n">
        <x:f>IF($A39="","",D39+1.960240157256416*E39)</x:f>
        <x:v>419.2665325041527</x:v>
      </x:c>
      <x:c r="H39" s="7" t="n">
        <x:f>IF($A39="","",161.80794779962352*SQRT((1)*$J$59*(1)+(1)*$K$59*(C39^1)+(1)*$L$59*(C39^2)+(1)*$M$59*(C39^3)+(C39^1)*$J$60*(1)+(C39^1)*$K$60*(C39^1)+(C39^1)*$L$60*(C39^2)+(C39^1)*$M$60*(C39^3)+(C39^2)*$J$61*(1)+(C39^2)*$K$61*(C39^1)+(C39^2)*$L$61*(C39^2)+(C39^2)*$M$61*(C39^3)+(C39^3)*$J$62*(1)+(C39^3)*$K$62*(C39^1)+(C39^3)*$L$62*(C39^2)+(C39^3)*$M$62*(C39^3)))</x:f>
        <x:v>7.162392181830476</x:v>
      </x:c>
      <x:c r="I39" s="3"/>
      <x:c r="J39" s="9" t="n">
        <x:v>46225</x:v>
      </x:c>
      <x:c r="K39" s="7" t="n">
        <x:v>311</x:v>
      </x:c>
      <x:c r="L39" s="7" t="n">
        <x:f>$E$4+$E$5*(2*(J39-37257)/('Сводка'!$B$7-37257)-1)^1+$E$6*(2*(J39-37257)/('Сводка'!$B$7-37257)-1)^2+$E$7*(2*(J39-37257)/('Сводка'!$B$7-37257)-1)^3</x:f>
        <x:v>93.90848626223742</x:v>
      </x:c>
      <x:c r="M39" s="7" t="n">
        <x:f>K39-L39</x:f>
        <x:v>217.09151373776257</x:v>
      </x:c>
      <x:c r="N39" s="7" t="n">
        <x:f>ABS(M39)</x:f>
        <x:v>217.09151373776257</x:v>
      </x:c>
      <x:c r="O39" s="3"/>
      <x:c r="P39" s="3"/>
      <x:c r="Q39" s="3"/>
    </x:row>
    <x:row r="40" ht="15" customHeight="1">
      <x:c r="A40" s="9" t="n">
        <x:f>IF(30&lt;='Сводка'!$B$3,'Сводка'!$B$4+30,"")</x:f>
        <x:v>46265</x:v>
      </x:c>
      <x:c r="B40" s="18" t="n">
        <x:f>IF($A40="","",(A40-37257+1)/1000)</x:f>
        <x:v>9.009</x:v>
      </x:c>
      <x:c r="C40" s="18" t="n">
        <x:f>IF($A40="","",2*(A40-37257)/8978-1)</x:f>
        <x:v>1.0066830028959681</x:v>
      </x:c>
      <x:c r="D40" s="7" t="n">
        <x:f>IF($A40="","",$B$4+$B$5*C40^1+$B$6*C40^2+$B$7*C40^3)</x:f>
        <x:v>101.74222294151545</x:v>
      </x:c>
      <x:c r="E40" s="7" t="n">
        <x:f>IF($A40="","",161.80794779962352*SQRT(1+(1)*$J$59*(1)+(1)*$K$59*(C40^1)+(1)*$L$59*(C40^2)+(1)*$M$59*(C40^3)+(C40^1)*$J$60*(1)+(C40^1)*$K$60*(C40^1)+(C40^1)*$L$60*(C40^2)+(C40^1)*$M$60*(C40^3)+(C40^2)*$J$61*(1)+(C40^2)*$K$61*(C40^1)+(C40^2)*$L$61*(C40^2)+(C40^2)*$M$61*(C40^3)+(C40^3)*$J$62*(1)+(C40^3)*$K$62*(C40^1)+(C40^3)*$L$62*(C40^2)+(C40^3)*$M$62*(C40^3)))</x:f>
        <x:v>161.9666507950399</x:v>
      </x:c>
      <x:c r="F40" s="7" t="n">
        <x:f>IF($A40="","",D40-1.960240157256416*E40)</x:f>
        <x:v>-215.75131008324857</x:v>
      </x:c>
      <x:c r="G40" s="7" t="n">
        <x:f>IF($A40="","",D40+1.960240157256416*E40)</x:f>
        <x:v>419.2357559662795</x:v>
      </x:c>
      <x:c r="H40" s="7" t="n">
        <x:f>IF($A40="","",161.80794779962352*SQRT((1)*$J$59*(1)+(1)*$K$59*(C40^1)+(1)*$L$59*(C40^2)+(1)*$M$59*(C40^3)+(C40^1)*$J$60*(1)+(C40^1)*$K$60*(C40^1)+(C40^1)*$L$60*(C40^2)+(C40^1)*$M$60*(C40^3)+(C40^2)*$J$61*(1)+(C40^2)*$K$61*(C40^1)+(C40^2)*$L$61*(C40^2)+(C40^2)*$M$61*(C40^3)+(C40^3)*$J$62*(1)+(C40^3)*$K$62*(C40^1)+(C40^3)*$L$62*(C40^2)+(C40^3)*$M$62*(C40^3)))</x:f>
        <x:v>7.168263292925367</x:v>
      </x:c>
      <x:c r="I40" s="3"/>
      <x:c r="J40" s="9" t="n">
        <x:v>46226</x:v>
      </x:c>
      <x:c r="K40" s="7" t="n">
        <x:v>328</x:v>
      </x:c>
      <x:c r="L40" s="7" t="n">
        <x:f>$E$4+$E$5*(2*(J40-37257)/('Сводка'!$B$7-37257)-1)^1+$E$6*(2*(J40-37257)/('Сводка'!$B$7-37257)-1)^2+$E$7*(2*(J40-37257)/('Сводка'!$B$7-37257)-1)^3</x:f>
        <x:v>93.8704735210667</x:v>
      </x:c>
      <x:c r="M40" s="7" t="n">
        <x:f>K40-L40</x:f>
        <x:v>234.12952647893331</x:v>
      </x:c>
      <x:c r="N40" s="7" t="n">
        <x:f>ABS(M40)</x:f>
        <x:v>234.12952647893331</x:v>
      </x:c>
      <x:c r="O40" s="3"/>
      <x:c r="P40" s="3"/>
      <x:c r="Q40" s="3"/>
    </x:row>
    <x:row r="41" ht="15" customHeight="1">
      <x:c r="A41" s="5" t="str">
        <x:f>IF(31&lt;='Сводка'!$B$3,'Сводка'!$B$4+31,"")</x:f>
      </x:c>
      <x:c r="B41" s="19" t="str">
        <x:f>IF($A41="","",(A41-37257+1)/1000)</x:f>
      </x:c>
      <x:c r="C41" s="19" t="str">
        <x:f>IF($A41="","",2*(A41-37257)/8978-1)</x:f>
      </x:c>
      <x:c r="D41" s="3" t="str">
        <x:f>IF($A41="","",$B$4+$B$5*C41^1+$B$6*C41^2+$B$7*C41^3)</x:f>
      </x:c>
      <x:c r="E41" s="3" t="str">
        <x:f>IF($A41="","",161.80794779962352*SQRT(1+(1)*$J$59*(1)+(1)*$K$59*(C41^1)+(1)*$L$59*(C41^2)+(1)*$M$59*(C41^3)+(C41^1)*$J$60*(1)+(C41^1)*$K$60*(C41^1)+(C41^1)*$L$60*(C41^2)+(C41^1)*$M$60*(C41^3)+(C41^2)*$J$61*(1)+(C41^2)*$K$61*(C41^1)+(C41^2)*$L$61*(C41^2)+(C41^2)*$M$61*(C41^3)+(C41^3)*$J$62*(1)+(C41^3)*$K$62*(C41^1)+(C41^3)*$L$62*(C41^2)+(C41^3)*$M$62*(C41^3)))</x:f>
      </x:c>
      <x:c r="F41" s="3" t="str">
        <x:f>IF($A41="","",D41-1.960240157256416*E41)</x:f>
      </x:c>
      <x:c r="G41" s="3" t="str">
        <x:f>IF($A41="","",D41+1.960240157256416*E41)</x:f>
      </x:c>
      <x:c r="H41" s="3" t="str">
        <x:f>IF($A41="","",161.80794779962352*SQRT((1)*$J$59*(1)+(1)*$K$59*(C41^1)+(1)*$L$59*(C41^2)+(1)*$M$59*(C41^3)+(C41^1)*$J$60*(1)+(C41^1)*$K$60*(C41^1)+(C41^1)*$L$60*(C41^2)+(C41^1)*$M$60*(C41^3)+(C41^2)*$J$61*(1)+(C41^2)*$K$61*(C41^1)+(C41^2)*$L$61*(C41^2)+(C41^2)*$M$61*(C41^3)+(C41^3)*$J$62*(1)+(C41^3)*$K$62*(C41^1)+(C41^3)*$L$62*(C41^2)+(C41^3)*$M$62*(C41^3)))</x:f>
      </x:c>
      <x:c r="I41" s="3"/>
      <x:c r="J41" s="9" t="n">
        <x:v>46227</x:v>
      </x:c>
      <x:c r="K41" s="7" t="n">
        <x:v>340</x:v>
      </x:c>
      <x:c r="L41" s="7" t="n">
        <x:f>$E$4+$E$5*(2*(J41-37257)/('Сводка'!$B$7-37257)-1)^1+$E$6*(2*(J41-37257)/('Сводка'!$B$7-37257)-1)^2+$E$7*(2*(J41-37257)/('Сводка'!$B$7-37257)-1)^3</x:f>
        <x:v>93.83243869579721</x:v>
      </x:c>
      <x:c r="M41" s="7" t="n">
        <x:f>K41-L41</x:f>
        <x:v>246.1675613042028</x:v>
      </x:c>
      <x:c r="N41" s="7" t="n">
        <x:f>ABS(M41)</x:f>
        <x:v>246.1675613042028</x:v>
      </x:c>
      <x:c r="O41" s="3"/>
      <x:c r="P41" s="3"/>
      <x:c r="Q41" s="3"/>
    </x:row>
    <x:row r="42" ht="15" customHeight="1">
      <x:c r="A42" s="5" t="str">
        <x:f>IF(32&lt;='Сводка'!$B$3,'Сводка'!$B$4+32,"")</x:f>
      </x:c>
      <x:c r="B42" s="19" t="str">
        <x:f>IF($A42="","",(A42-37257+1)/1000)</x:f>
      </x:c>
      <x:c r="C42" s="19" t="str">
        <x:f>IF($A42="","",2*(A42-37257)/8978-1)</x:f>
      </x:c>
      <x:c r="D42" s="3" t="str">
        <x:f>IF($A42="","",$B$4+$B$5*C42^1+$B$6*C42^2+$B$7*C42^3)</x:f>
      </x:c>
      <x:c r="E42" s="3" t="str">
        <x:f>IF($A42="","",161.80794779962352*SQRT(1+(1)*$J$59*(1)+(1)*$K$59*(C42^1)+(1)*$L$59*(C42^2)+(1)*$M$59*(C42^3)+(C42^1)*$J$60*(1)+(C42^1)*$K$60*(C42^1)+(C42^1)*$L$60*(C42^2)+(C42^1)*$M$60*(C42^3)+(C42^2)*$J$61*(1)+(C42^2)*$K$61*(C42^1)+(C42^2)*$L$61*(C42^2)+(C42^2)*$M$61*(C42^3)+(C42^3)*$J$62*(1)+(C42^3)*$K$62*(C42^1)+(C42^3)*$L$62*(C42^2)+(C42^3)*$M$62*(C42^3)))</x:f>
      </x:c>
      <x:c r="F42" s="3" t="str">
        <x:f>IF($A42="","",D42-1.960240157256416*E42)</x:f>
      </x:c>
      <x:c r="G42" s="3" t="str">
        <x:f>IF($A42="","",D42+1.960240157256416*E42)</x:f>
      </x:c>
      <x:c r="H42" s="3" t="str">
        <x:f>IF($A42="","",161.80794779962352*SQRT((1)*$J$59*(1)+(1)*$K$59*(C42^1)+(1)*$L$59*(C42^2)+(1)*$M$59*(C42^3)+(C42^1)*$J$60*(1)+(C42^1)*$K$60*(C42^1)+(C42^1)*$L$60*(C42^2)+(C42^1)*$M$60*(C42^3)+(C42^2)*$J$61*(1)+(C42^2)*$K$61*(C42^1)+(C42^2)*$L$61*(C42^2)+(C42^2)*$M$61*(C42^3)+(C42^3)*$J$62*(1)+(C42^3)*$K$62*(C42^1)+(C42^3)*$L$62*(C42^2)+(C42^3)*$M$62*(C42^3)))</x:f>
      </x:c>
      <x:c r="I42" s="3"/>
      <x:c r="J42" s="9" t="n">
        <x:v>46228</x:v>
      </x:c>
      <x:c r="K42" s="7" t="n">
        <x:v>350</x:v>
      </x:c>
      <x:c r="L42" s="7" t="n">
        <x:f>$E$4+$E$5*(2*(J42-37257)/('Сводка'!$B$7-37257)-1)^1+$E$6*(2*(J42-37257)/('Сводка'!$B$7-37257)-1)^2+$E$7*(2*(J42-37257)/('Сводка'!$B$7-37257)-1)^3</x:f>
        <x:v>93.7943817831021</x:v>
      </x:c>
      <x:c r="M42" s="7" t="n">
        <x:f>K42-L42</x:f>
        <x:v>256.2056182168979</x:v>
      </x:c>
      <x:c r="N42" s="7" t="n">
        <x:f>ABS(M42)</x:f>
        <x:v>256.2056182168979</x:v>
      </x:c>
      <x:c r="O42" s="3"/>
      <x:c r="P42" s="3"/>
      <x:c r="Q42" s="3"/>
    </x:row>
    <x:row r="43" ht="15" customHeight="1">
      <x:c r="A43" s="5" t="str">
        <x:f>IF(33&lt;='Сводка'!$B$3,'Сводка'!$B$4+33,"")</x:f>
      </x:c>
      <x:c r="B43" s="19" t="str">
        <x:f>IF($A43="","",(A43-37257+1)/1000)</x:f>
      </x:c>
      <x:c r="C43" s="19" t="str">
        <x:f>IF($A43="","",2*(A43-37257)/8978-1)</x:f>
      </x:c>
      <x:c r="D43" s="3" t="str">
        <x:f>IF($A43="","",$B$4+$B$5*C43^1+$B$6*C43^2+$B$7*C43^3)</x:f>
      </x:c>
      <x:c r="E43" s="3" t="str">
        <x:f>IF($A43="","",161.80794779962352*SQRT(1+(1)*$J$59*(1)+(1)*$K$59*(C43^1)+(1)*$L$59*(C43^2)+(1)*$M$59*(C43^3)+(C43^1)*$J$60*(1)+(C43^1)*$K$60*(C43^1)+(C43^1)*$L$60*(C43^2)+(C43^1)*$M$60*(C43^3)+(C43^2)*$J$61*(1)+(C43^2)*$K$61*(C43^1)+(C43^2)*$L$61*(C43^2)+(C43^2)*$M$61*(C43^3)+(C43^3)*$J$62*(1)+(C43^3)*$K$62*(C43^1)+(C43^3)*$L$62*(C43^2)+(C43^3)*$M$62*(C43^3)))</x:f>
      </x:c>
      <x:c r="F43" s="3" t="str">
        <x:f>IF($A43="","",D43-1.960240157256416*E43)</x:f>
      </x:c>
      <x:c r="G43" s="3" t="str">
        <x:f>IF($A43="","",D43+1.960240157256416*E43)</x:f>
      </x:c>
      <x:c r="H43" s="3" t="str">
        <x:f>IF($A43="","",161.80794779962352*SQRT((1)*$J$59*(1)+(1)*$K$59*(C43^1)+(1)*$L$59*(C43^2)+(1)*$M$59*(C43^3)+(C43^1)*$J$60*(1)+(C43^1)*$K$60*(C43^1)+(C43^1)*$L$60*(C43^2)+(C43^1)*$M$60*(C43^3)+(C43^2)*$J$61*(1)+(C43^2)*$K$61*(C43^1)+(C43^2)*$L$61*(C43^2)+(C43^2)*$M$61*(C43^3)+(C43^3)*$J$62*(1)+(C43^3)*$K$62*(C43^1)+(C43^3)*$L$62*(C43^2)+(C43^3)*$M$62*(C43^3)))</x:f>
      </x:c>
      <x:c r="I43" s="3"/>
      <x:c r="J43" s="9" t="n">
        <x:v>46229</x:v>
      </x:c>
      <x:c r="K43" s="7" t="n">
        <x:v>361</x:v>
      </x:c>
      <x:c r="L43" s="7" t="n">
        <x:f>$E$4+$E$5*(2*(J43-37257)/('Сводка'!$B$7-37257)-1)^1+$E$6*(2*(J43-37257)/('Сводка'!$B$7-37257)-1)^2+$E$7*(2*(J43-37257)/('Сводка'!$B$7-37257)-1)^3</x:f>
        <x:v>93.75630277965467</x:v>
      </x:c>
      <x:c r="M43" s="7" t="n">
        <x:f>K43-L43</x:f>
        <x:v>267.2436972203453</x:v>
      </x:c>
      <x:c r="N43" s="7" t="n">
        <x:f>ABS(M43)</x:f>
        <x:v>267.2436972203453</x:v>
      </x:c>
      <x:c r="O43" s="3"/>
      <x:c r="P43" s="3"/>
      <x:c r="Q43" s="3"/>
    </x:row>
    <x:row r="44" ht="15" customHeight="1">
      <x:c r="A44" s="5" t="str">
        <x:f>IF(34&lt;='Сводка'!$B$3,'Сводка'!$B$4+34,"")</x:f>
      </x:c>
      <x:c r="B44" s="19" t="str">
        <x:f>IF($A44="","",(A44-37257+1)/1000)</x:f>
      </x:c>
      <x:c r="C44" s="19" t="str">
        <x:f>IF($A44="","",2*(A44-37257)/8978-1)</x:f>
      </x:c>
      <x:c r="D44" s="3" t="str">
        <x:f>IF($A44="","",$B$4+$B$5*C44^1+$B$6*C44^2+$B$7*C44^3)</x:f>
      </x:c>
      <x:c r="E44" s="3" t="str">
        <x:f>IF($A44="","",161.80794779962352*SQRT(1+(1)*$J$59*(1)+(1)*$K$59*(C44^1)+(1)*$L$59*(C44^2)+(1)*$M$59*(C44^3)+(C44^1)*$J$60*(1)+(C44^1)*$K$60*(C44^1)+(C44^1)*$L$60*(C44^2)+(C44^1)*$M$60*(C44^3)+(C44^2)*$J$61*(1)+(C44^2)*$K$61*(C44^1)+(C44^2)*$L$61*(C44^2)+(C44^2)*$M$61*(C44^3)+(C44^3)*$J$62*(1)+(C44^3)*$K$62*(C44^1)+(C44^3)*$L$62*(C44^2)+(C44^3)*$M$62*(C44^3)))</x:f>
      </x:c>
      <x:c r="F44" s="3" t="str">
        <x:f>IF($A44="","",D44-1.960240157256416*E44)</x:f>
      </x:c>
      <x:c r="G44" s="3" t="str">
        <x:f>IF($A44="","",D44+1.960240157256416*E44)</x:f>
      </x:c>
      <x:c r="H44" s="3" t="str">
        <x:f>IF($A44="","",161.80794779962352*SQRT((1)*$J$59*(1)+(1)*$K$59*(C44^1)+(1)*$L$59*(C44^2)+(1)*$M$59*(C44^3)+(C44^1)*$J$60*(1)+(C44^1)*$K$60*(C44^1)+(C44^1)*$L$60*(C44^2)+(C44^1)*$M$60*(C44^3)+(C44^2)*$J$61*(1)+(C44^2)*$K$61*(C44^1)+(C44^2)*$L$61*(C44^2)+(C44^2)*$M$61*(C44^3)+(C44^3)*$J$62*(1)+(C44^3)*$K$62*(C44^1)+(C44^3)*$L$62*(C44^2)+(C44^3)*$M$62*(C44^3)))</x:f>
      </x:c>
      <x:c r="I44" s="3"/>
      <x:c r="J44" s="9" t="n">
        <x:v>46230</x:v>
      </x:c>
      <x:c r="K44" s="7" t="n">
        <x:v>369</x:v>
      </x:c>
      <x:c r="L44" s="7" t="n">
        <x:f>$E$4+$E$5*(2*(J44-37257)/('Сводка'!$B$7-37257)-1)^1+$E$6*(2*(J44-37257)/('Сводка'!$B$7-37257)-1)^2+$E$7*(2*(J44-37257)/('Сводка'!$B$7-37257)-1)^3</x:f>
        <x:v>93.71820168212801</x:v>
      </x:c>
      <x:c r="M44" s="7" t="n">
        <x:f>K44-L44</x:f>
        <x:v>275.281798317872</x:v>
      </x:c>
      <x:c r="N44" s="7" t="n">
        <x:f>ABS(M44)</x:f>
        <x:v>275.281798317872</x:v>
      </x:c>
      <x:c r="O44" s="3"/>
      <x:c r="P44" s="3"/>
      <x:c r="Q44" s="3"/>
    </x:row>
    <x:row r="45" ht="15" customHeight="1">
      <x:c r="A45" s="5" t="str">
        <x:f>IF(35&lt;='Сводка'!$B$3,'Сводка'!$B$4+35,"")</x:f>
      </x:c>
      <x:c r="B45" s="19" t="str">
        <x:f>IF($A45="","",(A45-37257+1)/1000)</x:f>
      </x:c>
      <x:c r="C45" s="19" t="str">
        <x:f>IF($A45="","",2*(A45-37257)/8978-1)</x:f>
      </x:c>
      <x:c r="D45" s="3" t="str">
        <x:f>IF($A45="","",$B$4+$B$5*C45^1+$B$6*C45^2+$B$7*C45^3)</x:f>
      </x:c>
      <x:c r="E45" s="3" t="str">
        <x:f>IF($A45="","",161.80794779962352*SQRT(1+(1)*$J$59*(1)+(1)*$K$59*(C45^1)+(1)*$L$59*(C45^2)+(1)*$M$59*(C45^3)+(C45^1)*$J$60*(1)+(C45^1)*$K$60*(C45^1)+(C45^1)*$L$60*(C45^2)+(C45^1)*$M$60*(C45^3)+(C45^2)*$J$61*(1)+(C45^2)*$K$61*(C45^1)+(C45^2)*$L$61*(C45^2)+(C45^2)*$M$61*(C45^3)+(C45^3)*$J$62*(1)+(C45^3)*$K$62*(C45^1)+(C45^3)*$L$62*(C45^2)+(C45^3)*$M$62*(C45^3)))</x:f>
      </x:c>
      <x:c r="F45" s="3" t="str">
        <x:f>IF($A45="","",D45-1.960240157256416*E45)</x:f>
      </x:c>
      <x:c r="G45" s="3" t="str">
        <x:f>IF($A45="","",D45+1.960240157256416*E45)</x:f>
      </x:c>
      <x:c r="H45" s="3" t="str">
        <x:f>IF($A45="","",161.80794779962352*SQRT((1)*$J$59*(1)+(1)*$K$59*(C45^1)+(1)*$L$59*(C45^2)+(1)*$M$59*(C45^3)+(C45^1)*$J$60*(1)+(C45^1)*$K$60*(C45^1)+(C45^1)*$L$60*(C45^2)+(C45^1)*$M$60*(C45^3)+(C45^2)*$J$61*(1)+(C45^2)*$K$61*(C45^1)+(C45^2)*$L$61*(C45^2)+(C45^2)*$M$61*(C45^3)+(C45^3)*$J$62*(1)+(C45^3)*$K$62*(C45^1)+(C45^3)*$L$62*(C45^2)+(C45^3)*$M$62*(C45^3)))</x:f>
      </x:c>
      <x:c r="I45" s="3"/>
      <x:c r="J45" s="9" t="n">
        <x:v>46231</x:v>
      </x:c>
      <x:c r="K45" s="7" t="n">
        <x:v>377</x:v>
      </x:c>
      <x:c r="L45" s="7" t="n">
        <x:f>$E$4+$E$5*(2*(J45-37257)/('Сводка'!$B$7-37257)-1)^1+$E$6*(2*(J45-37257)/('Сводка'!$B$7-37257)-1)^2+$E$7*(2*(J45-37257)/('Сводка'!$B$7-37257)-1)^3</x:f>
        <x:v>93.68007848719563</x:v>
      </x:c>
      <x:c r="M45" s="7" t="n">
        <x:f>K45-L45</x:f>
        <x:v>283.3199215128044</x:v>
      </x:c>
      <x:c r="N45" s="7" t="n">
        <x:f>ABS(M45)</x:f>
        <x:v>283.3199215128044</x:v>
      </x:c>
      <x:c r="O45" s="3"/>
      <x:c r="P45" s="3"/>
      <x:c r="Q45" s="3"/>
    </x:row>
    <x:row r="46" ht="15" customHeight="1">
      <x:c r="A46" s="5" t="str">
        <x:f>IF(36&lt;='Сводка'!$B$3,'Сводка'!$B$4+36,"")</x:f>
      </x:c>
      <x:c r="B46" s="19" t="str">
        <x:f>IF($A46="","",(A46-37257+1)/1000)</x:f>
      </x:c>
      <x:c r="C46" s="19" t="str">
        <x:f>IF($A46="","",2*(A46-37257)/8978-1)</x:f>
      </x:c>
      <x:c r="D46" s="3" t="str">
        <x:f>IF($A46="","",$B$4+$B$5*C46^1+$B$6*C46^2+$B$7*C46^3)</x:f>
      </x:c>
      <x:c r="E46" s="3" t="str">
        <x:f>IF($A46="","",161.80794779962352*SQRT(1+(1)*$J$59*(1)+(1)*$K$59*(C46^1)+(1)*$L$59*(C46^2)+(1)*$M$59*(C46^3)+(C46^1)*$J$60*(1)+(C46^1)*$K$60*(C46^1)+(C46^1)*$L$60*(C46^2)+(C46^1)*$M$60*(C46^3)+(C46^2)*$J$61*(1)+(C46^2)*$K$61*(C46^1)+(C46^2)*$L$61*(C46^2)+(C46^2)*$M$61*(C46^3)+(C46^3)*$J$62*(1)+(C46^3)*$K$62*(C46^1)+(C46^3)*$L$62*(C46^2)+(C46^3)*$M$62*(C46^3)))</x:f>
      </x:c>
      <x:c r="F46" s="3" t="str">
        <x:f>IF($A46="","",D46-1.960240157256416*E46)</x:f>
      </x:c>
      <x:c r="G46" s="3" t="str">
        <x:f>IF($A46="","",D46+1.960240157256416*E46)</x:f>
      </x:c>
      <x:c r="H46" s="3" t="str">
        <x:f>IF($A46="","",161.80794779962352*SQRT((1)*$J$59*(1)+(1)*$K$59*(C46^1)+(1)*$L$59*(C46^2)+(1)*$M$59*(C46^3)+(C46^1)*$J$60*(1)+(C46^1)*$K$60*(C46^1)+(C46^1)*$L$60*(C46^2)+(C46^1)*$M$60*(C46^3)+(C46^2)*$J$61*(1)+(C46^2)*$K$61*(C46^1)+(C46^2)*$L$61*(C46^2)+(C46^2)*$M$61*(C46^3)+(C46^3)*$J$62*(1)+(C46^3)*$K$62*(C46^1)+(C46^3)*$L$62*(C46^2)+(C46^3)*$M$62*(C46^3)))</x:f>
      </x:c>
      <x:c r="I46" s="3"/>
      <x:c r="J46" s="9" t="n">
        <x:v>46232</x:v>
      </x:c>
      <x:c r="K46" s="7" t="n">
        <x:v>385</x:v>
      </x:c>
      <x:c r="L46" s="7" t="n">
        <x:f>$E$4+$E$5*(2*(J46-37257)/('Сводка'!$B$7-37257)-1)^1+$E$6*(2*(J46-37257)/('Сводка'!$B$7-37257)-1)^2+$E$7*(2*(J46-37257)/('Сводка'!$B$7-37257)-1)^3</x:f>
        <x:v>93.64193319153063</x:v>
      </x:c>
      <x:c r="M46" s="7" t="n">
        <x:f>K46-L46</x:f>
        <x:v>291.3580668084694</x:v>
      </x:c>
      <x:c r="N46" s="7" t="n">
        <x:f>ABS(M46)</x:f>
        <x:v>291.3580668084694</x:v>
      </x:c>
      <x:c r="O46" s="3"/>
      <x:c r="P46" s="3"/>
      <x:c r="Q46" s="3"/>
    </x:row>
    <x:row r="47" ht="15" customHeight="1">
      <x:c r="A47" s="5" t="str">
        <x:f>IF(37&lt;='Сводка'!$B$3,'Сводка'!$B$4+37,"")</x:f>
      </x:c>
      <x:c r="B47" s="19" t="str">
        <x:f>IF($A47="","",(A47-37257+1)/1000)</x:f>
      </x:c>
      <x:c r="C47" s="19" t="str">
        <x:f>IF($A47="","",2*(A47-37257)/8978-1)</x:f>
      </x:c>
      <x:c r="D47" s="3" t="str">
        <x:f>IF($A47="","",$B$4+$B$5*C47^1+$B$6*C47^2+$B$7*C47^3)</x:f>
      </x:c>
      <x:c r="E47" s="3" t="str">
        <x:f>IF($A47="","",161.80794779962352*SQRT(1+(1)*$J$59*(1)+(1)*$K$59*(C47^1)+(1)*$L$59*(C47^2)+(1)*$M$59*(C47^3)+(C47^1)*$J$60*(1)+(C47^1)*$K$60*(C47^1)+(C47^1)*$L$60*(C47^2)+(C47^1)*$M$60*(C47^3)+(C47^2)*$J$61*(1)+(C47^2)*$K$61*(C47^1)+(C47^2)*$L$61*(C47^2)+(C47^2)*$M$61*(C47^3)+(C47^3)*$J$62*(1)+(C47^3)*$K$62*(C47^1)+(C47^3)*$L$62*(C47^2)+(C47^3)*$M$62*(C47^3)))</x:f>
      </x:c>
      <x:c r="F47" s="3" t="str">
        <x:f>IF($A47="","",D47-1.960240157256416*E47)</x:f>
      </x:c>
      <x:c r="G47" s="3" t="str">
        <x:f>IF($A47="","",D47+1.960240157256416*E47)</x:f>
      </x:c>
      <x:c r="H47" s="3" t="str">
        <x:f>IF($A47="","",161.80794779962352*SQRT((1)*$J$59*(1)+(1)*$K$59*(C47^1)+(1)*$L$59*(C47^2)+(1)*$M$59*(C47^3)+(C47^1)*$J$60*(1)+(C47^1)*$K$60*(C47^1)+(C47^1)*$L$60*(C47^2)+(C47^1)*$M$60*(C47^3)+(C47^2)*$J$61*(1)+(C47^2)*$K$61*(C47^1)+(C47^2)*$L$61*(C47^2)+(C47^2)*$M$61*(C47^3)+(C47^3)*$J$62*(1)+(C47^3)*$K$62*(C47^1)+(C47^3)*$L$62*(C47^2)+(C47^3)*$M$62*(C47^3)))</x:f>
      </x:c>
      <x:c r="I47" s="3"/>
      <x:c r="J47" s="9" t="n">
        <x:v>46233</x:v>
      </x:c>
      <x:c r="K47" s="7" t="n">
        <x:v>389</x:v>
      </x:c>
      <x:c r="L47" s="7" t="n">
        <x:f>$E$4+$E$5*(2*(J47-37257)/('Сводка'!$B$7-37257)-1)^1+$E$6*(2*(J47-37257)/('Сводка'!$B$7-37257)-1)^2+$E$7*(2*(J47-37257)/('Сводка'!$B$7-37257)-1)^3</x:f>
        <x:v>93.60376579180627</x:v>
      </x:c>
      <x:c r="M47" s="7" t="n">
        <x:f>K47-L47</x:f>
        <x:v>295.39623420819373</x:v>
      </x:c>
      <x:c r="N47" s="7" t="n">
        <x:f>ABS(M47)</x:f>
        <x:v>295.39623420819373</x:v>
      </x:c>
      <x:c r="O47" s="3"/>
      <x:c r="P47" s="3"/>
      <x:c r="Q47" s="3"/>
    </x:row>
    <x:row r="48" ht="15" customHeight="1">
      <x:c r="A48" s="5" t="str">
        <x:f>IF(38&lt;='Сводка'!$B$3,'Сводка'!$B$4+38,"")</x:f>
      </x:c>
      <x:c r="B48" s="19" t="str">
        <x:f>IF($A48="","",(A48-37257+1)/1000)</x:f>
      </x:c>
      <x:c r="C48" s="19" t="str">
        <x:f>IF($A48="","",2*(A48-37257)/8978-1)</x:f>
      </x:c>
      <x:c r="D48" s="3" t="str">
        <x:f>IF($A48="","",$B$4+$B$5*C48^1+$B$6*C48^2+$B$7*C48^3)</x:f>
      </x:c>
      <x:c r="E48" s="3" t="str">
        <x:f>IF($A48="","",161.80794779962352*SQRT(1+(1)*$J$59*(1)+(1)*$K$59*(C48^1)+(1)*$L$59*(C48^2)+(1)*$M$59*(C48^3)+(C48^1)*$J$60*(1)+(C48^1)*$K$60*(C48^1)+(C48^1)*$L$60*(C48^2)+(C48^1)*$M$60*(C48^3)+(C48^2)*$J$61*(1)+(C48^2)*$K$61*(C48^1)+(C48^2)*$L$61*(C48^2)+(C48^2)*$M$61*(C48^3)+(C48^3)*$J$62*(1)+(C48^3)*$K$62*(C48^1)+(C48^3)*$L$62*(C48^2)+(C48^3)*$M$62*(C48^3)))</x:f>
      </x:c>
      <x:c r="F48" s="3" t="str">
        <x:f>IF($A48="","",D48-1.960240157256416*E48)</x:f>
      </x:c>
      <x:c r="G48" s="3" t="str">
        <x:f>IF($A48="","",D48+1.960240157256416*E48)</x:f>
      </x:c>
      <x:c r="H48" s="3" t="str">
        <x:f>IF($A48="","",161.80794779962352*SQRT((1)*$J$59*(1)+(1)*$K$59*(C48^1)+(1)*$L$59*(C48^2)+(1)*$M$59*(C48^3)+(C48^1)*$J$60*(1)+(C48^1)*$K$60*(C48^1)+(C48^1)*$L$60*(C48^2)+(C48^1)*$M$60*(C48^3)+(C48^2)*$J$61*(1)+(C48^2)*$K$61*(C48^1)+(C48^2)*$L$61*(C48^2)+(C48^2)*$M$61*(C48^3)+(C48^3)*$J$62*(1)+(C48^3)*$K$62*(C48^1)+(C48^3)*$L$62*(C48^2)+(C48^3)*$M$62*(C48^3)))</x:f>
      </x:c>
      <x:c r="I48" s="3"/>
      <x:c r="J48" s="9" t="n">
        <x:v>46234</x:v>
      </x:c>
      <x:c r="K48" s="7" t="n">
        <x:v>399</x:v>
      </x:c>
      <x:c r="L48" s="7" t="n">
        <x:f>$E$4+$E$5*(2*(J48-37257)/('Сводка'!$B$7-37257)-1)^1+$E$6*(2*(J48-37257)/('Сводка'!$B$7-37257)-1)^2+$E$7*(2*(J48-37257)/('Сводка'!$B$7-37257)-1)^3</x:f>
        <x:v>93.56557628469582</x:v>
      </x:c>
      <x:c r="M48" s="7" t="n">
        <x:f>K48-L48</x:f>
        <x:v>305.4344237153042</x:v>
      </x:c>
      <x:c r="N48" s="7" t="n">
        <x:f>ABS(M48)</x:f>
        <x:v>305.4344237153042</x:v>
      </x:c>
      <x:c r="O48" s="3"/>
      <x:c r="P48" s="3"/>
      <x:c r="Q48" s="3"/>
    </x:row>
    <x:row r="49" ht="15" customHeight="1">
      <x:c r="A49" s="5" t="str">
        <x:f>IF(39&lt;='Сводка'!$B$3,'Сводка'!$B$4+39,"")</x:f>
      </x:c>
      <x:c r="B49" s="19" t="str">
        <x:f>IF($A49="","",(A49-37257+1)/1000)</x:f>
      </x:c>
      <x:c r="C49" s="19" t="str">
        <x:f>IF($A49="","",2*(A49-37257)/8978-1)</x:f>
      </x:c>
      <x:c r="D49" s="3" t="str">
        <x:f>IF($A49="","",$B$4+$B$5*C49^1+$B$6*C49^2+$B$7*C49^3)</x:f>
      </x:c>
      <x:c r="E49" s="3" t="str">
        <x:f>IF($A49="","",161.80794779962352*SQRT(1+(1)*$J$59*(1)+(1)*$K$59*(C49^1)+(1)*$L$59*(C49^2)+(1)*$M$59*(C49^3)+(C49^1)*$J$60*(1)+(C49^1)*$K$60*(C49^1)+(C49^1)*$L$60*(C49^2)+(C49^1)*$M$60*(C49^3)+(C49^2)*$J$61*(1)+(C49^2)*$K$61*(C49^1)+(C49^2)*$L$61*(C49^2)+(C49^2)*$M$61*(C49^3)+(C49^3)*$J$62*(1)+(C49^3)*$K$62*(C49^1)+(C49^3)*$L$62*(C49^2)+(C49^3)*$M$62*(C49^3)))</x:f>
      </x:c>
      <x:c r="F49" s="3" t="str">
        <x:f>IF($A49="","",D49-1.960240157256416*E49)</x:f>
      </x:c>
      <x:c r="G49" s="3" t="str">
        <x:f>IF($A49="","",D49+1.960240157256416*E49)</x:f>
      </x:c>
      <x:c r="H49" s="3" t="str">
        <x:f>IF($A49="","",161.80794779962352*SQRT((1)*$J$59*(1)+(1)*$K$59*(C49^1)+(1)*$L$59*(C49^2)+(1)*$M$59*(C49^3)+(C49^1)*$J$60*(1)+(C49^1)*$K$60*(C49^1)+(C49^1)*$L$60*(C49^2)+(C49^1)*$M$60*(C49^3)+(C49^2)*$J$61*(1)+(C49^2)*$K$61*(C49^1)+(C49^2)*$L$61*(C49^2)+(C49^2)*$M$61*(C49^3)+(C49^3)*$J$62*(1)+(C49^3)*$K$62*(C49^1)+(C49^3)*$L$62*(C49^2)+(C49^3)*$M$62*(C49^3)))</x:f>
      </x:c>
      <x:c r="I49" s="3"/>
      <x:c r="J49" s="9" t="n">
        <x:v>46235</x:v>
      </x:c>
      <x:c r="K49" s="7" t="n">
        <x:v>405</x:v>
      </x:c>
      <x:c r="L49" s="7" t="n">
        <x:f>$E$4+$E$5*(2*(J49-37257)/('Сводка'!$B$7-37257)-1)^1+$E$6*(2*(J49-37257)/('Сводка'!$B$7-37257)-1)^2+$E$7*(2*(J49-37257)/('Сводка'!$B$7-37257)-1)^3</x:f>
        <x:v>93.5273646668724</x:v>
      </x:c>
      <x:c r="M49" s="7" t="n">
        <x:f>K49-L49</x:f>
        <x:v>311.4726353331276</x:v>
      </x:c>
      <x:c r="N49" s="7" t="n">
        <x:f>ABS(M49)</x:f>
        <x:v>311.4726353331276</x:v>
      </x:c>
      <x:c r="O49" s="3"/>
      <x:c r="P49" s="3"/>
      <x:c r="Q49" s="3"/>
    </x:row>
    <x:row r="50" ht="15" customHeight="1">
      <x:c r="A50" s="5" t="str">
        <x:f>IF(40&lt;='Сводка'!$B$3,'Сводка'!$B$4+40,"")</x:f>
      </x:c>
      <x:c r="B50" s="19" t="str">
        <x:f>IF($A50="","",(A50-37257+1)/1000)</x:f>
      </x:c>
      <x:c r="C50" s="19" t="str">
        <x:f>IF($A50="","",2*(A50-37257)/8978-1)</x:f>
      </x:c>
      <x:c r="D50" s="3" t="str">
        <x:f>IF($A50="","",$B$4+$B$5*C50^1+$B$6*C50^2+$B$7*C50^3)</x:f>
      </x:c>
      <x:c r="E50" s="3" t="str">
        <x:f>IF($A50="","",161.80794779962352*SQRT(1+(1)*$J$59*(1)+(1)*$K$59*(C50^1)+(1)*$L$59*(C50^2)+(1)*$M$59*(C50^3)+(C50^1)*$J$60*(1)+(C50^1)*$K$60*(C50^1)+(C50^1)*$L$60*(C50^2)+(C50^1)*$M$60*(C50^3)+(C50^2)*$J$61*(1)+(C50^2)*$K$61*(C50^1)+(C50^2)*$L$61*(C50^2)+(C50^2)*$M$61*(C50^3)+(C50^3)*$J$62*(1)+(C50^3)*$K$62*(C50^1)+(C50^3)*$L$62*(C50^2)+(C50^3)*$M$62*(C50^3)))</x:f>
      </x:c>
      <x:c r="F50" s="3" t="str">
        <x:f>IF($A50="","",D50-1.960240157256416*E50)</x:f>
      </x:c>
      <x:c r="G50" s="3" t="str">
        <x:f>IF($A50="","",D50+1.960240157256416*E50)</x:f>
      </x:c>
      <x:c r="H50" s="3" t="str">
        <x:f>IF($A50="","",161.80794779962352*SQRT((1)*$J$59*(1)+(1)*$K$59*(C50^1)+(1)*$L$59*(C50^2)+(1)*$M$59*(C50^3)+(C50^1)*$J$60*(1)+(C50^1)*$K$60*(C50^1)+(C50^1)*$L$60*(C50^2)+(C50^1)*$M$60*(C50^3)+(C50^2)*$J$61*(1)+(C50^2)*$K$61*(C50^1)+(C50^2)*$L$61*(C50^2)+(C50^2)*$M$61*(C50^3)+(C50^3)*$J$62*(1)+(C50^3)*$K$62*(C50^1)+(C50^3)*$L$62*(C50^2)+(C50^3)*$M$62*(C50^3)))</x:f>
      </x:c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customHeight="1">
      <x:c r="A51" s="5" t="str">
        <x:f>IF(41&lt;='Сводка'!$B$3,'Сводка'!$B$4+41,"")</x:f>
      </x:c>
      <x:c r="B51" s="19" t="str">
        <x:f>IF($A51="","",(A51-37257+1)/1000)</x:f>
      </x:c>
      <x:c r="C51" s="19" t="str">
        <x:f>IF($A51="","",2*(A51-37257)/8978-1)</x:f>
      </x:c>
      <x:c r="D51" s="3" t="str">
        <x:f>IF($A51="","",$B$4+$B$5*C51^1+$B$6*C51^2+$B$7*C51^3)</x:f>
      </x:c>
      <x:c r="E51" s="3" t="str">
        <x:f>IF($A51="","",161.80794779962352*SQRT(1+(1)*$J$59*(1)+(1)*$K$59*(C51^1)+(1)*$L$59*(C51^2)+(1)*$M$59*(C51^3)+(C51^1)*$J$60*(1)+(C51^1)*$K$60*(C51^1)+(C51^1)*$L$60*(C51^2)+(C51^1)*$M$60*(C51^3)+(C51^2)*$J$61*(1)+(C51^2)*$K$61*(C51^1)+(C51^2)*$L$61*(C51^2)+(C51^2)*$M$61*(C51^3)+(C51^3)*$J$62*(1)+(C51^3)*$K$62*(C51^1)+(C51^3)*$L$62*(C51^2)+(C51^3)*$M$62*(C51^3)))</x:f>
      </x:c>
      <x:c r="F51" s="3" t="str">
        <x:f>IF($A51="","",D51-1.960240157256416*E51)</x:f>
      </x:c>
      <x:c r="G51" s="3" t="str">
        <x:f>IF($A51="","",D51+1.960240157256416*E51)</x:f>
      </x:c>
      <x:c r="H51" s="3" t="str">
        <x:f>IF($A51="","",161.80794779962352*SQRT((1)*$J$59*(1)+(1)*$K$59*(C51^1)+(1)*$L$59*(C51^2)+(1)*$M$59*(C51^3)+(C51^1)*$J$60*(1)+(C51^1)*$K$60*(C51^1)+(C51^1)*$L$60*(C51^2)+(C51^1)*$M$60*(C51^3)+(C51^2)*$J$61*(1)+(C51^2)*$K$61*(C51^1)+(C51^2)*$L$61*(C51^2)+(C51^2)*$M$61*(C51^3)+(C51^3)*$J$62*(1)+(C51^3)*$K$62*(C51^1)+(C51^3)*$L$62*(C51^2)+(C51^3)*$M$62*(C51^3)))</x:f>
      </x:c>
      <x:c r="I51" s="3"/>
      <x:c r="J51" s="3" t="str">
        <x:v>XᵀX</x:v>
      </x:c>
      <x:c r="K51" s="3"/>
      <x:c r="L51" s="3"/>
      <x:c r="M51" s="3"/>
      <x:c r="N51" s="3"/>
      <x:c r="O51" s="3" t="str">
        <x:v>Xᵀy</x:v>
      </x:c>
      <x:c r="P51" s="3"/>
      <x:c r="Q51" s="3"/>
    </x:row>
    <x:row r="52" ht="15" customHeight="1">
      <x:c r="A52" s="5" t="str">
        <x:f>IF(42&lt;='Сводка'!$B$3,'Сводка'!$B$4+42,"")</x:f>
      </x:c>
      <x:c r="B52" s="19" t="str">
        <x:f>IF($A52="","",(A52-37257+1)/1000)</x:f>
      </x:c>
      <x:c r="C52" s="19" t="str">
        <x:f>IF($A52="","",2*(A52-37257)/8978-1)</x:f>
      </x:c>
      <x:c r="D52" s="3" t="str">
        <x:f>IF($A52="","",$B$4+$B$5*C52^1+$B$6*C52^2+$B$7*C52^3)</x:f>
      </x:c>
      <x:c r="E52" s="3" t="str">
        <x:f>IF($A52="","",161.80794779962352*SQRT(1+(1)*$J$59*(1)+(1)*$K$59*(C52^1)+(1)*$L$59*(C52^2)+(1)*$M$59*(C52^3)+(C52^1)*$J$60*(1)+(C52^1)*$K$60*(C52^1)+(C52^1)*$L$60*(C52^2)+(C52^1)*$M$60*(C52^3)+(C52^2)*$J$61*(1)+(C52^2)*$K$61*(C52^1)+(C52^2)*$L$61*(C52^2)+(C52^2)*$M$61*(C52^3)+(C52^3)*$J$62*(1)+(C52^3)*$K$62*(C52^1)+(C52^3)*$L$62*(C52^2)+(C52^3)*$M$62*(C52^3)))</x:f>
      </x:c>
      <x:c r="F52" s="3" t="str">
        <x:f>IF($A52="","",D52-1.960240157256416*E52)</x:f>
      </x:c>
      <x:c r="G52" s="3" t="str">
        <x:f>IF($A52="","",D52+1.960240157256416*E52)</x:f>
      </x:c>
      <x:c r="H52" s="3" t="str">
        <x:f>IF($A52="","",161.80794779962352*SQRT((1)*$J$59*(1)+(1)*$K$59*(C52^1)+(1)*$L$59*(C52^2)+(1)*$M$59*(C52^3)+(C52^1)*$J$60*(1)+(C52^1)*$K$60*(C52^1)+(C52^1)*$L$60*(C52^2)+(C52^1)*$M$60*(C52^3)+(C52^2)*$J$61*(1)+(C52^2)*$K$61*(C52^1)+(C52^2)*$L$61*(C52^2)+(C52^2)*$M$61*(C52^3)+(C52^3)*$J$62*(1)+(C52^3)*$K$62*(C52^1)+(C52^3)*$L$62*(C52^2)+(C52^3)*$M$62*(C52^3)))</x:f>
      </x:c>
      <x:c r="I52" s="3"/>
      <x:c r="J52" s="7" t="n">
        <x:v>8595</x:v>
      </x:c>
      <x:c r="K52" s="7" t="n">
        <x:v>-148.09044330585888</x:v>
      </x:c>
      <x:c r="L52" s="7" t="n">
        <x:v>2802.964105073849</x:v>
      </x:c>
      <x:c r="M52" s="7" t="n">
        <x:v>-66.61428481971063</x:v>
      </x:c>
      <x:c r="N52" s="3"/>
      <x:c r="O52" s="7" t="n">
        <x:v>581827</x:v>
      </x:c>
      <x:c r="P52" s="3"/>
      <x:c r="Q52" s="3"/>
    </x:row>
    <x:row r="53" ht="15" customHeight="1">
      <x:c r="A53" s="5" t="str">
        <x:f>IF(43&lt;='Сводка'!$B$3,'Сводка'!$B$4+43,"")</x:f>
      </x:c>
      <x:c r="B53" s="19" t="str">
        <x:f>IF($A53="","",(A53-37257+1)/1000)</x:f>
      </x:c>
      <x:c r="C53" s="19" t="str">
        <x:f>IF($A53="","",2*(A53-37257)/8978-1)</x:f>
      </x:c>
      <x:c r="D53" s="3" t="str">
        <x:f>IF($A53="","",$B$4+$B$5*C53^1+$B$6*C53^2+$B$7*C53^3)</x:f>
      </x:c>
      <x:c r="E53" s="3" t="str">
        <x:f>IF($A53="","",161.80794779962352*SQRT(1+(1)*$J$59*(1)+(1)*$K$59*(C53^1)+(1)*$L$59*(C53^2)+(1)*$M$59*(C53^3)+(C53^1)*$J$60*(1)+(C53^1)*$K$60*(C53^1)+(C53^1)*$L$60*(C53^2)+(C53^1)*$M$60*(C53^3)+(C53^2)*$J$61*(1)+(C53^2)*$K$61*(C53^1)+(C53^2)*$L$61*(C53^2)+(C53^2)*$M$61*(C53^3)+(C53^3)*$J$62*(1)+(C53^3)*$K$62*(C53^1)+(C53^3)*$L$62*(C53^2)+(C53^3)*$M$62*(C53^3)))</x:f>
      </x:c>
      <x:c r="F53" s="3" t="str">
        <x:f>IF($A53="","",D53-1.960240157256416*E53)</x:f>
      </x:c>
      <x:c r="G53" s="3" t="str">
        <x:f>IF($A53="","",D53+1.960240157256416*E53)</x:f>
      </x:c>
      <x:c r="H53" s="3" t="str">
        <x:f>IF($A53="","",161.80794779962352*SQRT((1)*$J$59*(1)+(1)*$K$59*(C53^1)+(1)*$L$59*(C53^2)+(1)*$M$59*(C53^3)+(C53^1)*$J$60*(1)+(C53^1)*$K$60*(C53^1)+(C53^1)*$L$60*(C53^2)+(C53^1)*$M$60*(C53^3)+(C53^2)*$J$61*(1)+(C53^2)*$K$61*(C53^1)+(C53^2)*$L$61*(C53^2)+(C53^2)*$M$61*(C53^3)+(C53^3)*$J$62*(1)+(C53^3)*$K$62*(C53^1)+(C53^3)*$L$62*(C53^2)+(C53^3)*$M$62*(C53^3)))</x:f>
      </x:c>
      <x:c r="I53" s="3"/>
      <x:c r="J53" s="7" t="n">
        <x:v>-148.09044330585888</x:v>
      </x:c>
      <x:c r="K53" s="7" t="n">
        <x:v>2802.964105073849</x:v>
      </x:c>
      <x:c r="L53" s="7" t="n">
        <x:v>-66.61428481971063</x:v>
      </x:c>
      <x:c r="M53" s="7" t="n">
        <x:v>1689.0282758735532</x:v>
      </x:c>
      <x:c r="N53" s="3"/>
      <x:c r="O53" s="7" t="n">
        <x:v>257713.17308977508</x:v>
      </x:c>
      <x:c r="P53" s="3"/>
      <x:c r="Q53" s="3"/>
    </x:row>
    <x:row r="54" ht="15" customHeight="1">
      <x:c r="A54" s="5" t="str">
        <x:f>IF(44&lt;='Сводка'!$B$3,'Сводка'!$B$4+44,"")</x:f>
      </x:c>
      <x:c r="B54" s="19" t="str">
        <x:f>IF($A54="","",(A54-37257+1)/1000)</x:f>
      </x:c>
      <x:c r="C54" s="19" t="str">
        <x:f>IF($A54="","",2*(A54-37257)/8978-1)</x:f>
      </x:c>
      <x:c r="D54" s="3" t="str">
        <x:f>IF($A54="","",$B$4+$B$5*C54^1+$B$6*C54^2+$B$7*C54^3)</x:f>
      </x:c>
      <x:c r="E54" s="3" t="str">
        <x:f>IF($A54="","",161.80794779962352*SQRT(1+(1)*$J$59*(1)+(1)*$K$59*(C54^1)+(1)*$L$59*(C54^2)+(1)*$M$59*(C54^3)+(C54^1)*$J$60*(1)+(C54^1)*$K$60*(C54^1)+(C54^1)*$L$60*(C54^2)+(C54^1)*$M$60*(C54^3)+(C54^2)*$J$61*(1)+(C54^2)*$K$61*(C54^1)+(C54^2)*$L$61*(C54^2)+(C54^2)*$M$61*(C54^3)+(C54^3)*$J$62*(1)+(C54^3)*$K$62*(C54^1)+(C54^3)*$L$62*(C54^2)+(C54^3)*$M$62*(C54^3)))</x:f>
      </x:c>
      <x:c r="F54" s="3" t="str">
        <x:f>IF($A54="","",D54-1.960240157256416*E54)</x:f>
      </x:c>
      <x:c r="G54" s="3" t="str">
        <x:f>IF($A54="","",D54+1.960240157256416*E54)</x:f>
      </x:c>
      <x:c r="H54" s="3" t="str">
        <x:f>IF($A54="","",161.80794779962352*SQRT((1)*$J$59*(1)+(1)*$K$59*(C54^1)+(1)*$L$59*(C54^2)+(1)*$M$59*(C54^3)+(C54^1)*$J$60*(1)+(C54^1)*$K$60*(C54^1)+(C54^1)*$L$60*(C54^2)+(C54^1)*$M$60*(C54^3)+(C54^2)*$J$61*(1)+(C54^2)*$K$61*(C54^1)+(C54^2)*$L$61*(C54^2)+(C54^2)*$M$61*(C54^3)+(C54^3)*$J$62*(1)+(C54^3)*$K$62*(C54^1)+(C54^3)*$L$62*(C54^2)+(C54^3)*$M$62*(C54^3)))</x:f>
      </x:c>
      <x:c r="I54" s="3"/>
      <x:c r="J54" s="7" t="n">
        <x:v>2802.964105073849</x:v>
      </x:c>
      <x:c r="K54" s="7" t="n">
        <x:v>-66.61428481971063</x:v>
      </x:c>
      <x:c r="L54" s="7" t="n">
        <x:v>1689.0282758735536</x:v>
      </x:c>
      <x:c r="M54" s="7" t="n">
        <x:v>-33.051652913266366</x:v>
      </x:c>
      <x:c r="N54" s="3"/>
      <x:c r="O54" s="7" t="n">
        <x:v>135287.85977971184</x:v>
      </x:c>
      <x:c r="P54" s="3"/>
      <x:c r="Q54" s="3"/>
    </x:row>
    <x:row r="55" ht="15" customHeight="1">
      <x:c r="A55" s="5" t="str">
        <x:f>IF(45&lt;='Сводка'!$B$3,'Сводка'!$B$4+45,"")</x:f>
      </x:c>
      <x:c r="B55" s="19" t="str">
        <x:f>IF($A55="","",(A55-37257+1)/1000)</x:f>
      </x:c>
      <x:c r="C55" s="19" t="str">
        <x:f>IF($A55="","",2*(A55-37257)/8978-1)</x:f>
      </x:c>
      <x:c r="D55" s="3" t="str">
        <x:f>IF($A55="","",$B$4+$B$5*C55^1+$B$6*C55^2+$B$7*C55^3)</x:f>
      </x:c>
      <x:c r="E55" s="3" t="str">
        <x:f>IF($A55="","",161.80794779962352*SQRT(1+(1)*$J$59*(1)+(1)*$K$59*(C55^1)+(1)*$L$59*(C55^2)+(1)*$M$59*(C55^3)+(C55^1)*$J$60*(1)+(C55^1)*$K$60*(C55^1)+(C55^1)*$L$60*(C55^2)+(C55^1)*$M$60*(C55^3)+(C55^2)*$J$61*(1)+(C55^2)*$K$61*(C55^1)+(C55^2)*$L$61*(C55^2)+(C55^2)*$M$61*(C55^3)+(C55^3)*$J$62*(1)+(C55^3)*$K$62*(C55^1)+(C55^3)*$L$62*(C55^2)+(C55^3)*$M$62*(C55^3)))</x:f>
      </x:c>
      <x:c r="F55" s="3" t="str">
        <x:f>IF($A55="","",D55-1.960240157256416*E55)</x:f>
      </x:c>
      <x:c r="G55" s="3" t="str">
        <x:f>IF($A55="","",D55+1.960240157256416*E55)</x:f>
      </x:c>
      <x:c r="H55" s="3" t="str">
        <x:f>IF($A55="","",161.80794779962352*SQRT((1)*$J$59*(1)+(1)*$K$59*(C55^1)+(1)*$L$59*(C55^2)+(1)*$M$59*(C55^3)+(C55^1)*$J$60*(1)+(C55^1)*$K$60*(C55^1)+(C55^1)*$L$60*(C55^2)+(C55^1)*$M$60*(C55^3)+(C55^2)*$J$61*(1)+(C55^2)*$K$61*(C55^1)+(C55^2)*$L$61*(C55^2)+(C55^2)*$M$61*(C55^3)+(C55^3)*$J$62*(1)+(C55^3)*$K$62*(C55^1)+(C55^3)*$L$62*(C55^2)+(C55^3)*$M$62*(C55^3)))</x:f>
      </x:c>
      <x:c r="I55" s="3"/>
      <x:c r="J55" s="7" t="n">
        <x:v>-66.61428481971063</x:v>
      </x:c>
      <x:c r="K55" s="7" t="n">
        <x:v>1689.0282758735532</x:v>
      </x:c>
      <x:c r="L55" s="7" t="n">
        <x:v>-33.051652913266366</x:v>
      </x:c>
      <x:c r="M55" s="7" t="n">
        <x:v>1216.5635209287077</x:v>
      </x:c>
      <x:c r="N55" s="3"/>
      <x:c r="O55" s="7" t="n">
        <x:v>148838.94321149637</x:v>
      </x:c>
      <x:c r="P55" s="3"/>
      <x:c r="Q55" s="3"/>
    </x:row>
    <x:row r="56" ht="15" customHeight="1">
      <x:c r="A56" s="5" t="str">
        <x:f>IF(46&lt;='Сводка'!$B$3,'Сводка'!$B$4+46,"")</x:f>
      </x:c>
      <x:c r="B56" s="19" t="str">
        <x:f>IF($A56="","",(A56-37257+1)/1000)</x:f>
      </x:c>
      <x:c r="C56" s="19" t="str">
        <x:f>IF($A56="","",2*(A56-37257)/8978-1)</x:f>
      </x:c>
      <x:c r="D56" s="3" t="str">
        <x:f>IF($A56="","",$B$4+$B$5*C56^1+$B$6*C56^2+$B$7*C56^3)</x:f>
      </x:c>
      <x:c r="E56" s="3" t="str">
        <x:f>IF($A56="","",161.80794779962352*SQRT(1+(1)*$J$59*(1)+(1)*$K$59*(C56^1)+(1)*$L$59*(C56^2)+(1)*$M$59*(C56^3)+(C56^1)*$J$60*(1)+(C56^1)*$K$60*(C56^1)+(C56^1)*$L$60*(C56^2)+(C56^1)*$M$60*(C56^3)+(C56^2)*$J$61*(1)+(C56^2)*$K$61*(C56^1)+(C56^2)*$L$61*(C56^2)+(C56^2)*$M$61*(C56^3)+(C56^3)*$J$62*(1)+(C56^3)*$K$62*(C56^1)+(C56^3)*$L$62*(C56^2)+(C56^3)*$M$62*(C56^3)))</x:f>
      </x:c>
      <x:c r="F56" s="3" t="str">
        <x:f>IF($A56="","",D56-1.960240157256416*E56)</x:f>
      </x:c>
      <x:c r="G56" s="3" t="str">
        <x:f>IF($A56="","",D56+1.960240157256416*E56)</x:f>
      </x:c>
      <x:c r="H56" s="3" t="str">
        <x:f>IF($A56="","",161.80794779962352*SQRT((1)*$J$59*(1)+(1)*$K$59*(C56^1)+(1)*$L$59*(C56^2)+(1)*$M$59*(C56^3)+(C56^1)*$J$60*(1)+(C56^1)*$K$60*(C56^1)+(C56^1)*$L$60*(C56^2)+(C56^1)*$M$60*(C56^3)+(C56^2)*$J$61*(1)+(C56^2)*$K$61*(C56^1)+(C56^2)*$L$61*(C56^2)+(C56^2)*$M$61*(C56^3)+(C56^3)*$J$62*(1)+(C56^3)*$K$62*(C56^1)+(C56^3)*$L$62*(C56^2)+(C56^3)*$M$62*(C56^3)))</x:f>
      </x:c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customHeight="1">
      <x:c r="A57" s="5" t="str">
        <x:f>IF(47&lt;='Сводка'!$B$3,'Сводка'!$B$4+47,"")</x:f>
      </x:c>
      <x:c r="B57" s="19" t="str">
        <x:f>IF($A57="","",(A57-37257+1)/1000)</x:f>
      </x:c>
      <x:c r="C57" s="19" t="str">
        <x:f>IF($A57="","",2*(A57-37257)/8978-1)</x:f>
      </x:c>
      <x:c r="D57" s="3" t="str">
        <x:f>IF($A57="","",$B$4+$B$5*C57^1+$B$6*C57^2+$B$7*C57^3)</x:f>
      </x:c>
      <x:c r="E57" s="3" t="str">
        <x:f>IF($A57="","",161.80794779962352*SQRT(1+(1)*$J$59*(1)+(1)*$K$59*(C57^1)+(1)*$L$59*(C57^2)+(1)*$M$59*(C57^3)+(C57^1)*$J$60*(1)+(C57^1)*$K$60*(C57^1)+(C57^1)*$L$60*(C57^2)+(C57^1)*$M$60*(C57^3)+(C57^2)*$J$61*(1)+(C57^2)*$K$61*(C57^1)+(C57^2)*$L$61*(C57^2)+(C57^2)*$M$61*(C57^3)+(C57^3)*$J$62*(1)+(C57^3)*$K$62*(C57^1)+(C57^3)*$L$62*(C57^2)+(C57^3)*$M$62*(C57^3)))</x:f>
      </x:c>
      <x:c r="F57" s="3" t="str">
        <x:f>IF($A57="","",D57-1.960240157256416*E57)</x:f>
      </x:c>
      <x:c r="G57" s="3" t="str">
        <x:f>IF($A57="","",D57+1.960240157256416*E57)</x:f>
      </x:c>
      <x:c r="H57" s="3" t="str">
        <x:f>IF($A57="","",161.80794779962352*SQRT((1)*$J$59*(1)+(1)*$K$59*(C57^1)+(1)*$L$59*(C57^2)+(1)*$M$59*(C57^3)+(C57^1)*$J$60*(1)+(C57^1)*$K$60*(C57^1)+(C57^1)*$L$60*(C57^2)+(C57^1)*$M$60*(C57^3)+(C57^2)*$J$61*(1)+(C57^2)*$K$61*(C57^1)+(C57^2)*$L$61*(C57^2)+(C57^2)*$M$61*(C57^3)+(C57^3)*$J$62*(1)+(C57^3)*$K$62*(C57^1)+(C57^3)*$L$62*(C57^2)+(C57^3)*$M$62*(C57^3)))</x:f>
      </x:c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customHeight="1">
      <x:c r="A58" s="5" t="str">
        <x:f>IF(48&lt;='Сводка'!$B$3,'Сводка'!$B$4+48,"")</x:f>
      </x:c>
      <x:c r="B58" s="19" t="str">
        <x:f>IF($A58="","",(A58-37257+1)/1000)</x:f>
      </x:c>
      <x:c r="C58" s="19" t="str">
        <x:f>IF($A58="","",2*(A58-37257)/8978-1)</x:f>
      </x:c>
      <x:c r="D58" s="3" t="str">
        <x:f>IF($A58="","",$B$4+$B$5*C58^1+$B$6*C58^2+$B$7*C58^3)</x:f>
      </x:c>
      <x:c r="E58" s="3" t="str">
        <x:f>IF($A58="","",161.80794779962352*SQRT(1+(1)*$J$59*(1)+(1)*$K$59*(C58^1)+(1)*$L$59*(C58^2)+(1)*$M$59*(C58^3)+(C58^1)*$J$60*(1)+(C58^1)*$K$60*(C58^1)+(C58^1)*$L$60*(C58^2)+(C58^1)*$M$60*(C58^3)+(C58^2)*$J$61*(1)+(C58^2)*$K$61*(C58^1)+(C58^2)*$L$61*(C58^2)+(C58^2)*$M$61*(C58^3)+(C58^3)*$J$62*(1)+(C58^3)*$K$62*(C58^1)+(C58^3)*$L$62*(C58^2)+(C58^3)*$M$62*(C58^3)))</x:f>
      </x:c>
      <x:c r="F58" s="3" t="str">
        <x:f>IF($A58="","",D58-1.960240157256416*E58)</x:f>
      </x:c>
      <x:c r="G58" s="3" t="str">
        <x:f>IF($A58="","",D58+1.960240157256416*E58)</x:f>
      </x:c>
      <x:c r="H58" s="3" t="str">
        <x:f>IF($A58="","",161.80794779962352*SQRT((1)*$J$59*(1)+(1)*$K$59*(C58^1)+(1)*$L$59*(C58^2)+(1)*$M$59*(C58^3)+(C58^1)*$J$60*(1)+(C58^1)*$K$60*(C58^1)+(C58^1)*$L$60*(C58^2)+(C58^1)*$M$60*(C58^3)+(C58^2)*$J$61*(1)+(C58^2)*$K$61*(C58^1)+(C58^2)*$L$61*(C58^2)+(C58^2)*$M$61*(C58^3)+(C58^3)*$J$62*(1)+(C58^3)*$K$62*(C58^1)+(C58^3)*$L$62*(C58^2)+(C58^3)*$M$62*(C58^3)))</x:f>
      </x:c>
      <x:c r="I58" s="3"/>
      <x:c r="J58" s="3" t="str">
        <x:v>(XᵀX)⁻¹</x:v>
      </x:c>
      <x:c r="K58" s="3"/>
      <x:c r="L58" s="3"/>
      <x:c r="M58" s="3"/>
      <x:c r="N58" s="3"/>
      <x:c r="O58" s="3" t="str">
        <x:v>det</x:v>
      </x:c>
      <x:c r="P58" s="3"/>
      <x:c r="Q58" s="3"/>
    </x:row>
    <x:row r="59" ht="15" customHeight="1">
      <x:c r="A59" s="5" t="str">
        <x:f>IF(49&lt;='Сводка'!$B$3,'Сводка'!$B$4+49,"")</x:f>
      </x:c>
      <x:c r="B59" s="19" t="str">
        <x:f>IF($A59="","",(A59-37257+1)/1000)</x:f>
      </x:c>
      <x:c r="C59" s="19" t="str">
        <x:f>IF($A59="","",2*(A59-37257)/8978-1)</x:f>
      </x:c>
      <x:c r="D59" s="3" t="str">
        <x:f>IF($A59="","",$B$4+$B$5*C59^1+$B$6*C59^2+$B$7*C59^3)</x:f>
      </x:c>
      <x:c r="E59" s="3" t="str">
        <x:f>IF($A59="","",161.80794779962352*SQRT(1+(1)*$J$59*(1)+(1)*$K$59*(C59^1)+(1)*$L$59*(C59^2)+(1)*$M$59*(C59^3)+(C59^1)*$J$60*(1)+(C59^1)*$K$60*(C59^1)+(C59^1)*$L$60*(C59^2)+(C59^1)*$M$60*(C59^3)+(C59^2)*$J$61*(1)+(C59^2)*$K$61*(C59^1)+(C59^2)*$L$61*(C59^2)+(C59^2)*$M$61*(C59^3)+(C59^3)*$J$62*(1)+(C59^3)*$K$62*(C59^1)+(C59^3)*$L$62*(C59^2)+(C59^3)*$M$62*(C59^3)))</x:f>
      </x:c>
      <x:c r="F59" s="3" t="str">
        <x:f>IF($A59="","",D59-1.960240157256416*E59)</x:f>
      </x:c>
      <x:c r="G59" s="3" t="str">
        <x:f>IF($A59="","",D59+1.960240157256416*E59)</x:f>
      </x:c>
      <x:c r="H59" s="3" t="str">
        <x:f>IF($A59="","",161.80794779962352*SQRT((1)*$J$59*(1)+(1)*$K$59*(C59^1)+(1)*$L$59*(C59^2)+(1)*$M$59*(C59^3)+(C59^1)*$J$60*(1)+(C59^1)*$K$60*(C59^1)+(C59^1)*$L$60*(C59^2)+(C59^1)*$M$60*(C59^3)+(C59^2)*$J$61*(1)+(C59^2)*$K$61*(C59^1)+(C59^2)*$L$61*(C59^2)+(C59^2)*$M$61*(C59^3)+(C59^3)*$J$62*(1)+(C59^3)*$K$62*(C59^1)+(C59^3)*$L$62*(C59^2)+(C59^3)*$M$62*(C59^3)))</x:f>
      </x:c>
      <x:c r="I59" s="3"/>
      <x:c r="J59" s="7" t="n">
        <x:f>($K$53*($L$54*$M$55-$M$54*$L$55)-$L$53*($K$54*$M$55-$M$54*$K$55)+$M$53*($K$54*$L$55-$L$54*$K$55))/$O$59</x:f>
        <x:v>0.0002536559357547804</x:v>
      </x:c>
      <x:c r="K59" s="7" t="n">
        <x:f>-($K$52*($L$54*$M$55-$M$54*$L$55)-$L$52*($K$54*$M$55-$M$54*$K$55)+$M$52*($K$54*$L$55-$L$54*$K$55))/$O$59</x:f>
        <x:v>0.000011755708535436304</x:v>
      </x:c>
      <x:c r="L59" s="7" t="n">
        <x:f>($K$52*($L$53*$M$55-$M$53*$L$55)-$L$52*($K$53*$M$55-$M$53*$K$55)+$M$52*($K$53*$L$55-$L$53*$K$55))/$O$59</x:f>
        <x:v>-0.00042075292010957044</x:v>
      </x:c>
      <x:c r="M59" s="7" t="n">
        <x:f>-($K$52*($L$53*$M$54-$M$53*$L$54)-$L$52*($K$53*$M$54-$M$53*$K$54)+$M$52*($K$53*$L$54-$L$53*$K$54))/$O$59</x:f>
        <x:v>-0.000013862979249559429</x:v>
      </x:c>
      <x:c r="N59" s="3"/>
      <x:c r="O59" s="3" t="n">
        <x:f>($J$52*($K$53*($L$54*$M$55-$M$54*$L$55)-$L$53*($K$54*$M$55-$M$54*$K$55)+$M$53*($K$54*$L$55-$L$54*$K$55))-$K$52*($J$53*($L$54*$M$55-$M$54*$L$55)-$L$53*($J$54*$M$55-$M$54*$J$55)+$M$53*($J$54*$L$55-$L$54*$J$55))+$L$52*($J$53*($K$54*$M$55-$M$54*$K$55)-$K$53*($J$54*$M$55-$M$54*$J$55)+$M$53*($J$54*$K$55-$K$54*$J$55))-$M$52*($J$53*($K$54*$L$55-$L$54*$K$55)-$K$53*($J$54*$L$55-$L$54*$J$55)+$L$53*($J$54*$K$55-$K$54*$J$55)))</x:f>
        <x:v>3705998408045.73</x:v>
      </x:c>
      <x:c r="P59" s="3"/>
      <x:c r="Q59" s="3"/>
    </x:row>
    <x:row r="60" ht="15" customHeight="1">
      <x:c r="A60" s="5" t="str">
        <x:f>IF(50&lt;='Сводка'!$B$3,'Сводка'!$B$4+50,"")</x:f>
      </x:c>
      <x:c r="B60" s="19" t="str">
        <x:f>IF($A60="","",(A60-37257+1)/1000)</x:f>
      </x:c>
      <x:c r="C60" s="19" t="str">
        <x:f>IF($A60="","",2*(A60-37257)/8978-1)</x:f>
      </x:c>
      <x:c r="D60" s="3" t="str">
        <x:f>IF($A60="","",$B$4+$B$5*C60^1+$B$6*C60^2+$B$7*C60^3)</x:f>
      </x:c>
      <x:c r="E60" s="3" t="str">
        <x:f>IF($A60="","",161.80794779962352*SQRT(1+(1)*$J$59*(1)+(1)*$K$59*(C60^1)+(1)*$L$59*(C60^2)+(1)*$M$59*(C60^3)+(C60^1)*$J$60*(1)+(C60^1)*$K$60*(C60^1)+(C60^1)*$L$60*(C60^2)+(C60^1)*$M$60*(C60^3)+(C60^2)*$J$61*(1)+(C60^2)*$K$61*(C60^1)+(C60^2)*$L$61*(C60^2)+(C60^2)*$M$61*(C60^3)+(C60^3)*$J$62*(1)+(C60^3)*$K$62*(C60^1)+(C60^3)*$L$62*(C60^2)+(C60^3)*$M$62*(C60^3)))</x:f>
      </x:c>
      <x:c r="F60" s="3" t="str">
        <x:f>IF($A60="","",D60-1.960240157256416*E60)</x:f>
      </x:c>
      <x:c r="G60" s="3" t="str">
        <x:f>IF($A60="","",D60+1.960240157256416*E60)</x:f>
      </x:c>
      <x:c r="H60" s="3" t="str">
        <x:f>IF($A60="","",161.80794779962352*SQRT((1)*$J$59*(1)+(1)*$K$59*(C60^1)+(1)*$L$59*(C60^2)+(1)*$M$59*(C60^3)+(C60^1)*$J$60*(1)+(C60^1)*$K$60*(C60^1)+(C60^1)*$L$60*(C60^2)+(C60^1)*$M$60*(C60^3)+(C60^2)*$J$61*(1)+(C60^2)*$K$61*(C60^1)+(C60^2)*$L$61*(C60^2)+(C60^2)*$M$61*(C60^3)+(C60^3)*$J$62*(1)+(C60^3)*$K$62*(C60^1)+(C60^3)*$L$62*(C60^2)+(C60^3)*$M$62*(C60^3)))</x:f>
      </x:c>
      <x:c r="I60" s="3"/>
      <x:c r="J60" s="7" t="n">
        <x:f>-($J$53*($L$54*$M$55-$M$54*$L$55)-$L$53*($J$54*$M$55-$M$54*$J$55)+$M$53*($J$54*$L$55-$L$54*$J$55))/$O$59</x:f>
        <x:v>0.000011755708535436303</x:v>
      </x:c>
      <x:c r="K60" s="7" t="n">
        <x:f>($J$52*($L$54*$M$55-$M$54*$L$55)-$L$52*($J$54*$M$55-$M$54*$J$55)+$M$52*($J$54*$L$55-$L$54*$J$55))/$O$59</x:f>
        <x:v>0.0021852382553330376</x:v>
      </x:c>
      <x:c r="L60" s="7" t="n">
        <x:f>-($J$52*($L$53*$M$55-$M$53*$L$55)-$L$52*($J$53*$M$55-$M$53*$J$55)+$M$52*($J$53*$L$55-$L$53*$J$55))/$O$59</x:f>
        <x:v>0.000007323603841834529</x:v>
      </x:c>
      <x:c r="M60" s="7" t="n">
        <x:f>($J$52*($L$53*$M$54-$M$53*$L$54)-$L$52*($J$53*$M$54-$M$53*$J$54)+$M$52*($J$53*$L$54-$L$53*$J$54))/$O$59</x:f>
        <x:v>-0.003033054981487837</x:v>
      </x:c>
      <x:c r="N60" s="3"/>
      <x:c r="O60" s="3"/>
      <x:c r="P60" s="3"/>
      <x:c r="Q60" s="3"/>
    </x:row>
    <x:row r="61" ht="15" customHeight="1">
      <x:c r="A61" s="5" t="str">
        <x:f>IF(51&lt;='Сводка'!$B$3,'Сводка'!$B$4+51,"")</x:f>
      </x:c>
      <x:c r="B61" s="19" t="str">
        <x:f>IF($A61="","",(A61-37257+1)/1000)</x:f>
      </x:c>
      <x:c r="C61" s="19" t="str">
        <x:f>IF($A61="","",2*(A61-37257)/8978-1)</x:f>
      </x:c>
      <x:c r="D61" s="3" t="str">
        <x:f>IF($A61="","",$B$4+$B$5*C61^1+$B$6*C61^2+$B$7*C61^3)</x:f>
      </x:c>
      <x:c r="E61" s="3" t="str">
        <x:f>IF($A61="","",161.80794779962352*SQRT(1+(1)*$J$59*(1)+(1)*$K$59*(C61^1)+(1)*$L$59*(C61^2)+(1)*$M$59*(C61^3)+(C61^1)*$J$60*(1)+(C61^1)*$K$60*(C61^1)+(C61^1)*$L$60*(C61^2)+(C61^1)*$M$60*(C61^3)+(C61^2)*$J$61*(1)+(C61^2)*$K$61*(C61^1)+(C61^2)*$L$61*(C61^2)+(C61^2)*$M$61*(C61^3)+(C61^3)*$J$62*(1)+(C61^3)*$K$62*(C61^1)+(C61^3)*$L$62*(C61^2)+(C61^3)*$M$62*(C61^3)))</x:f>
      </x:c>
      <x:c r="F61" s="3" t="str">
        <x:f>IF($A61="","",D61-1.960240157256416*E61)</x:f>
      </x:c>
      <x:c r="G61" s="3" t="str">
        <x:f>IF($A61="","",D61+1.960240157256416*E61)</x:f>
      </x:c>
      <x:c r="H61" s="3" t="str">
        <x:f>IF($A61="","",161.80794779962352*SQRT((1)*$J$59*(1)+(1)*$K$59*(C61^1)+(1)*$L$59*(C61^2)+(1)*$M$59*(C61^3)+(C61^1)*$J$60*(1)+(C61^1)*$K$60*(C61^1)+(C61^1)*$L$60*(C61^2)+(C61^1)*$M$60*(C61^3)+(C61^2)*$J$61*(1)+(C61^2)*$K$61*(C61^1)+(C61^2)*$L$61*(C61^2)+(C61^2)*$M$61*(C61^3)+(C61^3)*$J$62*(1)+(C61^3)*$K$62*(C61^1)+(C61^3)*$L$62*(C61^2)+(C61^3)*$M$62*(C61^3)))</x:f>
      </x:c>
      <x:c r="I61" s="3"/>
      <x:c r="J61" s="7" t="n">
        <x:f>($J$53*($K$54*$M$55-$M$54*$K$55)-$K$53*($J$54*$M$55-$M$54*$J$55)+$M$53*($J$54*$K$55-$K$54*$J$55))/$O$59</x:f>
        <x:v>-0.00042075292010957006</x:v>
      </x:c>
      <x:c r="K61" s="7" t="n">
        <x:f>-($J$52*($K$54*$M$55-$M$54*$K$55)-$K$52*($J$54*$M$55-$M$54*$J$55)+$M$52*($J$54*$K$55-$K$54*$J$55))/$O$59</x:f>
        <x:v>0.000007323603841834536</x:v>
      </x:c>
      <x:c r="L61" s="7" t="n">
        <x:f>($J$52*($K$53*$M$55-$M$53*$K$55)-$K$52*($J$53*$M$55-$M$53*$J$55)+$M$52*($J$53*$K$55-$K$53*$J$55))/$O$59</x:f>
        <x:v>0.0012906264528909951</x:v>
      </x:c>
      <x:c r="M61" s="7" t="n">
        <x:f>-($J$52*($K$53*$M$54-$M$53*$K$54)-$K$52*($J$53*$M$54-$M$53*$J$54)+$M$52*($J$53*$K$54-$K$53*$J$54))/$O$59</x:f>
        <x:v>0.0000018572057222707663</x:v>
      </x:c>
      <x:c r="N61" s="3"/>
      <x:c r="O61" s="3"/>
      <x:c r="P61" s="3"/>
      <x:c r="Q61" s="3"/>
    </x:row>
    <x:row r="62" ht="15" customHeight="1">
      <x:c r="A62" s="5" t="str">
        <x:f>IF(52&lt;='Сводка'!$B$3,'Сводка'!$B$4+52,"")</x:f>
      </x:c>
      <x:c r="B62" s="19" t="str">
        <x:f>IF($A62="","",(A62-37257+1)/1000)</x:f>
      </x:c>
      <x:c r="C62" s="19" t="str">
        <x:f>IF($A62="","",2*(A62-37257)/8978-1)</x:f>
      </x:c>
      <x:c r="D62" s="3" t="str">
        <x:f>IF($A62="","",$B$4+$B$5*C62^1+$B$6*C62^2+$B$7*C62^3)</x:f>
      </x:c>
      <x:c r="E62" s="3" t="str">
        <x:f>IF($A62="","",161.80794779962352*SQRT(1+(1)*$J$59*(1)+(1)*$K$59*(C62^1)+(1)*$L$59*(C62^2)+(1)*$M$59*(C62^3)+(C62^1)*$J$60*(1)+(C62^1)*$K$60*(C62^1)+(C62^1)*$L$60*(C62^2)+(C62^1)*$M$60*(C62^3)+(C62^2)*$J$61*(1)+(C62^2)*$K$61*(C62^1)+(C62^2)*$L$61*(C62^2)+(C62^2)*$M$61*(C62^3)+(C62^3)*$J$62*(1)+(C62^3)*$K$62*(C62^1)+(C62^3)*$L$62*(C62^2)+(C62^3)*$M$62*(C62^3)))</x:f>
      </x:c>
      <x:c r="F62" s="3" t="str">
        <x:f>IF($A62="","",D62-1.960240157256416*E62)</x:f>
      </x:c>
      <x:c r="G62" s="3" t="str">
        <x:f>IF($A62="","",D62+1.960240157256416*E62)</x:f>
      </x:c>
      <x:c r="H62" s="3" t="str">
        <x:f>IF($A62="","",161.80794779962352*SQRT((1)*$J$59*(1)+(1)*$K$59*(C62^1)+(1)*$L$59*(C62^2)+(1)*$M$59*(C62^3)+(C62^1)*$J$60*(1)+(C62^1)*$K$60*(C62^1)+(C62^1)*$L$60*(C62^2)+(C62^1)*$M$60*(C62^3)+(C62^2)*$J$61*(1)+(C62^2)*$K$61*(C62^1)+(C62^2)*$L$61*(C62^2)+(C62^2)*$M$61*(C62^3)+(C62^3)*$J$62*(1)+(C62^3)*$K$62*(C62^1)+(C62^3)*$L$62*(C62^2)+(C62^3)*$M$62*(C62^3)))</x:f>
      </x:c>
      <x:c r="I62" s="3"/>
      <x:c r="J62" s="7" t="n">
        <x:f>-($J$53*($K$54*$L$55-$L$54*$K$55)-$K$53*($J$54*$L$55-$L$54*$J$55)+$L$53*($J$54*$K$55-$K$54*$J$55))/$O$59</x:f>
        <x:v>-0.000013862979249559429</x:v>
      </x:c>
      <x:c r="K62" s="7" t="n">
        <x:f>($J$52*($K$54*$L$55-$L$54*$K$55)-$K$52*($J$54*$L$55-$L$54*$J$55)+$L$52*($J$54*$K$55-$K$54*$J$55))/$O$59</x:f>
        <x:v>-0.0030330549814878366</x:v>
      </x:c>
      <x:c r="L62" s="7" t="n">
        <x:f>-($J$52*($K$53*$L$55-$L$53*$K$55)-$K$52*($J$53*$L$55-$L$53*$J$55)+$L$52*($J$53*$K$55-$K$53*$J$55))/$O$59</x:f>
        <x:v>0.0000018572057222707663</x:v>
      </x:c>
      <x:c r="M62" s="7" t="n">
        <x:f>($J$52*($K$53*$L$54-$L$53*$K$54)-$K$52*($J$53*$L$54-$L$53*$J$54)+$L$52*($J$53*$K$54-$K$53*$J$54))/$O$59</x:f>
        <x:v>0.005032251445949442</x:v>
      </x:c>
      <x:c r="N62" s="3"/>
      <x:c r="O62" s="3"/>
      <x:c r="P62" s="3"/>
      <x:c r="Q62" s="3"/>
    </x:row>
    <x:row r="63" ht="15" customHeight="1">
      <x:c r="A63" s="5" t="str">
        <x:f>IF(53&lt;='Сводка'!$B$3,'Сводка'!$B$4+53,"")</x:f>
      </x:c>
      <x:c r="B63" s="19" t="str">
        <x:f>IF($A63="","",(A63-37257+1)/1000)</x:f>
      </x:c>
      <x:c r="C63" s="19" t="str">
        <x:f>IF($A63="","",2*(A63-37257)/8978-1)</x:f>
      </x:c>
      <x:c r="D63" s="3" t="str">
        <x:f>IF($A63="","",$B$4+$B$5*C63^1+$B$6*C63^2+$B$7*C63^3)</x:f>
      </x:c>
      <x:c r="E63" s="3" t="str">
        <x:f>IF($A63="","",161.80794779962352*SQRT(1+(1)*$J$59*(1)+(1)*$K$59*(C63^1)+(1)*$L$59*(C63^2)+(1)*$M$59*(C63^3)+(C63^1)*$J$60*(1)+(C63^1)*$K$60*(C63^1)+(C63^1)*$L$60*(C63^2)+(C63^1)*$M$60*(C63^3)+(C63^2)*$J$61*(1)+(C63^2)*$K$61*(C63^1)+(C63^2)*$L$61*(C63^2)+(C63^2)*$M$61*(C63^3)+(C63^3)*$J$62*(1)+(C63^3)*$K$62*(C63^1)+(C63^3)*$L$62*(C63^2)+(C63^3)*$M$62*(C63^3)))</x:f>
      </x:c>
      <x:c r="F63" s="3" t="str">
        <x:f>IF($A63="","",D63-1.960240157256416*E63)</x:f>
      </x:c>
      <x:c r="G63" s="3" t="str">
        <x:f>IF($A63="","",D63+1.960240157256416*E63)</x:f>
      </x:c>
      <x:c r="H63" s="3" t="str">
        <x:f>IF($A63="","",161.80794779962352*SQRT((1)*$J$59*(1)+(1)*$K$59*(C63^1)+(1)*$L$59*(C63^2)+(1)*$M$59*(C63^3)+(C63^1)*$J$60*(1)+(C63^1)*$K$60*(C63^1)+(C63^1)*$L$60*(C63^2)+(C63^1)*$M$60*(C63^3)+(C63^2)*$J$61*(1)+(C63^2)*$K$61*(C63^1)+(C63^2)*$L$61*(C63^2)+(C63^2)*$M$61*(C63^3)+(C63^3)*$J$62*(1)+(C63^3)*$K$62*(C63^1)+(C63^3)*$L$62*(C63^2)+(C63^3)*$M$62*(C63^3)))</x:f>
      </x:c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customHeight="1">
      <x:c r="A64" s="5" t="str">
        <x:f>IF(54&lt;='Сводка'!$B$3,'Сводка'!$B$4+54,"")</x:f>
      </x:c>
      <x:c r="B64" s="19" t="str">
        <x:f>IF($A64="","",(A64-37257+1)/1000)</x:f>
      </x:c>
      <x:c r="C64" s="19" t="str">
        <x:f>IF($A64="","",2*(A64-37257)/8978-1)</x:f>
      </x:c>
      <x:c r="D64" s="3" t="str">
        <x:f>IF($A64="","",$B$4+$B$5*C64^1+$B$6*C64^2+$B$7*C64^3)</x:f>
      </x:c>
      <x:c r="E64" s="3" t="str">
        <x:f>IF($A64="","",161.80794779962352*SQRT(1+(1)*$J$59*(1)+(1)*$K$59*(C64^1)+(1)*$L$59*(C64^2)+(1)*$M$59*(C64^3)+(C64^1)*$J$60*(1)+(C64^1)*$K$60*(C64^1)+(C64^1)*$L$60*(C64^2)+(C64^1)*$M$60*(C64^3)+(C64^2)*$J$61*(1)+(C64^2)*$K$61*(C64^1)+(C64^2)*$L$61*(C64^2)+(C64^2)*$M$61*(C64^3)+(C64^3)*$J$62*(1)+(C64^3)*$K$62*(C64^1)+(C64^3)*$L$62*(C64^2)+(C64^3)*$M$62*(C64^3)))</x:f>
      </x:c>
      <x:c r="F64" s="3" t="str">
        <x:f>IF($A64="","",D64-1.960240157256416*E64)</x:f>
      </x:c>
      <x:c r="G64" s="3" t="str">
        <x:f>IF($A64="","",D64+1.960240157256416*E64)</x:f>
      </x:c>
      <x:c r="H64" s="3" t="str">
        <x:f>IF($A64="","",161.80794779962352*SQRT((1)*$J$59*(1)+(1)*$K$59*(C64^1)+(1)*$L$59*(C64^2)+(1)*$M$59*(C64^3)+(C64^1)*$J$60*(1)+(C64^1)*$K$60*(C64^1)+(C64^1)*$L$60*(C64^2)+(C64^1)*$M$60*(C64^3)+(C64^2)*$J$61*(1)+(C64^2)*$K$61*(C64^1)+(C64^2)*$L$61*(C64^2)+(C64^2)*$M$61*(C64^3)+(C64^3)*$J$62*(1)+(C64^3)*$K$62*(C64^1)+(C64^3)*$L$62*(C64^2)+(C64^3)*$M$62*(C64^3)))</x:f>
      </x:c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customHeight="1">
      <x:c r="A65" s="5" t="str">
        <x:f>IF(55&lt;='Сводка'!$B$3,'Сводка'!$B$4+55,"")</x:f>
      </x:c>
      <x:c r="B65" s="19" t="str">
        <x:f>IF($A65="","",(A65-37257+1)/1000)</x:f>
      </x:c>
      <x:c r="C65" s="19" t="str">
        <x:f>IF($A65="","",2*(A65-37257)/8978-1)</x:f>
      </x:c>
      <x:c r="D65" s="3" t="str">
        <x:f>IF($A65="","",$B$4+$B$5*C65^1+$B$6*C65^2+$B$7*C65^3)</x:f>
      </x:c>
      <x:c r="E65" s="3" t="str">
        <x:f>IF($A65="","",161.80794779962352*SQRT(1+(1)*$J$59*(1)+(1)*$K$59*(C65^1)+(1)*$L$59*(C65^2)+(1)*$M$59*(C65^3)+(C65^1)*$J$60*(1)+(C65^1)*$K$60*(C65^1)+(C65^1)*$L$60*(C65^2)+(C65^1)*$M$60*(C65^3)+(C65^2)*$J$61*(1)+(C65^2)*$K$61*(C65^1)+(C65^2)*$L$61*(C65^2)+(C65^2)*$M$61*(C65^3)+(C65^3)*$J$62*(1)+(C65^3)*$K$62*(C65^1)+(C65^3)*$L$62*(C65^2)+(C65^3)*$M$62*(C65^3)))</x:f>
      </x:c>
      <x:c r="F65" s="3" t="str">
        <x:f>IF($A65="","",D65-1.960240157256416*E65)</x:f>
      </x:c>
      <x:c r="G65" s="3" t="str">
        <x:f>IF($A65="","",D65+1.960240157256416*E65)</x:f>
      </x:c>
      <x:c r="H65" s="3" t="str">
        <x:f>IF($A65="","",161.80794779962352*SQRT((1)*$J$59*(1)+(1)*$K$59*(C65^1)+(1)*$L$59*(C65^2)+(1)*$M$59*(C65^3)+(C65^1)*$J$60*(1)+(C65^1)*$K$60*(C65^1)+(C65^1)*$L$60*(C65^2)+(C65^1)*$M$60*(C65^3)+(C65^2)*$J$61*(1)+(C65^2)*$K$61*(C65^1)+(C65^2)*$L$61*(C65^2)+(C65^2)*$M$61*(C65^3)+(C65^3)*$J$62*(1)+(C65^3)*$K$62*(C65^1)+(C65^3)*$L$62*(C65^2)+(C65^3)*$M$62*(C65^3)))</x:f>
      </x:c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customHeight="1">
      <x:c r="A66" s="5" t="str">
        <x:f>IF(56&lt;='Сводка'!$B$3,'Сводка'!$B$4+56,"")</x:f>
      </x:c>
      <x:c r="B66" s="19" t="str">
        <x:f>IF($A66="","",(A66-37257+1)/1000)</x:f>
      </x:c>
      <x:c r="C66" s="19" t="str">
        <x:f>IF($A66="","",2*(A66-37257)/8978-1)</x:f>
      </x:c>
      <x:c r="D66" s="3" t="str">
        <x:f>IF($A66="","",$B$4+$B$5*C66^1+$B$6*C66^2+$B$7*C66^3)</x:f>
      </x:c>
      <x:c r="E66" s="3" t="str">
        <x:f>IF($A66="","",161.80794779962352*SQRT(1+(1)*$J$59*(1)+(1)*$K$59*(C66^1)+(1)*$L$59*(C66^2)+(1)*$M$59*(C66^3)+(C66^1)*$J$60*(1)+(C66^1)*$K$60*(C66^1)+(C66^1)*$L$60*(C66^2)+(C66^1)*$M$60*(C66^3)+(C66^2)*$J$61*(1)+(C66^2)*$K$61*(C66^1)+(C66^2)*$L$61*(C66^2)+(C66^2)*$M$61*(C66^3)+(C66^3)*$J$62*(1)+(C66^3)*$K$62*(C66^1)+(C66^3)*$L$62*(C66^2)+(C66^3)*$M$62*(C66^3)))</x:f>
      </x:c>
      <x:c r="F66" s="3" t="str">
        <x:f>IF($A66="","",D66-1.960240157256416*E66)</x:f>
      </x:c>
      <x:c r="G66" s="3" t="str">
        <x:f>IF($A66="","",D66+1.960240157256416*E66)</x:f>
      </x:c>
      <x:c r="H66" s="3" t="str">
        <x:f>IF($A66="","",161.80794779962352*SQRT((1)*$J$59*(1)+(1)*$K$59*(C66^1)+(1)*$L$59*(C66^2)+(1)*$M$59*(C66^3)+(C66^1)*$J$60*(1)+(C66^1)*$K$60*(C66^1)+(C66^1)*$L$60*(C66^2)+(C66^1)*$M$60*(C66^3)+(C66^2)*$J$61*(1)+(C66^2)*$K$61*(C66^1)+(C66^2)*$L$61*(C66^2)+(C66^2)*$M$61*(C66^3)+(C66^3)*$J$62*(1)+(C66^3)*$K$62*(C66^1)+(C66^3)*$L$62*(C66^2)+(C66^3)*$M$62*(C66^3)))</x:f>
      </x:c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customHeight="1">
      <x:c r="A67" s="5" t="str">
        <x:f>IF(57&lt;='Сводка'!$B$3,'Сводка'!$B$4+57,"")</x:f>
      </x:c>
      <x:c r="B67" s="19" t="str">
        <x:f>IF($A67="","",(A67-37257+1)/1000)</x:f>
      </x:c>
      <x:c r="C67" s="19" t="str">
        <x:f>IF($A67="","",2*(A67-37257)/8978-1)</x:f>
      </x:c>
      <x:c r="D67" s="3" t="str">
        <x:f>IF($A67="","",$B$4+$B$5*C67^1+$B$6*C67^2+$B$7*C67^3)</x:f>
      </x:c>
      <x:c r="E67" s="3" t="str">
        <x:f>IF($A67="","",161.80794779962352*SQRT(1+(1)*$J$59*(1)+(1)*$K$59*(C67^1)+(1)*$L$59*(C67^2)+(1)*$M$59*(C67^3)+(C67^1)*$J$60*(1)+(C67^1)*$K$60*(C67^1)+(C67^1)*$L$60*(C67^2)+(C67^1)*$M$60*(C67^3)+(C67^2)*$J$61*(1)+(C67^2)*$K$61*(C67^1)+(C67^2)*$L$61*(C67^2)+(C67^2)*$M$61*(C67^3)+(C67^3)*$J$62*(1)+(C67^3)*$K$62*(C67^1)+(C67^3)*$L$62*(C67^2)+(C67^3)*$M$62*(C67^3)))</x:f>
      </x:c>
      <x:c r="F67" s="3" t="str">
        <x:f>IF($A67="","",D67-1.960240157256416*E67)</x:f>
      </x:c>
      <x:c r="G67" s="3" t="str">
        <x:f>IF($A67="","",D67+1.960240157256416*E67)</x:f>
      </x:c>
      <x:c r="H67" s="3" t="str">
        <x:f>IF($A67="","",161.80794779962352*SQRT((1)*$J$59*(1)+(1)*$K$59*(C67^1)+(1)*$L$59*(C67^2)+(1)*$M$59*(C67^3)+(C67^1)*$J$60*(1)+(C67^1)*$K$60*(C67^1)+(C67^1)*$L$60*(C67^2)+(C67^1)*$M$60*(C67^3)+(C67^2)*$J$61*(1)+(C67^2)*$K$61*(C67^1)+(C67^2)*$L$61*(C67^2)+(C67^2)*$M$61*(C67^3)+(C67^3)*$J$62*(1)+(C67^3)*$K$62*(C67^1)+(C67^3)*$L$62*(C67^2)+(C67^3)*$M$62*(C67^3)))</x:f>
      </x:c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customHeight="1">
      <x:c r="A68" s="5" t="str">
        <x:f>IF(58&lt;='Сводка'!$B$3,'Сводка'!$B$4+58,"")</x:f>
      </x:c>
      <x:c r="B68" s="19" t="str">
        <x:f>IF($A68="","",(A68-37257+1)/1000)</x:f>
      </x:c>
      <x:c r="C68" s="19" t="str">
        <x:f>IF($A68="","",2*(A68-37257)/8978-1)</x:f>
      </x:c>
      <x:c r="D68" s="3" t="str">
        <x:f>IF($A68="","",$B$4+$B$5*C68^1+$B$6*C68^2+$B$7*C68^3)</x:f>
      </x:c>
      <x:c r="E68" s="3" t="str">
        <x:f>IF($A68="","",161.80794779962352*SQRT(1+(1)*$J$59*(1)+(1)*$K$59*(C68^1)+(1)*$L$59*(C68^2)+(1)*$M$59*(C68^3)+(C68^1)*$J$60*(1)+(C68^1)*$K$60*(C68^1)+(C68^1)*$L$60*(C68^2)+(C68^1)*$M$60*(C68^3)+(C68^2)*$J$61*(1)+(C68^2)*$K$61*(C68^1)+(C68^2)*$L$61*(C68^2)+(C68^2)*$M$61*(C68^3)+(C68^3)*$J$62*(1)+(C68^3)*$K$62*(C68^1)+(C68^3)*$L$62*(C68^2)+(C68^3)*$M$62*(C68^3)))</x:f>
      </x:c>
      <x:c r="F68" s="3" t="str">
        <x:f>IF($A68="","",D68-1.960240157256416*E68)</x:f>
      </x:c>
      <x:c r="G68" s="3" t="str">
        <x:f>IF($A68="","",D68+1.960240157256416*E68)</x:f>
      </x:c>
      <x:c r="H68" s="3" t="str">
        <x:f>IF($A68="","",161.80794779962352*SQRT((1)*$J$59*(1)+(1)*$K$59*(C68^1)+(1)*$L$59*(C68^2)+(1)*$M$59*(C68^3)+(C68^1)*$J$60*(1)+(C68^1)*$K$60*(C68^1)+(C68^1)*$L$60*(C68^2)+(C68^1)*$M$60*(C68^3)+(C68^2)*$J$61*(1)+(C68^2)*$K$61*(C68^1)+(C68^2)*$L$61*(C68^2)+(C68^2)*$M$61*(C68^3)+(C68^3)*$J$62*(1)+(C68^3)*$K$62*(C68^1)+(C68^3)*$L$62*(C68^2)+(C68^3)*$M$62*(C68^3)))</x:f>
      </x:c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customHeight="1">
      <x:c r="A69" s="5" t="str">
        <x:f>IF(59&lt;='Сводка'!$B$3,'Сводка'!$B$4+59,"")</x:f>
      </x:c>
      <x:c r="B69" s="19" t="str">
        <x:f>IF($A69="","",(A69-37257+1)/1000)</x:f>
      </x:c>
      <x:c r="C69" s="19" t="str">
        <x:f>IF($A69="","",2*(A69-37257)/8978-1)</x:f>
      </x:c>
      <x:c r="D69" s="3" t="str">
        <x:f>IF($A69="","",$B$4+$B$5*C69^1+$B$6*C69^2+$B$7*C69^3)</x:f>
      </x:c>
      <x:c r="E69" s="3" t="str">
        <x:f>IF($A69="","",161.80794779962352*SQRT(1+(1)*$J$59*(1)+(1)*$K$59*(C69^1)+(1)*$L$59*(C69^2)+(1)*$M$59*(C69^3)+(C69^1)*$J$60*(1)+(C69^1)*$K$60*(C69^1)+(C69^1)*$L$60*(C69^2)+(C69^1)*$M$60*(C69^3)+(C69^2)*$J$61*(1)+(C69^2)*$K$61*(C69^1)+(C69^2)*$L$61*(C69^2)+(C69^2)*$M$61*(C69^3)+(C69^3)*$J$62*(1)+(C69^3)*$K$62*(C69^1)+(C69^3)*$L$62*(C69^2)+(C69^3)*$M$62*(C69^3)))</x:f>
      </x:c>
      <x:c r="F69" s="3" t="str">
        <x:f>IF($A69="","",D69-1.960240157256416*E69)</x:f>
      </x:c>
      <x:c r="G69" s="3" t="str">
        <x:f>IF($A69="","",D69+1.960240157256416*E69)</x:f>
      </x:c>
      <x:c r="H69" s="3" t="str">
        <x:f>IF($A69="","",161.80794779962352*SQRT((1)*$J$59*(1)+(1)*$K$59*(C69^1)+(1)*$L$59*(C69^2)+(1)*$M$59*(C69^3)+(C69^1)*$J$60*(1)+(C69^1)*$K$60*(C69^1)+(C69^1)*$L$60*(C69^2)+(C69^1)*$M$60*(C69^3)+(C69^2)*$J$61*(1)+(C69^2)*$K$61*(C69^1)+(C69^2)*$L$61*(C69^2)+(C69^2)*$M$61*(C69^3)+(C69^3)*$J$62*(1)+(C69^3)*$K$62*(C69^1)+(C69^3)*$L$62*(C69^2)+(C69^3)*$M$62*(C69^3)))</x:f>
      </x:c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customHeight="1">
      <x:c r="A70" s="5" t="str">
        <x:f>IF(60&lt;='Сводка'!$B$3,'Сводка'!$B$4+60,"")</x:f>
      </x:c>
      <x:c r="B70" s="19" t="str">
        <x:f>IF($A70="","",(A70-37257+1)/1000)</x:f>
      </x:c>
      <x:c r="C70" s="19" t="str">
        <x:f>IF($A70="","",2*(A70-37257)/8978-1)</x:f>
      </x:c>
      <x:c r="D70" s="3" t="str">
        <x:f>IF($A70="","",$B$4+$B$5*C70^1+$B$6*C70^2+$B$7*C70^3)</x:f>
      </x:c>
      <x:c r="E70" s="3" t="str">
        <x:f>IF($A70="","",161.80794779962352*SQRT(1+(1)*$J$59*(1)+(1)*$K$59*(C70^1)+(1)*$L$59*(C70^2)+(1)*$M$59*(C70^3)+(C70^1)*$J$60*(1)+(C70^1)*$K$60*(C70^1)+(C70^1)*$L$60*(C70^2)+(C70^1)*$M$60*(C70^3)+(C70^2)*$J$61*(1)+(C70^2)*$K$61*(C70^1)+(C70^2)*$L$61*(C70^2)+(C70^2)*$M$61*(C70^3)+(C70^3)*$J$62*(1)+(C70^3)*$K$62*(C70^1)+(C70^3)*$L$62*(C70^2)+(C70^3)*$M$62*(C70^3)))</x:f>
      </x:c>
      <x:c r="F70" s="3" t="str">
        <x:f>IF($A70="","",D70-1.960240157256416*E70)</x:f>
      </x:c>
      <x:c r="G70" s="3" t="str">
        <x:f>IF($A70="","",D70+1.960240157256416*E70)</x:f>
      </x:c>
      <x:c r="H70" s="3" t="str">
        <x:f>IF($A70="","",161.80794779962352*SQRT((1)*$J$59*(1)+(1)*$K$59*(C70^1)+(1)*$L$59*(C70^2)+(1)*$M$59*(C70^3)+(C70^1)*$J$60*(1)+(C70^1)*$K$60*(C70^1)+(C70^1)*$L$60*(C70^2)+(C70^1)*$M$60*(C70^3)+(C70^2)*$J$61*(1)+(C70^2)*$K$61*(C70^1)+(C70^2)*$L$61*(C70^2)+(C70^2)*$M$61*(C70^3)+(C70^3)*$J$62*(1)+(C70^3)*$K$62*(C70^1)+(C70^3)*$L$62*(C70^2)+(C70^3)*$M$62*(C70^3)))</x:f>
      </x:c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customHeight="1">
      <x:c r="A71" s="5" t="str">
        <x:f>IF(61&lt;='Сводка'!$B$3,'Сводка'!$B$4+61,"")</x:f>
      </x:c>
      <x:c r="B71" s="19" t="str">
        <x:f>IF($A71="","",(A71-37257+1)/1000)</x:f>
      </x:c>
      <x:c r="C71" s="19" t="str">
        <x:f>IF($A71="","",2*(A71-37257)/8978-1)</x:f>
      </x:c>
      <x:c r="D71" s="3" t="str">
        <x:f>IF($A71="","",$B$4+$B$5*C71^1+$B$6*C71^2+$B$7*C71^3)</x:f>
      </x:c>
      <x:c r="E71" s="3" t="str">
        <x:f>IF($A71="","",161.80794779962352*SQRT(1+(1)*$J$59*(1)+(1)*$K$59*(C71^1)+(1)*$L$59*(C71^2)+(1)*$M$59*(C71^3)+(C71^1)*$J$60*(1)+(C71^1)*$K$60*(C71^1)+(C71^1)*$L$60*(C71^2)+(C71^1)*$M$60*(C71^3)+(C71^2)*$J$61*(1)+(C71^2)*$K$61*(C71^1)+(C71^2)*$L$61*(C71^2)+(C71^2)*$M$61*(C71^3)+(C71^3)*$J$62*(1)+(C71^3)*$K$62*(C71^1)+(C71^3)*$L$62*(C71^2)+(C71^3)*$M$62*(C71^3)))</x:f>
      </x:c>
      <x:c r="F71" s="3" t="str">
        <x:f>IF($A71="","",D71-1.960240157256416*E71)</x:f>
      </x:c>
      <x:c r="G71" s="3" t="str">
        <x:f>IF($A71="","",D71+1.960240157256416*E71)</x:f>
      </x:c>
      <x:c r="H71" s="3" t="str">
        <x:f>IF($A71="","",161.80794779962352*SQRT((1)*$J$59*(1)+(1)*$K$59*(C71^1)+(1)*$L$59*(C71^2)+(1)*$M$59*(C71^3)+(C71^1)*$J$60*(1)+(C71^1)*$K$60*(C71^1)+(C71^1)*$L$60*(C71^2)+(C71^1)*$M$60*(C71^3)+(C71^2)*$J$61*(1)+(C71^2)*$K$61*(C71^1)+(C71^2)*$L$61*(C71^2)+(C71^2)*$M$61*(C71^3)+(C71^3)*$J$62*(1)+(C71^3)*$K$62*(C71^1)+(C71^3)*$L$62*(C71^2)+(C71^3)*$M$62*(C71^3)))</x:f>
      </x:c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customHeight="1">
      <x:c r="A72" s="5" t="str">
        <x:f>IF(62&lt;='Сводка'!$B$3,'Сводка'!$B$4+62,"")</x:f>
      </x:c>
      <x:c r="B72" s="19" t="str">
        <x:f>IF($A72="","",(A72-37257+1)/1000)</x:f>
      </x:c>
      <x:c r="C72" s="19" t="str">
        <x:f>IF($A72="","",2*(A72-37257)/8978-1)</x:f>
      </x:c>
      <x:c r="D72" s="3" t="str">
        <x:f>IF($A72="","",$B$4+$B$5*C72^1+$B$6*C72^2+$B$7*C72^3)</x:f>
      </x:c>
      <x:c r="E72" s="3" t="str">
        <x:f>IF($A72="","",161.80794779962352*SQRT(1+(1)*$J$59*(1)+(1)*$K$59*(C72^1)+(1)*$L$59*(C72^2)+(1)*$M$59*(C72^3)+(C72^1)*$J$60*(1)+(C72^1)*$K$60*(C72^1)+(C72^1)*$L$60*(C72^2)+(C72^1)*$M$60*(C72^3)+(C72^2)*$J$61*(1)+(C72^2)*$K$61*(C72^1)+(C72^2)*$L$61*(C72^2)+(C72^2)*$M$61*(C72^3)+(C72^3)*$J$62*(1)+(C72^3)*$K$62*(C72^1)+(C72^3)*$L$62*(C72^2)+(C72^3)*$M$62*(C72^3)))</x:f>
      </x:c>
      <x:c r="F72" s="3" t="str">
        <x:f>IF($A72="","",D72-1.960240157256416*E72)</x:f>
      </x:c>
      <x:c r="G72" s="3" t="str">
        <x:f>IF($A72="","",D72+1.960240157256416*E72)</x:f>
      </x:c>
      <x:c r="H72" s="3" t="str">
        <x:f>IF($A72="","",161.80794779962352*SQRT((1)*$J$59*(1)+(1)*$K$59*(C72^1)+(1)*$L$59*(C72^2)+(1)*$M$59*(C72^3)+(C72^1)*$J$60*(1)+(C72^1)*$K$60*(C72^1)+(C72^1)*$L$60*(C72^2)+(C72^1)*$M$60*(C72^3)+(C72^2)*$J$61*(1)+(C72^2)*$K$61*(C72^1)+(C72^2)*$L$61*(C72^2)+(C72^2)*$M$61*(C72^3)+(C72^3)*$J$62*(1)+(C72^3)*$K$62*(C72^1)+(C72^3)*$L$62*(C72^2)+(C72^3)*$M$62*(C72^3)))</x:f>
      </x:c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customHeight="1">
      <x:c r="A73" s="5" t="str">
        <x:f>IF(63&lt;='Сводка'!$B$3,'Сводка'!$B$4+63,"")</x:f>
      </x:c>
      <x:c r="B73" s="19" t="str">
        <x:f>IF($A73="","",(A73-37257+1)/1000)</x:f>
      </x:c>
      <x:c r="C73" s="19" t="str">
        <x:f>IF($A73="","",2*(A73-37257)/8978-1)</x:f>
      </x:c>
      <x:c r="D73" s="3" t="str">
        <x:f>IF($A73="","",$B$4+$B$5*C73^1+$B$6*C73^2+$B$7*C73^3)</x:f>
      </x:c>
      <x:c r="E73" s="3" t="str">
        <x:f>IF($A73="","",161.80794779962352*SQRT(1+(1)*$J$59*(1)+(1)*$K$59*(C73^1)+(1)*$L$59*(C73^2)+(1)*$M$59*(C73^3)+(C73^1)*$J$60*(1)+(C73^1)*$K$60*(C73^1)+(C73^1)*$L$60*(C73^2)+(C73^1)*$M$60*(C73^3)+(C73^2)*$J$61*(1)+(C73^2)*$K$61*(C73^1)+(C73^2)*$L$61*(C73^2)+(C73^2)*$M$61*(C73^3)+(C73^3)*$J$62*(1)+(C73^3)*$K$62*(C73^1)+(C73^3)*$L$62*(C73^2)+(C73^3)*$M$62*(C73^3)))</x:f>
      </x:c>
      <x:c r="F73" s="3" t="str">
        <x:f>IF($A73="","",D73-1.960240157256416*E73)</x:f>
      </x:c>
      <x:c r="G73" s="3" t="str">
        <x:f>IF($A73="","",D73+1.960240157256416*E73)</x:f>
      </x:c>
      <x:c r="H73" s="3" t="str">
        <x:f>IF($A73="","",161.80794779962352*SQRT((1)*$J$59*(1)+(1)*$K$59*(C73^1)+(1)*$L$59*(C73^2)+(1)*$M$59*(C73^3)+(C73^1)*$J$60*(1)+(C73^1)*$K$60*(C73^1)+(C73^1)*$L$60*(C73^2)+(C73^1)*$M$60*(C73^3)+(C73^2)*$J$61*(1)+(C73^2)*$K$61*(C73^1)+(C73^2)*$L$61*(C73^2)+(C73^2)*$M$61*(C73^3)+(C73^3)*$J$62*(1)+(C73^3)*$K$62*(C73^1)+(C73^3)*$L$62*(C73^2)+(C73^3)*$M$62*(C73^3)))</x:f>
      </x:c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customHeight="1">
      <x:c r="A74" s="5" t="str">
        <x:f>IF(64&lt;='Сводка'!$B$3,'Сводка'!$B$4+64,"")</x:f>
      </x:c>
      <x:c r="B74" s="19" t="str">
        <x:f>IF($A74="","",(A74-37257+1)/1000)</x:f>
      </x:c>
      <x:c r="C74" s="19" t="str">
        <x:f>IF($A74="","",2*(A74-37257)/8978-1)</x:f>
      </x:c>
      <x:c r="D74" s="3" t="str">
        <x:f>IF($A74="","",$B$4+$B$5*C74^1+$B$6*C74^2+$B$7*C74^3)</x:f>
      </x:c>
      <x:c r="E74" s="3" t="str">
        <x:f>IF($A74="","",161.80794779962352*SQRT(1+(1)*$J$59*(1)+(1)*$K$59*(C74^1)+(1)*$L$59*(C74^2)+(1)*$M$59*(C74^3)+(C74^1)*$J$60*(1)+(C74^1)*$K$60*(C74^1)+(C74^1)*$L$60*(C74^2)+(C74^1)*$M$60*(C74^3)+(C74^2)*$J$61*(1)+(C74^2)*$K$61*(C74^1)+(C74^2)*$L$61*(C74^2)+(C74^2)*$M$61*(C74^3)+(C74^3)*$J$62*(1)+(C74^3)*$K$62*(C74^1)+(C74^3)*$L$62*(C74^2)+(C74^3)*$M$62*(C74^3)))</x:f>
      </x:c>
      <x:c r="F74" s="3" t="str">
        <x:f>IF($A74="","",D74-1.960240157256416*E74)</x:f>
      </x:c>
      <x:c r="G74" s="3" t="str">
        <x:f>IF($A74="","",D74+1.960240157256416*E74)</x:f>
      </x:c>
      <x:c r="H74" s="3" t="str">
        <x:f>IF($A74="","",161.80794779962352*SQRT((1)*$J$59*(1)+(1)*$K$59*(C74^1)+(1)*$L$59*(C74^2)+(1)*$M$59*(C74^3)+(C74^1)*$J$60*(1)+(C74^1)*$K$60*(C74^1)+(C74^1)*$L$60*(C74^2)+(C74^1)*$M$60*(C74^3)+(C74^2)*$J$61*(1)+(C74^2)*$K$61*(C74^1)+(C74^2)*$L$61*(C74^2)+(C74^2)*$M$61*(C74^3)+(C74^3)*$J$62*(1)+(C74^3)*$K$62*(C74^1)+(C74^3)*$L$62*(C74^2)+(C74^3)*$M$62*(C74^3)))</x:f>
      </x:c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customHeight="1">
      <x:c r="A75" s="5" t="str">
        <x:f>IF(65&lt;='Сводка'!$B$3,'Сводка'!$B$4+65,"")</x:f>
      </x:c>
      <x:c r="B75" s="19" t="str">
        <x:f>IF($A75="","",(A75-37257+1)/1000)</x:f>
      </x:c>
      <x:c r="C75" s="19" t="str">
        <x:f>IF($A75="","",2*(A75-37257)/8978-1)</x:f>
      </x:c>
      <x:c r="D75" s="3" t="str">
        <x:f>IF($A75="","",$B$4+$B$5*C75^1+$B$6*C75^2+$B$7*C75^3)</x:f>
      </x:c>
      <x:c r="E75" s="3" t="str">
        <x:f>IF($A75="","",161.80794779962352*SQRT(1+(1)*$J$59*(1)+(1)*$K$59*(C75^1)+(1)*$L$59*(C75^2)+(1)*$M$59*(C75^3)+(C75^1)*$J$60*(1)+(C75^1)*$K$60*(C75^1)+(C75^1)*$L$60*(C75^2)+(C75^1)*$M$60*(C75^3)+(C75^2)*$J$61*(1)+(C75^2)*$K$61*(C75^1)+(C75^2)*$L$61*(C75^2)+(C75^2)*$M$61*(C75^3)+(C75^3)*$J$62*(1)+(C75^3)*$K$62*(C75^1)+(C75^3)*$L$62*(C75^2)+(C75^3)*$M$62*(C75^3)))</x:f>
      </x:c>
      <x:c r="F75" s="3" t="str">
        <x:f>IF($A75="","",D75-1.960240157256416*E75)</x:f>
      </x:c>
      <x:c r="G75" s="3" t="str">
        <x:f>IF($A75="","",D75+1.960240157256416*E75)</x:f>
      </x:c>
      <x:c r="H75" s="3" t="str">
        <x:f>IF($A75="","",161.80794779962352*SQRT((1)*$J$59*(1)+(1)*$K$59*(C75^1)+(1)*$L$59*(C75^2)+(1)*$M$59*(C75^3)+(C75^1)*$J$60*(1)+(C75^1)*$K$60*(C75^1)+(C75^1)*$L$60*(C75^2)+(C75^1)*$M$60*(C75^3)+(C75^2)*$J$61*(1)+(C75^2)*$K$61*(C75^1)+(C75^2)*$L$61*(C75^2)+(C75^2)*$M$61*(C75^3)+(C75^3)*$J$62*(1)+(C75^3)*$K$62*(C75^1)+(C75^3)*$L$62*(C75^2)+(C75^3)*$M$62*(C75^3)))</x:f>
      </x:c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customHeight="1">
      <x:c r="A76" s="5" t="str">
        <x:f>IF(66&lt;='Сводка'!$B$3,'Сводка'!$B$4+66,"")</x:f>
      </x:c>
      <x:c r="B76" s="19" t="str">
        <x:f>IF($A76="","",(A76-37257+1)/1000)</x:f>
      </x:c>
      <x:c r="C76" s="19" t="str">
        <x:f>IF($A76="","",2*(A76-37257)/8978-1)</x:f>
      </x:c>
      <x:c r="D76" s="3" t="str">
        <x:f>IF($A76="","",$B$4+$B$5*C76^1+$B$6*C76^2+$B$7*C76^3)</x:f>
      </x:c>
      <x:c r="E76" s="3" t="str">
        <x:f>IF($A76="","",161.80794779962352*SQRT(1+(1)*$J$59*(1)+(1)*$K$59*(C76^1)+(1)*$L$59*(C76^2)+(1)*$M$59*(C76^3)+(C76^1)*$J$60*(1)+(C76^1)*$K$60*(C76^1)+(C76^1)*$L$60*(C76^2)+(C76^1)*$M$60*(C76^3)+(C76^2)*$J$61*(1)+(C76^2)*$K$61*(C76^1)+(C76^2)*$L$61*(C76^2)+(C76^2)*$M$61*(C76^3)+(C76^3)*$J$62*(1)+(C76^3)*$K$62*(C76^1)+(C76^3)*$L$62*(C76^2)+(C76^3)*$M$62*(C76^3)))</x:f>
      </x:c>
      <x:c r="F76" s="3" t="str">
        <x:f>IF($A76="","",D76-1.960240157256416*E76)</x:f>
      </x:c>
      <x:c r="G76" s="3" t="str">
        <x:f>IF($A76="","",D76+1.960240157256416*E76)</x:f>
      </x:c>
      <x:c r="H76" s="3" t="str">
        <x:f>IF($A76="","",161.80794779962352*SQRT((1)*$J$59*(1)+(1)*$K$59*(C76^1)+(1)*$L$59*(C76^2)+(1)*$M$59*(C76^3)+(C76^1)*$J$60*(1)+(C76^1)*$K$60*(C76^1)+(C76^1)*$L$60*(C76^2)+(C76^1)*$M$60*(C76^3)+(C76^2)*$J$61*(1)+(C76^2)*$K$61*(C76^1)+(C76^2)*$L$61*(C76^2)+(C76^2)*$M$61*(C76^3)+(C76^3)*$J$62*(1)+(C76^3)*$K$62*(C76^1)+(C76^3)*$L$62*(C76^2)+(C76^3)*$M$62*(C76^3)))</x:f>
      </x:c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customHeight="1">
      <x:c r="A77" s="5" t="str">
        <x:f>IF(67&lt;='Сводка'!$B$3,'Сводка'!$B$4+67,"")</x:f>
      </x:c>
      <x:c r="B77" s="19" t="str">
        <x:f>IF($A77="","",(A77-37257+1)/1000)</x:f>
      </x:c>
      <x:c r="C77" s="19" t="str">
        <x:f>IF($A77="","",2*(A77-37257)/8978-1)</x:f>
      </x:c>
      <x:c r="D77" s="3" t="str">
        <x:f>IF($A77="","",$B$4+$B$5*C77^1+$B$6*C77^2+$B$7*C77^3)</x:f>
      </x:c>
      <x:c r="E77" s="3" t="str">
        <x:f>IF($A77="","",161.80794779962352*SQRT(1+(1)*$J$59*(1)+(1)*$K$59*(C77^1)+(1)*$L$59*(C77^2)+(1)*$M$59*(C77^3)+(C77^1)*$J$60*(1)+(C77^1)*$K$60*(C77^1)+(C77^1)*$L$60*(C77^2)+(C77^1)*$M$60*(C77^3)+(C77^2)*$J$61*(1)+(C77^2)*$K$61*(C77^1)+(C77^2)*$L$61*(C77^2)+(C77^2)*$M$61*(C77^3)+(C77^3)*$J$62*(1)+(C77^3)*$K$62*(C77^1)+(C77^3)*$L$62*(C77^2)+(C77^3)*$M$62*(C77^3)))</x:f>
      </x:c>
      <x:c r="F77" s="3" t="str">
        <x:f>IF($A77="","",D77-1.960240157256416*E77)</x:f>
      </x:c>
      <x:c r="G77" s="3" t="str">
        <x:f>IF($A77="","",D77+1.960240157256416*E77)</x:f>
      </x:c>
      <x:c r="H77" s="3" t="str">
        <x:f>IF($A77="","",161.80794779962352*SQRT((1)*$J$59*(1)+(1)*$K$59*(C77^1)+(1)*$L$59*(C77^2)+(1)*$M$59*(C77^3)+(C77^1)*$J$60*(1)+(C77^1)*$K$60*(C77^1)+(C77^1)*$L$60*(C77^2)+(C77^1)*$M$60*(C77^3)+(C77^2)*$J$61*(1)+(C77^2)*$K$61*(C77^1)+(C77^2)*$L$61*(C77^2)+(C77^2)*$M$61*(C77^3)+(C77^3)*$J$62*(1)+(C77^3)*$K$62*(C77^1)+(C77^3)*$L$62*(C77^2)+(C77^3)*$M$62*(C77^3)))</x:f>
      </x:c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customHeight="1">
      <x:c r="A78" s="5" t="str">
        <x:f>IF(68&lt;='Сводка'!$B$3,'Сводка'!$B$4+68,"")</x:f>
      </x:c>
      <x:c r="B78" s="19" t="str">
        <x:f>IF($A78="","",(A78-37257+1)/1000)</x:f>
      </x:c>
      <x:c r="C78" s="19" t="str">
        <x:f>IF($A78="","",2*(A78-37257)/8978-1)</x:f>
      </x:c>
      <x:c r="D78" s="3" t="str">
        <x:f>IF($A78="","",$B$4+$B$5*C78^1+$B$6*C78^2+$B$7*C78^3)</x:f>
      </x:c>
      <x:c r="E78" s="3" t="str">
        <x:f>IF($A78="","",161.80794779962352*SQRT(1+(1)*$J$59*(1)+(1)*$K$59*(C78^1)+(1)*$L$59*(C78^2)+(1)*$M$59*(C78^3)+(C78^1)*$J$60*(1)+(C78^1)*$K$60*(C78^1)+(C78^1)*$L$60*(C78^2)+(C78^1)*$M$60*(C78^3)+(C78^2)*$J$61*(1)+(C78^2)*$K$61*(C78^1)+(C78^2)*$L$61*(C78^2)+(C78^2)*$M$61*(C78^3)+(C78^3)*$J$62*(1)+(C78^3)*$K$62*(C78^1)+(C78^3)*$L$62*(C78^2)+(C78^3)*$M$62*(C78^3)))</x:f>
      </x:c>
      <x:c r="F78" s="3" t="str">
        <x:f>IF($A78="","",D78-1.960240157256416*E78)</x:f>
      </x:c>
      <x:c r="G78" s="3" t="str">
        <x:f>IF($A78="","",D78+1.960240157256416*E78)</x:f>
      </x:c>
      <x:c r="H78" s="3" t="str">
        <x:f>IF($A78="","",161.80794779962352*SQRT((1)*$J$59*(1)+(1)*$K$59*(C78^1)+(1)*$L$59*(C78^2)+(1)*$M$59*(C78^3)+(C78^1)*$J$60*(1)+(C78^1)*$K$60*(C78^1)+(C78^1)*$L$60*(C78^2)+(C78^1)*$M$60*(C78^3)+(C78^2)*$J$61*(1)+(C78^2)*$K$61*(C78^1)+(C78^2)*$L$61*(C78^2)+(C78^2)*$M$61*(C78^3)+(C78^3)*$J$62*(1)+(C78^3)*$K$62*(C78^1)+(C78^3)*$L$62*(C78^2)+(C78^3)*$M$62*(C78^3)))</x:f>
      </x:c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customHeight="1">
      <x:c r="A79" s="5" t="str">
        <x:f>IF(69&lt;='Сводка'!$B$3,'Сводка'!$B$4+69,"")</x:f>
      </x:c>
      <x:c r="B79" s="19" t="str">
        <x:f>IF($A79="","",(A79-37257+1)/1000)</x:f>
      </x:c>
      <x:c r="C79" s="19" t="str">
        <x:f>IF($A79="","",2*(A79-37257)/8978-1)</x:f>
      </x:c>
      <x:c r="D79" s="3" t="str">
        <x:f>IF($A79="","",$B$4+$B$5*C79^1+$B$6*C79^2+$B$7*C79^3)</x:f>
      </x:c>
      <x:c r="E79" s="3" t="str">
        <x:f>IF($A79="","",161.80794779962352*SQRT(1+(1)*$J$59*(1)+(1)*$K$59*(C79^1)+(1)*$L$59*(C79^2)+(1)*$M$59*(C79^3)+(C79^1)*$J$60*(1)+(C79^1)*$K$60*(C79^1)+(C79^1)*$L$60*(C79^2)+(C79^1)*$M$60*(C79^3)+(C79^2)*$J$61*(1)+(C79^2)*$K$61*(C79^1)+(C79^2)*$L$61*(C79^2)+(C79^2)*$M$61*(C79^3)+(C79^3)*$J$62*(1)+(C79^3)*$K$62*(C79^1)+(C79^3)*$L$62*(C79^2)+(C79^3)*$M$62*(C79^3)))</x:f>
      </x:c>
      <x:c r="F79" s="3" t="str">
        <x:f>IF($A79="","",D79-1.960240157256416*E79)</x:f>
      </x:c>
      <x:c r="G79" s="3" t="str">
        <x:f>IF($A79="","",D79+1.960240157256416*E79)</x:f>
      </x:c>
      <x:c r="H79" s="3" t="str">
        <x:f>IF($A79="","",161.80794779962352*SQRT((1)*$J$59*(1)+(1)*$K$59*(C79^1)+(1)*$L$59*(C79^2)+(1)*$M$59*(C79^3)+(C79^1)*$J$60*(1)+(C79^1)*$K$60*(C79^1)+(C79^1)*$L$60*(C79^2)+(C79^1)*$M$60*(C79^3)+(C79^2)*$J$61*(1)+(C79^2)*$K$61*(C79^1)+(C79^2)*$L$61*(C79^2)+(C79^2)*$M$61*(C79^3)+(C79^3)*$J$62*(1)+(C79^3)*$K$62*(C79^1)+(C79^3)*$L$62*(C79^2)+(C79^3)*$M$62*(C79^3)))</x:f>
      </x:c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customHeight="1">
      <x:c r="A80" s="5" t="str">
        <x:f>IF(70&lt;='Сводка'!$B$3,'Сводка'!$B$4+70,"")</x:f>
      </x:c>
      <x:c r="B80" s="19" t="str">
        <x:f>IF($A80="","",(A80-37257+1)/1000)</x:f>
      </x:c>
      <x:c r="C80" s="19" t="str">
        <x:f>IF($A80="","",2*(A80-37257)/8978-1)</x:f>
      </x:c>
      <x:c r="D80" s="3" t="str">
        <x:f>IF($A80="","",$B$4+$B$5*C80^1+$B$6*C80^2+$B$7*C80^3)</x:f>
      </x:c>
      <x:c r="E80" s="3" t="str">
        <x:f>IF($A80="","",161.80794779962352*SQRT(1+(1)*$J$59*(1)+(1)*$K$59*(C80^1)+(1)*$L$59*(C80^2)+(1)*$M$59*(C80^3)+(C80^1)*$J$60*(1)+(C80^1)*$K$60*(C80^1)+(C80^1)*$L$60*(C80^2)+(C80^1)*$M$60*(C80^3)+(C80^2)*$J$61*(1)+(C80^2)*$K$61*(C80^1)+(C80^2)*$L$61*(C80^2)+(C80^2)*$M$61*(C80^3)+(C80^3)*$J$62*(1)+(C80^3)*$K$62*(C80^1)+(C80^3)*$L$62*(C80^2)+(C80^3)*$M$62*(C80^3)))</x:f>
      </x:c>
      <x:c r="F80" s="3" t="str">
        <x:f>IF($A80="","",D80-1.960240157256416*E80)</x:f>
      </x:c>
      <x:c r="G80" s="3" t="str">
        <x:f>IF($A80="","",D80+1.960240157256416*E80)</x:f>
      </x:c>
      <x:c r="H80" s="3" t="str">
        <x:f>IF($A80="","",161.80794779962352*SQRT((1)*$J$59*(1)+(1)*$K$59*(C80^1)+(1)*$L$59*(C80^2)+(1)*$M$59*(C80^3)+(C80^1)*$J$60*(1)+(C80^1)*$K$60*(C80^1)+(C80^1)*$L$60*(C80^2)+(C80^1)*$M$60*(C80^3)+(C80^2)*$J$61*(1)+(C80^2)*$K$61*(C80^1)+(C80^2)*$L$61*(C80^2)+(C80^2)*$M$61*(C80^3)+(C80^3)*$J$62*(1)+(C80^3)*$K$62*(C80^1)+(C80^3)*$L$62*(C80^2)+(C80^3)*$M$62*(C80^3)))</x:f>
      </x:c>
      <x:c r="I80" s="3"/>
      <x:c r="J80" s="3"/>
      <x:c r="K80" s="3"/>
      <x:c r="L80" s="3"/>
      <x:c r="M80" s="3"/>
      <x:c r="N80" s="3"/>
      <x:c r="O80" s="3"/>
      <x:c r="P80" s="3"/>
      <x:c r="Q80" s="3"/>
    </x:row>
    <x:row r="81" ht="15" customHeight="1">
      <x:c r="A81" s="5" t="str">
        <x:f>IF(71&lt;='Сводка'!$B$3,'Сводка'!$B$4+71,"")</x:f>
      </x:c>
      <x:c r="B81" s="19" t="str">
        <x:f>IF($A81="","",(A81-37257+1)/1000)</x:f>
      </x:c>
      <x:c r="C81" s="19" t="str">
        <x:f>IF($A81="","",2*(A81-37257)/8978-1)</x:f>
      </x:c>
      <x:c r="D81" s="3" t="str">
        <x:f>IF($A81="","",$B$4+$B$5*C81^1+$B$6*C81^2+$B$7*C81^3)</x:f>
      </x:c>
      <x:c r="E81" s="3" t="str">
        <x:f>IF($A81="","",161.80794779962352*SQRT(1+(1)*$J$59*(1)+(1)*$K$59*(C81^1)+(1)*$L$59*(C81^2)+(1)*$M$59*(C81^3)+(C81^1)*$J$60*(1)+(C81^1)*$K$60*(C81^1)+(C81^1)*$L$60*(C81^2)+(C81^1)*$M$60*(C81^3)+(C81^2)*$J$61*(1)+(C81^2)*$K$61*(C81^1)+(C81^2)*$L$61*(C81^2)+(C81^2)*$M$61*(C81^3)+(C81^3)*$J$62*(1)+(C81^3)*$K$62*(C81^1)+(C81^3)*$L$62*(C81^2)+(C81^3)*$M$62*(C81^3)))</x:f>
      </x:c>
      <x:c r="F81" s="3" t="str">
        <x:f>IF($A81="","",D81-1.960240157256416*E81)</x:f>
      </x:c>
      <x:c r="G81" s="3" t="str">
        <x:f>IF($A81="","",D81+1.960240157256416*E81)</x:f>
      </x:c>
      <x:c r="H81" s="3" t="str">
        <x:f>IF($A81="","",161.80794779962352*SQRT((1)*$J$59*(1)+(1)*$K$59*(C81^1)+(1)*$L$59*(C81^2)+(1)*$M$59*(C81^3)+(C81^1)*$J$60*(1)+(C81^1)*$K$60*(C81^1)+(C81^1)*$L$60*(C81^2)+(C81^1)*$M$60*(C81^3)+(C81^2)*$J$61*(1)+(C81^2)*$K$61*(C81^1)+(C81^2)*$L$61*(C81^2)+(C81^2)*$M$61*(C81^3)+(C81^3)*$J$62*(1)+(C81^3)*$K$62*(C81^1)+(C81^3)*$L$62*(C81^2)+(C81^3)*$M$62*(C81^3)))</x:f>
      </x:c>
      <x:c r="I81" s="3"/>
      <x:c r="J81" s="3"/>
      <x:c r="K81" s="3"/>
      <x:c r="L81" s="3"/>
      <x:c r="M81" s="3"/>
      <x:c r="N81" s="3"/>
      <x:c r="O81" s="3"/>
      <x:c r="P81" s="3"/>
      <x:c r="Q81" s="3"/>
    </x:row>
    <x:row r="82" ht="15" customHeight="1">
      <x:c r="A82" s="5" t="str">
        <x:f>IF(72&lt;='Сводка'!$B$3,'Сводка'!$B$4+72,"")</x:f>
      </x:c>
      <x:c r="B82" s="19" t="str">
        <x:f>IF($A82="","",(A82-37257+1)/1000)</x:f>
      </x:c>
      <x:c r="C82" s="19" t="str">
        <x:f>IF($A82="","",2*(A82-37257)/8978-1)</x:f>
      </x:c>
      <x:c r="D82" s="3" t="str">
        <x:f>IF($A82="","",$B$4+$B$5*C82^1+$B$6*C82^2+$B$7*C82^3)</x:f>
      </x:c>
      <x:c r="E82" s="3" t="str">
        <x:f>IF($A82="","",161.80794779962352*SQRT(1+(1)*$J$59*(1)+(1)*$K$59*(C82^1)+(1)*$L$59*(C82^2)+(1)*$M$59*(C82^3)+(C82^1)*$J$60*(1)+(C82^1)*$K$60*(C82^1)+(C82^1)*$L$60*(C82^2)+(C82^1)*$M$60*(C82^3)+(C82^2)*$J$61*(1)+(C82^2)*$K$61*(C82^1)+(C82^2)*$L$61*(C82^2)+(C82^2)*$M$61*(C82^3)+(C82^3)*$J$62*(1)+(C82^3)*$K$62*(C82^1)+(C82^3)*$L$62*(C82^2)+(C82^3)*$M$62*(C82^3)))</x:f>
      </x:c>
      <x:c r="F82" s="3" t="str">
        <x:f>IF($A82="","",D82-1.960240157256416*E82)</x:f>
      </x:c>
      <x:c r="G82" s="3" t="str">
        <x:f>IF($A82="","",D82+1.960240157256416*E82)</x:f>
      </x:c>
      <x:c r="H82" s="3" t="str">
        <x:f>IF($A82="","",161.80794779962352*SQRT((1)*$J$59*(1)+(1)*$K$59*(C82^1)+(1)*$L$59*(C82^2)+(1)*$M$59*(C82^3)+(C82^1)*$J$60*(1)+(C82^1)*$K$60*(C82^1)+(C82^1)*$L$60*(C82^2)+(C82^1)*$M$60*(C82^3)+(C82^2)*$J$61*(1)+(C82^2)*$K$61*(C82^1)+(C82^2)*$L$61*(C82^2)+(C82^2)*$M$61*(C82^3)+(C82^3)*$J$62*(1)+(C82^3)*$K$62*(C82^1)+(C82^3)*$L$62*(C82^2)+(C82^3)*$M$62*(C82^3)))</x:f>
      </x:c>
      <x:c r="I82" s="3"/>
      <x:c r="J82" s="3"/>
      <x:c r="K82" s="3"/>
      <x:c r="L82" s="3"/>
      <x:c r="M82" s="3"/>
      <x:c r="N82" s="3"/>
      <x:c r="O82" s="3"/>
      <x:c r="P82" s="3"/>
      <x:c r="Q82" s="3"/>
    </x:row>
    <x:row r="83" ht="15" customHeight="1">
      <x:c r="A83" s="5" t="str">
        <x:f>IF(73&lt;='Сводка'!$B$3,'Сводка'!$B$4+73,"")</x:f>
      </x:c>
      <x:c r="B83" s="19" t="str">
        <x:f>IF($A83="","",(A83-37257+1)/1000)</x:f>
      </x:c>
      <x:c r="C83" s="19" t="str">
        <x:f>IF($A83="","",2*(A83-37257)/8978-1)</x:f>
      </x:c>
      <x:c r="D83" s="3" t="str">
        <x:f>IF($A83="","",$B$4+$B$5*C83^1+$B$6*C83^2+$B$7*C83^3)</x:f>
      </x:c>
      <x:c r="E83" s="3" t="str">
        <x:f>IF($A83="","",161.80794779962352*SQRT(1+(1)*$J$59*(1)+(1)*$K$59*(C83^1)+(1)*$L$59*(C83^2)+(1)*$M$59*(C83^3)+(C83^1)*$J$60*(1)+(C83^1)*$K$60*(C83^1)+(C83^1)*$L$60*(C83^2)+(C83^1)*$M$60*(C83^3)+(C83^2)*$J$61*(1)+(C83^2)*$K$61*(C83^1)+(C83^2)*$L$61*(C83^2)+(C83^2)*$M$61*(C83^3)+(C83^3)*$J$62*(1)+(C83^3)*$K$62*(C83^1)+(C83^3)*$L$62*(C83^2)+(C83^3)*$M$62*(C83^3)))</x:f>
      </x:c>
      <x:c r="F83" s="3" t="str">
        <x:f>IF($A83="","",D83-1.960240157256416*E83)</x:f>
      </x:c>
      <x:c r="G83" s="3" t="str">
        <x:f>IF($A83="","",D83+1.960240157256416*E83)</x:f>
      </x:c>
      <x:c r="H83" s="3" t="str">
        <x:f>IF($A83="","",161.80794779962352*SQRT((1)*$J$59*(1)+(1)*$K$59*(C83^1)+(1)*$L$59*(C83^2)+(1)*$M$59*(C83^3)+(C83^1)*$J$60*(1)+(C83^1)*$K$60*(C83^1)+(C83^1)*$L$60*(C83^2)+(C83^1)*$M$60*(C83^3)+(C83^2)*$J$61*(1)+(C83^2)*$K$61*(C83^1)+(C83^2)*$L$61*(C83^2)+(C83^2)*$M$61*(C83^3)+(C83^3)*$J$62*(1)+(C83^3)*$K$62*(C83^1)+(C83^3)*$L$62*(C83^2)+(C83^3)*$M$62*(C83^3)))</x:f>
      </x:c>
      <x:c r="I83" s="3"/>
      <x:c r="J83" s="3"/>
      <x:c r="K83" s="3"/>
      <x:c r="L83" s="3"/>
      <x:c r="M83" s="3"/>
      <x:c r="N83" s="3"/>
      <x:c r="O83" s="3"/>
      <x:c r="P83" s="3"/>
      <x:c r="Q83" s="3"/>
    </x:row>
    <x:row r="84" ht="15" customHeight="1">
      <x:c r="A84" s="5" t="str">
        <x:f>IF(74&lt;='Сводка'!$B$3,'Сводка'!$B$4+74,"")</x:f>
      </x:c>
      <x:c r="B84" s="19" t="str">
        <x:f>IF($A84="","",(A84-37257+1)/1000)</x:f>
      </x:c>
      <x:c r="C84" s="19" t="str">
        <x:f>IF($A84="","",2*(A84-37257)/8978-1)</x:f>
      </x:c>
      <x:c r="D84" s="3" t="str">
        <x:f>IF($A84="","",$B$4+$B$5*C84^1+$B$6*C84^2+$B$7*C84^3)</x:f>
      </x:c>
      <x:c r="E84" s="3" t="str">
        <x:f>IF($A84="","",161.80794779962352*SQRT(1+(1)*$J$59*(1)+(1)*$K$59*(C84^1)+(1)*$L$59*(C84^2)+(1)*$M$59*(C84^3)+(C84^1)*$J$60*(1)+(C84^1)*$K$60*(C84^1)+(C84^1)*$L$60*(C84^2)+(C84^1)*$M$60*(C84^3)+(C84^2)*$J$61*(1)+(C84^2)*$K$61*(C84^1)+(C84^2)*$L$61*(C84^2)+(C84^2)*$M$61*(C84^3)+(C84^3)*$J$62*(1)+(C84^3)*$K$62*(C84^1)+(C84^3)*$L$62*(C84^2)+(C84^3)*$M$62*(C84^3)))</x:f>
      </x:c>
      <x:c r="F84" s="3" t="str">
        <x:f>IF($A84="","",D84-1.960240157256416*E84)</x:f>
      </x:c>
      <x:c r="G84" s="3" t="str">
        <x:f>IF($A84="","",D84+1.960240157256416*E84)</x:f>
      </x:c>
      <x:c r="H84" s="3" t="str">
        <x:f>IF($A84="","",161.80794779962352*SQRT((1)*$J$59*(1)+(1)*$K$59*(C84^1)+(1)*$L$59*(C84^2)+(1)*$M$59*(C84^3)+(C84^1)*$J$60*(1)+(C84^1)*$K$60*(C84^1)+(C84^1)*$L$60*(C84^2)+(C84^1)*$M$60*(C84^3)+(C84^2)*$J$61*(1)+(C84^2)*$K$61*(C84^1)+(C84^2)*$L$61*(C84^2)+(C84^2)*$M$61*(C84^3)+(C84^3)*$J$62*(1)+(C84^3)*$K$62*(C84^1)+(C84^3)*$L$62*(C84^2)+(C84^3)*$M$62*(C84^3)))</x:f>
      </x:c>
      <x:c r="I84" s="3"/>
      <x:c r="J84" s="3"/>
      <x:c r="K84" s="3"/>
      <x:c r="L84" s="3"/>
      <x:c r="M84" s="3"/>
      <x:c r="N84" s="3"/>
      <x:c r="O84" s="3"/>
      <x:c r="P84" s="3"/>
      <x:c r="Q84" s="3"/>
    </x:row>
    <x:row r="85" ht="15" customHeight="1">
      <x:c r="A85" s="5" t="str">
        <x:f>IF(75&lt;='Сводка'!$B$3,'Сводка'!$B$4+75,"")</x:f>
      </x:c>
      <x:c r="B85" s="19" t="str">
        <x:f>IF($A85="","",(A85-37257+1)/1000)</x:f>
      </x:c>
      <x:c r="C85" s="19" t="str">
        <x:f>IF($A85="","",2*(A85-37257)/8978-1)</x:f>
      </x:c>
      <x:c r="D85" s="3" t="str">
        <x:f>IF($A85="","",$B$4+$B$5*C85^1+$B$6*C85^2+$B$7*C85^3)</x:f>
      </x:c>
      <x:c r="E85" s="3" t="str">
        <x:f>IF($A85="","",161.80794779962352*SQRT(1+(1)*$J$59*(1)+(1)*$K$59*(C85^1)+(1)*$L$59*(C85^2)+(1)*$M$59*(C85^3)+(C85^1)*$J$60*(1)+(C85^1)*$K$60*(C85^1)+(C85^1)*$L$60*(C85^2)+(C85^1)*$M$60*(C85^3)+(C85^2)*$J$61*(1)+(C85^2)*$K$61*(C85^1)+(C85^2)*$L$61*(C85^2)+(C85^2)*$M$61*(C85^3)+(C85^3)*$J$62*(1)+(C85^3)*$K$62*(C85^1)+(C85^3)*$L$62*(C85^2)+(C85^3)*$M$62*(C85^3)))</x:f>
      </x:c>
      <x:c r="F85" s="3" t="str">
        <x:f>IF($A85="","",D85-1.960240157256416*E85)</x:f>
      </x:c>
      <x:c r="G85" s="3" t="str">
        <x:f>IF($A85="","",D85+1.960240157256416*E85)</x:f>
      </x:c>
      <x:c r="H85" s="3" t="str">
        <x:f>IF($A85="","",161.80794779962352*SQRT((1)*$J$59*(1)+(1)*$K$59*(C85^1)+(1)*$L$59*(C85^2)+(1)*$M$59*(C85^3)+(C85^1)*$J$60*(1)+(C85^1)*$K$60*(C85^1)+(C85^1)*$L$60*(C85^2)+(C85^1)*$M$60*(C85^3)+(C85^2)*$J$61*(1)+(C85^2)*$K$61*(C85^1)+(C85^2)*$L$61*(C85^2)+(C85^2)*$M$61*(C85^3)+(C85^3)*$J$62*(1)+(C85^3)*$K$62*(C85^1)+(C85^3)*$L$62*(C85^2)+(C85^3)*$M$62*(C85^3)))</x:f>
      </x:c>
      <x:c r="I85" s="3"/>
      <x:c r="J85" s="3"/>
      <x:c r="K85" s="3"/>
      <x:c r="L85" s="3"/>
      <x:c r="M85" s="3"/>
      <x:c r="N85" s="3"/>
      <x:c r="O85" s="3"/>
      <x:c r="P85" s="3"/>
      <x:c r="Q85" s="3"/>
    </x:row>
    <x:row r="86" ht="15" customHeight="1">
      <x:c r="A86" s="5" t="str">
        <x:f>IF(76&lt;='Сводка'!$B$3,'Сводка'!$B$4+76,"")</x:f>
      </x:c>
      <x:c r="B86" s="19" t="str">
        <x:f>IF($A86="","",(A86-37257+1)/1000)</x:f>
      </x:c>
      <x:c r="C86" s="19" t="str">
        <x:f>IF($A86="","",2*(A86-37257)/8978-1)</x:f>
      </x:c>
      <x:c r="D86" s="3" t="str">
        <x:f>IF($A86="","",$B$4+$B$5*C86^1+$B$6*C86^2+$B$7*C86^3)</x:f>
      </x:c>
      <x:c r="E86" s="3" t="str">
        <x:f>IF($A86="","",161.80794779962352*SQRT(1+(1)*$J$59*(1)+(1)*$K$59*(C86^1)+(1)*$L$59*(C86^2)+(1)*$M$59*(C86^3)+(C86^1)*$J$60*(1)+(C86^1)*$K$60*(C86^1)+(C86^1)*$L$60*(C86^2)+(C86^1)*$M$60*(C86^3)+(C86^2)*$J$61*(1)+(C86^2)*$K$61*(C86^1)+(C86^2)*$L$61*(C86^2)+(C86^2)*$M$61*(C86^3)+(C86^3)*$J$62*(1)+(C86^3)*$K$62*(C86^1)+(C86^3)*$L$62*(C86^2)+(C86^3)*$M$62*(C86^3)))</x:f>
      </x:c>
      <x:c r="F86" s="3" t="str">
        <x:f>IF($A86="","",D86-1.960240157256416*E86)</x:f>
      </x:c>
      <x:c r="G86" s="3" t="str">
        <x:f>IF($A86="","",D86+1.960240157256416*E86)</x:f>
      </x:c>
      <x:c r="H86" s="3" t="str">
        <x:f>IF($A86="","",161.80794779962352*SQRT((1)*$J$59*(1)+(1)*$K$59*(C86^1)+(1)*$L$59*(C86^2)+(1)*$M$59*(C86^3)+(C86^1)*$J$60*(1)+(C86^1)*$K$60*(C86^1)+(C86^1)*$L$60*(C86^2)+(C86^1)*$M$60*(C86^3)+(C86^2)*$J$61*(1)+(C86^2)*$K$61*(C86^1)+(C86^2)*$L$61*(C86^2)+(C86^2)*$M$61*(C86^3)+(C86^3)*$J$62*(1)+(C86^3)*$K$62*(C86^1)+(C86^3)*$L$62*(C86^2)+(C86^3)*$M$62*(C86^3)))</x:f>
      </x:c>
      <x:c r="I86" s="3"/>
      <x:c r="J86" s="3"/>
      <x:c r="K86" s="3"/>
      <x:c r="L86" s="3"/>
      <x:c r="M86" s="3"/>
      <x:c r="N86" s="3"/>
      <x:c r="O86" s="3"/>
      <x:c r="P86" s="3"/>
      <x:c r="Q86" s="3"/>
    </x:row>
    <x:row r="87" ht="15" customHeight="1">
      <x:c r="A87" s="5" t="str">
        <x:f>IF(77&lt;='Сводка'!$B$3,'Сводка'!$B$4+77,"")</x:f>
      </x:c>
      <x:c r="B87" s="19" t="str">
        <x:f>IF($A87="","",(A87-37257+1)/1000)</x:f>
      </x:c>
      <x:c r="C87" s="19" t="str">
        <x:f>IF($A87="","",2*(A87-37257)/8978-1)</x:f>
      </x:c>
      <x:c r="D87" s="3" t="str">
        <x:f>IF($A87="","",$B$4+$B$5*C87^1+$B$6*C87^2+$B$7*C87^3)</x:f>
      </x:c>
      <x:c r="E87" s="3" t="str">
        <x:f>IF($A87="","",161.80794779962352*SQRT(1+(1)*$J$59*(1)+(1)*$K$59*(C87^1)+(1)*$L$59*(C87^2)+(1)*$M$59*(C87^3)+(C87^1)*$J$60*(1)+(C87^1)*$K$60*(C87^1)+(C87^1)*$L$60*(C87^2)+(C87^1)*$M$60*(C87^3)+(C87^2)*$J$61*(1)+(C87^2)*$K$61*(C87^1)+(C87^2)*$L$61*(C87^2)+(C87^2)*$M$61*(C87^3)+(C87^3)*$J$62*(1)+(C87^3)*$K$62*(C87^1)+(C87^3)*$L$62*(C87^2)+(C87^3)*$M$62*(C87^3)))</x:f>
      </x:c>
      <x:c r="F87" s="3" t="str">
        <x:f>IF($A87="","",D87-1.960240157256416*E87)</x:f>
      </x:c>
      <x:c r="G87" s="3" t="str">
        <x:f>IF($A87="","",D87+1.960240157256416*E87)</x:f>
      </x:c>
      <x:c r="H87" s="3" t="str">
        <x:f>IF($A87="","",161.80794779962352*SQRT((1)*$J$59*(1)+(1)*$K$59*(C87^1)+(1)*$L$59*(C87^2)+(1)*$M$59*(C87^3)+(C87^1)*$J$60*(1)+(C87^1)*$K$60*(C87^1)+(C87^1)*$L$60*(C87^2)+(C87^1)*$M$60*(C87^3)+(C87^2)*$J$61*(1)+(C87^2)*$K$61*(C87^1)+(C87^2)*$L$61*(C87^2)+(C87^2)*$M$61*(C87^3)+(C87^3)*$J$62*(1)+(C87^3)*$K$62*(C87^1)+(C87^3)*$L$62*(C87^2)+(C87^3)*$M$62*(C87^3)))</x:f>
      </x:c>
      <x:c r="I87" s="3"/>
      <x:c r="J87" s="3"/>
      <x:c r="K87" s="3"/>
      <x:c r="L87" s="3"/>
      <x:c r="M87" s="3"/>
      <x:c r="N87" s="3"/>
      <x:c r="O87" s="3"/>
      <x:c r="P87" s="3"/>
      <x:c r="Q87" s="3"/>
    </x:row>
    <x:row r="88" ht="15" customHeight="1">
      <x:c r="A88" s="5" t="str">
        <x:f>IF(78&lt;='Сводка'!$B$3,'Сводка'!$B$4+78,"")</x:f>
      </x:c>
      <x:c r="B88" s="19" t="str">
        <x:f>IF($A88="","",(A88-37257+1)/1000)</x:f>
      </x:c>
      <x:c r="C88" s="19" t="str">
        <x:f>IF($A88="","",2*(A88-37257)/8978-1)</x:f>
      </x:c>
      <x:c r="D88" s="3" t="str">
        <x:f>IF($A88="","",$B$4+$B$5*C88^1+$B$6*C88^2+$B$7*C88^3)</x:f>
      </x:c>
      <x:c r="E88" s="3" t="str">
        <x:f>IF($A88="","",161.80794779962352*SQRT(1+(1)*$J$59*(1)+(1)*$K$59*(C88^1)+(1)*$L$59*(C88^2)+(1)*$M$59*(C88^3)+(C88^1)*$J$60*(1)+(C88^1)*$K$60*(C88^1)+(C88^1)*$L$60*(C88^2)+(C88^1)*$M$60*(C88^3)+(C88^2)*$J$61*(1)+(C88^2)*$K$61*(C88^1)+(C88^2)*$L$61*(C88^2)+(C88^2)*$M$61*(C88^3)+(C88^3)*$J$62*(1)+(C88^3)*$K$62*(C88^1)+(C88^3)*$L$62*(C88^2)+(C88^3)*$M$62*(C88^3)))</x:f>
      </x:c>
      <x:c r="F88" s="3" t="str">
        <x:f>IF($A88="","",D88-1.960240157256416*E88)</x:f>
      </x:c>
      <x:c r="G88" s="3" t="str">
        <x:f>IF($A88="","",D88+1.960240157256416*E88)</x:f>
      </x:c>
      <x:c r="H88" s="3" t="str">
        <x:f>IF($A88="","",161.80794779962352*SQRT((1)*$J$59*(1)+(1)*$K$59*(C88^1)+(1)*$L$59*(C88^2)+(1)*$M$59*(C88^3)+(C88^1)*$J$60*(1)+(C88^1)*$K$60*(C88^1)+(C88^1)*$L$60*(C88^2)+(C88^1)*$M$60*(C88^3)+(C88^2)*$J$61*(1)+(C88^2)*$K$61*(C88^1)+(C88^2)*$L$61*(C88^2)+(C88^2)*$M$61*(C88^3)+(C88^3)*$J$62*(1)+(C88^3)*$K$62*(C88^1)+(C88^3)*$L$62*(C88^2)+(C88^3)*$M$62*(C88^3)))</x:f>
      </x:c>
      <x:c r="I88" s="3"/>
      <x:c r="J88" s="3"/>
      <x:c r="K88" s="3"/>
      <x:c r="L88" s="3"/>
      <x:c r="M88" s="3"/>
      <x:c r="N88" s="3"/>
      <x:c r="O88" s="3"/>
      <x:c r="P88" s="3"/>
      <x:c r="Q88" s="3"/>
    </x:row>
    <x:row r="89" ht="15" customHeight="1">
      <x:c r="A89" s="5" t="str">
        <x:f>IF(79&lt;='Сводка'!$B$3,'Сводка'!$B$4+79,"")</x:f>
      </x:c>
      <x:c r="B89" s="19" t="str">
        <x:f>IF($A89="","",(A89-37257+1)/1000)</x:f>
      </x:c>
      <x:c r="C89" s="19" t="str">
        <x:f>IF($A89="","",2*(A89-37257)/8978-1)</x:f>
      </x:c>
      <x:c r="D89" s="3" t="str">
        <x:f>IF($A89="","",$B$4+$B$5*C89^1+$B$6*C89^2+$B$7*C89^3)</x:f>
      </x:c>
      <x:c r="E89" s="3" t="str">
        <x:f>IF($A89="","",161.80794779962352*SQRT(1+(1)*$J$59*(1)+(1)*$K$59*(C89^1)+(1)*$L$59*(C89^2)+(1)*$M$59*(C89^3)+(C89^1)*$J$60*(1)+(C89^1)*$K$60*(C89^1)+(C89^1)*$L$60*(C89^2)+(C89^1)*$M$60*(C89^3)+(C89^2)*$J$61*(1)+(C89^2)*$K$61*(C89^1)+(C89^2)*$L$61*(C89^2)+(C89^2)*$M$61*(C89^3)+(C89^3)*$J$62*(1)+(C89^3)*$K$62*(C89^1)+(C89^3)*$L$62*(C89^2)+(C89^3)*$M$62*(C89^3)))</x:f>
      </x:c>
      <x:c r="F89" s="3" t="str">
        <x:f>IF($A89="","",D89-1.960240157256416*E89)</x:f>
      </x:c>
      <x:c r="G89" s="3" t="str">
        <x:f>IF($A89="","",D89+1.960240157256416*E89)</x:f>
      </x:c>
      <x:c r="H89" s="3" t="str">
        <x:f>IF($A89="","",161.80794779962352*SQRT((1)*$J$59*(1)+(1)*$K$59*(C89^1)+(1)*$L$59*(C89^2)+(1)*$M$59*(C89^3)+(C89^1)*$J$60*(1)+(C89^1)*$K$60*(C89^1)+(C89^1)*$L$60*(C89^2)+(C89^1)*$M$60*(C89^3)+(C89^2)*$J$61*(1)+(C89^2)*$K$61*(C89^1)+(C89^2)*$L$61*(C89^2)+(C89^2)*$M$61*(C89^3)+(C89^3)*$J$62*(1)+(C89^3)*$K$62*(C89^1)+(C89^3)*$L$62*(C89^2)+(C89^3)*$M$62*(C89^3)))</x:f>
      </x:c>
      <x:c r="I89" s="3"/>
      <x:c r="J89" s="3"/>
      <x:c r="K89" s="3"/>
      <x:c r="L89" s="3"/>
      <x:c r="M89" s="3"/>
      <x:c r="N89" s="3"/>
      <x:c r="O89" s="3"/>
      <x:c r="P89" s="3"/>
      <x:c r="Q89" s="3"/>
    </x:row>
    <x:row r="90" ht="15" customHeight="1">
      <x:c r="A90" s="5" t="str">
        <x:f>IF(80&lt;='Сводка'!$B$3,'Сводка'!$B$4+80,"")</x:f>
      </x:c>
      <x:c r="B90" s="19" t="str">
        <x:f>IF($A90="","",(A90-37257+1)/1000)</x:f>
      </x:c>
      <x:c r="C90" s="19" t="str">
        <x:f>IF($A90="","",2*(A90-37257)/8978-1)</x:f>
      </x:c>
      <x:c r="D90" s="3" t="str">
        <x:f>IF($A90="","",$B$4+$B$5*C90^1+$B$6*C90^2+$B$7*C90^3)</x:f>
      </x:c>
      <x:c r="E90" s="3" t="str">
        <x:f>IF($A90="","",161.80794779962352*SQRT(1+(1)*$J$59*(1)+(1)*$K$59*(C90^1)+(1)*$L$59*(C90^2)+(1)*$M$59*(C90^3)+(C90^1)*$J$60*(1)+(C90^1)*$K$60*(C90^1)+(C90^1)*$L$60*(C90^2)+(C90^1)*$M$60*(C90^3)+(C90^2)*$J$61*(1)+(C90^2)*$K$61*(C90^1)+(C90^2)*$L$61*(C90^2)+(C90^2)*$M$61*(C90^3)+(C90^3)*$J$62*(1)+(C90^3)*$K$62*(C90^1)+(C90^3)*$L$62*(C90^2)+(C90^3)*$M$62*(C90^3)))</x:f>
      </x:c>
      <x:c r="F90" s="3" t="str">
        <x:f>IF($A90="","",D90-1.960240157256416*E90)</x:f>
      </x:c>
      <x:c r="G90" s="3" t="str">
        <x:f>IF($A90="","",D90+1.960240157256416*E90)</x:f>
      </x:c>
      <x:c r="H90" s="3" t="str">
        <x:f>IF($A90="","",161.80794779962352*SQRT((1)*$J$59*(1)+(1)*$K$59*(C90^1)+(1)*$L$59*(C90^2)+(1)*$M$59*(C90^3)+(C90^1)*$J$60*(1)+(C90^1)*$K$60*(C90^1)+(C90^1)*$L$60*(C90^2)+(C90^1)*$M$60*(C90^3)+(C90^2)*$J$61*(1)+(C90^2)*$K$61*(C90^1)+(C90^2)*$L$61*(C90^2)+(C90^2)*$M$61*(C90^3)+(C90^3)*$J$62*(1)+(C90^3)*$K$62*(C90^1)+(C90^3)*$L$62*(C90^2)+(C90^3)*$M$62*(C90^3)))</x:f>
      </x:c>
      <x:c r="I90" s="3"/>
      <x:c r="J90" s="3"/>
      <x:c r="K90" s="3"/>
      <x:c r="L90" s="3"/>
      <x:c r="M90" s="3"/>
      <x:c r="N90" s="3"/>
      <x:c r="O90" s="3"/>
      <x:c r="P90" s="3"/>
      <x:c r="Q90" s="3"/>
    </x:row>
    <x:row r="91" ht="15" customHeight="1">
      <x:c r="A91" s="5" t="str">
        <x:f>IF(81&lt;='Сводка'!$B$3,'Сводка'!$B$4+81,"")</x:f>
      </x:c>
      <x:c r="B91" s="19" t="str">
        <x:f>IF($A91="","",(A91-37257+1)/1000)</x:f>
      </x:c>
      <x:c r="C91" s="19" t="str">
        <x:f>IF($A91="","",2*(A91-37257)/8978-1)</x:f>
      </x:c>
      <x:c r="D91" s="3" t="str">
        <x:f>IF($A91="","",$B$4+$B$5*C91^1+$B$6*C91^2+$B$7*C91^3)</x:f>
      </x:c>
      <x:c r="E91" s="3" t="str">
        <x:f>IF($A91="","",161.80794779962352*SQRT(1+(1)*$J$59*(1)+(1)*$K$59*(C91^1)+(1)*$L$59*(C91^2)+(1)*$M$59*(C91^3)+(C91^1)*$J$60*(1)+(C91^1)*$K$60*(C91^1)+(C91^1)*$L$60*(C91^2)+(C91^1)*$M$60*(C91^3)+(C91^2)*$J$61*(1)+(C91^2)*$K$61*(C91^1)+(C91^2)*$L$61*(C91^2)+(C91^2)*$M$61*(C91^3)+(C91^3)*$J$62*(1)+(C91^3)*$K$62*(C91^1)+(C91^3)*$L$62*(C91^2)+(C91^3)*$M$62*(C91^3)))</x:f>
      </x:c>
      <x:c r="F91" s="3" t="str">
        <x:f>IF($A91="","",D91-1.960240157256416*E91)</x:f>
      </x:c>
      <x:c r="G91" s="3" t="str">
        <x:f>IF($A91="","",D91+1.960240157256416*E91)</x:f>
      </x:c>
      <x:c r="H91" s="3" t="str">
        <x:f>IF($A91="","",161.80794779962352*SQRT((1)*$J$59*(1)+(1)*$K$59*(C91^1)+(1)*$L$59*(C91^2)+(1)*$M$59*(C91^3)+(C91^1)*$J$60*(1)+(C91^1)*$K$60*(C91^1)+(C91^1)*$L$60*(C91^2)+(C91^1)*$M$60*(C91^3)+(C91^2)*$J$61*(1)+(C91^2)*$K$61*(C91^1)+(C91^2)*$L$61*(C91^2)+(C91^2)*$M$61*(C91^3)+(C91^3)*$J$62*(1)+(C91^3)*$K$62*(C91^1)+(C91^3)*$L$62*(C91^2)+(C91^3)*$M$62*(C91^3)))</x:f>
      </x:c>
      <x:c r="I91" s="3"/>
      <x:c r="J91" s="3"/>
      <x:c r="K91" s="3"/>
      <x:c r="L91" s="3"/>
      <x:c r="M91" s="3"/>
      <x:c r="N91" s="3"/>
      <x:c r="O91" s="3"/>
      <x:c r="P91" s="3"/>
      <x:c r="Q91" s="3"/>
    </x:row>
    <x:row r="92" ht="15" customHeight="1">
      <x:c r="A92" s="5" t="str">
        <x:f>IF(82&lt;='Сводка'!$B$3,'Сводка'!$B$4+82,"")</x:f>
      </x:c>
      <x:c r="B92" s="19" t="str">
        <x:f>IF($A92="","",(A92-37257+1)/1000)</x:f>
      </x:c>
      <x:c r="C92" s="19" t="str">
        <x:f>IF($A92="","",2*(A92-37257)/8978-1)</x:f>
      </x:c>
      <x:c r="D92" s="3" t="str">
        <x:f>IF($A92="","",$B$4+$B$5*C92^1+$B$6*C92^2+$B$7*C92^3)</x:f>
      </x:c>
      <x:c r="E92" s="3" t="str">
        <x:f>IF($A92="","",161.80794779962352*SQRT(1+(1)*$J$59*(1)+(1)*$K$59*(C92^1)+(1)*$L$59*(C92^2)+(1)*$M$59*(C92^3)+(C92^1)*$J$60*(1)+(C92^1)*$K$60*(C92^1)+(C92^1)*$L$60*(C92^2)+(C92^1)*$M$60*(C92^3)+(C92^2)*$J$61*(1)+(C92^2)*$K$61*(C92^1)+(C92^2)*$L$61*(C92^2)+(C92^2)*$M$61*(C92^3)+(C92^3)*$J$62*(1)+(C92^3)*$K$62*(C92^1)+(C92^3)*$L$62*(C92^2)+(C92^3)*$M$62*(C92^3)))</x:f>
      </x:c>
      <x:c r="F92" s="3" t="str">
        <x:f>IF($A92="","",D92-1.960240157256416*E92)</x:f>
      </x:c>
      <x:c r="G92" s="3" t="str">
        <x:f>IF($A92="","",D92+1.960240157256416*E92)</x:f>
      </x:c>
      <x:c r="H92" s="3" t="str">
        <x:f>IF($A92="","",161.80794779962352*SQRT((1)*$J$59*(1)+(1)*$K$59*(C92^1)+(1)*$L$59*(C92^2)+(1)*$M$59*(C92^3)+(C92^1)*$J$60*(1)+(C92^1)*$K$60*(C92^1)+(C92^1)*$L$60*(C92^2)+(C92^1)*$M$60*(C92^3)+(C92^2)*$J$61*(1)+(C92^2)*$K$61*(C92^1)+(C92^2)*$L$61*(C92^2)+(C92^2)*$M$61*(C92^3)+(C92^3)*$J$62*(1)+(C92^3)*$K$62*(C92^1)+(C92^3)*$L$62*(C92^2)+(C92^3)*$M$62*(C92^3)))</x:f>
      </x:c>
      <x:c r="I92" s="3"/>
      <x:c r="J92" s="3"/>
      <x:c r="K92" s="3"/>
      <x:c r="L92" s="3"/>
      <x:c r="M92" s="3"/>
      <x:c r="N92" s="3"/>
      <x:c r="O92" s="3"/>
      <x:c r="P92" s="3"/>
      <x:c r="Q92" s="3"/>
    </x:row>
    <x:row r="93" ht="15" customHeight="1">
      <x:c r="A93" s="5" t="str">
        <x:f>IF(83&lt;='Сводка'!$B$3,'Сводка'!$B$4+83,"")</x:f>
      </x:c>
      <x:c r="B93" s="19" t="str">
        <x:f>IF($A93="","",(A93-37257+1)/1000)</x:f>
      </x:c>
      <x:c r="C93" s="19" t="str">
        <x:f>IF($A93="","",2*(A93-37257)/8978-1)</x:f>
      </x:c>
      <x:c r="D93" s="3" t="str">
        <x:f>IF($A93="","",$B$4+$B$5*C93^1+$B$6*C93^2+$B$7*C93^3)</x:f>
      </x:c>
      <x:c r="E93" s="3" t="str">
        <x:f>IF($A93="","",161.80794779962352*SQRT(1+(1)*$J$59*(1)+(1)*$K$59*(C93^1)+(1)*$L$59*(C93^2)+(1)*$M$59*(C93^3)+(C93^1)*$J$60*(1)+(C93^1)*$K$60*(C93^1)+(C93^1)*$L$60*(C93^2)+(C93^1)*$M$60*(C93^3)+(C93^2)*$J$61*(1)+(C93^2)*$K$61*(C93^1)+(C93^2)*$L$61*(C93^2)+(C93^2)*$M$61*(C93^3)+(C93^3)*$J$62*(1)+(C93^3)*$K$62*(C93^1)+(C93^3)*$L$62*(C93^2)+(C93^3)*$M$62*(C93^3)))</x:f>
      </x:c>
      <x:c r="F93" s="3" t="str">
        <x:f>IF($A93="","",D93-1.960240157256416*E93)</x:f>
      </x:c>
      <x:c r="G93" s="3" t="str">
        <x:f>IF($A93="","",D93+1.960240157256416*E93)</x:f>
      </x:c>
      <x:c r="H93" s="3" t="str">
        <x:f>IF($A93="","",161.80794779962352*SQRT((1)*$J$59*(1)+(1)*$K$59*(C93^1)+(1)*$L$59*(C93^2)+(1)*$M$59*(C93^3)+(C93^1)*$J$60*(1)+(C93^1)*$K$60*(C93^1)+(C93^1)*$L$60*(C93^2)+(C93^1)*$M$60*(C93^3)+(C93^2)*$J$61*(1)+(C93^2)*$K$61*(C93^1)+(C93^2)*$L$61*(C93^2)+(C93^2)*$M$61*(C93^3)+(C93^3)*$J$62*(1)+(C93^3)*$K$62*(C93^1)+(C93^3)*$L$62*(C93^2)+(C93^3)*$M$62*(C93^3)))</x:f>
      </x:c>
      <x:c r="I93" s="3"/>
      <x:c r="J93" s="3"/>
      <x:c r="K93" s="3"/>
      <x:c r="L93" s="3"/>
      <x:c r="M93" s="3"/>
      <x:c r="N93" s="3"/>
      <x:c r="O93" s="3"/>
      <x:c r="P93" s="3"/>
      <x:c r="Q93" s="3"/>
    </x:row>
    <x:row r="94" ht="15" customHeight="1">
      <x:c r="A94" s="5" t="str">
        <x:f>IF(84&lt;='Сводка'!$B$3,'Сводка'!$B$4+84,"")</x:f>
      </x:c>
      <x:c r="B94" s="19" t="str">
        <x:f>IF($A94="","",(A94-37257+1)/1000)</x:f>
      </x:c>
      <x:c r="C94" s="19" t="str">
        <x:f>IF($A94="","",2*(A94-37257)/8978-1)</x:f>
      </x:c>
      <x:c r="D94" s="3" t="str">
        <x:f>IF($A94="","",$B$4+$B$5*C94^1+$B$6*C94^2+$B$7*C94^3)</x:f>
      </x:c>
      <x:c r="E94" s="3" t="str">
        <x:f>IF($A94="","",161.80794779962352*SQRT(1+(1)*$J$59*(1)+(1)*$K$59*(C94^1)+(1)*$L$59*(C94^2)+(1)*$M$59*(C94^3)+(C94^1)*$J$60*(1)+(C94^1)*$K$60*(C94^1)+(C94^1)*$L$60*(C94^2)+(C94^1)*$M$60*(C94^3)+(C94^2)*$J$61*(1)+(C94^2)*$K$61*(C94^1)+(C94^2)*$L$61*(C94^2)+(C94^2)*$M$61*(C94^3)+(C94^3)*$J$62*(1)+(C94^3)*$K$62*(C94^1)+(C94^3)*$L$62*(C94^2)+(C94^3)*$M$62*(C94^3)))</x:f>
      </x:c>
      <x:c r="F94" s="3" t="str">
        <x:f>IF($A94="","",D94-1.960240157256416*E94)</x:f>
      </x:c>
      <x:c r="G94" s="3" t="str">
        <x:f>IF($A94="","",D94+1.960240157256416*E94)</x:f>
      </x:c>
      <x:c r="H94" s="3" t="str">
        <x:f>IF($A94="","",161.80794779962352*SQRT((1)*$J$59*(1)+(1)*$K$59*(C94^1)+(1)*$L$59*(C94^2)+(1)*$M$59*(C94^3)+(C94^1)*$J$60*(1)+(C94^1)*$K$60*(C94^1)+(C94^1)*$L$60*(C94^2)+(C94^1)*$M$60*(C94^3)+(C94^2)*$J$61*(1)+(C94^2)*$K$61*(C94^1)+(C94^2)*$L$61*(C94^2)+(C94^2)*$M$61*(C94^3)+(C94^3)*$J$62*(1)+(C94^3)*$K$62*(C94^1)+(C94^3)*$L$62*(C94^2)+(C94^3)*$M$62*(C94^3)))</x:f>
      </x:c>
      <x:c r="I94" s="3"/>
      <x:c r="J94" s="3"/>
      <x:c r="K94" s="3"/>
      <x:c r="L94" s="3"/>
      <x:c r="M94" s="3"/>
      <x:c r="N94" s="3"/>
      <x:c r="O94" s="3"/>
      <x:c r="P94" s="3"/>
      <x:c r="Q94" s="3"/>
    </x:row>
    <x:row r="95" ht="15" customHeight="1">
      <x:c r="A95" s="5" t="str">
        <x:f>IF(85&lt;='Сводка'!$B$3,'Сводка'!$B$4+85,"")</x:f>
      </x:c>
      <x:c r="B95" s="19" t="str">
        <x:f>IF($A95="","",(A95-37257+1)/1000)</x:f>
      </x:c>
      <x:c r="C95" s="19" t="str">
        <x:f>IF($A95="","",2*(A95-37257)/8978-1)</x:f>
      </x:c>
      <x:c r="D95" s="3" t="str">
        <x:f>IF($A95="","",$B$4+$B$5*C95^1+$B$6*C95^2+$B$7*C95^3)</x:f>
      </x:c>
      <x:c r="E95" s="3" t="str">
        <x:f>IF($A95="","",161.80794779962352*SQRT(1+(1)*$J$59*(1)+(1)*$K$59*(C95^1)+(1)*$L$59*(C95^2)+(1)*$M$59*(C95^3)+(C95^1)*$J$60*(1)+(C95^1)*$K$60*(C95^1)+(C95^1)*$L$60*(C95^2)+(C95^1)*$M$60*(C95^3)+(C95^2)*$J$61*(1)+(C95^2)*$K$61*(C95^1)+(C95^2)*$L$61*(C95^2)+(C95^2)*$M$61*(C95^3)+(C95^3)*$J$62*(1)+(C95^3)*$K$62*(C95^1)+(C95^3)*$L$62*(C95^2)+(C95^3)*$M$62*(C95^3)))</x:f>
      </x:c>
      <x:c r="F95" s="3" t="str">
        <x:f>IF($A95="","",D95-1.960240157256416*E95)</x:f>
      </x:c>
      <x:c r="G95" s="3" t="str">
        <x:f>IF($A95="","",D95+1.960240157256416*E95)</x:f>
      </x:c>
      <x:c r="H95" s="3" t="str">
        <x:f>IF($A95="","",161.80794779962352*SQRT((1)*$J$59*(1)+(1)*$K$59*(C95^1)+(1)*$L$59*(C95^2)+(1)*$M$59*(C95^3)+(C95^1)*$J$60*(1)+(C95^1)*$K$60*(C95^1)+(C95^1)*$L$60*(C95^2)+(C95^1)*$M$60*(C95^3)+(C95^2)*$J$61*(1)+(C95^2)*$K$61*(C95^1)+(C95^2)*$L$61*(C95^2)+(C95^2)*$M$61*(C95^3)+(C95^3)*$J$62*(1)+(C95^3)*$K$62*(C95^1)+(C95^3)*$L$62*(C95^2)+(C95^3)*$M$62*(C95^3)))</x:f>
      </x:c>
      <x:c r="I95" s="3"/>
      <x:c r="J95" s="3"/>
      <x:c r="K95" s="3"/>
      <x:c r="L95" s="3"/>
      <x:c r="M95" s="3"/>
      <x:c r="N95" s="3"/>
      <x:c r="O95" s="3"/>
      <x:c r="P95" s="3"/>
      <x:c r="Q95" s="3"/>
    </x:row>
    <x:row r="96" ht="15" customHeight="1">
      <x:c r="A96" s="5" t="str">
        <x:f>IF(86&lt;='Сводка'!$B$3,'Сводка'!$B$4+86,"")</x:f>
      </x:c>
      <x:c r="B96" s="19" t="str">
        <x:f>IF($A96="","",(A96-37257+1)/1000)</x:f>
      </x:c>
      <x:c r="C96" s="19" t="str">
        <x:f>IF($A96="","",2*(A96-37257)/8978-1)</x:f>
      </x:c>
      <x:c r="D96" s="3" t="str">
        <x:f>IF($A96="","",$B$4+$B$5*C96^1+$B$6*C96^2+$B$7*C96^3)</x:f>
      </x:c>
      <x:c r="E96" s="3" t="str">
        <x:f>IF($A96="","",161.80794779962352*SQRT(1+(1)*$J$59*(1)+(1)*$K$59*(C96^1)+(1)*$L$59*(C96^2)+(1)*$M$59*(C96^3)+(C96^1)*$J$60*(1)+(C96^1)*$K$60*(C96^1)+(C96^1)*$L$60*(C96^2)+(C96^1)*$M$60*(C96^3)+(C96^2)*$J$61*(1)+(C96^2)*$K$61*(C96^1)+(C96^2)*$L$61*(C96^2)+(C96^2)*$M$61*(C96^3)+(C96^3)*$J$62*(1)+(C96^3)*$K$62*(C96^1)+(C96^3)*$L$62*(C96^2)+(C96^3)*$M$62*(C96^3)))</x:f>
      </x:c>
      <x:c r="F96" s="3" t="str">
        <x:f>IF($A96="","",D96-1.960240157256416*E96)</x:f>
      </x:c>
      <x:c r="G96" s="3" t="str">
        <x:f>IF($A96="","",D96+1.960240157256416*E96)</x:f>
      </x:c>
      <x:c r="H96" s="3" t="str">
        <x:f>IF($A96="","",161.80794779962352*SQRT((1)*$J$59*(1)+(1)*$K$59*(C96^1)+(1)*$L$59*(C96^2)+(1)*$M$59*(C96^3)+(C96^1)*$J$60*(1)+(C96^1)*$K$60*(C96^1)+(C96^1)*$L$60*(C96^2)+(C96^1)*$M$60*(C96^3)+(C96^2)*$J$61*(1)+(C96^2)*$K$61*(C96^1)+(C96^2)*$L$61*(C96^2)+(C96^2)*$M$61*(C96^3)+(C96^3)*$J$62*(1)+(C96^3)*$K$62*(C96^1)+(C96^3)*$L$62*(C96^2)+(C96^3)*$M$62*(C96^3)))</x:f>
      </x:c>
      <x:c r="I96" s="3"/>
      <x:c r="J96" s="3"/>
      <x:c r="K96" s="3"/>
      <x:c r="L96" s="3"/>
      <x:c r="M96" s="3"/>
      <x:c r="N96" s="3"/>
      <x:c r="O96" s="3"/>
      <x:c r="P96" s="3"/>
      <x:c r="Q96" s="3"/>
    </x:row>
    <x:row r="97" ht="15" customHeight="1">
      <x:c r="A97" s="5" t="str">
        <x:f>IF(87&lt;='Сводка'!$B$3,'Сводка'!$B$4+87,"")</x:f>
      </x:c>
      <x:c r="B97" s="19" t="str">
        <x:f>IF($A97="","",(A97-37257+1)/1000)</x:f>
      </x:c>
      <x:c r="C97" s="19" t="str">
        <x:f>IF($A97="","",2*(A97-37257)/8978-1)</x:f>
      </x:c>
      <x:c r="D97" s="3" t="str">
        <x:f>IF($A97="","",$B$4+$B$5*C97^1+$B$6*C97^2+$B$7*C97^3)</x:f>
      </x:c>
      <x:c r="E97" s="3" t="str">
        <x:f>IF($A97="","",161.80794779962352*SQRT(1+(1)*$J$59*(1)+(1)*$K$59*(C97^1)+(1)*$L$59*(C97^2)+(1)*$M$59*(C97^3)+(C97^1)*$J$60*(1)+(C97^1)*$K$60*(C97^1)+(C97^1)*$L$60*(C97^2)+(C97^1)*$M$60*(C97^3)+(C97^2)*$J$61*(1)+(C97^2)*$K$61*(C97^1)+(C97^2)*$L$61*(C97^2)+(C97^2)*$M$61*(C97^3)+(C97^3)*$J$62*(1)+(C97^3)*$K$62*(C97^1)+(C97^3)*$L$62*(C97^2)+(C97^3)*$M$62*(C97^3)))</x:f>
      </x:c>
      <x:c r="F97" s="3" t="str">
        <x:f>IF($A97="","",D97-1.960240157256416*E97)</x:f>
      </x:c>
      <x:c r="G97" s="3" t="str">
        <x:f>IF($A97="","",D97+1.960240157256416*E97)</x:f>
      </x:c>
      <x:c r="H97" s="3" t="str">
        <x:f>IF($A97="","",161.80794779962352*SQRT((1)*$J$59*(1)+(1)*$K$59*(C97^1)+(1)*$L$59*(C97^2)+(1)*$M$59*(C97^3)+(C97^1)*$J$60*(1)+(C97^1)*$K$60*(C97^1)+(C97^1)*$L$60*(C97^2)+(C97^1)*$M$60*(C97^3)+(C97^2)*$J$61*(1)+(C97^2)*$K$61*(C97^1)+(C97^2)*$L$61*(C97^2)+(C97^2)*$M$61*(C97^3)+(C97^3)*$J$62*(1)+(C97^3)*$K$62*(C97^1)+(C97^3)*$L$62*(C97^2)+(C97^3)*$M$62*(C97^3)))</x:f>
      </x:c>
      <x:c r="I97" s="3"/>
      <x:c r="J97" s="3"/>
      <x:c r="K97" s="3"/>
      <x:c r="L97" s="3"/>
      <x:c r="M97" s="3"/>
      <x:c r="N97" s="3"/>
      <x:c r="O97" s="3"/>
      <x:c r="P97" s="3"/>
      <x:c r="Q97" s="3"/>
    </x:row>
    <x:row r="98" ht="15" customHeight="1">
      <x:c r="A98" s="5" t="str">
        <x:f>IF(88&lt;='Сводка'!$B$3,'Сводка'!$B$4+88,"")</x:f>
      </x:c>
      <x:c r="B98" s="19" t="str">
        <x:f>IF($A98="","",(A98-37257+1)/1000)</x:f>
      </x:c>
      <x:c r="C98" s="19" t="str">
        <x:f>IF($A98="","",2*(A98-37257)/8978-1)</x:f>
      </x:c>
      <x:c r="D98" s="3" t="str">
        <x:f>IF($A98="","",$B$4+$B$5*C98^1+$B$6*C98^2+$B$7*C98^3)</x:f>
      </x:c>
      <x:c r="E98" s="3" t="str">
        <x:f>IF($A98="","",161.80794779962352*SQRT(1+(1)*$J$59*(1)+(1)*$K$59*(C98^1)+(1)*$L$59*(C98^2)+(1)*$M$59*(C98^3)+(C98^1)*$J$60*(1)+(C98^1)*$K$60*(C98^1)+(C98^1)*$L$60*(C98^2)+(C98^1)*$M$60*(C98^3)+(C98^2)*$J$61*(1)+(C98^2)*$K$61*(C98^1)+(C98^2)*$L$61*(C98^2)+(C98^2)*$M$61*(C98^3)+(C98^3)*$J$62*(1)+(C98^3)*$K$62*(C98^1)+(C98^3)*$L$62*(C98^2)+(C98^3)*$M$62*(C98^3)))</x:f>
      </x:c>
      <x:c r="F98" s="3" t="str">
        <x:f>IF($A98="","",D98-1.960240157256416*E98)</x:f>
      </x:c>
      <x:c r="G98" s="3" t="str">
        <x:f>IF($A98="","",D98+1.960240157256416*E98)</x:f>
      </x:c>
      <x:c r="H98" s="3" t="str">
        <x:f>IF($A98="","",161.80794779962352*SQRT((1)*$J$59*(1)+(1)*$K$59*(C98^1)+(1)*$L$59*(C98^2)+(1)*$M$59*(C98^3)+(C98^1)*$J$60*(1)+(C98^1)*$K$60*(C98^1)+(C98^1)*$L$60*(C98^2)+(C98^1)*$M$60*(C98^3)+(C98^2)*$J$61*(1)+(C98^2)*$K$61*(C98^1)+(C98^2)*$L$61*(C98^2)+(C98^2)*$M$61*(C98^3)+(C98^3)*$J$62*(1)+(C98^3)*$K$62*(C98^1)+(C98^3)*$L$62*(C98^2)+(C98^3)*$M$62*(C98^3)))</x:f>
      </x:c>
      <x:c r="I98" s="3"/>
      <x:c r="J98" s="3"/>
      <x:c r="K98" s="3"/>
      <x:c r="L98" s="3"/>
      <x:c r="M98" s="3"/>
      <x:c r="N98" s="3"/>
      <x:c r="O98" s="3"/>
      <x:c r="P98" s="3"/>
      <x:c r="Q98" s="3"/>
    </x:row>
    <x:row r="99" ht="15" customHeight="1">
      <x:c r="A99" s="5" t="str">
        <x:f>IF(89&lt;='Сводка'!$B$3,'Сводка'!$B$4+89,"")</x:f>
      </x:c>
      <x:c r="B99" s="19" t="str">
        <x:f>IF($A99="","",(A99-37257+1)/1000)</x:f>
      </x:c>
      <x:c r="C99" s="19" t="str">
        <x:f>IF($A99="","",2*(A99-37257)/8978-1)</x:f>
      </x:c>
      <x:c r="D99" s="3" t="str">
        <x:f>IF($A99="","",$B$4+$B$5*C99^1+$B$6*C99^2+$B$7*C99^3)</x:f>
      </x:c>
      <x:c r="E99" s="3" t="str">
        <x:f>IF($A99="","",161.80794779962352*SQRT(1+(1)*$J$59*(1)+(1)*$K$59*(C99^1)+(1)*$L$59*(C99^2)+(1)*$M$59*(C99^3)+(C99^1)*$J$60*(1)+(C99^1)*$K$60*(C99^1)+(C99^1)*$L$60*(C99^2)+(C99^1)*$M$60*(C99^3)+(C99^2)*$J$61*(1)+(C99^2)*$K$61*(C99^1)+(C99^2)*$L$61*(C99^2)+(C99^2)*$M$61*(C99^3)+(C99^3)*$J$62*(1)+(C99^3)*$K$62*(C99^1)+(C99^3)*$L$62*(C99^2)+(C99^3)*$M$62*(C99^3)))</x:f>
      </x:c>
      <x:c r="F99" s="3" t="str">
        <x:f>IF($A99="","",D99-1.960240157256416*E99)</x:f>
      </x:c>
      <x:c r="G99" s="3" t="str">
        <x:f>IF($A99="","",D99+1.960240157256416*E99)</x:f>
      </x:c>
      <x:c r="H99" s="3" t="str">
        <x:f>IF($A99="","",161.80794779962352*SQRT((1)*$J$59*(1)+(1)*$K$59*(C99^1)+(1)*$L$59*(C99^2)+(1)*$M$59*(C99^3)+(C99^1)*$J$60*(1)+(C99^1)*$K$60*(C99^1)+(C99^1)*$L$60*(C99^2)+(C99^1)*$M$60*(C99^3)+(C99^2)*$J$61*(1)+(C99^2)*$K$61*(C99^1)+(C99^2)*$L$61*(C99^2)+(C99^2)*$M$61*(C99^3)+(C99^3)*$J$62*(1)+(C99^3)*$K$62*(C99^1)+(C99^3)*$L$62*(C99^2)+(C99^3)*$M$62*(C99^3)))</x:f>
      </x:c>
      <x:c r="I99" s="3"/>
      <x:c r="J99" s="3"/>
      <x:c r="K99" s="3"/>
      <x:c r="L99" s="3"/>
      <x:c r="M99" s="3"/>
      <x:c r="N99" s="3"/>
      <x:c r="O99" s="3"/>
      <x:c r="P99" s="3"/>
      <x:c r="Q99" s="3"/>
    </x:row>
    <x:row r="100" ht="15" customHeight="1">
      <x:c r="A100" s="5" t="str">
        <x:f>IF(90&lt;='Сводка'!$B$3,'Сводка'!$B$4+90,"")</x:f>
      </x:c>
      <x:c r="B100" s="19" t="str">
        <x:f>IF($A100="","",(A100-37257+1)/1000)</x:f>
      </x:c>
      <x:c r="C100" s="19" t="str">
        <x:f>IF($A100="","",2*(A100-37257)/8978-1)</x:f>
      </x:c>
      <x:c r="D100" s="3" t="str">
        <x:f>IF($A100="","",$B$4+$B$5*C100^1+$B$6*C100^2+$B$7*C100^3)</x:f>
      </x:c>
      <x:c r="E100" s="3" t="str">
        <x:f>IF($A100="","",161.80794779962352*SQRT(1+(1)*$J$59*(1)+(1)*$K$59*(C100^1)+(1)*$L$59*(C100^2)+(1)*$M$59*(C100^3)+(C100^1)*$J$60*(1)+(C100^1)*$K$60*(C100^1)+(C100^1)*$L$60*(C100^2)+(C100^1)*$M$60*(C100^3)+(C100^2)*$J$61*(1)+(C100^2)*$K$61*(C100^1)+(C100^2)*$L$61*(C100^2)+(C100^2)*$M$61*(C100^3)+(C100^3)*$J$62*(1)+(C100^3)*$K$62*(C100^1)+(C100^3)*$L$62*(C100^2)+(C100^3)*$M$62*(C100^3)))</x:f>
      </x:c>
      <x:c r="F100" s="3" t="str">
        <x:f>IF($A100="","",D100-1.960240157256416*E100)</x:f>
      </x:c>
      <x:c r="G100" s="3" t="str">
        <x:f>IF($A100="","",D100+1.960240157256416*E100)</x:f>
      </x:c>
      <x:c r="H100" s="3" t="str">
        <x:f>IF($A100="","",161.80794779962352*SQRT((1)*$J$59*(1)+(1)*$K$59*(C100^1)+(1)*$L$59*(C100^2)+(1)*$M$59*(C100^3)+(C100^1)*$J$60*(1)+(C100^1)*$K$60*(C100^1)+(C100^1)*$L$60*(C100^2)+(C100^1)*$M$60*(C100^3)+(C100^2)*$J$61*(1)+(C100^2)*$K$61*(C100^1)+(C100^2)*$L$61*(C100^2)+(C100^2)*$M$61*(C100^3)+(C100^3)*$J$62*(1)+(C100^3)*$K$62*(C100^1)+(C100^3)*$L$62*(C100^2)+(C100^3)*$M$62*(C100^3)))</x:f>
      </x:c>
      <x:c r="I100" s="3"/>
      <x:c r="J100" s="3"/>
      <x:c r="K100" s="3"/>
      <x:c r="L100" s="3"/>
      <x:c r="M100" s="3"/>
      <x:c r="N100" s="3"/>
      <x:c r="O100" s="3"/>
      <x:c r="P100" s="3"/>
      <x:c r="Q100" s="3"/>
    </x:row>
    <x:row r="101" ht="1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</x:row>
  </x:sheetData>
  <x:pageMargins left="0.7" right="0.7" top="0.75" bottom="0.75" header="0.3" footer="0.3"/>
  <x:drawing xmlns:r="http://schemas.openxmlformats.org/officeDocument/2006/relationships" r:id="Rc557dbd8b1754cec"/>
</x:worksheet>
</file>

<file path=xl/worksheets/sheet4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5" customHeight="1">
      <x:c r="A1" s="3" t="str">
        <x:v>Степенная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customHeight="1">
      <x:c r="A2" s="3" t="str">
        <x:v>H = a·x^b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customHeight="1">
      <x:c r="A3" s="12" t="str">
        <x:v>Коэф.</x:v>
      </x:c>
      <x:c r="B3" s="12" t="str">
        <x:v>Оценка</x:v>
      </x:c>
      <x:c r="C3" s="12" t="str">
        <x:v>SE</x:v>
      </x:c>
      <x:c r="D3" s="3" t="str">
        <x:v>Коэффициенты (тест)</x:v>
      </x:c>
      <x:c r="E3" s="3"/>
      <x:c r="F3" s="3" t="str">
        <x:v>Показатели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customHeight="1">
      <x:c r="A4" s="7" t="str">
        <x:v>a</x:v>
      </x:c>
      <x:c r="B4" s="15" t="n">
        <x:v>15.691071777861374</x:v>
      </x:c>
      <x:c r="C4" s="15" t="n">
        <x:f>163.71700065657984*SQRT($J$59)</x:f>
        <x:v>1.8303553519250484</x:v>
      </x:c>
      <x:c r="D4" s="7" t="str">
        <x:v>a</x:v>
      </x:c>
      <x:c r="E4" s="15" t="n">
        <x:v>16.029342144129842</x:v>
      </x:c>
      <x:c r="F4" s="7" t="str">
        <x:v>R²</x:v>
      </x:c>
      <x:c r="G4" s="17" t="n">
        <x:v>0.09478062322935654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customHeight="1">
      <x:c r="A5" s="7" t="str">
        <x:v>b</x:v>
      </x:c>
      <x:c r="B5" s="15" t="n">
        <x:v>1.0382786315147094</x:v>
      </x:c>
      <x:c r="C5" s="15" t="n">
        <x:f>163.71700065657984*SQRT($K$60)</x:f>
        <x:v>0.0617931360386497</x:v>
      </x:c>
      <x:c r="D5" s="7" t="str">
        <x:v>b</x:v>
      </x:c>
      <x:c r="E5" s="15" t="n">
        <x:v>1.0225944134208962</x:v>
      </x:c>
      <x:c r="F5" s="7" t="str">
        <x:v>MAE</x:v>
      </x:c>
      <x:c r="G5" s="7" t="n">
        <x:f>AVERAGE(N20:N49)</x:f>
        <x:v>113.54370740888284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1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1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1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ht="15" customHeight="1">
      <x:c r="A9" s="3" t="str">
        <x:v>Прогноз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ht="15" customHeight="1">
      <x:c r="A10" s="13" t="str">
        <x:v>Дата</x:v>
      </x:c>
      <x:c r="B10" s="13" t="str">
        <x:v>x</x:v>
      </x:c>
      <x:c r="C10" s="13" t="str">
        <x:v>u</x:v>
      </x:c>
      <x:c r="D10" s="13" t="str">
        <x:v>Прогноз</x:v>
      </x:c>
      <x:c r="E10" s="13" t="str">
        <x:v>SE прогноза</x:v>
      </x:c>
      <x:c r="F10" s="13" t="str">
        <x:v>Нижняя 95%</x:v>
      </x:c>
      <x:c r="G10" s="13" t="str">
        <x:v>Верхняя 95%</x:v>
      </x:c>
      <x:c r="H10" s="13" t="str">
        <x:v>SE среднего</x:v>
      </x:c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15" customHeight="1">
      <x:c r="A11" s="9" t="n">
        <x:f>IF(1&lt;='Сводка'!$B$3,'Сводка'!$B$4+1,"")</x:f>
        <x:v>46236</x:v>
      </x:c>
      <x:c r="B11" s="18" t="n">
        <x:f>IF($A11="","",(A11-37257+1)/1000)</x:f>
        <x:v>8.98</x:v>
      </x:c>
      <x:c r="C11" s="18" t="n">
        <x:f>IF($A11="","",2*(A11-37257)/8978-1)</x:f>
        <x:v>1.000222766763199</x:v>
      </x:c>
      <x:c r="D11" s="7" t="n">
        <x:f>IF($A11="","",$B$4*B11^$B$5)</x:f>
        <x:v>153.25655513229324</x:v>
      </x:c>
      <x:c r="E11" s="7" t="n">
        <x:f>IF($A11="","",163.7170006565798*SQRT(1+(B11^$B$5)*$J$59*(B11^$B$5)+(B11^$B$5)*$K$59*(D11*LN(B11))+(D11*LN(B11))*$J$60*(B11^$B$5)+(D11*LN(B11))*$K$60*(D11*LN(B11))))</x:f>
        <x:v>163.77833029948098</x:v>
      </x:c>
      <x:c r="F11" s="7" t="n">
        <x:f>IF($A11="","",D11-1.9602400929689823*E11)</x:f>
        <x:v>-167.78829428026606</x:v>
      </x:c>
      <x:c r="G11" s="7" t="n">
        <x:f>IF($A11="","",D11+1.9602400929689823*E11)</x:f>
        <x:v>474.3014045448525</x:v>
      </x:c>
      <x:c r="H11" s="7" t="n">
        <x:f>IF($A11="","",163.7170006565798*SQRT((B11^$B$5)*$J$59*(B11^$B$5)+(B11^$B$5)*$K$59*(D11*LN(B11))+(D11*LN(B11))*$J$60*(B11^$B$5)+(D11*LN(B11))*$K$60*(D11*LN(B11))))</x:f>
        <x:v>4.481648323926331</x:v>
      </x:c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customHeight="1">
      <x:c r="A12" s="9" t="n">
        <x:f>IF(2&lt;='Сводка'!$B$3,'Сводка'!$B$4+2,"")</x:f>
        <x:v>46237</x:v>
      </x:c>
      <x:c r="B12" s="18" t="n">
        <x:f>IF($A12="","",(A12-37257+1)/1000)</x:f>
        <x:v>8.981</x:v>
      </x:c>
      <x:c r="C12" s="18" t="n">
        <x:f>IF($A12="","",2*(A12-37257)/8978-1)</x:f>
        <x:v>1.0004455335263978</x:v>
      </x:c>
      <x:c r="D12" s="7" t="n">
        <x:f>IF($A12="","",$B$4*B12^$B$5)</x:f>
        <x:v>153.27427488123138</x:v>
      </x:c>
      <x:c r="E12" s="7" t="n">
        <x:f>IF($A12="","",163.7170006565798*SQRT(1+(B12^$B$5)*$J$59*(B12^$B$5)+(B12^$B$5)*$K$59*(D12*LN(B12))+(D12*LN(B12))*$J$60*(B12^$B$5)+(D12*LN(B12))*$K$60*(D12*LN(B12))))</x:f>
        <x:v>163.7783650226908</x:v>
      </x:c>
      <x:c r="F12" s="7" t="n">
        <x:f>IF($A12="","",D12-1.9602400929689823*E12)</x:f>
        <x:v>-167.77064259715596</x:v>
      </x:c>
      <x:c r="G12" s="7" t="n">
        <x:f>IF($A12="","",D12+1.9602400929689823*E12)</x:f>
        <x:v>474.3191923596187</x:v>
      </x:c>
      <x:c r="H12" s="7" t="n">
        <x:f>IF($A12="","",163.7170006565798*SQRT((B12^$B$5)*$J$59*(B12^$B$5)+(B12^$B$5)*$K$59*(D12*LN(B12))+(D12*LN(B12))*$J$60*(B12^$B$5)+(D12*LN(B12))*$K$60*(D12*LN(B12))))</x:f>
        <x:v>4.482917076993347</x:v>
      </x:c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customHeight="1">
      <x:c r="A13" s="9" t="n">
        <x:f>IF(3&lt;='Сводка'!$B$3,'Сводка'!$B$4+3,"")</x:f>
        <x:v>46238</x:v>
      </x:c>
      <x:c r="B13" s="18" t="n">
        <x:f>IF($A13="","",(A13-37257+1)/1000)</x:f>
        <x:v>8.982</x:v>
      </x:c>
      <x:c r="C13" s="18" t="n">
        <x:f>IF($A13="","",2*(A13-37257)/8978-1)</x:f>
        <x:v>1.0006683002895969</x:v>
      </x:c>
      <x:c r="D13" s="7" t="n">
        <x:f>IF($A13="","",$B$4*B13^$B$5)</x:f>
        <x:v>153.2919947056944</x:v>
      </x:c>
      <x:c r="E13" s="7" t="n">
        <x:f>IF($A13="","",163.7170006565798*SQRT(1+(B13^$B$5)*$J$59*(B13^$B$5)+(B13^$B$5)*$K$59*(D13*LN(B13))+(D13*LN(B13))*$J$60*(B13^$B$5)+(D13*LN(B13))*$K$60*(D13*LN(B13))))</x:f>
        <x:v>163.77839976159757</x:v>
      </x:c>
      <x:c r="F13" s="7" t="n">
        <x:f>IF($A13="","",D13-1.9602400929689823*E13)</x:f>
        <x:v>-167.75299086929076</x:v>
      </x:c>
      <x:c r="G13" s="7" t="n">
        <x:f>IF($A13="","",D13+1.9602400929689823*E13)</x:f>
        <x:v>474.33698028067954</x:v>
      </x:c>
      <x:c r="H13" s="7" t="n">
        <x:f>IF($A13="","",163.7170006565798*SQRT((B13^$B$5)*$J$59*(B13^$B$5)+(B13^$B$5)*$K$59*(D13*LN(B13))+(D13*LN(B13))*$J$60*(B13^$B$5)+(D13*LN(B13))*$K$60*(D13*LN(B13))))</x:f>
        <x:v>4.484186044657249</x:v>
      </x:c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customHeight="1">
      <x:c r="A14" s="9" t="n">
        <x:f>IF(4&lt;='Сводка'!$B$3,'Сводка'!$B$4+4,"")</x:f>
        <x:v>46239</x:v>
      </x:c>
      <x:c r="B14" s="18" t="n">
        <x:f>IF($A14="","",(A14-37257+1)/1000)</x:f>
        <x:v>8.983</x:v>
      </x:c>
      <x:c r="C14" s="18" t="n">
        <x:f>IF($A14="","",2*(A14-37257)/8978-1)</x:f>
        <x:v>1.0008910670527955</x:v>
      </x:c>
      <x:c r="D14" s="7" t="n">
        <x:f>IF($A14="","",$B$4*B14^$B$5)</x:f>
        <x:v>153.3097146056743</x:v>
      </x:c>
      <x:c r="E14" s="7" t="n">
        <x:f>IF($A14="","",163.7170006565798*SQRT(1+(B14^$B$5)*$J$59*(B14^$B$5)+(B14^$B$5)*$K$59*(D14*LN(B14))+(D14*LN(B14))*$J$60*(B14^$B$5)+(D14*LN(B14))*$K$60*(D14*LN(B14))))</x:f>
        <x:v>163.7784345162043</x:v>
      </x:c>
      <x:c r="F14" s="7" t="n">
        <x:f>IF($A14="","",D14-1.9602400929689823*E14)</x:f>
        <x:v>-167.7353390966844</x:v>
      </x:c>
      <x:c r="G14" s="7" t="n">
        <x:f>IF($A14="","",D14+1.9602400929689823*E14)</x:f>
        <x:v>474.354768308033</x:v>
      </x:c>
      <x:c r="H14" s="7" t="n">
        <x:f>IF($A14="","",163.7170006565798*SQRT((B14^$B$5)*$J$59*(B14^$B$5)+(B14^$B$5)*$K$59*(D14*LN(B14))+(D14*LN(B14))*$J$60*(B14^$B$5)+(D14*LN(B14))*$K$60*(D14*LN(B14))))</x:f>
        <x:v>4.48545522684861</x:v>
      </x:c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customHeight="1">
      <x:c r="A15" s="9" t="n">
        <x:f>IF(5&lt;='Сводка'!$B$3,'Сводка'!$B$4+5,"")</x:f>
        <x:v>46240</x:v>
      </x:c>
      <x:c r="B15" s="18" t="n">
        <x:f>IF($A15="","",(A15-37257+1)/1000)</x:f>
        <x:v>8.984</x:v>
      </x:c>
      <x:c r="C15" s="18" t="n">
        <x:f>IF($A15="","",2*(A15-37257)/8978-1)</x:f>
        <x:v>1.0011138338159946</x:v>
      </x:c>
      <x:c r="D15" s="7" t="n">
        <x:f>IF($A15="","",$B$4*B15^$B$5)</x:f>
        <x:v>153.3274345811629</x:v>
      </x:c>
      <x:c r="E15" s="7" t="n">
        <x:f>IF($A15="","",163.7170006565798*SQRT(1+(B15^$B$5)*$J$59*(B15^$B$5)+(B15^$B$5)*$K$59*(D15*LN(B15))+(D15*LN(B15))*$J$60*(B15^$B$5)+(D15*LN(B15))*$K$60*(D15*LN(B15))))</x:f>
        <x:v>163.77846928651414</x:v>
      </x:c>
      <x:c r="F15" s="7" t="n">
        <x:f>IF($A15="","",D15-1.9602400929689823*E15)</x:f>
        <x:v>-167.7176872793512</x:v>
      </x:c>
      <x:c r="G15" s="7" t="n">
        <x:f>IF($A15="","",D15+1.9602400929689823*E15)</x:f>
        <x:v>474.372556441677</x:v>
      </x:c>
      <x:c r="H15" s="7" t="n">
        <x:f>IF($A15="","",163.7170006565798*SQRT((B15^$B$5)*$J$59*(B15^$B$5)+(B15^$B$5)*$K$59*(D15*LN(B15))+(D15*LN(B15))*$J$60*(B15^$B$5)+(D15*LN(B15))*$K$60*(D15*LN(B15))))</x:f>
        <x:v>4.486724623498083</x:v>
      </x:c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customHeight="1">
      <x:c r="A16" s="9" t="n">
        <x:f>IF(6&lt;='Сводка'!$B$3,'Сводка'!$B$4+6,"")</x:f>
        <x:v>46241</x:v>
      </x:c>
      <x:c r="B16" s="18" t="n">
        <x:f>IF($A16="","",(A16-37257+1)/1000)</x:f>
        <x:v>8.985</x:v>
      </x:c>
      <x:c r="C16" s="18" t="n">
        <x:f>IF($A16="","",2*(A16-37257)/8978-1)</x:f>
        <x:v>1.0013366005791937</x:v>
      </x:c>
      <x:c r="D16" s="7" t="n">
        <x:f>IF($A16="","",$B$4*B16^$B$5)</x:f>
        <x:v>153.34515463215212</x:v>
      </x:c>
      <x:c r="E16" s="7" t="n">
        <x:f>IF($A16="","",163.7170006565798*SQRT(1+(B16^$B$5)*$J$59*(B16^$B$5)+(B16^$B$5)*$K$59*(D16*LN(B16))+(D16*LN(B16))*$J$60*(B16^$B$5)+(D16*LN(B16))*$K$60*(D16*LN(B16))))</x:f>
        <x:v>163.77850407253018</x:v>
      </x:c>
      <x:c r="F16" s="7" t="n">
        <x:f>IF($A16="","",D16-1.9602400929689823*E16)</x:f>
        <x:v>-167.7000354173053</x:v>
      </x:c>
      <x:c r="G16" s="7" t="n">
        <x:f>IF($A16="","",D16+1.9602400929689823*E16)</x:f>
        <x:v>474.3903446816095</x:v>
      </x:c>
      <x:c r="H16" s="7" t="n">
        <x:f>IF($A16="","",163.7170006565798*SQRT((B16^$B$5)*$J$59*(B16^$B$5)+(B16^$B$5)*$K$59*(D16*LN(B16))+(D16*LN(B16))*$J$60*(B16^$B$5)+(D16*LN(B16))*$K$60*(D16*LN(B16))))</x:f>
        <x:v>4.487994234536354</x:v>
      </x:c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customHeight="1">
      <x:c r="A17" s="9" t="n">
        <x:f>IF(7&lt;='Сводка'!$B$3,'Сводка'!$B$4+7,"")</x:f>
        <x:v>46242</x:v>
      </x:c>
      <x:c r="B17" s="18" t="n">
        <x:f>IF($A17="","",(A17-37257+1)/1000)</x:f>
        <x:v>8.986</x:v>
      </x:c>
      <x:c r="C17" s="18" t="n">
        <x:f>IF($A17="","",2*(A17-37257)/8978-1)</x:f>
        <x:v>1.0015593673423924</x:v>
      </x:c>
      <x:c r="D17" s="7" t="n">
        <x:f>IF($A17="","",$B$4*B17^$B$5)</x:f>
        <x:v>153.36287475863395</x:v>
      </x:c>
      <x:c r="E17" s="7" t="n">
        <x:f>IF($A17="","",163.7170006565798*SQRT(1+(B17^$B$5)*$J$59*(B17^$B$5)+(B17^$B$5)*$K$59*(D17*LN(B17))+(D17*LN(B17))*$J$60*(B17^$B$5)+(D17*LN(B17))*$K$60*(D17*LN(B17))))</x:f>
        <x:v>163.7785388742555</x:v>
      </x:c>
      <x:c r="F17" s="7" t="n">
        <x:f>IF($A17="","",D17-1.9602400929689823*E17)</x:f>
        <x:v>-167.68238351056073</x:v>
      </x:c>
      <x:c r="G17" s="7" t="n">
        <x:f>IF($A17="","",D17+1.9602400929689823*E17)</x:f>
        <x:v>474.4081330278286</x:v>
      </x:c>
      <x:c r="H17" s="7" t="n">
        <x:f>IF($A17="","",163.7170006565798*SQRT((B17^$B$5)*$J$59*(B17^$B$5)+(B17^$B$5)*$K$59*(D17*LN(B17))+(D17*LN(B17))*$J$60*(B17^$B$5)+(D17*LN(B17))*$K$60*(D17*LN(B17))))</x:f>
        <x:v>4.489264059894159</x:v>
      </x:c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customHeight="1">
      <x:c r="A18" s="9" t="n">
        <x:f>IF(8&lt;='Сводка'!$B$3,'Сводка'!$B$4+8,"")</x:f>
        <x:v>46243</x:v>
      </x:c>
      <x:c r="B18" s="18" t="n">
        <x:f>IF($A18="","",(A18-37257+1)/1000)</x:f>
        <x:v>8.987</x:v>
      </x:c>
      <x:c r="C18" s="18" t="n">
        <x:f>IF($A18="","",2*(A18-37257)/8978-1)</x:f>
        <x:v>1.0017821341055915</x:v>
      </x:c>
      <x:c r="D18" s="7" t="n">
        <x:f>IF($A18="","",$B$4*B18^$B$5)</x:f>
        <x:v>153.38059496060023</x:v>
      </x:c>
      <x:c r="E18" s="7" t="n">
        <x:f>IF($A18="","",163.7170006565798*SQRT(1+(B18^$B$5)*$J$59*(B18^$B$5)+(B18^$B$5)*$K$59*(D18*LN(B18))+(D18*LN(B18))*$J$60*(B18^$B$5)+(D18*LN(B18))*$K$60*(D18*LN(B18))))</x:f>
        <x:v>163.77857369169308</x:v>
      </x:c>
      <x:c r="F18" s="7" t="n">
        <x:f>IF($A18="","",D18-1.9602400929689823*E18)</x:f>
        <x:v>-167.66473155913152</x:v>
      </x:c>
      <x:c r="G18" s="7" t="n">
        <x:f>IF($A18="","",D18+1.9602400929689823*E18)</x:f>
        <x:v>474.425921480332</x:v>
      </x:c>
      <x:c r="H18" s="7" t="n">
        <x:f>IF($A18="","",163.7170006565798*SQRT((B18^$B$5)*$J$59*(B18^$B$5)+(B18^$B$5)*$K$59*(D18*LN(B18))+(D18*LN(B18))*$J$60*(B18^$B$5)+(D18*LN(B18))*$K$60*(D18*LN(B18))))</x:f>
        <x:v>4.490534099502254</x:v>
      </x:c>
      <x:c r="I18" s="3"/>
      <x:c r="J18" s="3" t="str">
        <x:v>Тестовый период</x:v>
      </x:c>
      <x:c r="K18" s="3"/>
      <x:c r="L18" s="3"/>
      <x:c r="M18" s="3"/>
      <x:c r="N18" s="3"/>
      <x:c r="O18" s="3"/>
      <x:c r="P18" s="3"/>
      <x:c r="Q18" s="3"/>
    </x:row>
    <x:row r="19" ht="15" customHeight="1">
      <x:c r="A19" s="9" t="n">
        <x:f>IF(9&lt;='Сводка'!$B$3,'Сводка'!$B$4+9,"")</x:f>
        <x:v>46244</x:v>
      </x:c>
      <x:c r="B19" s="18" t="n">
        <x:f>IF($A19="","",(A19-37257+1)/1000)</x:f>
        <x:v>8.988</x:v>
      </x:c>
      <x:c r="C19" s="18" t="n">
        <x:f>IF($A19="","",2*(A19-37257)/8978-1)</x:f>
        <x:v>1.0020049008687906</x:v>
      </x:c>
      <x:c r="D19" s="7" t="n">
        <x:f>IF($A19="","",$B$4*B19^$B$5)</x:f>
        <x:v>153.39831523804298</x:v>
      </x:c>
      <x:c r="E19" s="7" t="n">
        <x:f>IF($A19="","",163.7170006565798*SQRT(1+(B19^$B$5)*$J$59*(B19^$B$5)+(B19^$B$5)*$K$59*(D19*LN(B19))+(D19*LN(B19))*$J$60*(B19^$B$5)+(D19*LN(B19))*$K$60*(D19*LN(B19))))</x:f>
        <x:v>163.77860852484616</x:v>
      </x:c>
      <x:c r="F19" s="7" t="n">
        <x:f>IF($A19="","",D19-1.9602400929689823*E19)</x:f>
        <x:v>-167.64707956303204</x:v>
      </x:c>
      <x:c r="G19" s="7" t="n">
        <x:f>IF($A19="","",D19+1.9602400929689823*E19)</x:f>
        <x:v>474.443710039118</x:v>
      </x:c>
      <x:c r="H19" s="7" t="n">
        <x:f>IF($A19="","",163.7170006565798*SQRT((B19^$B$5)*$J$59*(B19^$B$5)+(B19^$B$5)*$K$59*(D19*LN(B19))+(D19*LN(B19))*$J$60*(B19^$B$5)+(D19*LN(B19))*$K$60*(D19*LN(B19))))</x:f>
        <x:v>4.491804353291471</x:v>
      </x:c>
      <x:c r="I19" s="3"/>
      <x:c r="J19" s="13" t="str">
        <x:v>Дата</x:v>
      </x:c>
      <x:c r="K19" s="13" t="str">
        <x:v>Факт</x:v>
      </x:c>
      <x:c r="L19" s="13" t="str">
        <x:v>Прогноз</x:v>
      </x:c>
      <x:c r="M19" s="13" t="str">
        <x:v>Ошибка</x:v>
      </x:c>
      <x:c r="N19" s="13" t="str">
        <x:v>|Ошибка|</x:v>
      </x:c>
      <x:c r="O19" s="3"/>
      <x:c r="P19" s="3"/>
      <x:c r="Q19" s="3"/>
    </x:row>
    <x:row r="20" ht="15" customHeight="1">
      <x:c r="A20" s="9" t="n">
        <x:f>IF(10&lt;='Сводка'!$B$3,'Сводка'!$B$4+10,"")</x:f>
        <x:v>46245</x:v>
      </x:c>
      <x:c r="B20" s="18" t="n">
        <x:f>IF($A20="","",(A20-37257+1)/1000)</x:f>
        <x:v>8.989</x:v>
      </x:c>
      <x:c r="C20" s="18" t="n">
        <x:f>IF($A20="","",2*(A20-37257)/8978-1)</x:f>
        <x:v>1.0022276676319892</x:v>
      </x:c>
      <x:c r="D20" s="7" t="n">
        <x:f>IF($A20="","",$B$4*B20^$B$5)</x:f>
        <x:v>153.41603559095407</x:v>
      </x:c>
      <x:c r="E20" s="7" t="n">
        <x:f>IF($A20="","",163.7170006565798*SQRT(1+(B20^$B$5)*$J$59*(B20^$B$5)+(B20^$B$5)*$K$59*(D20*LN(B20))+(D20*LN(B20))*$J$60*(B20^$B$5)+(D20*LN(B20))*$K$60*(D20*LN(B20))))</x:f>
        <x:v>163.77864337371767</x:v>
      </x:c>
      <x:c r="F20" s="7" t="n">
        <x:f>IF($A20="","",D20-1.9602400929689823*E20)</x:f>
        <x:v>-167.62942752227607</x:v>
      </x:c>
      <x:c r="G20" s="7" t="n">
        <x:f>IF($A20="","",D20+1.9602400929689823*E20)</x:f>
        <x:v>474.46149870418424</x:v>
      </x:c>
      <x:c r="H20" s="7" t="n">
        <x:f>IF($A20="","",163.7170006565798*SQRT((B20^$B$5)*$J$59*(B20^$B$5)+(B20^$B$5)*$K$59*(D20*LN(B20))+(D20*LN(B20))*$J$60*(B20^$B$5)+(D20*LN(B20))*$K$60*(D20*LN(B20))))</x:f>
        <x:v>4.493074821192651</x:v>
      </x:c>
      <x:c r="I20" s="3"/>
      <x:c r="J20" s="9" t="n">
        <x:v>46206</x:v>
      </x:c>
      <x:c r="K20" s="7" t="n">
        <x:v>105</x:v>
      </x:c>
      <x:c r="L20" s="7" t="n">
        <x:f>$E$4*((J20-37257+1)/1000)^$E$5</x:f>
        <x:v>150.7455905363867</x:v>
      </x:c>
      <x:c r="M20" s="7" t="n">
        <x:f>K20-L20</x:f>
        <x:v>-45.745590536386686</x:v>
      </x:c>
      <x:c r="N20" s="7" t="n">
        <x:f>ABS(M20)</x:f>
        <x:v>45.745590536386686</x:v>
      </x:c>
      <x:c r="O20" s="3"/>
      <x:c r="P20" s="3"/>
      <x:c r="Q20" s="3"/>
    </x:row>
    <x:row r="21" ht="15" customHeight="1">
      <x:c r="A21" s="9" t="n">
        <x:f>IF(11&lt;='Сводка'!$B$3,'Сводка'!$B$4+11,"")</x:f>
        <x:v>46246</x:v>
      </x:c>
      <x:c r="B21" s="18" t="n">
        <x:f>IF($A21="","",(A21-37257+1)/1000)</x:f>
        <x:v>8.99</x:v>
      </x:c>
      <x:c r="C21" s="18" t="n">
        <x:f>IF($A21="","",2*(A21-37257)/8978-1)</x:f>
        <x:v>1.0024504343951883</x:v>
      </x:c>
      <x:c r="D21" s="7" t="n">
        <x:f>IF($A21="","",$B$4*B21^$B$5)</x:f>
        <x:v>153.4337560193254</x:v>
      </x:c>
      <x:c r="E21" s="7" t="n">
        <x:f>IF($A21="","",163.7170006565798*SQRT(1+(B21^$B$5)*$J$59*(B21^$B$5)+(B21^$B$5)*$K$59*(D21*LN(B21))+(D21*LN(B21))*$J$60*(B21^$B$5)+(D21*LN(B21))*$K$60*(D21*LN(B21))))</x:f>
        <x:v>163.77867823831076</x:v>
      </x:c>
      <x:c r="F21" s="7" t="n">
        <x:f>IF($A21="","",D21-1.9602400929689823*E21)</x:f>
        <x:v>-167.61177543687793</x:v>
      </x:c>
      <x:c r="G21" s="7" t="n">
        <x:f>IF($A21="","",D21+1.9602400929689823*E21)</x:f>
        <x:v>474.47928747552874</x:v>
      </x:c>
      <x:c r="H21" s="7" t="n">
        <x:f>IF($A21="","",163.7170006565798*SQRT((B21^$B$5)*$J$59*(B21^$B$5)+(B21^$B$5)*$K$59*(D21*LN(B21))+(D21*LN(B21))*$J$60*(B21^$B$5)+(D21*LN(B21))*$K$60*(D21*LN(B21))))</x:f>
        <x:v>4.494345503136708</x:v>
      </x:c>
      <x:c r="I21" s="3"/>
      <x:c r="J21" s="9" t="n">
        <x:v>46207</x:v>
      </x:c>
      <x:c r="K21" s="7" t="n">
        <x:v>121</x:v>
      </x:c>
      <x:c r="L21" s="7" t="n">
        <x:f>$E$4*((J21-37257+1)/1000)^$E$5</x:f>
        <x:v>150.76281420044285</x:v>
      </x:c>
      <x:c r="M21" s="7" t="n">
        <x:f>K21-L21</x:f>
        <x:v>-29.762814200442847</x:v>
      </x:c>
      <x:c r="N21" s="7" t="n">
        <x:f>ABS(M21)</x:f>
        <x:v>29.762814200442847</x:v>
      </x:c>
      <x:c r="O21" s="3"/>
      <x:c r="P21" s="3"/>
      <x:c r="Q21" s="3"/>
    </x:row>
    <x:row r="22" ht="15" customHeight="1">
      <x:c r="A22" s="9" t="n">
        <x:f>IF(12&lt;='Сводка'!$B$3,'Сводка'!$B$4+12,"")</x:f>
        <x:v>46247</x:v>
      </x:c>
      <x:c r="B22" s="18" t="n">
        <x:f>IF($A22="","",(A22-37257+1)/1000)</x:f>
        <x:v>8.991</x:v>
      </x:c>
      <x:c r="C22" s="18" t="n">
        <x:f>IF($A22="","",2*(A22-37257)/8978-1)</x:f>
        <x:v>1.002673201158387</x:v>
      </x:c>
      <x:c r="D22" s="7" t="n">
        <x:f>IF($A22="","",$B$4*B22^$B$5)</x:f>
        <x:v>153.45147652314887</x:v>
      </x:c>
      <x:c r="E22" s="7" t="n">
        <x:f>IF($A22="","",163.7170006565798*SQRT(1+(B22^$B$5)*$J$59*(B22^$B$5)+(B22^$B$5)*$K$59*(D22*LN(B22))+(D22*LN(B22))*$J$60*(B22^$B$5)+(D22*LN(B22))*$K$60*(D22*LN(B22))))</x:f>
        <x:v>163.77871311862847</x:v>
      </x:c>
      <x:c r="F22" s="7" t="n">
        <x:f>IF($A22="","",D22-1.9602400929689823*E22)</x:f>
        <x:v>-167.5941233068517</x:v>
      </x:c>
      <x:c r="G22" s="7" t="n">
        <x:f>IF($A22="","",D22+1.9602400929689823*E22)</x:f>
        <x:v>474.49707635314945</x:v>
      </x:c>
      <x:c r="H22" s="7" t="n">
        <x:f>IF($A22="","",163.7170006565798*SQRT((B22^$B$5)*$J$59*(B22^$B$5)+(B22^$B$5)*$K$59*(D22*LN(B22))+(D22*LN(B22))*$J$60*(B22^$B$5)+(D22*LN(B22))*$K$60*(D22*LN(B22))))</x:f>
        <x:v>4.495616399054593</x:v>
      </x:c>
      <x:c r="I22" s="3"/>
      <x:c r="J22" s="9" t="n">
        <x:v>46208</x:v>
      </x:c>
      <x:c r="K22" s="7" t="n">
        <x:v>138</x:v>
      </x:c>
      <x:c r="L22" s="7" t="n">
        <x:f>$E$4*((J22-37257+1)/1000)^$E$5</x:f>
        <x:v>150.78003790797555</x:v>
      </x:c>
      <x:c r="M22" s="7" t="n">
        <x:f>K22-L22</x:f>
        <x:v>-12.780037907975554</x:v>
      </x:c>
      <x:c r="N22" s="7" t="n">
        <x:f>ABS(M22)</x:f>
        <x:v>12.780037907975554</x:v>
      </x:c>
      <x:c r="O22" s="3"/>
      <x:c r="P22" s="3"/>
      <x:c r="Q22" s="3"/>
    </x:row>
    <x:row r="23" ht="15" customHeight="1">
      <x:c r="A23" s="9" t="n">
        <x:f>IF(13&lt;='Сводка'!$B$3,'Сводка'!$B$4+13,"")</x:f>
        <x:v>46248</x:v>
      </x:c>
      <x:c r="B23" s="18" t="n">
        <x:f>IF($A23="","",(A23-37257+1)/1000)</x:f>
        <x:v>8.992</x:v>
      </x:c>
      <x:c r="C23" s="18" t="n">
        <x:f>IF($A23="","",2*(A23-37257)/8978-1)</x:f>
        <x:v>1.002895967921586</x:v>
      </x:c>
      <x:c r="D23" s="7" t="n">
        <x:f>IF($A23="","",$B$4*B23^$B$5)</x:f>
        <x:v>153.46919710241653</x:v>
      </x:c>
      <x:c r="E23" s="7" t="n">
        <x:f>IF($A23="","",163.7170006565798*SQRT(1+(B23^$B$5)*$J$59*(B23^$B$5)+(B23^$B$5)*$K$59*(D23*LN(B23))+(D23*LN(B23))*$J$60*(B23^$B$5)+(D23*LN(B23))*$K$60*(D23*LN(B23))))</x:f>
        <x:v>163.7787480146739</x:v>
      </x:c>
      <x:c r="F23" s="7" t="n">
        <x:f>IF($A23="","",D23-1.9602400929689823*E23)</x:f>
        <x:v>-167.57647113221137</x:v>
      </x:c>
      <x:c r="G23" s="7" t="n">
        <x:f>IF($A23="","",D23+1.9602400929689823*E23)</x:f>
        <x:v>474.5148653370444</x:v>
      </x:c>
      <x:c r="H23" s="7" t="n">
        <x:f>IF($A23="","",163.7170006565798*SQRT((B23^$B$5)*$J$59*(B23^$B$5)+(B23^$B$5)*$K$59*(D23*LN(B23))+(D23*LN(B23))*$J$60*(B23^$B$5)+(D23*LN(B23))*$K$60*(D23*LN(B23))))</x:f>
        <x:v>4.496887508877288</x:v>
      </x:c>
      <x:c r="I23" s="3"/>
      <x:c r="J23" s="9" t="n">
        <x:v>46209</x:v>
      </x:c>
      <x:c r="K23" s="7" t="n">
        <x:v>149</x:v>
      </x:c>
      <x:c r="L23" s="7" t="n">
        <x:f>$E$4*((J23-37257+1)/1000)^$E$5</x:f>
        <x:v>150.79726165898015</x:v>
      </x:c>
      <x:c r="M23" s="7" t="n">
        <x:f>K23-L23</x:f>
        <x:v>-1.7972616589801476</x:v>
      </x:c>
      <x:c r="N23" s="7" t="n">
        <x:f>ABS(M23)</x:f>
        <x:v>1.7972616589801476</x:v>
      </x:c>
      <x:c r="O23" s="3"/>
      <x:c r="P23" s="3"/>
      <x:c r="Q23" s="3"/>
    </x:row>
    <x:row r="24" ht="15" customHeight="1">
      <x:c r="A24" s="9" t="n">
        <x:f>IF(14&lt;='Сводка'!$B$3,'Сводка'!$B$4+14,"")</x:f>
        <x:v>46249</x:v>
      </x:c>
      <x:c r="B24" s="18" t="n">
        <x:f>IF($A24="","",(A24-37257+1)/1000)</x:f>
        <x:v>8.993</x:v>
      </x:c>
      <x:c r="C24" s="18" t="n">
        <x:f>IF($A24="","",2*(A24-37257)/8978-1)</x:f>
        <x:v>1.0031187346847852</x:v>
      </x:c>
      <x:c r="D24" s="7" t="n">
        <x:f>IF($A24="","",$B$4*B24^$B$5)</x:f>
        <x:v>153.4869177571202</x:v>
      </x:c>
      <x:c r="E24" s="7" t="n">
        <x:f>IF($A24="","",163.7170006565798*SQRT(1+(B24^$B$5)*$J$59*(B24^$B$5)+(B24^$B$5)*$K$59*(D24*LN(B24))+(D24*LN(B24))*$J$60*(B24^$B$5)+(D24*LN(B24))*$K$60*(D24*LN(B24))))</x:f>
        <x:v>163.77878292645013</x:v>
      </x:c>
      <x:c r="F24" s="7" t="n">
        <x:f>IF($A24="","",D24-1.9602400929689823*E24)</x:f>
        <x:v>-167.5588189129712</x:v>
      </x:c>
      <x:c r="G24" s="7" t="n">
        <x:f>IF($A24="","",D24+1.9602400929689823*E24)</x:f>
        <x:v>474.5326544272116</x:v>
      </x:c>
      <x:c r="H24" s="7" t="n">
        <x:f>IF($A24="","",163.7170006565798*SQRT((B24^$B$5)*$J$59*(B24^$B$5)+(B24^$B$5)*$K$59*(D24*LN(B24))+(D24*LN(B24))*$J$60*(B24^$B$5)+(D24*LN(B24))*$K$60*(D24*LN(B24))))</x:f>
        <x:v>4.498158832535845</x:v>
      </x:c>
      <x:c r="I24" s="3"/>
      <x:c r="J24" s="9" t="n">
        <x:v>46210</x:v>
      </x:c>
      <x:c r="K24" s="7" t="n">
        <x:v>158</x:v>
      </x:c>
      <x:c r="L24" s="7" t="n">
        <x:f>$E$4*((J24-37257+1)/1000)^$E$5</x:f>
        <x:v>150.81448545345185</x:v>
      </x:c>
      <x:c r="M24" s="7" t="n">
        <x:f>K24-L24</x:f>
        <x:v>7.1855145465481485</x:v>
      </x:c>
      <x:c r="N24" s="7" t="n">
        <x:f>ABS(M24)</x:f>
        <x:v>7.1855145465481485</x:v>
      </x:c>
      <x:c r="O24" s="3"/>
      <x:c r="P24" s="3"/>
      <x:c r="Q24" s="3"/>
    </x:row>
    <x:row r="25" ht="15" customHeight="1">
      <x:c r="A25" s="9" t="n">
        <x:f>IF(15&lt;='Сводка'!$B$3,'Сводка'!$B$4+15,"")</x:f>
        <x:v>46250</x:v>
      </x:c>
      <x:c r="B25" s="18" t="n">
        <x:f>IF($A25="","",(A25-37257+1)/1000)</x:f>
        <x:v>8.994</x:v>
      </x:c>
      <x:c r="C25" s="18" t="n">
        <x:f>IF($A25="","",2*(A25-37257)/8978-1)</x:f>
        <x:v>1.0033415014479838</x:v>
      </x:c>
      <x:c r="D25" s="7" t="n">
        <x:f>IF($A25="","",$B$4*B25^$B$5)</x:f>
        <x:v>153.5046384872519</x:v>
      </x:c>
      <x:c r="E25" s="7" t="n">
        <x:f>IF($A25="","",163.7170006565798*SQRT(1+(B25^$B$5)*$J$59*(B25^$B$5)+(B25^$B$5)*$K$59*(D25*LN(B25))+(D25*LN(B25))*$J$60*(B25^$B$5)+(D25*LN(B25))*$K$60*(D25*LN(B25))))</x:f>
        <x:v>163.77881785396025</x:v>
      </x:c>
      <x:c r="F25" s="7" t="n">
        <x:f>IF($A25="","",D25-1.9602400929689823*E25)</x:f>
        <x:v>-167.54116664914517</x:v>
      </x:c>
      <x:c r="G25" s="7" t="n">
        <x:f>IF($A25="","",D25+1.9602400929689823*E25)</x:f>
        <x:v>474.55044362364896</x:v>
      </x:c>
      <x:c r="H25" s="7" t="n">
        <x:f>IF($A25="","",163.7170006565798*SQRT((B25^$B$5)*$J$59*(B25^$B$5)+(B25^$B$5)*$K$59*(D25*LN(B25))+(D25*LN(B25))*$J$60*(B25^$B$5)+(D25*LN(B25))*$K$60*(D25*LN(B25))))</x:f>
        <x:v>4.499430369961335</x:v>
      </x:c>
      <x:c r="I25" s="3"/>
      <x:c r="J25" s="9" t="n">
        <x:v>46211</x:v>
      </x:c>
      <x:c r="K25" s="7" t="n">
        <x:v>166</x:v>
      </x:c>
      <x:c r="L25" s="7" t="n">
        <x:f>$E$4*((J25-37257+1)/1000)^$E$5</x:f>
        <x:v>150.8317092913859</x:v>
      </x:c>
      <x:c r="M25" s="7" t="n">
        <x:f>K25-L25</x:f>
        <x:v>15.168290708614109</x:v>
      </x:c>
      <x:c r="N25" s="7" t="n">
        <x:f>ABS(M25)</x:f>
        <x:v>15.168290708614109</x:v>
      </x:c>
      <x:c r="O25" s="3"/>
      <x:c r="P25" s="3"/>
      <x:c r="Q25" s="3"/>
    </x:row>
    <x:row r="26" ht="15" customHeight="1">
      <x:c r="A26" s="9" t="n">
        <x:f>IF(16&lt;='Сводка'!$B$3,'Сводка'!$B$4+16,"")</x:f>
        <x:v>46251</x:v>
      </x:c>
      <x:c r="B26" s="18" t="n">
        <x:f>IF($A26="","",(A26-37257+1)/1000)</x:f>
        <x:v>8.995</x:v>
      </x:c>
      <x:c r="C26" s="18" t="n">
        <x:f>IF($A26="","",2*(A26-37257)/8978-1)</x:f>
        <x:v>1.003564268211183</x:v>
      </x:c>
      <x:c r="D26" s="7" t="n">
        <x:f>IF($A26="","",$B$4*B26^$B$5)</x:f>
        <x:v>153.52235929280346</x:v>
      </x:c>
      <x:c r="E26" s="7" t="n">
        <x:f>IF($A26="","",163.7170006565798*SQRT(1+(B26^$B$5)*$J$59*(B26^$B$5)+(B26^$B$5)*$K$59*(D26*LN(B26))+(D26*LN(B26))*$J$60*(B26^$B$5)+(D26*LN(B26))*$K$60*(D26*LN(B26))))</x:f>
        <x:v>163.7788527972073</x:v>
      </x:c>
      <x:c r="F26" s="7" t="n">
        <x:f>IF($A26="","",D26-1.9602400929689823*E26)</x:f>
        <x:v>-167.52351434074745</x:v>
      </x:c>
      <x:c r="G26" s="7" t="n">
        <x:f>IF($A26="","",D26+1.9602400929689823*E26)</x:f>
        <x:v>474.56823292635437</x:v>
      </x:c>
      <x:c r="H26" s="7" t="n">
        <x:f>IF($A26="","",163.7170006565798*SQRT((B26^$B$5)*$J$59*(B26^$B$5)+(B26^$B$5)*$K$59*(D26*LN(B26))+(D26*LN(B26))*$J$60*(B26^$B$5)+(D26*LN(B26))*$K$60*(D26*LN(B26))))</x:f>
        <x:v>4.500702121084867</x:v>
      </x:c>
      <x:c r="I26" s="3"/>
      <x:c r="J26" s="9" t="n">
        <x:v>46212</x:v>
      </x:c>
      <x:c r="K26" s="7" t="n">
        <x:v>174</x:v>
      </x:c>
      <x:c r="L26" s="7" t="n">
        <x:f>$E$4*((J26-37257+1)/1000)^$E$5</x:f>
        <x:v>150.84893317277758</x:v>
      </x:c>
      <x:c r="M26" s="7" t="n">
        <x:f>K26-L26</x:f>
        <x:v>23.151066827222422</x:v>
      </x:c>
      <x:c r="N26" s="7" t="n">
        <x:f>ABS(M26)</x:f>
        <x:v>23.151066827222422</x:v>
      </x:c>
      <x:c r="O26" s="3"/>
      <x:c r="P26" s="3"/>
      <x:c r="Q26" s="3"/>
    </x:row>
    <x:row r="27" ht="15" customHeight="1">
      <x:c r="A27" s="9" t="n">
        <x:f>IF(17&lt;='Сводка'!$B$3,'Сводка'!$B$4+17,"")</x:f>
        <x:v>46252</x:v>
      </x:c>
      <x:c r="B27" s="18" t="n">
        <x:f>IF($A27="","",(A27-37257+1)/1000)</x:f>
        <x:v>8.996</x:v>
      </x:c>
      <x:c r="C27" s="18" t="n">
        <x:f>IF($A27="","",2*(A27-37257)/8978-1)</x:f>
        <x:v>1.003787034974382</x:v>
      </x:c>
      <x:c r="D27" s="7" t="n">
        <x:f>IF($A27="","",$B$4*B27^$B$5)</x:f>
        <x:v>153.5400801737669</x:v>
      </x:c>
      <x:c r="E27" s="7" t="n">
        <x:f>IF($A27="","",163.7170006565798*SQRT(1+(B27^$B$5)*$J$59*(B27^$B$5)+(B27^$B$5)*$K$59*(D27*LN(B27))+(D27*LN(B27))*$J$60*(B27^$B$5)+(D27*LN(B27))*$K$60*(D27*LN(B27))))</x:f>
        <x:v>163.77888775619434</x:v>
      </x:c>
      <x:c r="F27" s="7" t="n">
        <x:f>IF($A27="","",D27-1.9602400929689823*E27)</x:f>
        <x:v>-167.505861987792</x:v>
      </x:c>
      <x:c r="G27" s="7" t="n">
        <x:f>IF($A27="","",D27+1.9602400929689823*E27)</x:f>
        <x:v>474.5860223353258</x:v>
      </x:c>
      <x:c r="H27" s="7" t="n">
        <x:f>IF($A27="","",163.7170006565798*SQRT((B27^$B$5)*$J$59*(B27^$B$5)+(B27^$B$5)*$K$59*(D27*LN(B27))+(D27*LN(B27))*$J$60*(B27^$B$5)+(D27*LN(B27))*$K$60*(D27*LN(B27))))</x:f>
        <x:v>4.501974085837634</x:v>
      </x:c>
      <x:c r="I27" s="3"/>
      <x:c r="J27" s="9" t="n">
        <x:v>46213</x:v>
      </x:c>
      <x:c r="K27" s="7" t="n">
        <x:v>180</x:v>
      </x:c>
      <x:c r="L27" s="7" t="n">
        <x:f>$E$4*((J27-37257+1)/1000)^$E$5</x:f>
        <x:v>150.86615709762216</x:v>
      </x:c>
      <x:c r="M27" s="7" t="n">
        <x:f>K27-L27</x:f>
        <x:v>29.133842902377836</x:v>
      </x:c>
      <x:c r="N27" s="7" t="n">
        <x:f>ABS(M27)</x:f>
        <x:v>29.133842902377836</x:v>
      </x:c>
      <x:c r="O27" s="3"/>
      <x:c r="P27" s="3"/>
      <x:c r="Q27" s="3"/>
    </x:row>
    <x:row r="28" ht="15" customHeight="1">
      <x:c r="A28" s="9" t="n">
        <x:f>IF(18&lt;='Сводка'!$B$3,'Сводка'!$B$4+18,"")</x:f>
        <x:v>46253</x:v>
      </x:c>
      <x:c r="B28" s="18" t="n">
        <x:f>IF($A28="","",(A28-37257+1)/1000)</x:f>
        <x:v>8.997</x:v>
      </x:c>
      <x:c r="C28" s="18" t="n">
        <x:f>IF($A28="","",2*(A28-37257)/8978-1)</x:f>
        <x:v>1.0040098017375807</x:v>
      </x:c>
      <x:c r="D28" s="7" t="n">
        <x:f>IF($A28="","",$B$4*B28^$B$5)</x:f>
        <x:v>153.55780113013412</x:v>
      </x:c>
      <x:c r="E28" s="7" t="n">
        <x:f>IF($A28="","",163.7170006565798*SQRT(1+(B28^$B$5)*$J$59*(B28^$B$5)+(B28^$B$5)*$K$59*(D28*LN(B28))+(D28*LN(B28))*$J$60*(B28^$B$5)+(D28*LN(B28))*$K$60*(D28*LN(B28))))</x:f>
        <x:v>163.7789227309245</x:v>
      </x:c>
      <x:c r="F28" s="7" t="n">
        <x:f>IF($A28="","",D28-1.9602400929689823*E28)</x:f>
        <x:v>-167.48820959029308</x:v>
      </x:c>
      <x:c r="G28" s="7" t="n">
        <x:f>IF($A28="","",D28+1.9602400929689823*E28)</x:f>
        <x:v>474.6038118505613</x:v>
      </x:c>
      <x:c r="H28" s="7" t="n">
        <x:f>IF($A28="","",163.7170006565798*SQRT((B28^$B$5)*$J$59*(B28^$B$5)+(B28^$B$5)*$K$59*(D28*LN(B28))+(D28*LN(B28))*$J$60*(B28^$B$5)+(D28*LN(B28))*$K$60*(D28*LN(B28))))</x:f>
        <x:v>4.503246264150809</x:v>
      </x:c>
      <x:c r="I28" s="3"/>
      <x:c r="J28" s="9" t="n">
        <x:v>46214</x:v>
      </x:c>
      <x:c r="K28" s="7" t="n">
        <x:v>181</x:v>
      </x:c>
      <x:c r="L28" s="7" t="n">
        <x:f>$E$4*((J28-37257+1)/1000)^$E$5</x:f>
        <x:v>150.88338106591485</x:v>
      </x:c>
      <x:c r="M28" s="7" t="n">
        <x:f>K28-L28</x:f>
        <x:v>30.116618934085153</x:v>
      </x:c>
      <x:c r="N28" s="7" t="n">
        <x:f>ABS(M28)</x:f>
        <x:v>30.116618934085153</x:v>
      </x:c>
      <x:c r="O28" s="3"/>
      <x:c r="P28" s="3"/>
      <x:c r="Q28" s="3"/>
    </x:row>
    <x:row r="29" ht="15" customHeight="1">
      <x:c r="A29" s="9" t="n">
        <x:f>IF(19&lt;='Сводка'!$B$3,'Сводка'!$B$4+19,"")</x:f>
        <x:v>46254</x:v>
      </x:c>
      <x:c r="B29" s="18" t="n">
        <x:f>IF($A29="","",(A29-37257+1)/1000)</x:f>
        <x:v>8.998</x:v>
      </x:c>
      <x:c r="C29" s="18" t="n">
        <x:f>IF($A29="","",2*(A29-37257)/8978-1)</x:f>
        <x:v>1.0042325685007798</x:v>
      </x:c>
      <x:c r="D29" s="7" t="n">
        <x:f>IF($A29="","",$B$4*B29^$B$5)</x:f>
        <x:v>153.5755221618971</x:v>
      </x:c>
      <x:c r="E29" s="7" t="n">
        <x:f>IF($A29="","",163.7170006565798*SQRT(1+(B29^$B$5)*$J$59*(B29^$B$5)+(B29^$B$5)*$K$59*(D29*LN(B29))+(D29*LN(B29))*$J$60*(B29^$B$5)+(D29*LN(B29))*$K$60*(D29*LN(B29))))</x:f>
        <x:v>163.77895772140087</x:v>
      </x:c>
      <x:c r="F29" s="7" t="n">
        <x:f>IF($A29="","",D29-1.9602400929689823*E29)</x:f>
        <x:v>-167.47055714826476</x:v>
      </x:c>
      <x:c r="G29" s="7" t="n">
        <x:f>IF($A29="","",D29+1.9602400929689823*E29)</x:f>
        <x:v>474.62160147205896</x:v>
      </x:c>
      <x:c r="H29" s="7" t="n">
        <x:f>IF($A29="","",163.7170006565798*SQRT((B29^$B$5)*$J$59*(B29^$B$5)+(B29^$B$5)*$K$59*(D29*LN(B29))+(D29*LN(B29))*$J$60*(B29^$B$5)+(D29*LN(B29))*$K$60*(D29*LN(B29))))</x:f>
        <x:v>4.504518655955667</x:v>
      </x:c>
      <x:c r="I29" s="3"/>
      <x:c r="J29" s="9" t="n">
        <x:v>46215</x:v>
      </x:c>
      <x:c r="K29" s="7" t="n">
        <x:v>179</x:v>
      </x:c>
      <x:c r="L29" s="7" t="n">
        <x:f>$E$4*((J29-37257+1)/1000)^$E$5</x:f>
        <x:v>150.90060507765094</x:v>
      </x:c>
      <x:c r="M29" s="7" t="n">
        <x:f>K29-L29</x:f>
        <x:v>28.099394922349063</x:v>
      </x:c>
      <x:c r="N29" s="7" t="n">
        <x:f>ABS(M29)</x:f>
        <x:v>28.099394922349063</x:v>
      </x:c>
      <x:c r="O29" s="3"/>
      <x:c r="P29" s="3"/>
      <x:c r="Q29" s="3"/>
    </x:row>
    <x:row r="30" ht="15" customHeight="1">
      <x:c r="A30" s="9" t="n">
        <x:f>IF(20&lt;='Сводка'!$B$3,'Сводка'!$B$4+20,"")</x:f>
        <x:v>46255</x:v>
      </x:c>
      <x:c r="B30" s="18" t="n">
        <x:f>IF($A30="","",(A30-37257+1)/1000)</x:f>
        <x:v>8.999</x:v>
      </x:c>
      <x:c r="C30" s="18" t="n">
        <x:f>IF($A30="","",2*(A30-37257)/8978-1)</x:f>
        <x:v>1.0044553352639785</x:v>
      </x:c>
      <x:c r="D30" s="7" t="n">
        <x:f>IF($A30="","",$B$4*B30^$B$5)</x:f>
        <x:v>153.59324326904778</x:v>
      </x:c>
      <x:c r="E30" s="7" t="n">
        <x:f>IF($A30="","",163.7170006565798*SQRT(1+(B30^$B$5)*$J$59*(B30^$B$5)+(B30^$B$5)*$K$59*(D30*LN(B30))+(D30*LN(B30))*$J$60*(B30^$B$5)+(D30*LN(B30))*$K$60*(D30*LN(B30))))</x:f>
        <x:v>163.77899272762645</x:v>
      </x:c>
      <x:c r="F30" s="7" t="n">
        <x:f>IF($A30="","",D30-1.9602400929689823*E30)</x:f>
        <x:v>-167.45290466172094</x:v>
      </x:c>
      <x:c r="G30" s="7" t="n">
        <x:f>IF($A30="","",D30+1.9602400929689823*E30)</x:f>
        <x:v>474.6393911998165</x:v>
      </x:c>
      <x:c r="H30" s="7" t="n">
        <x:f>IF($A30="","",163.7170006565798*SQRT((B30^$B$5)*$J$59*(B30^$B$5)+(B30^$B$5)*$K$59*(D30*LN(B30))+(D30*LN(B30))*$J$60*(B30^$B$5)+(D30*LN(B30))*$K$60*(D30*LN(B30))))</x:f>
        <x:v>4.505791261183508</x:v>
      </x:c>
      <x:c r="I30" s="3"/>
      <x:c r="J30" s="9" t="n">
        <x:v>46216</x:v>
      </x:c>
      <x:c r="K30" s="7" t="n">
        <x:v>182</x:v>
      </x:c>
      <x:c r="L30" s="7" t="n">
        <x:f>$E$4*((J30-37257+1)/1000)^$E$5</x:f>
        <x:v>150.91782913282572</x:v>
      </x:c>
      <x:c r="M30" s="7" t="n">
        <x:f>K30-L30</x:f>
        <x:v>31.082170867174284</x:v>
      </x:c>
      <x:c r="N30" s="7" t="n">
        <x:f>ABS(M30)</x:f>
        <x:v>31.082170867174284</x:v>
      </x:c>
      <x:c r="O30" s="3"/>
      <x:c r="P30" s="3"/>
      <x:c r="Q30" s="3"/>
    </x:row>
    <x:row r="31" ht="15" customHeight="1">
      <x:c r="A31" s="9" t="n">
        <x:f>IF(21&lt;='Сводка'!$B$3,'Сводка'!$B$4+21,"")</x:f>
        <x:v>46256</x:v>
      </x:c>
      <x:c r="B31" s="18" t="n">
        <x:f>IF($A31="","",(A31-37257+1)/1000)</x:f>
        <x:v>9</x:v>
      </x:c>
      <x:c r="C31" s="18" t="n">
        <x:f>IF($A31="","",2*(A31-37257)/8978-1)</x:f>
        <x:v>1.0046781020271776</x:v>
      </x:c>
      <x:c r="D31" s="7" t="n">
        <x:f>IF($A31="","",$B$4*B31^$B$5)</x:f>
        <x:v>153.610964451578</x:v>
      </x:c>
      <x:c r="E31" s="7" t="n">
        <x:f>IF($A31="","",163.7170006565798*SQRT(1+(B31^$B$5)*$J$59*(B31^$B$5)+(B31^$B$5)*$K$59*(D31*LN(B31))+(D31*LN(B31))*$J$60*(B31^$B$5)+(D31*LN(B31))*$K$60*(D31*LN(B31))))</x:f>
        <x:v>163.77902774960432</x:v>
      </x:c>
      <x:c r="F31" s="7" t="n">
        <x:f>IF($A31="","",D31-1.9602400929689823*E31)</x:f>
        <x:v>-167.4352521306759</x:v>
      </x:c>
      <x:c r="G31" s="7" t="n">
        <x:f>IF($A31="","",D31+1.9602400929689823*E31)</x:f>
        <x:v>474.65718103383193</x:v>
      </x:c>
      <x:c r="H31" s="7" t="n">
        <x:f>IF($A31="","",163.7170006565798*SQRT((B31^$B$5)*$J$59*(B31^$B$5)+(B31^$B$5)*$K$59*(D31*LN(B31))+(D31*LN(B31))*$J$60*(B31^$B$5)+(D31*LN(B31))*$K$60*(D31*LN(B31))))</x:f>
        <x:v>4.507064079765676</x:v>
      </x:c>
      <x:c r="I31" s="3"/>
      <x:c r="J31" s="9" t="n">
        <x:v>46217</x:v>
      </x:c>
      <x:c r="K31" s="7" t="n">
        <x:v>191</x:v>
      </x:c>
      <x:c r="L31" s="7" t="n">
        <x:f>$E$4*((J31-37257+1)/1000)^$E$5</x:f>
        <x:v>150.93505323143435</x:v>
      </x:c>
      <x:c r="M31" s="7" t="n">
        <x:f>K31-L31</x:f>
        <x:v>40.06494676856565</x:v>
      </x:c>
      <x:c r="N31" s="7" t="n">
        <x:f>ABS(M31)</x:f>
        <x:v>40.06494676856565</x:v>
      </x:c>
      <x:c r="O31" s="3"/>
      <x:c r="P31" s="3"/>
      <x:c r="Q31" s="3"/>
    </x:row>
    <x:row r="32" ht="15" customHeight="1">
      <x:c r="A32" s="9" t="n">
        <x:f>IF(22&lt;='Сводка'!$B$3,'Сводка'!$B$4+22,"")</x:f>
        <x:v>46257</x:v>
      </x:c>
      <x:c r="B32" s="18" t="n">
        <x:f>IF($A32="","",(A32-37257+1)/1000)</x:f>
        <x:v>9.001</x:v>
      </x:c>
      <x:c r="C32" s="18" t="n">
        <x:f>IF($A32="","",2*(A32-37257)/8978-1)</x:f>
        <x:v>1.0049008687903767</x:v>
      </x:c>
      <x:c r="D32" s="7" t="n">
        <x:f>IF($A32="","",$B$4*B32^$B$5)</x:f>
        <x:v>153.62868570947984</x:v>
      </x:c>
      <x:c r="E32" s="7" t="n">
        <x:f>IF($A32="","",163.7170006565798*SQRT(1+(B32^$B$5)*$J$59*(B32^$B$5)+(B32^$B$5)*$K$59*(D32*LN(B32))+(D32*LN(B32))*$J$60*(B32^$B$5)+(D32*LN(B32))*$K$60*(D32*LN(B32))))</x:f>
        <x:v>163.77906278733766</x:v>
      </x:c>
      <x:c r="F32" s="7" t="n">
        <x:f>IF($A32="","",D32-1.9602400929689823*E32)</x:f>
        <x:v>-167.41759955514374</x:v>
      </x:c>
      <x:c r="G32" s="7" t="n">
        <x:f>IF($A32="","",D32+1.9602400929689823*E32)</x:f>
        <x:v>474.6749709741034</x:v>
      </x:c>
      <x:c r="H32" s="7" t="n">
        <x:f>IF($A32="","",163.7170006565798*SQRT((B32^$B$5)*$J$59*(B32^$B$5)+(B32^$B$5)*$K$59*(D32*LN(B32))+(D32*LN(B32))*$J$60*(B32^$B$5)+(D32*LN(B32))*$K$60*(D32*LN(B32))))</x:f>
        <x:v>4.508337111633534</x:v>
      </x:c>
      <x:c r="I32" s="3"/>
      <x:c r="J32" s="9" t="n">
        <x:v>46218</x:v>
      </x:c>
      <x:c r="K32" s="7" t="n">
        <x:v>206</x:v>
      </x:c>
      <x:c r="L32" s="7" t="n">
        <x:f>$E$4*((J32-37257+1)/1000)^$E$5</x:f>
        <x:v>150.9522773734722</x:v>
      </x:c>
      <x:c r="M32" s="7" t="n">
        <x:f>K32-L32</x:f>
        <x:v>55.047722626527786</x:v>
      </x:c>
      <x:c r="N32" s="7" t="n">
        <x:f>ABS(M32)</x:f>
        <x:v>55.047722626527786</x:v>
      </x:c>
      <x:c r="O32" s="3"/>
      <x:c r="P32" s="3"/>
      <x:c r="Q32" s="3"/>
    </x:row>
    <x:row r="33" ht="15" customHeight="1">
      <x:c r="A33" s="9" t="n">
        <x:f>IF(23&lt;='Сводка'!$B$3,'Сводка'!$B$4+23,"")</x:f>
        <x:v>46258</x:v>
      </x:c>
      <x:c r="B33" s="18" t="n">
        <x:f>IF($A33="","",(A33-37257+1)/1000)</x:f>
        <x:v>9.002</x:v>
      </x:c>
      <x:c r="C33" s="18" t="n">
        <x:f>IF($A33="","",2*(A33-37257)/8978-1)</x:f>
        <x:v>1.0051236355535753</x:v>
      </x:c>
      <x:c r="D33" s="7" t="n">
        <x:f>IF($A33="","",$B$4*B33^$B$5)</x:f>
        <x:v>153.64640704274518</x:v>
      </x:c>
      <x:c r="E33" s="7" t="n">
        <x:f>IF($A33="","",163.7170006565798*SQRT(1+(B33^$B$5)*$J$59*(B33^$B$5)+(B33^$B$5)*$K$59*(D33*LN(B33))+(D33*LN(B33))*$J$60*(B33^$B$5)+(D33*LN(B33))*$K$60*(D33*LN(B33))))</x:f>
        <x:v>163.77909784082945</x:v>
      </x:c>
      <x:c r="F33" s="7" t="n">
        <x:f>IF($A33="","",D33-1.9602400929689823*E33)</x:f>
        <x:v>-167.39994693513836</x:v>
      </x:c>
      <x:c r="G33" s="7" t="n">
        <x:f>IF($A33="","",D33+1.9602400929689823*E33)</x:f>
        <x:v>474.6927610206287</x:v>
      </x:c>
      <x:c r="H33" s="7" t="n">
        <x:f>IF($A33="","",163.7170006565798*SQRT((B33^$B$5)*$J$59*(B33^$B$5)+(B33^$B$5)*$K$59*(D33*LN(B33))+(D33*LN(B33))*$J$60*(B33^$B$5)+(D33*LN(B33))*$K$60*(D33*LN(B33))))</x:f>
        <x:v>4.509610356718515</x:v>
      </x:c>
      <x:c r="I33" s="3"/>
      <x:c r="J33" s="9" t="n">
        <x:v>46219</x:v>
      </x:c>
      <x:c r="K33" s="7" t="n">
        <x:v>225</x:v>
      </x:c>
      <x:c r="L33" s="7" t="n">
        <x:f>$E$4*((J33-37257+1)/1000)^$E$5</x:f>
        <x:v>150.96950155893452</x:v>
      </x:c>
      <x:c r="M33" s="7" t="n">
        <x:f>K33-L33</x:f>
        <x:v>74.03049844106548</x:v>
      </x:c>
      <x:c r="N33" s="7" t="n">
        <x:f>ABS(M33)</x:f>
        <x:v>74.03049844106548</x:v>
      </x:c>
      <x:c r="O33" s="3"/>
      <x:c r="P33" s="3"/>
      <x:c r="Q33" s="3"/>
    </x:row>
    <x:row r="34" ht="15" customHeight="1">
      <x:c r="A34" s="9" t="n">
        <x:f>IF(24&lt;='Сводка'!$B$3,'Сводка'!$B$4+24,"")</x:f>
        <x:v>46259</x:v>
      </x:c>
      <x:c r="B34" s="18" t="n">
        <x:f>IF($A34="","",(A34-37257+1)/1000)</x:f>
        <x:v>9.003</x:v>
      </x:c>
      <x:c r="C34" s="18" t="n">
        <x:f>IF($A34="","",2*(A34-37257)/8978-1)</x:f>
        <x:v>1.0053464023167744</x:v>
      </x:c>
      <x:c r="D34" s="7" t="n">
        <x:f>IF($A34="","",$B$4*B34^$B$5)</x:f>
        <x:v>153.66412845136594</x:v>
      </x:c>
      <x:c r="E34" s="7" t="n">
        <x:f>IF($A34="","",163.7170006565798*SQRT(1+(B34^$B$5)*$J$59*(B34^$B$5)+(B34^$B$5)*$K$59*(D34*LN(B34))+(D34*LN(B34))*$J$60*(B34^$B$5)+(D34*LN(B34))*$K$60*(D34*LN(B34))))</x:f>
        <x:v>163.77913291008275</x:v>
      </x:c>
      <x:c r="F34" s="7" t="n">
        <x:f>IF($A34="","",D34-1.9602400929689823*E34)</x:f>
        <x:v>-167.38229427067395</x:v>
      </x:c>
      <x:c r="G34" s="7" t="n">
        <x:f>IF($A34="","",D34+1.9602400929689823*E34)</x:f>
        <x:v>474.71055117340586</x:v>
      </x:c>
      <x:c r="H34" s="7" t="n">
        <x:f>IF($A34="","",163.7170006565798*SQRT((B34^$B$5)*$J$59*(B34^$B$5)+(B34^$B$5)*$K$59*(D34*LN(B34))+(D34*LN(B34))*$J$60*(B34^$B$5)+(D34*LN(B34))*$K$60*(D34*LN(B34))))</x:f>
        <x:v>4.510883814952102</x:v>
      </x:c>
      <x:c r="I34" s="3"/>
      <x:c r="J34" s="9" t="n">
        <x:v>46220</x:v>
      </x:c>
      <x:c r="K34" s="7" t="n">
        <x:v>245</x:v>
      </x:c>
      <x:c r="L34" s="7" t="n">
        <x:f>$E$4*((J34-37257+1)/1000)^$E$5</x:f>
        <x:v>150.98672578781654</x:v>
      </x:c>
      <x:c r="M34" s="7" t="n">
        <x:f>K34-L34</x:f>
        <x:v>94.01327421218346</x:v>
      </x:c>
      <x:c r="N34" s="7" t="n">
        <x:f>ABS(M34)</x:f>
        <x:v>94.01327421218346</x:v>
      </x:c>
      <x:c r="O34" s="3"/>
      <x:c r="P34" s="3"/>
      <x:c r="Q34" s="3"/>
    </x:row>
    <x:row r="35" ht="15" customHeight="1">
      <x:c r="A35" s="9" t="n">
        <x:f>IF(25&lt;='Сводка'!$B$3,'Сводка'!$B$4+25,"")</x:f>
        <x:v>46260</x:v>
      </x:c>
      <x:c r="B35" s="18" t="n">
        <x:f>IF($A35="","",(A35-37257+1)/1000)</x:f>
        <x:v>9.004</x:v>
      </x:c>
      <x:c r="C35" s="18" t="n">
        <x:f>IF($A35="","",2*(A35-37257)/8978-1)</x:f>
        <x:v>1.005569169079973</x:v>
      </x:c>
      <x:c r="D35" s="7" t="n">
        <x:f>IF($A35="","",$B$4*B35^$B$5)</x:f>
        <x:v>153.68184993533413</x:v>
      </x:c>
      <x:c r="E35" s="7" t="n">
        <x:f>IF($A35="","",163.7170006565798*SQRT(1+(B35^$B$5)*$J$59*(B35^$B$5)+(B35^$B$5)*$K$59*(D35*LN(B35))+(D35*LN(B35))*$J$60*(B35^$B$5)+(D35*LN(B35))*$K$60*(D35*LN(B35))))</x:f>
        <x:v>163.7791679951007</x:v>
      </x:c>
      <x:c r="F35" s="7" t="n">
        <x:f>IF($A35="","",D35-1.9602400929689823*E35)</x:f>
        <x:v>-167.36464156176464</x:v>
      </x:c>
      <x:c r="G35" s="7" t="n">
        <x:f>IF($A35="","",D35+1.9602400929689823*E35)</x:f>
        <x:v>474.7283414324329</x:v>
      </x:c>
      <x:c r="H35" s="7" t="n">
        <x:f>IF($A35="","",163.7170006565798*SQRT((B35^$B$5)*$J$59*(B35^$B$5)+(B35^$B$5)*$K$59*(D35*LN(B35))+(D35*LN(B35))*$J$60*(B35^$B$5)+(D35*LN(B35))*$K$60*(D35*LN(B35))))</x:f>
        <x:v>4.5121574862657985</x:v>
      </x:c>
      <x:c r="I35" s="3"/>
      <x:c r="J35" s="9" t="n">
        <x:v>46221</x:v>
      </x:c>
      <x:c r="K35" s="7" t="n">
        <x:v>266</x:v>
      </x:c>
      <x:c r="L35" s="7" t="n">
        <x:f>$E$4*((J35-37257+1)/1000)^$E$5</x:f>
        <x:v>151.0039500601135</x:v>
      </x:c>
      <x:c r="M35" s="7" t="n">
        <x:f>K35-L35</x:f>
        <x:v>114.99604993988649</x:v>
      </x:c>
      <x:c r="N35" s="7" t="n">
        <x:f>ABS(M35)</x:f>
        <x:v>114.99604993988649</x:v>
      </x:c>
      <x:c r="O35" s="3"/>
      <x:c r="P35" s="3"/>
      <x:c r="Q35" s="3"/>
    </x:row>
    <x:row r="36" ht="15" customHeight="1">
      <x:c r="A36" s="9" t="n">
        <x:f>IF(26&lt;='Сводка'!$B$3,'Сводка'!$B$4+26,"")</x:f>
        <x:v>46261</x:v>
      </x:c>
      <x:c r="B36" s="18" t="n">
        <x:f>IF($A36="","",(A36-37257+1)/1000)</x:f>
        <x:v>9.005</x:v>
      </x:c>
      <x:c r="C36" s="18" t="n">
        <x:f>IF($A36="","",2*(A36-37257)/8978-1)</x:f>
        <x:v>1.0057919358431722</x:v>
      </x:c>
      <x:c r="D36" s="7" t="n">
        <x:f>IF($A36="","",$B$4*B36^$B$5)</x:f>
        <x:v>153.69957149464173</x:v>
      </x:c>
      <x:c r="E36" s="7" t="n">
        <x:f>IF($A36="","",163.7170006565798*SQRT(1+(B36^$B$5)*$J$59*(B36^$B$5)+(B36^$B$5)*$K$59*(D36*LN(B36))+(D36*LN(B36))*$J$60*(B36^$B$5)+(D36*LN(B36))*$K$60*(D36*LN(B36))))</x:f>
        <x:v>163.77920309588634</x:v>
      </x:c>
      <x:c r="F36" s="7" t="n">
        <x:f>IF($A36="","",D36-1.9602400929689823*E36)</x:f>
        <x:v>-167.34698880842436</x:v>
      </x:c>
      <x:c r="G36" s="7" t="n">
        <x:f>IF($A36="","",D36+1.9602400929689823*E36)</x:f>
        <x:v>474.7461317977078</x:v>
      </x:c>
      <x:c r="H36" s="7" t="n">
        <x:f>IF($A36="","",163.7170006565798*SQRT((B36^$B$5)*$J$59*(B36^$B$5)+(B36^$B$5)*$K$59*(D36*LN(B36))+(D36*LN(B36))*$J$60*(B36^$B$5)+(D36*LN(B36))*$K$60*(D36*LN(B36))))</x:f>
        <x:v>4.513431370591166</x:v>
      </x:c>
      <x:c r="I36" s="3"/>
      <x:c r="J36" s="9" t="n">
        <x:v>46222</x:v>
      </x:c>
      <x:c r="K36" s="7" t="n">
        <x:v>281</x:v>
      </x:c>
      <x:c r="L36" s="7" t="n">
        <x:f>$E$4*((J36-37257+1)/1000)^$E$5</x:f>
        <x:v>151.02117437582075</x:v>
      </x:c>
      <x:c r="M36" s="7" t="n">
        <x:f>K36-L36</x:f>
        <x:v>129.97882562417925</x:v>
      </x:c>
      <x:c r="N36" s="7" t="n">
        <x:f>ABS(M36)</x:f>
        <x:v>129.97882562417925</x:v>
      </x:c>
      <x:c r="O36" s="3"/>
      <x:c r="P36" s="3"/>
      <x:c r="Q36" s="3"/>
    </x:row>
    <x:row r="37" ht="15" customHeight="1">
      <x:c r="A37" s="9" t="n">
        <x:f>IF(27&lt;='Сводка'!$B$3,'Сводка'!$B$4+27,"")</x:f>
        <x:v>46262</x:v>
      </x:c>
      <x:c r="B37" s="18" t="n">
        <x:f>IF($A37="","",(A37-37257+1)/1000)</x:f>
        <x:v>9.006</x:v>
      </x:c>
      <x:c r="C37" s="18" t="n">
        <x:f>IF($A37="","",2*(A37-37257)/8978-1)</x:f>
        <x:v>1.0060147026063713</x:v>
      </x:c>
      <x:c r="D37" s="7" t="n">
        <x:f>IF($A37="","",$B$4*B37^$B$5)</x:f>
        <x:v>153.7172931292806</x:v>
      </x:c>
      <x:c r="E37" s="7" t="n">
        <x:f>IF($A37="","",163.7170006565798*SQRT(1+(B37^$B$5)*$J$59*(B37^$B$5)+(B37^$B$5)*$K$59*(D37*LN(B37))+(D37*LN(B37))*$J$60*(B37^$B$5)+(D37*LN(B37))*$K$60*(D37*LN(B37))))</x:f>
        <x:v>163.77923821244278</x:v>
      </x:c>
      <x:c r="F37" s="7" t="n">
        <x:f>IF($A37="","",D37-1.9602400929689823*E37)</x:f>
        <x:v>-167.32933601066733</x:v>
      </x:c>
      <x:c r="G37" s="7" t="n">
        <x:f>IF($A37="","",D37+1.9602400929689823*E37)</x:f>
        <x:v>474.7639222692285</x:v>
      </x:c>
      <x:c r="H37" s="7" t="n">
        <x:f>IF($A37="","",163.7170006565798*SQRT((B37^$B$5)*$J$59*(B37^$B$5)+(B37^$B$5)*$K$59*(D37*LN(B37))+(D37*LN(B37))*$J$60*(B37^$B$5)+(D37*LN(B37))*$K$60*(D37*LN(B37))))</x:f>
        <x:v>4.514705467859806</x:v>
      </x:c>
      <x:c r="I37" s="3"/>
      <x:c r="J37" s="9" t="n">
        <x:v>46223</x:v>
      </x:c>
      <x:c r="K37" s="7" t="n">
        <x:v>292</x:v>
      </x:c>
      <x:c r="L37" s="7" t="n">
        <x:f>$E$4*((J37-37257+1)/1000)^$E$5</x:f>
        <x:v>151.03839873493348</x:v>
      </x:c>
      <x:c r="M37" s="7" t="n">
        <x:f>K37-L37</x:f>
        <x:v>140.96160126506652</x:v>
      </x:c>
      <x:c r="N37" s="7" t="n">
        <x:f>ABS(M37)</x:f>
        <x:v>140.96160126506652</x:v>
      </x:c>
      <x:c r="O37" s="3"/>
      <x:c r="P37" s="3"/>
      <x:c r="Q37" s="3"/>
    </x:row>
    <x:row r="38" ht="15" customHeight="1">
      <x:c r="A38" s="9" t="n">
        <x:f>IF(28&lt;='Сводка'!$B$3,'Сводка'!$B$4+28,"")</x:f>
        <x:v>46263</x:v>
      </x:c>
      <x:c r="B38" s="18" t="n">
        <x:f>IF($A38="","",(A38-37257+1)/1000)</x:f>
        <x:v>9.007</x:v>
      </x:c>
      <x:c r="C38" s="18" t="n">
        <x:f>IF($A38="","",2*(A38-37257)/8978-1)</x:f>
        <x:v>1.00623746936957</x:v>
      </x:c>
      <x:c r="D38" s="7" t="n">
        <x:f>IF($A38="","",$B$4*B38^$B$5)</x:f>
        <x:v>153.7350148392427</x:v>
      </x:c>
      <x:c r="E38" s="7" t="n">
        <x:f>IF($A38="","",163.7170006565798*SQRT(1+(B38^$B$5)*$J$59*(B38^$B$5)+(B38^$B$5)*$K$59*(D38*LN(B38))+(D38*LN(B38))*$J$60*(B38^$B$5)+(D38*LN(B38))*$K$60*(D38*LN(B38))))</x:f>
        <x:v>163.77927334477303</x:v>
      </x:c>
      <x:c r="F38" s="7" t="n">
        <x:f>IF($A38="","",D38-1.9602400929689823*E38)</x:f>
        <x:v>-167.31168316850756</x:v>
      </x:c>
      <x:c r="G38" s="7" t="n">
        <x:f>IF($A38="","",D38+1.9602400929689823*E38)</x:f>
        <x:v>474.78171284699295</x:v>
      </x:c>
      <x:c r="H38" s="7" t="n">
        <x:f>IF($A38="","",163.7170006565798*SQRT((B38^$B$5)*$J$59*(B38^$B$5)+(B38^$B$5)*$K$59*(D38*LN(B38))+(D38*LN(B38))*$J$60*(B38^$B$5)+(D38*LN(B38))*$K$60*(D38*LN(B38))))</x:f>
        <x:v>4.515979778003354</x:v>
      </x:c>
      <x:c r="I38" s="3"/>
      <x:c r="J38" s="9" t="n">
        <x:v>46224</x:v>
      </x:c>
      <x:c r="K38" s="7" t="n">
        <x:v>303</x:v>
      </x:c>
      <x:c r="L38" s="7" t="n">
        <x:f>$E$4*((J38-37257+1)/1000)^$E$5</x:f>
        <x:v>151.055623137447</x:v>
      </x:c>
      <x:c r="M38" s="7" t="n">
        <x:f>K38-L38</x:f>
        <x:v>151.944376862553</x:v>
      </x:c>
      <x:c r="N38" s="7" t="n">
        <x:f>ABS(M38)</x:f>
        <x:v>151.944376862553</x:v>
      </x:c>
      <x:c r="O38" s="3"/>
      <x:c r="P38" s="3"/>
      <x:c r="Q38" s="3"/>
    </x:row>
    <x:row r="39" ht="15" customHeight="1">
      <x:c r="A39" s="9" t="n">
        <x:f>IF(29&lt;='Сводка'!$B$3,'Сводка'!$B$4+29,"")</x:f>
        <x:v>46264</x:v>
      </x:c>
      <x:c r="B39" s="18" t="n">
        <x:f>IF($A39="","",(A39-37257+1)/1000)</x:f>
        <x:v>9.008</x:v>
      </x:c>
      <x:c r="C39" s="18" t="n">
        <x:f>IF($A39="","",2*(A39-37257)/8978-1)</x:f>
        <x:v>1.006460236132769</x:v>
      </x:c>
      <x:c r="D39" s="7" t="n">
        <x:f>IF($A39="","",$B$4*B39^$B$5)</x:f>
        <x:v>153.75273662452005</x:v>
      </x:c>
      <x:c r="E39" s="7" t="n">
        <x:f>IF($A39="","",163.7170006565798*SQRT(1+(B39^$B$5)*$J$59*(B39^$B$5)+(B39^$B$5)*$K$59*(D39*LN(B39))+(D39*LN(B39))*$J$60*(B39^$B$5)+(D39*LN(B39))*$K$60*(D39*LN(B39))))</x:f>
        <x:v>163.77930849288023</x:v>
      </x:c>
      <x:c r="F39" s="7" t="n">
        <x:f>IF($A39="","",D39-1.9602400929689823*E39)</x:f>
        <x:v>-167.2940302819591</x:v>
      </x:c>
      <x:c r="G39" s="7" t="n">
        <x:f>IF($A39="","",D39+1.9602400929689823*E39)</x:f>
        <x:v>474.79950353099923</x:v>
      </x:c>
      <x:c r="H39" s="7" t="n">
        <x:f>IF($A39="","",163.7170006565798*SQRT((B39^$B$5)*$J$59*(B39^$B$5)+(B39^$B$5)*$K$59*(D39*LN(B39))+(D39*LN(B39))*$J$60*(B39^$B$5)+(D39*LN(B39))*$K$60*(D39*LN(B39))))</x:f>
        <x:v>4.517254300953499</x:v>
      </x:c>
      <x:c r="I39" s="3"/>
      <x:c r="J39" s="9" t="n">
        <x:v>46225</x:v>
      </x:c>
      <x:c r="K39" s="7" t="n">
        <x:v>311</x:v>
      </x:c>
      <x:c r="L39" s="7" t="n">
        <x:f>$E$4*((J39-37257+1)/1000)^$E$5</x:f>
        <x:v>151.07284758335655</x:v>
      </x:c>
      <x:c r="M39" s="7" t="n">
        <x:f>K39-L39</x:f>
        <x:v>159.92715241664345</x:v>
      </x:c>
      <x:c r="N39" s="7" t="n">
        <x:f>ABS(M39)</x:f>
        <x:v>159.92715241664345</x:v>
      </x:c>
      <x:c r="O39" s="3"/>
      <x:c r="P39" s="3"/>
      <x:c r="Q39" s="3"/>
    </x:row>
    <x:row r="40" ht="15" customHeight="1">
      <x:c r="A40" s="9" t="n">
        <x:f>IF(30&lt;='Сводка'!$B$3,'Сводка'!$B$4+30,"")</x:f>
        <x:v>46265</x:v>
      </x:c>
      <x:c r="B40" s="18" t="n">
        <x:f>IF($A40="","",(A40-37257+1)/1000)</x:f>
        <x:v>9.009</x:v>
      </x:c>
      <x:c r="C40" s="18" t="n">
        <x:f>IF($A40="","",2*(A40-37257)/8978-1)</x:f>
        <x:v>1.0066830028959681</x:v>
      </x:c>
      <x:c r="D40" s="7" t="n">
        <x:f>IF($A40="","",$B$4*B40^$B$5)</x:f>
        <x:v>153.77045848510463</x:v>
      </x:c>
      <x:c r="E40" s="7" t="n">
        <x:f>IF($A40="","",163.7170006565798*SQRT(1+(B40^$B$5)*$J$59*(B40^$B$5)+(B40^$B$5)*$K$59*(D40*LN(B40))+(D40*LN(B40))*$J$60*(B40^$B$5)+(D40*LN(B40))*$K$60*(D40*LN(B40))))</x:f>
        <x:v>163.77934365676745</x:v>
      </x:c>
      <x:c r="F40" s="7" t="n">
        <x:f>IF($A40="","",D40-1.9602400929689823*E40)</x:f>
        <x:v>-167.27637735103607</x:v>
      </x:c>
      <x:c r="G40" s="7" t="n">
        <x:f>IF($A40="","",D40+1.9602400929689823*E40)</x:f>
        <x:v>474.8172943212453</x:v>
      </x:c>
      <x:c r="H40" s="7" t="n">
        <x:f>IF($A40="","",163.7170006565798*SQRT((B40^$B$5)*$J$59*(B40^$B$5)+(B40^$B$5)*$K$59*(D40*LN(B40))+(D40*LN(B40))*$J$60*(B40^$B$5)+(D40*LN(B40))*$K$60*(D40*LN(B40))))</x:f>
        <x:v>4.518529036641984</x:v>
      </x:c>
      <x:c r="I40" s="3"/>
      <x:c r="J40" s="9" t="n">
        <x:v>46226</x:v>
      </x:c>
      <x:c r="K40" s="7" t="n">
        <x:v>328</x:v>
      </x:c>
      <x:c r="L40" s="7" t="n">
        <x:f>$E$4*((J40-37257+1)/1000)^$E$5</x:f>
        <x:v>151.09007207265745</x:v>
      </x:c>
      <x:c r="M40" s="7" t="n">
        <x:f>K40-L40</x:f>
        <x:v>176.90992792734255</x:v>
      </x:c>
      <x:c r="N40" s="7" t="n">
        <x:f>ABS(M40)</x:f>
        <x:v>176.90992792734255</x:v>
      </x:c>
      <x:c r="O40" s="3"/>
      <x:c r="P40" s="3"/>
      <x:c r="Q40" s="3"/>
    </x:row>
    <x:row r="41" ht="15" customHeight="1">
      <x:c r="A41" s="5" t="str">
        <x:f>IF(31&lt;='Сводка'!$B$3,'Сводка'!$B$4+31,"")</x:f>
      </x:c>
      <x:c r="B41" s="19" t="str">
        <x:f>IF($A41="","",(A41-37257+1)/1000)</x:f>
      </x:c>
      <x:c r="C41" s="19" t="str">
        <x:f>IF($A41="","",2*(A41-37257)/8978-1)</x:f>
      </x:c>
      <x:c r="D41" s="3" t="str">
        <x:f>IF($A41="","",$B$4*B41^$B$5)</x:f>
      </x:c>
      <x:c r="E41" s="3" t="str">
        <x:f>IF($A41="","",163.7170006565798*SQRT(1+(B41^$B$5)*$J$59*(B41^$B$5)+(B41^$B$5)*$K$59*(D41*LN(B41))+(D41*LN(B41))*$J$60*(B41^$B$5)+(D41*LN(B41))*$K$60*(D41*LN(B41))))</x:f>
      </x:c>
      <x:c r="F41" s="3" t="str">
        <x:f>IF($A41="","",D41-1.9602400929689823*E41)</x:f>
      </x:c>
      <x:c r="G41" s="3" t="str">
        <x:f>IF($A41="","",D41+1.9602400929689823*E41)</x:f>
      </x:c>
      <x:c r="H41" s="3" t="str">
        <x:f>IF($A41="","",163.7170006565798*SQRT((B41^$B$5)*$J$59*(B41^$B$5)+(B41^$B$5)*$K$59*(D41*LN(B41))+(D41*LN(B41))*$J$60*(B41^$B$5)+(D41*LN(B41))*$K$60*(D41*LN(B41))))</x:f>
      </x:c>
      <x:c r="I41" s="3"/>
      <x:c r="J41" s="9" t="n">
        <x:v>46227</x:v>
      </x:c>
      <x:c r="K41" s="7" t="n">
        <x:v>340</x:v>
      </x:c>
      <x:c r="L41" s="7" t="n">
        <x:f>$E$4*((J41-37257+1)/1000)^$E$5</x:f>
        <x:v>151.1072966053449</x:v>
      </x:c>
      <x:c r="M41" s="7" t="n">
        <x:f>K41-L41</x:f>
        <x:v>188.8927033946551</x:v>
      </x:c>
      <x:c r="N41" s="7" t="n">
        <x:f>ABS(M41)</x:f>
        <x:v>188.8927033946551</x:v>
      </x:c>
      <x:c r="O41" s="3"/>
      <x:c r="P41" s="3"/>
      <x:c r="Q41" s="3"/>
    </x:row>
    <x:row r="42" ht="15" customHeight="1">
      <x:c r="A42" s="5" t="str">
        <x:f>IF(32&lt;='Сводка'!$B$3,'Сводка'!$B$4+32,"")</x:f>
      </x:c>
      <x:c r="B42" s="19" t="str">
        <x:f>IF($A42="","",(A42-37257+1)/1000)</x:f>
      </x:c>
      <x:c r="C42" s="19" t="str">
        <x:f>IF($A42="","",2*(A42-37257)/8978-1)</x:f>
      </x:c>
      <x:c r="D42" s="3" t="str">
        <x:f>IF($A42="","",$B$4*B42^$B$5)</x:f>
      </x:c>
      <x:c r="E42" s="3" t="str">
        <x:f>IF($A42="","",163.7170006565798*SQRT(1+(B42^$B$5)*$J$59*(B42^$B$5)+(B42^$B$5)*$K$59*(D42*LN(B42))+(D42*LN(B42))*$J$60*(B42^$B$5)+(D42*LN(B42))*$K$60*(D42*LN(B42))))</x:f>
      </x:c>
      <x:c r="F42" s="3" t="str">
        <x:f>IF($A42="","",D42-1.9602400929689823*E42)</x:f>
      </x:c>
      <x:c r="G42" s="3" t="str">
        <x:f>IF($A42="","",D42+1.9602400929689823*E42)</x:f>
      </x:c>
      <x:c r="H42" s="3" t="str">
        <x:f>IF($A42="","",163.7170006565798*SQRT((B42^$B$5)*$J$59*(B42^$B$5)+(B42^$B$5)*$K$59*(D42*LN(B42))+(D42*LN(B42))*$J$60*(B42^$B$5)+(D42*LN(B42))*$K$60*(D42*LN(B42))))</x:f>
      </x:c>
      <x:c r="I42" s="3"/>
      <x:c r="J42" s="9" t="n">
        <x:v>46228</x:v>
      </x:c>
      <x:c r="K42" s="7" t="n">
        <x:v>350</x:v>
      </x:c>
      <x:c r="L42" s="7" t="n">
        <x:f>$E$4*((J42-37257+1)/1000)^$E$5</x:f>
        <x:v>151.12452118141425</x:v>
      </x:c>
      <x:c r="M42" s="7" t="n">
        <x:f>K42-L42</x:f>
        <x:v>198.87547881858575</x:v>
      </x:c>
      <x:c r="N42" s="7" t="n">
        <x:f>ABS(M42)</x:f>
        <x:v>198.87547881858575</x:v>
      </x:c>
      <x:c r="O42" s="3"/>
      <x:c r="P42" s="3"/>
      <x:c r="Q42" s="3"/>
    </x:row>
    <x:row r="43" ht="15" customHeight="1">
      <x:c r="A43" s="5" t="str">
        <x:f>IF(33&lt;='Сводка'!$B$3,'Сводка'!$B$4+33,"")</x:f>
      </x:c>
      <x:c r="B43" s="19" t="str">
        <x:f>IF($A43="","",(A43-37257+1)/1000)</x:f>
      </x:c>
      <x:c r="C43" s="19" t="str">
        <x:f>IF($A43="","",2*(A43-37257)/8978-1)</x:f>
      </x:c>
      <x:c r="D43" s="3" t="str">
        <x:f>IF($A43="","",$B$4*B43^$B$5)</x:f>
      </x:c>
      <x:c r="E43" s="3" t="str">
        <x:f>IF($A43="","",163.7170006565798*SQRT(1+(B43^$B$5)*$J$59*(B43^$B$5)+(B43^$B$5)*$K$59*(D43*LN(B43))+(D43*LN(B43))*$J$60*(B43^$B$5)+(D43*LN(B43))*$K$60*(D43*LN(B43))))</x:f>
      </x:c>
      <x:c r="F43" s="3" t="str">
        <x:f>IF($A43="","",D43-1.9602400929689823*E43)</x:f>
      </x:c>
      <x:c r="G43" s="3" t="str">
        <x:f>IF($A43="","",D43+1.9602400929689823*E43)</x:f>
      </x:c>
      <x:c r="H43" s="3" t="str">
        <x:f>IF($A43="","",163.7170006565798*SQRT((B43^$B$5)*$J$59*(B43^$B$5)+(B43^$B$5)*$K$59*(D43*LN(B43))+(D43*LN(B43))*$J$60*(B43^$B$5)+(D43*LN(B43))*$K$60*(D43*LN(B43))))</x:f>
      </x:c>
      <x:c r="I43" s="3"/>
      <x:c r="J43" s="9" t="n">
        <x:v>46229</x:v>
      </x:c>
      <x:c r="K43" s="7" t="n">
        <x:v>361</x:v>
      </x:c>
      <x:c r="L43" s="7" t="n">
        <x:f>$E$4*((J43-37257+1)/1000)^$E$5</x:f>
        <x:v>151.14174580086075</x:v>
      </x:c>
      <x:c r="M43" s="7" t="n">
        <x:f>K43-L43</x:f>
        <x:v>209.85825419913925</x:v>
      </x:c>
      <x:c r="N43" s="7" t="n">
        <x:f>ABS(M43)</x:f>
        <x:v>209.85825419913925</x:v>
      </x:c>
      <x:c r="O43" s="3"/>
      <x:c r="P43" s="3"/>
      <x:c r="Q43" s="3"/>
    </x:row>
    <x:row r="44" ht="15" customHeight="1">
      <x:c r="A44" s="5" t="str">
        <x:f>IF(34&lt;='Сводка'!$B$3,'Сводка'!$B$4+34,"")</x:f>
      </x:c>
      <x:c r="B44" s="19" t="str">
        <x:f>IF($A44="","",(A44-37257+1)/1000)</x:f>
      </x:c>
      <x:c r="C44" s="19" t="str">
        <x:f>IF($A44="","",2*(A44-37257)/8978-1)</x:f>
      </x:c>
      <x:c r="D44" s="3" t="str">
        <x:f>IF($A44="","",$B$4*B44^$B$5)</x:f>
      </x:c>
      <x:c r="E44" s="3" t="str">
        <x:f>IF($A44="","",163.7170006565798*SQRT(1+(B44^$B$5)*$J$59*(B44^$B$5)+(B44^$B$5)*$K$59*(D44*LN(B44))+(D44*LN(B44))*$J$60*(B44^$B$5)+(D44*LN(B44))*$K$60*(D44*LN(B44))))</x:f>
      </x:c>
      <x:c r="F44" s="3" t="str">
        <x:f>IF($A44="","",D44-1.9602400929689823*E44)</x:f>
      </x:c>
      <x:c r="G44" s="3" t="str">
        <x:f>IF($A44="","",D44+1.9602400929689823*E44)</x:f>
      </x:c>
      <x:c r="H44" s="3" t="str">
        <x:f>IF($A44="","",163.7170006565798*SQRT((B44^$B$5)*$J$59*(B44^$B$5)+(B44^$B$5)*$K$59*(D44*LN(B44))+(D44*LN(B44))*$J$60*(B44^$B$5)+(D44*LN(B44))*$K$60*(D44*LN(B44))))</x:f>
      </x:c>
      <x:c r="I44" s="3"/>
      <x:c r="J44" s="9" t="n">
        <x:v>46230</x:v>
      </x:c>
      <x:c r="K44" s="7" t="n">
        <x:v>369</x:v>
      </x:c>
      <x:c r="L44" s="7" t="n">
        <x:f>$E$4*((J44-37257+1)/1000)^$E$5</x:f>
        <x:v>151.15897046367962</x:v>
      </x:c>
      <x:c r="M44" s="7" t="n">
        <x:f>K44-L44</x:f>
        <x:v>217.84102953632038</x:v>
      </x:c>
      <x:c r="N44" s="7" t="n">
        <x:f>ABS(M44)</x:f>
        <x:v>217.84102953632038</x:v>
      </x:c>
      <x:c r="O44" s="3"/>
      <x:c r="P44" s="3"/>
      <x:c r="Q44" s="3"/>
    </x:row>
    <x:row r="45" ht="15" customHeight="1">
      <x:c r="A45" s="5" t="str">
        <x:f>IF(35&lt;='Сводка'!$B$3,'Сводка'!$B$4+35,"")</x:f>
      </x:c>
      <x:c r="B45" s="19" t="str">
        <x:f>IF($A45="","",(A45-37257+1)/1000)</x:f>
      </x:c>
      <x:c r="C45" s="19" t="str">
        <x:f>IF($A45="","",2*(A45-37257)/8978-1)</x:f>
      </x:c>
      <x:c r="D45" s="3" t="str">
        <x:f>IF($A45="","",$B$4*B45^$B$5)</x:f>
      </x:c>
      <x:c r="E45" s="3" t="str">
        <x:f>IF($A45="","",163.7170006565798*SQRT(1+(B45^$B$5)*$J$59*(B45^$B$5)+(B45^$B$5)*$K$59*(D45*LN(B45))+(D45*LN(B45))*$J$60*(B45^$B$5)+(D45*LN(B45))*$K$60*(D45*LN(B45))))</x:f>
      </x:c>
      <x:c r="F45" s="3" t="str">
        <x:f>IF($A45="","",D45-1.9602400929689823*E45)</x:f>
      </x:c>
      <x:c r="G45" s="3" t="str">
        <x:f>IF($A45="","",D45+1.9602400929689823*E45)</x:f>
      </x:c>
      <x:c r="H45" s="3" t="str">
        <x:f>IF($A45="","",163.7170006565798*SQRT((B45^$B$5)*$J$59*(B45^$B$5)+(B45^$B$5)*$K$59*(D45*LN(B45))+(D45*LN(B45))*$J$60*(B45^$B$5)+(D45*LN(B45))*$K$60*(D45*LN(B45))))</x:f>
      </x:c>
      <x:c r="I45" s="3"/>
      <x:c r="J45" s="9" t="n">
        <x:v>46231</x:v>
      </x:c>
      <x:c r="K45" s="7" t="n">
        <x:v>377</x:v>
      </x:c>
      <x:c r="L45" s="7" t="n">
        <x:f>$E$4*((J45-37257+1)/1000)^$E$5</x:f>
        <x:v>151.17619516986622</x:v>
      </x:c>
      <x:c r="M45" s="7" t="n">
        <x:f>K45-L45</x:f>
        <x:v>225.82380483013378</x:v>
      </x:c>
      <x:c r="N45" s="7" t="n">
        <x:f>ABS(M45)</x:f>
        <x:v>225.82380483013378</x:v>
      </x:c>
      <x:c r="O45" s="3"/>
      <x:c r="P45" s="3"/>
      <x:c r="Q45" s="3"/>
    </x:row>
    <x:row r="46" ht="15" customHeight="1">
      <x:c r="A46" s="5" t="str">
        <x:f>IF(36&lt;='Сводка'!$B$3,'Сводка'!$B$4+36,"")</x:f>
      </x:c>
      <x:c r="B46" s="19" t="str">
        <x:f>IF($A46="","",(A46-37257+1)/1000)</x:f>
      </x:c>
      <x:c r="C46" s="19" t="str">
        <x:f>IF($A46="","",2*(A46-37257)/8978-1)</x:f>
      </x:c>
      <x:c r="D46" s="3" t="str">
        <x:f>IF($A46="","",$B$4*B46^$B$5)</x:f>
      </x:c>
      <x:c r="E46" s="3" t="str">
        <x:f>IF($A46="","",163.7170006565798*SQRT(1+(B46^$B$5)*$J$59*(B46^$B$5)+(B46^$B$5)*$K$59*(D46*LN(B46))+(D46*LN(B46))*$J$60*(B46^$B$5)+(D46*LN(B46))*$K$60*(D46*LN(B46))))</x:f>
      </x:c>
      <x:c r="F46" s="3" t="str">
        <x:f>IF($A46="","",D46-1.9602400929689823*E46)</x:f>
      </x:c>
      <x:c r="G46" s="3" t="str">
        <x:f>IF($A46="","",D46+1.9602400929689823*E46)</x:f>
      </x:c>
      <x:c r="H46" s="3" t="str">
        <x:f>IF($A46="","",163.7170006565798*SQRT((B46^$B$5)*$J$59*(B46^$B$5)+(B46^$B$5)*$K$59*(D46*LN(B46))+(D46*LN(B46))*$J$60*(B46^$B$5)+(D46*LN(B46))*$K$60*(D46*LN(B46))))</x:f>
      </x:c>
      <x:c r="I46" s="3"/>
      <x:c r="J46" s="9" t="n">
        <x:v>46232</x:v>
      </x:c>
      <x:c r="K46" s="7" t="n">
        <x:v>385</x:v>
      </x:c>
      <x:c r="L46" s="7" t="n">
        <x:f>$E$4*((J46-37257+1)/1000)^$E$5</x:f>
        <x:v>151.1934199194158</x:v>
      </x:c>
      <x:c r="M46" s="7" t="n">
        <x:f>K46-L46</x:f>
        <x:v>233.8065800805842</x:v>
      </x:c>
      <x:c r="N46" s="7" t="n">
        <x:f>ABS(M46)</x:f>
        <x:v>233.8065800805842</x:v>
      </x:c>
      <x:c r="O46" s="3"/>
      <x:c r="P46" s="3"/>
      <x:c r="Q46" s="3"/>
    </x:row>
    <x:row r="47" ht="15" customHeight="1">
      <x:c r="A47" s="5" t="str">
        <x:f>IF(37&lt;='Сводка'!$B$3,'Сводка'!$B$4+37,"")</x:f>
      </x:c>
      <x:c r="B47" s="19" t="str">
        <x:f>IF($A47="","",(A47-37257+1)/1000)</x:f>
      </x:c>
      <x:c r="C47" s="19" t="str">
        <x:f>IF($A47="","",2*(A47-37257)/8978-1)</x:f>
      </x:c>
      <x:c r="D47" s="3" t="str">
        <x:f>IF($A47="","",$B$4*B47^$B$5)</x:f>
      </x:c>
      <x:c r="E47" s="3" t="str">
        <x:f>IF($A47="","",163.7170006565798*SQRT(1+(B47^$B$5)*$J$59*(B47^$B$5)+(B47^$B$5)*$K$59*(D47*LN(B47))+(D47*LN(B47))*$J$60*(B47^$B$5)+(D47*LN(B47))*$K$60*(D47*LN(B47))))</x:f>
      </x:c>
      <x:c r="F47" s="3" t="str">
        <x:f>IF($A47="","",D47-1.9602400929689823*E47)</x:f>
      </x:c>
      <x:c r="G47" s="3" t="str">
        <x:f>IF($A47="","",D47+1.9602400929689823*E47)</x:f>
      </x:c>
      <x:c r="H47" s="3" t="str">
        <x:f>IF($A47="","",163.7170006565798*SQRT((B47^$B$5)*$J$59*(B47^$B$5)+(B47^$B$5)*$K$59*(D47*LN(B47))+(D47*LN(B47))*$J$60*(B47^$B$5)+(D47*LN(B47))*$K$60*(D47*LN(B47))))</x:f>
      </x:c>
      <x:c r="I47" s="3"/>
      <x:c r="J47" s="9" t="n">
        <x:v>46233</x:v>
      </x:c>
      <x:c r="K47" s="7" t="n">
        <x:v>389</x:v>
      </x:c>
      <x:c r="L47" s="7" t="n">
        <x:f>$E$4*((J47-37257+1)/1000)^$E$5</x:f>
        <x:v>151.21064471232356</x:v>
      </x:c>
      <x:c r="M47" s="7" t="n">
        <x:f>K47-L47</x:f>
        <x:v>237.78935528767644</x:v>
      </x:c>
      <x:c r="N47" s="7" t="n">
        <x:f>ABS(M47)</x:f>
        <x:v>237.78935528767644</x:v>
      </x:c>
      <x:c r="O47" s="3"/>
      <x:c r="P47" s="3"/>
      <x:c r="Q47" s="3"/>
    </x:row>
    <x:row r="48" ht="15" customHeight="1">
      <x:c r="A48" s="5" t="str">
        <x:f>IF(38&lt;='Сводка'!$B$3,'Сводка'!$B$4+38,"")</x:f>
      </x:c>
      <x:c r="B48" s="19" t="str">
        <x:f>IF($A48="","",(A48-37257+1)/1000)</x:f>
      </x:c>
      <x:c r="C48" s="19" t="str">
        <x:f>IF($A48="","",2*(A48-37257)/8978-1)</x:f>
      </x:c>
      <x:c r="D48" s="3" t="str">
        <x:f>IF($A48="","",$B$4*B48^$B$5)</x:f>
      </x:c>
      <x:c r="E48" s="3" t="str">
        <x:f>IF($A48="","",163.7170006565798*SQRT(1+(B48^$B$5)*$J$59*(B48^$B$5)+(B48^$B$5)*$K$59*(D48*LN(B48))+(D48*LN(B48))*$J$60*(B48^$B$5)+(D48*LN(B48))*$K$60*(D48*LN(B48))))</x:f>
      </x:c>
      <x:c r="F48" s="3" t="str">
        <x:f>IF($A48="","",D48-1.9602400929689823*E48)</x:f>
      </x:c>
      <x:c r="G48" s="3" t="str">
        <x:f>IF($A48="","",D48+1.9602400929689823*E48)</x:f>
      </x:c>
      <x:c r="H48" s="3" t="str">
        <x:f>IF($A48="","",163.7170006565798*SQRT((B48^$B$5)*$J$59*(B48^$B$5)+(B48^$B$5)*$K$59*(D48*LN(B48))+(D48*LN(B48))*$J$60*(B48^$B$5)+(D48*LN(B48))*$K$60*(D48*LN(B48))))</x:f>
      </x:c>
      <x:c r="I48" s="3"/>
      <x:c r="J48" s="9" t="n">
        <x:v>46234</x:v>
      </x:c>
      <x:c r="K48" s="7" t="n">
        <x:v>399</x:v>
      </x:c>
      <x:c r="L48" s="7" t="n">
        <x:f>$E$4*((J48-37257+1)/1000)^$E$5</x:f>
        <x:v>151.22786954858486</x:v>
      </x:c>
      <x:c r="M48" s="7" t="n">
        <x:f>K48-L48</x:f>
        <x:v>247.77213045141514</x:v>
      </x:c>
      <x:c r="N48" s="7" t="n">
        <x:f>ABS(M48)</x:f>
        <x:v>247.77213045141514</x:v>
      </x:c>
      <x:c r="O48" s="3"/>
      <x:c r="P48" s="3"/>
      <x:c r="Q48" s="3"/>
    </x:row>
    <x:row r="49" ht="15" customHeight="1">
      <x:c r="A49" s="5" t="str">
        <x:f>IF(39&lt;='Сводка'!$B$3,'Сводка'!$B$4+39,"")</x:f>
      </x:c>
      <x:c r="B49" s="19" t="str">
        <x:f>IF($A49="","",(A49-37257+1)/1000)</x:f>
      </x:c>
      <x:c r="C49" s="19" t="str">
        <x:f>IF($A49="","",2*(A49-37257)/8978-1)</x:f>
      </x:c>
      <x:c r="D49" s="3" t="str">
        <x:f>IF($A49="","",$B$4*B49^$B$5)</x:f>
      </x:c>
      <x:c r="E49" s="3" t="str">
        <x:f>IF($A49="","",163.7170006565798*SQRT(1+(B49^$B$5)*$J$59*(B49^$B$5)+(B49^$B$5)*$K$59*(D49*LN(B49))+(D49*LN(B49))*$J$60*(B49^$B$5)+(D49*LN(B49))*$K$60*(D49*LN(B49))))</x:f>
      </x:c>
      <x:c r="F49" s="3" t="str">
        <x:f>IF($A49="","",D49-1.9602400929689823*E49)</x:f>
      </x:c>
      <x:c r="G49" s="3" t="str">
        <x:f>IF($A49="","",D49+1.9602400929689823*E49)</x:f>
      </x:c>
      <x:c r="H49" s="3" t="str">
        <x:f>IF($A49="","",163.7170006565798*SQRT((B49^$B$5)*$J$59*(B49^$B$5)+(B49^$B$5)*$K$59*(D49*LN(B49))+(D49*LN(B49))*$J$60*(B49^$B$5)+(D49*LN(B49))*$K$60*(D49*LN(B49))))</x:f>
      </x:c>
      <x:c r="I49" s="3"/>
      <x:c r="J49" s="9" t="n">
        <x:v>46235</x:v>
      </x:c>
      <x:c r="K49" s="7" t="n">
        <x:v>405</x:v>
      </x:c>
      <x:c r="L49" s="7" t="n">
        <x:f>$E$4*((J49-37257+1)/1000)^$E$5</x:f>
        <x:v>151.245094428195</x:v>
      </x:c>
      <x:c r="M49" s="7" t="n">
        <x:f>K49-L49</x:f>
        <x:v>253.754905571805</x:v>
      </x:c>
      <x:c r="N49" s="7" t="n">
        <x:f>ABS(M49)</x:f>
        <x:v>253.754905571805</x:v>
      </x:c>
      <x:c r="O49" s="3"/>
      <x:c r="P49" s="3"/>
      <x:c r="Q49" s="3"/>
    </x:row>
    <x:row r="50" ht="15" customHeight="1">
      <x:c r="A50" s="5" t="str">
        <x:f>IF(40&lt;='Сводка'!$B$3,'Сводка'!$B$4+40,"")</x:f>
      </x:c>
      <x:c r="B50" s="19" t="str">
        <x:f>IF($A50="","",(A50-37257+1)/1000)</x:f>
      </x:c>
      <x:c r="C50" s="19" t="str">
        <x:f>IF($A50="","",2*(A50-37257)/8978-1)</x:f>
      </x:c>
      <x:c r="D50" s="3" t="str">
        <x:f>IF($A50="","",$B$4*B50^$B$5)</x:f>
      </x:c>
      <x:c r="E50" s="3" t="str">
        <x:f>IF($A50="","",163.7170006565798*SQRT(1+(B50^$B$5)*$J$59*(B50^$B$5)+(B50^$B$5)*$K$59*(D50*LN(B50))+(D50*LN(B50))*$J$60*(B50^$B$5)+(D50*LN(B50))*$K$60*(D50*LN(B50))))</x:f>
      </x:c>
      <x:c r="F50" s="3" t="str">
        <x:f>IF($A50="","",D50-1.9602400929689823*E50)</x:f>
      </x:c>
      <x:c r="G50" s="3" t="str">
        <x:f>IF($A50="","",D50+1.9602400929689823*E50)</x:f>
      </x:c>
      <x:c r="H50" s="3" t="str">
        <x:f>IF($A50="","",163.7170006565798*SQRT((B50^$B$5)*$J$59*(B50^$B$5)+(B50^$B$5)*$K$59*(D50*LN(B50))+(D50*LN(B50))*$J$60*(B50^$B$5)+(D50*LN(B50))*$K$60*(D50*LN(B50))))</x:f>
      </x:c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customHeight="1">
      <x:c r="A51" s="5" t="str">
        <x:f>IF(41&lt;='Сводка'!$B$3,'Сводка'!$B$4+41,"")</x:f>
      </x:c>
      <x:c r="B51" s="19" t="str">
        <x:f>IF($A51="","",(A51-37257+1)/1000)</x:f>
      </x:c>
      <x:c r="C51" s="19" t="str">
        <x:f>IF($A51="","",2*(A51-37257)/8978-1)</x:f>
      </x:c>
      <x:c r="D51" s="3" t="str">
        <x:f>IF($A51="","",$B$4*B51^$B$5)</x:f>
      </x:c>
      <x:c r="E51" s="3" t="str">
        <x:f>IF($A51="","",163.7170006565798*SQRT(1+(B51^$B$5)*$J$59*(B51^$B$5)+(B51^$B$5)*$K$59*(D51*LN(B51))+(D51*LN(B51))*$J$60*(B51^$B$5)+(D51*LN(B51))*$K$60*(D51*LN(B51))))</x:f>
      </x:c>
      <x:c r="F51" s="3" t="str">
        <x:f>IF($A51="","",D51-1.9602400929689823*E51)</x:f>
      </x:c>
      <x:c r="G51" s="3" t="str">
        <x:f>IF($A51="","",D51+1.9602400929689823*E51)</x:f>
      </x:c>
      <x:c r="H51" s="3" t="str">
        <x:f>IF($A51="","",163.7170006565798*SQRT((B51^$B$5)*$J$59*(B51^$B$5)+(B51^$B$5)*$K$59*(D51*LN(B51))+(D51*LN(B51))*$J$60*(B51^$B$5)+(D51*LN(B51))*$K$60*(D51*LN(B51))))</x:f>
      </x:c>
      <x:c r="I51" s="3"/>
      <x:c r="J51" s="3" t="str">
        <x:v>JᵀJ</x:v>
      </x:c>
      <x:c r="K51" s="3"/>
      <x:c r="L51" s="3"/>
      <x:c r="M51" s="3"/>
      <x:c r="N51" s="3"/>
      <x:c r="O51" s="3"/>
      <x:c r="P51" s="3"/>
      <x:c r="Q51" s="3"/>
    </x:row>
    <x:row r="52" ht="15" customHeight="1">
      <x:c r="A52" s="5" t="str">
        <x:f>IF(42&lt;='Сводка'!$B$3,'Сводка'!$B$4+42,"")</x:f>
      </x:c>
      <x:c r="B52" s="19" t="str">
        <x:f>IF($A52="","",(A52-37257+1)/1000)</x:f>
      </x:c>
      <x:c r="C52" s="19" t="str">
        <x:f>IF($A52="","",2*(A52-37257)/8978-1)</x:f>
      </x:c>
      <x:c r="D52" s="3" t="str">
        <x:f>IF($A52="","",$B$4*B52^$B$5)</x:f>
      </x:c>
      <x:c r="E52" s="3" t="str">
        <x:f>IF($A52="","",163.7170006565798*SQRT(1+(B52^$B$5)*$J$59*(B52^$B$5)+(B52^$B$5)*$K$59*(D52*LN(B52))+(D52*LN(B52))*$J$60*(B52^$B$5)+(D52*LN(B52))*$K$60*(D52*LN(B52))))</x:f>
      </x:c>
      <x:c r="F52" s="3" t="str">
        <x:f>IF($A52="","",D52-1.9602400929689823*E52)</x:f>
      </x:c>
      <x:c r="G52" s="3" t="str">
        <x:f>IF($A52="","",D52+1.9602400929689823*E52)</x:f>
      </x:c>
      <x:c r="H52" s="3" t="str">
        <x:f>IF($A52="","",163.7170006565798*SQRT((B52^$B$5)*$J$59*(B52^$B$5)+(B52^$B$5)*$K$59*(D52*LN(B52))+(D52*LN(B52))*$J$60*(B52^$B$5)+(D52*LN(B52))*$K$60*(D52*LN(B52))))</x:f>
      </x:c>
      <x:c r="I52" s="3"/>
      <x:c r="J52" s="7" t="n">
        <x:v>257916.69024345593</x:v>
      </x:c>
      <x:c r="K52" s="7" t="n">
        <x:v>7520246.9592428645</x:v>
      </x:c>
      <x:c r="L52" s="3"/>
      <x:c r="M52" s="3"/>
      <x:c r="N52" s="3"/>
      <x:c r="O52" s="3"/>
      <x:c r="P52" s="3"/>
      <x:c r="Q52" s="3"/>
    </x:row>
    <x:row r="53" ht="15" customHeight="1">
      <x:c r="A53" s="5" t="str">
        <x:f>IF(43&lt;='Сводка'!$B$3,'Сводка'!$B$4+43,"")</x:f>
      </x:c>
      <x:c r="B53" s="19" t="str">
        <x:f>IF($A53="","",(A53-37257+1)/1000)</x:f>
      </x:c>
      <x:c r="C53" s="19" t="str">
        <x:f>IF($A53="","",2*(A53-37257)/8978-1)</x:f>
      </x:c>
      <x:c r="D53" s="3" t="str">
        <x:f>IF($A53="","",$B$4*B53^$B$5)</x:f>
      </x:c>
      <x:c r="E53" s="3" t="str">
        <x:f>IF($A53="","",163.7170006565798*SQRT(1+(B53^$B$5)*$J$59*(B53^$B$5)+(B53^$B$5)*$K$59*(D53*LN(B53))+(D53*LN(B53))*$J$60*(B53^$B$5)+(D53*LN(B53))*$K$60*(D53*LN(B53))))</x:f>
      </x:c>
      <x:c r="F53" s="3" t="str">
        <x:f>IF($A53="","",D53-1.9602400929689823*E53)</x:f>
      </x:c>
      <x:c r="G53" s="3" t="str">
        <x:f>IF($A53="","",D53+1.9602400929689823*E53)</x:f>
      </x:c>
      <x:c r="H53" s="3" t="str">
        <x:f>IF($A53="","",163.7170006565798*SQRT((B53^$B$5)*$J$59*(B53^$B$5)+(B53^$B$5)*$K$59*(D53*LN(B53))+(D53*LN(B53))*$J$60*(B53^$B$5)+(D53*LN(B53))*$K$60*(D53*LN(B53))))</x:f>
      </x:c>
      <x:c r="I53" s="3"/>
      <x:c r="J53" s="7" t="n">
        <x:v>7520246.9592428645</x:v>
      </x:c>
      <x:c r="K53" s="7" t="n">
        <x:v>226292312.70409566</x:v>
      </x:c>
      <x:c r="L53" s="3"/>
      <x:c r="M53" s="3"/>
      <x:c r="N53" s="3"/>
      <x:c r="O53" s="3"/>
      <x:c r="P53" s="3"/>
      <x:c r="Q53" s="3"/>
    </x:row>
    <x:row r="54" ht="15" customHeight="1">
      <x:c r="A54" s="5" t="str">
        <x:f>IF(44&lt;='Сводка'!$B$3,'Сводка'!$B$4+44,"")</x:f>
      </x:c>
      <x:c r="B54" s="19" t="str">
        <x:f>IF($A54="","",(A54-37257+1)/1000)</x:f>
      </x:c>
      <x:c r="C54" s="19" t="str">
        <x:f>IF($A54="","",2*(A54-37257)/8978-1)</x:f>
      </x:c>
      <x:c r="D54" s="3" t="str">
        <x:f>IF($A54="","",$B$4*B54^$B$5)</x:f>
      </x:c>
      <x:c r="E54" s="3" t="str">
        <x:f>IF($A54="","",163.7170006565798*SQRT(1+(B54^$B$5)*$J$59*(B54^$B$5)+(B54^$B$5)*$K$59*(D54*LN(B54))+(D54*LN(B54))*$J$60*(B54^$B$5)+(D54*LN(B54))*$K$60*(D54*LN(B54))))</x:f>
      </x:c>
      <x:c r="F54" s="3" t="str">
        <x:f>IF($A54="","",D54-1.9602400929689823*E54)</x:f>
      </x:c>
      <x:c r="G54" s="3" t="str">
        <x:f>IF($A54="","",D54+1.9602400929689823*E54)</x:f>
      </x:c>
      <x:c r="H54" s="3" t="str">
        <x:f>IF($A54="","",163.7170006565798*SQRT((B54^$B$5)*$J$59*(B54^$B$5)+(B54^$B$5)*$K$59*(D54*LN(B54))+(D54*LN(B54))*$J$60*(B54^$B$5)+(D54*LN(B54))*$K$60*(D54*LN(B54))))</x:f>
      </x:c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15" customHeight="1">
      <x:c r="A55" s="5" t="str">
        <x:f>IF(45&lt;='Сводка'!$B$3,'Сводка'!$B$4+45,"")</x:f>
      </x:c>
      <x:c r="B55" s="19" t="str">
        <x:f>IF($A55="","",(A55-37257+1)/1000)</x:f>
      </x:c>
      <x:c r="C55" s="19" t="str">
        <x:f>IF($A55="","",2*(A55-37257)/8978-1)</x:f>
      </x:c>
      <x:c r="D55" s="3" t="str">
        <x:f>IF($A55="","",$B$4*B55^$B$5)</x:f>
      </x:c>
      <x:c r="E55" s="3" t="str">
        <x:f>IF($A55="","",163.7170006565798*SQRT(1+(B55^$B$5)*$J$59*(B55^$B$5)+(B55^$B$5)*$K$59*(D55*LN(B55))+(D55*LN(B55))*$J$60*(B55^$B$5)+(D55*LN(B55))*$K$60*(D55*LN(B55))))</x:f>
      </x:c>
      <x:c r="F55" s="3" t="str">
        <x:f>IF($A55="","",D55-1.9602400929689823*E55)</x:f>
      </x:c>
      <x:c r="G55" s="3" t="str">
        <x:f>IF($A55="","",D55+1.9602400929689823*E55)</x:f>
      </x:c>
      <x:c r="H55" s="3" t="str">
        <x:f>IF($A55="","",163.7170006565798*SQRT((B55^$B$5)*$J$59*(B55^$B$5)+(B55^$B$5)*$K$59*(D55*LN(B55))+(D55*LN(B55))*$J$60*(B55^$B$5)+(D55*LN(B55))*$K$60*(D55*LN(B55))))</x:f>
      </x:c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15" customHeight="1">
      <x:c r="A56" s="5" t="str">
        <x:f>IF(46&lt;='Сводка'!$B$3,'Сводка'!$B$4+46,"")</x:f>
      </x:c>
      <x:c r="B56" s="19" t="str">
        <x:f>IF($A56="","",(A56-37257+1)/1000)</x:f>
      </x:c>
      <x:c r="C56" s="19" t="str">
        <x:f>IF($A56="","",2*(A56-37257)/8978-1)</x:f>
      </x:c>
      <x:c r="D56" s="3" t="str">
        <x:f>IF($A56="","",$B$4*B56^$B$5)</x:f>
      </x:c>
      <x:c r="E56" s="3" t="str">
        <x:f>IF($A56="","",163.7170006565798*SQRT(1+(B56^$B$5)*$J$59*(B56^$B$5)+(B56^$B$5)*$K$59*(D56*LN(B56))+(D56*LN(B56))*$J$60*(B56^$B$5)+(D56*LN(B56))*$K$60*(D56*LN(B56))))</x:f>
      </x:c>
      <x:c r="F56" s="3" t="str">
        <x:f>IF($A56="","",D56-1.9602400929689823*E56)</x:f>
      </x:c>
      <x:c r="G56" s="3" t="str">
        <x:f>IF($A56="","",D56+1.9602400929689823*E56)</x:f>
      </x:c>
      <x:c r="H56" s="3" t="str">
        <x:f>IF($A56="","",163.7170006565798*SQRT((B56^$B$5)*$J$59*(B56^$B$5)+(B56^$B$5)*$K$59*(D56*LN(B56))+(D56*LN(B56))*$J$60*(B56^$B$5)+(D56*LN(B56))*$K$60*(D56*LN(B56))))</x:f>
      </x:c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customHeight="1">
      <x:c r="A57" s="5" t="str">
        <x:f>IF(47&lt;='Сводка'!$B$3,'Сводка'!$B$4+47,"")</x:f>
      </x:c>
      <x:c r="B57" s="19" t="str">
        <x:f>IF($A57="","",(A57-37257+1)/1000)</x:f>
      </x:c>
      <x:c r="C57" s="19" t="str">
        <x:f>IF($A57="","",2*(A57-37257)/8978-1)</x:f>
      </x:c>
      <x:c r="D57" s="3" t="str">
        <x:f>IF($A57="","",$B$4*B57^$B$5)</x:f>
      </x:c>
      <x:c r="E57" s="3" t="str">
        <x:f>IF($A57="","",163.7170006565798*SQRT(1+(B57^$B$5)*$J$59*(B57^$B$5)+(B57^$B$5)*$K$59*(D57*LN(B57))+(D57*LN(B57))*$J$60*(B57^$B$5)+(D57*LN(B57))*$K$60*(D57*LN(B57))))</x:f>
      </x:c>
      <x:c r="F57" s="3" t="str">
        <x:f>IF($A57="","",D57-1.9602400929689823*E57)</x:f>
      </x:c>
      <x:c r="G57" s="3" t="str">
        <x:f>IF($A57="","",D57+1.9602400929689823*E57)</x:f>
      </x:c>
      <x:c r="H57" s="3" t="str">
        <x:f>IF($A57="","",163.7170006565798*SQRT((B57^$B$5)*$J$59*(B57^$B$5)+(B57^$B$5)*$K$59*(D57*LN(B57))+(D57*LN(B57))*$J$60*(B57^$B$5)+(D57*LN(B57))*$K$60*(D57*LN(B57))))</x:f>
      </x:c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customHeight="1">
      <x:c r="A58" s="5" t="str">
        <x:f>IF(48&lt;='Сводка'!$B$3,'Сводка'!$B$4+48,"")</x:f>
      </x:c>
      <x:c r="B58" s="19" t="str">
        <x:f>IF($A58="","",(A58-37257+1)/1000)</x:f>
      </x:c>
      <x:c r="C58" s="19" t="str">
        <x:f>IF($A58="","",2*(A58-37257)/8978-1)</x:f>
      </x:c>
      <x:c r="D58" s="3" t="str">
        <x:f>IF($A58="","",$B$4*B58^$B$5)</x:f>
      </x:c>
      <x:c r="E58" s="3" t="str">
        <x:f>IF($A58="","",163.7170006565798*SQRT(1+(B58^$B$5)*$J$59*(B58^$B$5)+(B58^$B$5)*$K$59*(D58*LN(B58))+(D58*LN(B58))*$J$60*(B58^$B$5)+(D58*LN(B58))*$K$60*(D58*LN(B58))))</x:f>
      </x:c>
      <x:c r="F58" s="3" t="str">
        <x:f>IF($A58="","",D58-1.9602400929689823*E58)</x:f>
      </x:c>
      <x:c r="G58" s="3" t="str">
        <x:f>IF($A58="","",D58+1.9602400929689823*E58)</x:f>
      </x:c>
      <x:c r="H58" s="3" t="str">
        <x:f>IF($A58="","",163.7170006565798*SQRT((B58^$B$5)*$J$59*(B58^$B$5)+(B58^$B$5)*$K$59*(D58*LN(B58))+(D58*LN(B58))*$J$60*(B58^$B$5)+(D58*LN(B58))*$K$60*(D58*LN(B58))))</x:f>
      </x:c>
      <x:c r="I58" s="3"/>
      <x:c r="J58" s="3" t="str">
        <x:v>(JᵀJ)⁻¹</x:v>
      </x:c>
      <x:c r="K58" s="3"/>
      <x:c r="L58" s="3"/>
      <x:c r="M58" s="3"/>
      <x:c r="N58" s="3"/>
      <x:c r="O58" s="3" t="str">
        <x:v>det</x:v>
      </x:c>
      <x:c r="P58" s="3"/>
      <x:c r="Q58" s="3"/>
    </x:row>
    <x:row r="59" ht="15" customHeight="1">
      <x:c r="A59" s="5" t="str">
        <x:f>IF(49&lt;='Сводка'!$B$3,'Сводка'!$B$4+49,"")</x:f>
      </x:c>
      <x:c r="B59" s="19" t="str">
        <x:f>IF($A59="","",(A59-37257+1)/1000)</x:f>
      </x:c>
      <x:c r="C59" s="19" t="str">
        <x:f>IF($A59="","",2*(A59-37257)/8978-1)</x:f>
      </x:c>
      <x:c r="D59" s="3" t="str">
        <x:f>IF($A59="","",$B$4*B59^$B$5)</x:f>
      </x:c>
      <x:c r="E59" s="3" t="str">
        <x:f>IF($A59="","",163.7170006565798*SQRT(1+(B59^$B$5)*$J$59*(B59^$B$5)+(B59^$B$5)*$K$59*(D59*LN(B59))+(D59*LN(B59))*$J$60*(B59^$B$5)+(D59*LN(B59))*$K$60*(D59*LN(B59))))</x:f>
      </x:c>
      <x:c r="F59" s="3" t="str">
        <x:f>IF($A59="","",D59-1.9602400929689823*E59)</x:f>
      </x:c>
      <x:c r="G59" s="3" t="str">
        <x:f>IF($A59="","",D59+1.9602400929689823*E59)</x:f>
      </x:c>
      <x:c r="H59" s="3" t="str">
        <x:f>IF($A59="","",163.7170006565798*SQRT((B59^$B$5)*$J$59*(B59^$B$5)+(B59^$B$5)*$K$59*(D59*LN(B59))+(D59*LN(B59))*$J$60*(B59^$B$5)+(D59*LN(B59))*$K$60*(D59*LN(B59))))</x:f>
      </x:c>
      <x:c r="I59" s="3"/>
      <x:c r="J59" s="7" t="n">
        <x:f>$K$53/$O$59</x:f>
        <x:v>0.00012499230229061302</x:v>
      </x:c>
      <x:c r="K59" s="7" t="n">
        <x:f>-$K$52/$O$59</x:f>
        <x:v>-0.000004153799879445639</x:v>
      </x:c>
      <x:c r="L59" s="3"/>
      <x:c r="M59" s="3"/>
      <x:c r="N59" s="3"/>
      <x:c r="O59" s="3" t="n">
        <x:f>($J$52*$K$53-$K$52*$J$53)</x:f>
        <x:v>1810449992175.961</x:v>
      </x:c>
      <x:c r="P59" s="3"/>
      <x:c r="Q59" s="3"/>
    </x:row>
    <x:row r="60" ht="15" customHeight="1">
      <x:c r="A60" s="5" t="str">
        <x:f>IF(50&lt;='Сводка'!$B$3,'Сводка'!$B$4+50,"")</x:f>
      </x:c>
      <x:c r="B60" s="19" t="str">
        <x:f>IF($A60="","",(A60-37257+1)/1000)</x:f>
      </x:c>
      <x:c r="C60" s="19" t="str">
        <x:f>IF($A60="","",2*(A60-37257)/8978-1)</x:f>
      </x:c>
      <x:c r="D60" s="3" t="str">
        <x:f>IF($A60="","",$B$4*B60^$B$5)</x:f>
      </x:c>
      <x:c r="E60" s="3" t="str">
        <x:f>IF($A60="","",163.7170006565798*SQRT(1+(B60^$B$5)*$J$59*(B60^$B$5)+(B60^$B$5)*$K$59*(D60*LN(B60))+(D60*LN(B60))*$J$60*(B60^$B$5)+(D60*LN(B60))*$K$60*(D60*LN(B60))))</x:f>
      </x:c>
      <x:c r="F60" s="3" t="str">
        <x:f>IF($A60="","",D60-1.9602400929689823*E60)</x:f>
      </x:c>
      <x:c r="G60" s="3" t="str">
        <x:f>IF($A60="","",D60+1.9602400929689823*E60)</x:f>
      </x:c>
      <x:c r="H60" s="3" t="str">
        <x:f>IF($A60="","",163.7170006565798*SQRT((B60^$B$5)*$J$59*(B60^$B$5)+(B60^$B$5)*$K$59*(D60*LN(B60))+(D60*LN(B60))*$J$60*(B60^$B$5)+(D60*LN(B60))*$K$60*(D60*LN(B60))))</x:f>
      </x:c>
      <x:c r="I60" s="3"/>
      <x:c r="J60" s="7" t="n">
        <x:f>-$J$53/$O$59</x:f>
        <x:v>-0.000004153799879445639</x:v>
      </x:c>
      <x:c r="K60" s="7" t="n">
        <x:f>$J$52/$O$59</x:f>
        <x:v>1.4245999136019688e-7</x:v>
      </x:c>
      <x:c r="L60" s="3"/>
      <x:c r="M60" s="3"/>
      <x:c r="N60" s="3"/>
      <x:c r="O60" s="3"/>
      <x:c r="P60" s="3"/>
      <x:c r="Q60" s="3"/>
    </x:row>
    <x:row r="61" ht="15" customHeight="1">
      <x:c r="A61" s="5" t="str">
        <x:f>IF(51&lt;='Сводка'!$B$3,'Сводка'!$B$4+51,"")</x:f>
      </x:c>
      <x:c r="B61" s="19" t="str">
        <x:f>IF($A61="","",(A61-37257+1)/1000)</x:f>
      </x:c>
      <x:c r="C61" s="19" t="str">
        <x:f>IF($A61="","",2*(A61-37257)/8978-1)</x:f>
      </x:c>
      <x:c r="D61" s="3" t="str">
        <x:f>IF($A61="","",$B$4*B61^$B$5)</x:f>
      </x:c>
      <x:c r="E61" s="3" t="str">
        <x:f>IF($A61="","",163.7170006565798*SQRT(1+(B61^$B$5)*$J$59*(B61^$B$5)+(B61^$B$5)*$K$59*(D61*LN(B61))+(D61*LN(B61))*$J$60*(B61^$B$5)+(D61*LN(B61))*$K$60*(D61*LN(B61))))</x:f>
      </x:c>
      <x:c r="F61" s="3" t="str">
        <x:f>IF($A61="","",D61-1.9602400929689823*E61)</x:f>
      </x:c>
      <x:c r="G61" s="3" t="str">
        <x:f>IF($A61="","",D61+1.9602400929689823*E61)</x:f>
      </x:c>
      <x:c r="H61" s="3" t="str">
        <x:f>IF($A61="","",163.7170006565798*SQRT((B61^$B$5)*$J$59*(B61^$B$5)+(B61^$B$5)*$K$59*(D61*LN(B61))+(D61*LN(B61))*$J$60*(B61^$B$5)+(D61*LN(B61))*$K$60*(D61*LN(B61))))</x:f>
      </x:c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15" customHeight="1">
      <x:c r="A62" s="5" t="str">
        <x:f>IF(52&lt;='Сводка'!$B$3,'Сводка'!$B$4+52,"")</x:f>
      </x:c>
      <x:c r="B62" s="19" t="str">
        <x:f>IF($A62="","",(A62-37257+1)/1000)</x:f>
      </x:c>
      <x:c r="C62" s="19" t="str">
        <x:f>IF($A62="","",2*(A62-37257)/8978-1)</x:f>
      </x:c>
      <x:c r="D62" s="3" t="str">
        <x:f>IF($A62="","",$B$4*B62^$B$5)</x:f>
      </x:c>
      <x:c r="E62" s="3" t="str">
        <x:f>IF($A62="","",163.7170006565798*SQRT(1+(B62^$B$5)*$J$59*(B62^$B$5)+(B62^$B$5)*$K$59*(D62*LN(B62))+(D62*LN(B62))*$J$60*(B62^$B$5)+(D62*LN(B62))*$K$60*(D62*LN(B62))))</x:f>
      </x:c>
      <x:c r="F62" s="3" t="str">
        <x:f>IF($A62="","",D62-1.9602400929689823*E62)</x:f>
      </x:c>
      <x:c r="G62" s="3" t="str">
        <x:f>IF($A62="","",D62+1.9602400929689823*E62)</x:f>
      </x:c>
      <x:c r="H62" s="3" t="str">
        <x:f>IF($A62="","",163.7170006565798*SQRT((B62^$B$5)*$J$59*(B62^$B$5)+(B62^$B$5)*$K$59*(D62*LN(B62))+(D62*LN(B62))*$J$60*(B62^$B$5)+(D62*LN(B62))*$K$60*(D62*LN(B62))))</x:f>
      </x:c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15" customHeight="1">
      <x:c r="A63" s="5" t="str">
        <x:f>IF(53&lt;='Сводка'!$B$3,'Сводка'!$B$4+53,"")</x:f>
      </x:c>
      <x:c r="B63" s="19" t="str">
        <x:f>IF($A63="","",(A63-37257+1)/1000)</x:f>
      </x:c>
      <x:c r="C63" s="19" t="str">
        <x:f>IF($A63="","",2*(A63-37257)/8978-1)</x:f>
      </x:c>
      <x:c r="D63" s="3" t="str">
        <x:f>IF($A63="","",$B$4*B63^$B$5)</x:f>
      </x:c>
      <x:c r="E63" s="3" t="str">
        <x:f>IF($A63="","",163.7170006565798*SQRT(1+(B63^$B$5)*$J$59*(B63^$B$5)+(B63^$B$5)*$K$59*(D63*LN(B63))+(D63*LN(B63))*$J$60*(B63^$B$5)+(D63*LN(B63))*$K$60*(D63*LN(B63))))</x:f>
      </x:c>
      <x:c r="F63" s="3" t="str">
        <x:f>IF($A63="","",D63-1.9602400929689823*E63)</x:f>
      </x:c>
      <x:c r="G63" s="3" t="str">
        <x:f>IF($A63="","",D63+1.9602400929689823*E63)</x:f>
      </x:c>
      <x:c r="H63" s="3" t="str">
        <x:f>IF($A63="","",163.7170006565798*SQRT((B63^$B$5)*$J$59*(B63^$B$5)+(B63^$B$5)*$K$59*(D63*LN(B63))+(D63*LN(B63))*$J$60*(B63^$B$5)+(D63*LN(B63))*$K$60*(D63*LN(B63))))</x:f>
      </x:c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customHeight="1">
      <x:c r="A64" s="5" t="str">
        <x:f>IF(54&lt;='Сводка'!$B$3,'Сводка'!$B$4+54,"")</x:f>
      </x:c>
      <x:c r="B64" s="19" t="str">
        <x:f>IF($A64="","",(A64-37257+1)/1000)</x:f>
      </x:c>
      <x:c r="C64" s="19" t="str">
        <x:f>IF($A64="","",2*(A64-37257)/8978-1)</x:f>
      </x:c>
      <x:c r="D64" s="3" t="str">
        <x:f>IF($A64="","",$B$4*B64^$B$5)</x:f>
      </x:c>
      <x:c r="E64" s="3" t="str">
        <x:f>IF($A64="","",163.7170006565798*SQRT(1+(B64^$B$5)*$J$59*(B64^$B$5)+(B64^$B$5)*$K$59*(D64*LN(B64))+(D64*LN(B64))*$J$60*(B64^$B$5)+(D64*LN(B64))*$K$60*(D64*LN(B64))))</x:f>
      </x:c>
      <x:c r="F64" s="3" t="str">
        <x:f>IF($A64="","",D64-1.9602400929689823*E64)</x:f>
      </x:c>
      <x:c r="G64" s="3" t="str">
        <x:f>IF($A64="","",D64+1.9602400929689823*E64)</x:f>
      </x:c>
      <x:c r="H64" s="3" t="str">
        <x:f>IF($A64="","",163.7170006565798*SQRT((B64^$B$5)*$J$59*(B64^$B$5)+(B64^$B$5)*$K$59*(D64*LN(B64))+(D64*LN(B64))*$J$60*(B64^$B$5)+(D64*LN(B64))*$K$60*(D64*LN(B64))))</x:f>
      </x:c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customHeight="1">
      <x:c r="A65" s="5" t="str">
        <x:f>IF(55&lt;='Сводка'!$B$3,'Сводка'!$B$4+55,"")</x:f>
      </x:c>
      <x:c r="B65" s="19" t="str">
        <x:f>IF($A65="","",(A65-37257+1)/1000)</x:f>
      </x:c>
      <x:c r="C65" s="19" t="str">
        <x:f>IF($A65="","",2*(A65-37257)/8978-1)</x:f>
      </x:c>
      <x:c r="D65" s="3" t="str">
        <x:f>IF($A65="","",$B$4*B65^$B$5)</x:f>
      </x:c>
      <x:c r="E65" s="3" t="str">
        <x:f>IF($A65="","",163.7170006565798*SQRT(1+(B65^$B$5)*$J$59*(B65^$B$5)+(B65^$B$5)*$K$59*(D65*LN(B65))+(D65*LN(B65))*$J$60*(B65^$B$5)+(D65*LN(B65))*$K$60*(D65*LN(B65))))</x:f>
      </x:c>
      <x:c r="F65" s="3" t="str">
        <x:f>IF($A65="","",D65-1.9602400929689823*E65)</x:f>
      </x:c>
      <x:c r="G65" s="3" t="str">
        <x:f>IF($A65="","",D65+1.9602400929689823*E65)</x:f>
      </x:c>
      <x:c r="H65" s="3" t="str">
        <x:f>IF($A65="","",163.7170006565798*SQRT((B65^$B$5)*$J$59*(B65^$B$5)+(B65^$B$5)*$K$59*(D65*LN(B65))+(D65*LN(B65))*$J$60*(B65^$B$5)+(D65*LN(B65))*$K$60*(D65*LN(B65))))</x:f>
      </x:c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customHeight="1">
      <x:c r="A66" s="5" t="str">
        <x:f>IF(56&lt;='Сводка'!$B$3,'Сводка'!$B$4+56,"")</x:f>
      </x:c>
      <x:c r="B66" s="19" t="str">
        <x:f>IF($A66="","",(A66-37257+1)/1000)</x:f>
      </x:c>
      <x:c r="C66" s="19" t="str">
        <x:f>IF($A66="","",2*(A66-37257)/8978-1)</x:f>
      </x:c>
      <x:c r="D66" s="3" t="str">
        <x:f>IF($A66="","",$B$4*B66^$B$5)</x:f>
      </x:c>
      <x:c r="E66" s="3" t="str">
        <x:f>IF($A66="","",163.7170006565798*SQRT(1+(B66^$B$5)*$J$59*(B66^$B$5)+(B66^$B$5)*$K$59*(D66*LN(B66))+(D66*LN(B66))*$J$60*(B66^$B$5)+(D66*LN(B66))*$K$60*(D66*LN(B66))))</x:f>
      </x:c>
      <x:c r="F66" s="3" t="str">
        <x:f>IF($A66="","",D66-1.9602400929689823*E66)</x:f>
      </x:c>
      <x:c r="G66" s="3" t="str">
        <x:f>IF($A66="","",D66+1.9602400929689823*E66)</x:f>
      </x:c>
      <x:c r="H66" s="3" t="str">
        <x:f>IF($A66="","",163.7170006565798*SQRT((B66^$B$5)*$J$59*(B66^$B$5)+(B66^$B$5)*$K$59*(D66*LN(B66))+(D66*LN(B66))*$J$60*(B66^$B$5)+(D66*LN(B66))*$K$60*(D66*LN(B66))))</x:f>
      </x:c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customHeight="1">
      <x:c r="A67" s="5" t="str">
        <x:f>IF(57&lt;='Сводка'!$B$3,'Сводка'!$B$4+57,"")</x:f>
      </x:c>
      <x:c r="B67" s="19" t="str">
        <x:f>IF($A67="","",(A67-37257+1)/1000)</x:f>
      </x:c>
      <x:c r="C67" s="19" t="str">
        <x:f>IF($A67="","",2*(A67-37257)/8978-1)</x:f>
      </x:c>
      <x:c r="D67" s="3" t="str">
        <x:f>IF($A67="","",$B$4*B67^$B$5)</x:f>
      </x:c>
      <x:c r="E67" s="3" t="str">
        <x:f>IF($A67="","",163.7170006565798*SQRT(1+(B67^$B$5)*$J$59*(B67^$B$5)+(B67^$B$5)*$K$59*(D67*LN(B67))+(D67*LN(B67))*$J$60*(B67^$B$5)+(D67*LN(B67))*$K$60*(D67*LN(B67))))</x:f>
      </x:c>
      <x:c r="F67" s="3" t="str">
        <x:f>IF($A67="","",D67-1.9602400929689823*E67)</x:f>
      </x:c>
      <x:c r="G67" s="3" t="str">
        <x:f>IF($A67="","",D67+1.9602400929689823*E67)</x:f>
      </x:c>
      <x:c r="H67" s="3" t="str">
        <x:f>IF($A67="","",163.7170006565798*SQRT((B67^$B$5)*$J$59*(B67^$B$5)+(B67^$B$5)*$K$59*(D67*LN(B67))+(D67*LN(B67))*$J$60*(B67^$B$5)+(D67*LN(B67))*$K$60*(D67*LN(B67))))</x:f>
      </x:c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customHeight="1">
      <x:c r="A68" s="5" t="str">
        <x:f>IF(58&lt;='Сводка'!$B$3,'Сводка'!$B$4+58,"")</x:f>
      </x:c>
      <x:c r="B68" s="19" t="str">
        <x:f>IF($A68="","",(A68-37257+1)/1000)</x:f>
      </x:c>
      <x:c r="C68" s="19" t="str">
        <x:f>IF($A68="","",2*(A68-37257)/8978-1)</x:f>
      </x:c>
      <x:c r="D68" s="3" t="str">
        <x:f>IF($A68="","",$B$4*B68^$B$5)</x:f>
      </x:c>
      <x:c r="E68" s="3" t="str">
        <x:f>IF($A68="","",163.7170006565798*SQRT(1+(B68^$B$5)*$J$59*(B68^$B$5)+(B68^$B$5)*$K$59*(D68*LN(B68))+(D68*LN(B68))*$J$60*(B68^$B$5)+(D68*LN(B68))*$K$60*(D68*LN(B68))))</x:f>
      </x:c>
      <x:c r="F68" s="3" t="str">
        <x:f>IF($A68="","",D68-1.9602400929689823*E68)</x:f>
      </x:c>
      <x:c r="G68" s="3" t="str">
        <x:f>IF($A68="","",D68+1.9602400929689823*E68)</x:f>
      </x:c>
      <x:c r="H68" s="3" t="str">
        <x:f>IF($A68="","",163.7170006565798*SQRT((B68^$B$5)*$J$59*(B68^$B$5)+(B68^$B$5)*$K$59*(D68*LN(B68))+(D68*LN(B68))*$J$60*(B68^$B$5)+(D68*LN(B68))*$K$60*(D68*LN(B68))))</x:f>
      </x:c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customHeight="1">
      <x:c r="A69" s="5" t="str">
        <x:f>IF(59&lt;='Сводка'!$B$3,'Сводка'!$B$4+59,"")</x:f>
      </x:c>
      <x:c r="B69" s="19" t="str">
        <x:f>IF($A69="","",(A69-37257+1)/1000)</x:f>
      </x:c>
      <x:c r="C69" s="19" t="str">
        <x:f>IF($A69="","",2*(A69-37257)/8978-1)</x:f>
      </x:c>
      <x:c r="D69" s="3" t="str">
        <x:f>IF($A69="","",$B$4*B69^$B$5)</x:f>
      </x:c>
      <x:c r="E69" s="3" t="str">
        <x:f>IF($A69="","",163.7170006565798*SQRT(1+(B69^$B$5)*$J$59*(B69^$B$5)+(B69^$B$5)*$K$59*(D69*LN(B69))+(D69*LN(B69))*$J$60*(B69^$B$5)+(D69*LN(B69))*$K$60*(D69*LN(B69))))</x:f>
      </x:c>
      <x:c r="F69" s="3" t="str">
        <x:f>IF($A69="","",D69-1.9602400929689823*E69)</x:f>
      </x:c>
      <x:c r="G69" s="3" t="str">
        <x:f>IF($A69="","",D69+1.9602400929689823*E69)</x:f>
      </x:c>
      <x:c r="H69" s="3" t="str">
        <x:f>IF($A69="","",163.7170006565798*SQRT((B69^$B$5)*$J$59*(B69^$B$5)+(B69^$B$5)*$K$59*(D69*LN(B69))+(D69*LN(B69))*$J$60*(B69^$B$5)+(D69*LN(B69))*$K$60*(D69*LN(B69))))</x:f>
      </x:c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customHeight="1">
      <x:c r="A70" s="5" t="str">
        <x:f>IF(60&lt;='Сводка'!$B$3,'Сводка'!$B$4+60,"")</x:f>
      </x:c>
      <x:c r="B70" s="19" t="str">
        <x:f>IF($A70="","",(A70-37257+1)/1000)</x:f>
      </x:c>
      <x:c r="C70" s="19" t="str">
        <x:f>IF($A70="","",2*(A70-37257)/8978-1)</x:f>
      </x:c>
      <x:c r="D70" s="3" t="str">
        <x:f>IF($A70="","",$B$4*B70^$B$5)</x:f>
      </x:c>
      <x:c r="E70" s="3" t="str">
        <x:f>IF($A70="","",163.7170006565798*SQRT(1+(B70^$B$5)*$J$59*(B70^$B$5)+(B70^$B$5)*$K$59*(D70*LN(B70))+(D70*LN(B70))*$J$60*(B70^$B$5)+(D70*LN(B70))*$K$60*(D70*LN(B70))))</x:f>
      </x:c>
      <x:c r="F70" s="3" t="str">
        <x:f>IF($A70="","",D70-1.9602400929689823*E70)</x:f>
      </x:c>
      <x:c r="G70" s="3" t="str">
        <x:f>IF($A70="","",D70+1.9602400929689823*E70)</x:f>
      </x:c>
      <x:c r="H70" s="3" t="str">
        <x:f>IF($A70="","",163.7170006565798*SQRT((B70^$B$5)*$J$59*(B70^$B$5)+(B70^$B$5)*$K$59*(D70*LN(B70))+(D70*LN(B70))*$J$60*(B70^$B$5)+(D70*LN(B70))*$K$60*(D70*LN(B70))))</x:f>
      </x:c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customHeight="1">
      <x:c r="A71" s="5" t="str">
        <x:f>IF(61&lt;='Сводка'!$B$3,'Сводка'!$B$4+61,"")</x:f>
      </x:c>
      <x:c r="B71" s="19" t="str">
        <x:f>IF($A71="","",(A71-37257+1)/1000)</x:f>
      </x:c>
      <x:c r="C71" s="19" t="str">
        <x:f>IF($A71="","",2*(A71-37257)/8978-1)</x:f>
      </x:c>
      <x:c r="D71" s="3" t="str">
        <x:f>IF($A71="","",$B$4*B71^$B$5)</x:f>
      </x:c>
      <x:c r="E71" s="3" t="str">
        <x:f>IF($A71="","",163.7170006565798*SQRT(1+(B71^$B$5)*$J$59*(B71^$B$5)+(B71^$B$5)*$K$59*(D71*LN(B71))+(D71*LN(B71))*$J$60*(B71^$B$5)+(D71*LN(B71))*$K$60*(D71*LN(B71))))</x:f>
      </x:c>
      <x:c r="F71" s="3" t="str">
        <x:f>IF($A71="","",D71-1.9602400929689823*E71)</x:f>
      </x:c>
      <x:c r="G71" s="3" t="str">
        <x:f>IF($A71="","",D71+1.9602400929689823*E71)</x:f>
      </x:c>
      <x:c r="H71" s="3" t="str">
        <x:f>IF($A71="","",163.7170006565798*SQRT((B71^$B$5)*$J$59*(B71^$B$5)+(B71^$B$5)*$K$59*(D71*LN(B71))+(D71*LN(B71))*$J$60*(B71^$B$5)+(D71*LN(B71))*$K$60*(D71*LN(B71))))</x:f>
      </x:c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customHeight="1">
      <x:c r="A72" s="5" t="str">
        <x:f>IF(62&lt;='Сводка'!$B$3,'Сводка'!$B$4+62,"")</x:f>
      </x:c>
      <x:c r="B72" s="19" t="str">
        <x:f>IF($A72="","",(A72-37257+1)/1000)</x:f>
      </x:c>
      <x:c r="C72" s="19" t="str">
        <x:f>IF($A72="","",2*(A72-37257)/8978-1)</x:f>
      </x:c>
      <x:c r="D72" s="3" t="str">
        <x:f>IF($A72="","",$B$4*B72^$B$5)</x:f>
      </x:c>
      <x:c r="E72" s="3" t="str">
        <x:f>IF($A72="","",163.7170006565798*SQRT(1+(B72^$B$5)*$J$59*(B72^$B$5)+(B72^$B$5)*$K$59*(D72*LN(B72))+(D72*LN(B72))*$J$60*(B72^$B$5)+(D72*LN(B72))*$K$60*(D72*LN(B72))))</x:f>
      </x:c>
      <x:c r="F72" s="3" t="str">
        <x:f>IF($A72="","",D72-1.9602400929689823*E72)</x:f>
      </x:c>
      <x:c r="G72" s="3" t="str">
        <x:f>IF($A72="","",D72+1.9602400929689823*E72)</x:f>
      </x:c>
      <x:c r="H72" s="3" t="str">
        <x:f>IF($A72="","",163.7170006565798*SQRT((B72^$B$5)*$J$59*(B72^$B$5)+(B72^$B$5)*$K$59*(D72*LN(B72))+(D72*LN(B72))*$J$60*(B72^$B$5)+(D72*LN(B72))*$K$60*(D72*LN(B72))))</x:f>
      </x:c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customHeight="1">
      <x:c r="A73" s="5" t="str">
        <x:f>IF(63&lt;='Сводка'!$B$3,'Сводка'!$B$4+63,"")</x:f>
      </x:c>
      <x:c r="B73" s="19" t="str">
        <x:f>IF($A73="","",(A73-37257+1)/1000)</x:f>
      </x:c>
      <x:c r="C73" s="19" t="str">
        <x:f>IF($A73="","",2*(A73-37257)/8978-1)</x:f>
      </x:c>
      <x:c r="D73" s="3" t="str">
        <x:f>IF($A73="","",$B$4*B73^$B$5)</x:f>
      </x:c>
      <x:c r="E73" s="3" t="str">
        <x:f>IF($A73="","",163.7170006565798*SQRT(1+(B73^$B$5)*$J$59*(B73^$B$5)+(B73^$B$5)*$K$59*(D73*LN(B73))+(D73*LN(B73))*$J$60*(B73^$B$5)+(D73*LN(B73))*$K$60*(D73*LN(B73))))</x:f>
      </x:c>
      <x:c r="F73" s="3" t="str">
        <x:f>IF($A73="","",D73-1.9602400929689823*E73)</x:f>
      </x:c>
      <x:c r="G73" s="3" t="str">
        <x:f>IF($A73="","",D73+1.9602400929689823*E73)</x:f>
      </x:c>
      <x:c r="H73" s="3" t="str">
        <x:f>IF($A73="","",163.7170006565798*SQRT((B73^$B$5)*$J$59*(B73^$B$5)+(B73^$B$5)*$K$59*(D73*LN(B73))+(D73*LN(B73))*$J$60*(B73^$B$5)+(D73*LN(B73))*$K$60*(D73*LN(B73))))</x:f>
      </x:c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customHeight="1">
      <x:c r="A74" s="5" t="str">
        <x:f>IF(64&lt;='Сводка'!$B$3,'Сводка'!$B$4+64,"")</x:f>
      </x:c>
      <x:c r="B74" s="19" t="str">
        <x:f>IF($A74="","",(A74-37257+1)/1000)</x:f>
      </x:c>
      <x:c r="C74" s="19" t="str">
        <x:f>IF($A74="","",2*(A74-37257)/8978-1)</x:f>
      </x:c>
      <x:c r="D74" s="3" t="str">
        <x:f>IF($A74="","",$B$4*B74^$B$5)</x:f>
      </x:c>
      <x:c r="E74" s="3" t="str">
        <x:f>IF($A74="","",163.7170006565798*SQRT(1+(B74^$B$5)*$J$59*(B74^$B$5)+(B74^$B$5)*$K$59*(D74*LN(B74))+(D74*LN(B74))*$J$60*(B74^$B$5)+(D74*LN(B74))*$K$60*(D74*LN(B74))))</x:f>
      </x:c>
      <x:c r="F74" s="3" t="str">
        <x:f>IF($A74="","",D74-1.9602400929689823*E74)</x:f>
      </x:c>
      <x:c r="G74" s="3" t="str">
        <x:f>IF($A74="","",D74+1.9602400929689823*E74)</x:f>
      </x:c>
      <x:c r="H74" s="3" t="str">
        <x:f>IF($A74="","",163.7170006565798*SQRT((B74^$B$5)*$J$59*(B74^$B$5)+(B74^$B$5)*$K$59*(D74*LN(B74))+(D74*LN(B74))*$J$60*(B74^$B$5)+(D74*LN(B74))*$K$60*(D74*LN(B74))))</x:f>
      </x:c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customHeight="1">
      <x:c r="A75" s="5" t="str">
        <x:f>IF(65&lt;='Сводка'!$B$3,'Сводка'!$B$4+65,"")</x:f>
      </x:c>
      <x:c r="B75" s="19" t="str">
        <x:f>IF($A75="","",(A75-37257+1)/1000)</x:f>
      </x:c>
      <x:c r="C75" s="19" t="str">
        <x:f>IF($A75="","",2*(A75-37257)/8978-1)</x:f>
      </x:c>
      <x:c r="D75" s="3" t="str">
        <x:f>IF($A75="","",$B$4*B75^$B$5)</x:f>
      </x:c>
      <x:c r="E75" s="3" t="str">
        <x:f>IF($A75="","",163.7170006565798*SQRT(1+(B75^$B$5)*$J$59*(B75^$B$5)+(B75^$B$5)*$K$59*(D75*LN(B75))+(D75*LN(B75))*$J$60*(B75^$B$5)+(D75*LN(B75))*$K$60*(D75*LN(B75))))</x:f>
      </x:c>
      <x:c r="F75" s="3" t="str">
        <x:f>IF($A75="","",D75-1.9602400929689823*E75)</x:f>
      </x:c>
      <x:c r="G75" s="3" t="str">
        <x:f>IF($A75="","",D75+1.9602400929689823*E75)</x:f>
      </x:c>
      <x:c r="H75" s="3" t="str">
        <x:f>IF($A75="","",163.7170006565798*SQRT((B75^$B$5)*$J$59*(B75^$B$5)+(B75^$B$5)*$K$59*(D75*LN(B75))+(D75*LN(B75))*$J$60*(B75^$B$5)+(D75*LN(B75))*$K$60*(D75*LN(B75))))</x:f>
      </x:c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customHeight="1">
      <x:c r="A76" s="5" t="str">
        <x:f>IF(66&lt;='Сводка'!$B$3,'Сводка'!$B$4+66,"")</x:f>
      </x:c>
      <x:c r="B76" s="19" t="str">
        <x:f>IF($A76="","",(A76-37257+1)/1000)</x:f>
      </x:c>
      <x:c r="C76" s="19" t="str">
        <x:f>IF($A76="","",2*(A76-37257)/8978-1)</x:f>
      </x:c>
      <x:c r="D76" s="3" t="str">
        <x:f>IF($A76="","",$B$4*B76^$B$5)</x:f>
      </x:c>
      <x:c r="E76" s="3" t="str">
        <x:f>IF($A76="","",163.7170006565798*SQRT(1+(B76^$B$5)*$J$59*(B76^$B$5)+(B76^$B$5)*$K$59*(D76*LN(B76))+(D76*LN(B76))*$J$60*(B76^$B$5)+(D76*LN(B76))*$K$60*(D76*LN(B76))))</x:f>
      </x:c>
      <x:c r="F76" s="3" t="str">
        <x:f>IF($A76="","",D76-1.9602400929689823*E76)</x:f>
      </x:c>
      <x:c r="G76" s="3" t="str">
        <x:f>IF($A76="","",D76+1.9602400929689823*E76)</x:f>
      </x:c>
      <x:c r="H76" s="3" t="str">
        <x:f>IF($A76="","",163.7170006565798*SQRT((B76^$B$5)*$J$59*(B76^$B$5)+(B76^$B$5)*$K$59*(D76*LN(B76))+(D76*LN(B76))*$J$60*(B76^$B$5)+(D76*LN(B76))*$K$60*(D76*LN(B76))))</x:f>
      </x:c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customHeight="1">
      <x:c r="A77" s="5" t="str">
        <x:f>IF(67&lt;='Сводка'!$B$3,'Сводка'!$B$4+67,"")</x:f>
      </x:c>
      <x:c r="B77" s="19" t="str">
        <x:f>IF($A77="","",(A77-37257+1)/1000)</x:f>
      </x:c>
      <x:c r="C77" s="19" t="str">
        <x:f>IF($A77="","",2*(A77-37257)/8978-1)</x:f>
      </x:c>
      <x:c r="D77" s="3" t="str">
        <x:f>IF($A77="","",$B$4*B77^$B$5)</x:f>
      </x:c>
      <x:c r="E77" s="3" t="str">
        <x:f>IF($A77="","",163.7170006565798*SQRT(1+(B77^$B$5)*$J$59*(B77^$B$5)+(B77^$B$5)*$K$59*(D77*LN(B77))+(D77*LN(B77))*$J$60*(B77^$B$5)+(D77*LN(B77))*$K$60*(D77*LN(B77))))</x:f>
      </x:c>
      <x:c r="F77" s="3" t="str">
        <x:f>IF($A77="","",D77-1.9602400929689823*E77)</x:f>
      </x:c>
      <x:c r="G77" s="3" t="str">
        <x:f>IF($A77="","",D77+1.9602400929689823*E77)</x:f>
      </x:c>
      <x:c r="H77" s="3" t="str">
        <x:f>IF($A77="","",163.7170006565798*SQRT((B77^$B$5)*$J$59*(B77^$B$5)+(B77^$B$5)*$K$59*(D77*LN(B77))+(D77*LN(B77))*$J$60*(B77^$B$5)+(D77*LN(B77))*$K$60*(D77*LN(B77))))</x:f>
      </x:c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customHeight="1">
      <x:c r="A78" s="5" t="str">
        <x:f>IF(68&lt;='Сводка'!$B$3,'Сводка'!$B$4+68,"")</x:f>
      </x:c>
      <x:c r="B78" s="19" t="str">
        <x:f>IF($A78="","",(A78-37257+1)/1000)</x:f>
      </x:c>
      <x:c r="C78" s="19" t="str">
        <x:f>IF($A78="","",2*(A78-37257)/8978-1)</x:f>
      </x:c>
      <x:c r="D78" s="3" t="str">
        <x:f>IF($A78="","",$B$4*B78^$B$5)</x:f>
      </x:c>
      <x:c r="E78" s="3" t="str">
        <x:f>IF($A78="","",163.7170006565798*SQRT(1+(B78^$B$5)*$J$59*(B78^$B$5)+(B78^$B$5)*$K$59*(D78*LN(B78))+(D78*LN(B78))*$J$60*(B78^$B$5)+(D78*LN(B78))*$K$60*(D78*LN(B78))))</x:f>
      </x:c>
      <x:c r="F78" s="3" t="str">
        <x:f>IF($A78="","",D78-1.9602400929689823*E78)</x:f>
      </x:c>
      <x:c r="G78" s="3" t="str">
        <x:f>IF($A78="","",D78+1.9602400929689823*E78)</x:f>
      </x:c>
      <x:c r="H78" s="3" t="str">
        <x:f>IF($A78="","",163.7170006565798*SQRT((B78^$B$5)*$J$59*(B78^$B$5)+(B78^$B$5)*$K$59*(D78*LN(B78))+(D78*LN(B78))*$J$60*(B78^$B$5)+(D78*LN(B78))*$K$60*(D78*LN(B78))))</x:f>
      </x:c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customHeight="1">
      <x:c r="A79" s="5" t="str">
        <x:f>IF(69&lt;='Сводка'!$B$3,'Сводка'!$B$4+69,"")</x:f>
      </x:c>
      <x:c r="B79" s="19" t="str">
        <x:f>IF($A79="","",(A79-37257+1)/1000)</x:f>
      </x:c>
      <x:c r="C79" s="19" t="str">
        <x:f>IF($A79="","",2*(A79-37257)/8978-1)</x:f>
      </x:c>
      <x:c r="D79" s="3" t="str">
        <x:f>IF($A79="","",$B$4*B79^$B$5)</x:f>
      </x:c>
      <x:c r="E79" s="3" t="str">
        <x:f>IF($A79="","",163.7170006565798*SQRT(1+(B79^$B$5)*$J$59*(B79^$B$5)+(B79^$B$5)*$K$59*(D79*LN(B79))+(D79*LN(B79))*$J$60*(B79^$B$5)+(D79*LN(B79))*$K$60*(D79*LN(B79))))</x:f>
      </x:c>
      <x:c r="F79" s="3" t="str">
        <x:f>IF($A79="","",D79-1.9602400929689823*E79)</x:f>
      </x:c>
      <x:c r="G79" s="3" t="str">
        <x:f>IF($A79="","",D79+1.9602400929689823*E79)</x:f>
      </x:c>
      <x:c r="H79" s="3" t="str">
        <x:f>IF($A79="","",163.7170006565798*SQRT((B79^$B$5)*$J$59*(B79^$B$5)+(B79^$B$5)*$K$59*(D79*LN(B79))+(D79*LN(B79))*$J$60*(B79^$B$5)+(D79*LN(B79))*$K$60*(D79*LN(B79))))</x:f>
      </x:c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customHeight="1">
      <x:c r="A80" s="5" t="str">
        <x:f>IF(70&lt;='Сводка'!$B$3,'Сводка'!$B$4+70,"")</x:f>
      </x:c>
      <x:c r="B80" s="19" t="str">
        <x:f>IF($A80="","",(A80-37257+1)/1000)</x:f>
      </x:c>
      <x:c r="C80" s="19" t="str">
        <x:f>IF($A80="","",2*(A80-37257)/8978-1)</x:f>
      </x:c>
      <x:c r="D80" s="3" t="str">
        <x:f>IF($A80="","",$B$4*B80^$B$5)</x:f>
      </x:c>
      <x:c r="E80" s="3" t="str">
        <x:f>IF($A80="","",163.7170006565798*SQRT(1+(B80^$B$5)*$J$59*(B80^$B$5)+(B80^$B$5)*$K$59*(D80*LN(B80))+(D80*LN(B80))*$J$60*(B80^$B$5)+(D80*LN(B80))*$K$60*(D80*LN(B80))))</x:f>
      </x:c>
      <x:c r="F80" s="3" t="str">
        <x:f>IF($A80="","",D80-1.9602400929689823*E80)</x:f>
      </x:c>
      <x:c r="G80" s="3" t="str">
        <x:f>IF($A80="","",D80+1.9602400929689823*E80)</x:f>
      </x:c>
      <x:c r="H80" s="3" t="str">
        <x:f>IF($A80="","",163.7170006565798*SQRT((B80^$B$5)*$J$59*(B80^$B$5)+(B80^$B$5)*$K$59*(D80*LN(B80))+(D80*LN(B80))*$J$60*(B80^$B$5)+(D80*LN(B80))*$K$60*(D80*LN(B80))))</x:f>
      </x:c>
      <x:c r="I80" s="3"/>
      <x:c r="J80" s="3"/>
      <x:c r="K80" s="3"/>
      <x:c r="L80" s="3"/>
      <x:c r="M80" s="3"/>
      <x:c r="N80" s="3"/>
      <x:c r="O80" s="3"/>
      <x:c r="P80" s="3"/>
      <x:c r="Q80" s="3"/>
    </x:row>
    <x:row r="81" ht="15" customHeight="1">
      <x:c r="A81" s="5" t="str">
        <x:f>IF(71&lt;='Сводка'!$B$3,'Сводка'!$B$4+71,"")</x:f>
      </x:c>
      <x:c r="B81" s="19" t="str">
        <x:f>IF($A81="","",(A81-37257+1)/1000)</x:f>
      </x:c>
      <x:c r="C81" s="19" t="str">
        <x:f>IF($A81="","",2*(A81-37257)/8978-1)</x:f>
      </x:c>
      <x:c r="D81" s="3" t="str">
        <x:f>IF($A81="","",$B$4*B81^$B$5)</x:f>
      </x:c>
      <x:c r="E81" s="3" t="str">
        <x:f>IF($A81="","",163.7170006565798*SQRT(1+(B81^$B$5)*$J$59*(B81^$B$5)+(B81^$B$5)*$K$59*(D81*LN(B81))+(D81*LN(B81))*$J$60*(B81^$B$5)+(D81*LN(B81))*$K$60*(D81*LN(B81))))</x:f>
      </x:c>
      <x:c r="F81" s="3" t="str">
        <x:f>IF($A81="","",D81-1.9602400929689823*E81)</x:f>
      </x:c>
      <x:c r="G81" s="3" t="str">
        <x:f>IF($A81="","",D81+1.9602400929689823*E81)</x:f>
      </x:c>
      <x:c r="H81" s="3" t="str">
        <x:f>IF($A81="","",163.7170006565798*SQRT((B81^$B$5)*$J$59*(B81^$B$5)+(B81^$B$5)*$K$59*(D81*LN(B81))+(D81*LN(B81))*$J$60*(B81^$B$5)+(D81*LN(B81))*$K$60*(D81*LN(B81))))</x:f>
      </x:c>
      <x:c r="I81" s="3"/>
      <x:c r="J81" s="3"/>
      <x:c r="K81" s="3"/>
      <x:c r="L81" s="3"/>
      <x:c r="M81" s="3"/>
      <x:c r="N81" s="3"/>
      <x:c r="O81" s="3"/>
      <x:c r="P81" s="3"/>
      <x:c r="Q81" s="3"/>
    </x:row>
    <x:row r="82" ht="15" customHeight="1">
      <x:c r="A82" s="5" t="str">
        <x:f>IF(72&lt;='Сводка'!$B$3,'Сводка'!$B$4+72,"")</x:f>
      </x:c>
      <x:c r="B82" s="19" t="str">
        <x:f>IF($A82="","",(A82-37257+1)/1000)</x:f>
      </x:c>
      <x:c r="C82" s="19" t="str">
        <x:f>IF($A82="","",2*(A82-37257)/8978-1)</x:f>
      </x:c>
      <x:c r="D82" s="3" t="str">
        <x:f>IF($A82="","",$B$4*B82^$B$5)</x:f>
      </x:c>
      <x:c r="E82" s="3" t="str">
        <x:f>IF($A82="","",163.7170006565798*SQRT(1+(B82^$B$5)*$J$59*(B82^$B$5)+(B82^$B$5)*$K$59*(D82*LN(B82))+(D82*LN(B82))*$J$60*(B82^$B$5)+(D82*LN(B82))*$K$60*(D82*LN(B82))))</x:f>
      </x:c>
      <x:c r="F82" s="3" t="str">
        <x:f>IF($A82="","",D82-1.9602400929689823*E82)</x:f>
      </x:c>
      <x:c r="G82" s="3" t="str">
        <x:f>IF($A82="","",D82+1.9602400929689823*E82)</x:f>
      </x:c>
      <x:c r="H82" s="3" t="str">
        <x:f>IF($A82="","",163.7170006565798*SQRT((B82^$B$5)*$J$59*(B82^$B$5)+(B82^$B$5)*$K$59*(D82*LN(B82))+(D82*LN(B82))*$J$60*(B82^$B$5)+(D82*LN(B82))*$K$60*(D82*LN(B82))))</x:f>
      </x:c>
      <x:c r="I82" s="3"/>
      <x:c r="J82" s="3"/>
      <x:c r="K82" s="3"/>
      <x:c r="L82" s="3"/>
      <x:c r="M82" s="3"/>
      <x:c r="N82" s="3"/>
      <x:c r="O82" s="3"/>
      <x:c r="P82" s="3"/>
      <x:c r="Q82" s="3"/>
    </x:row>
    <x:row r="83" ht="15" customHeight="1">
      <x:c r="A83" s="5" t="str">
        <x:f>IF(73&lt;='Сводка'!$B$3,'Сводка'!$B$4+73,"")</x:f>
      </x:c>
      <x:c r="B83" s="19" t="str">
        <x:f>IF($A83="","",(A83-37257+1)/1000)</x:f>
      </x:c>
      <x:c r="C83" s="19" t="str">
        <x:f>IF($A83="","",2*(A83-37257)/8978-1)</x:f>
      </x:c>
      <x:c r="D83" s="3" t="str">
        <x:f>IF($A83="","",$B$4*B83^$B$5)</x:f>
      </x:c>
      <x:c r="E83" s="3" t="str">
        <x:f>IF($A83="","",163.7170006565798*SQRT(1+(B83^$B$5)*$J$59*(B83^$B$5)+(B83^$B$5)*$K$59*(D83*LN(B83))+(D83*LN(B83))*$J$60*(B83^$B$5)+(D83*LN(B83))*$K$60*(D83*LN(B83))))</x:f>
      </x:c>
      <x:c r="F83" s="3" t="str">
        <x:f>IF($A83="","",D83-1.9602400929689823*E83)</x:f>
      </x:c>
      <x:c r="G83" s="3" t="str">
        <x:f>IF($A83="","",D83+1.9602400929689823*E83)</x:f>
      </x:c>
      <x:c r="H83" s="3" t="str">
        <x:f>IF($A83="","",163.7170006565798*SQRT((B83^$B$5)*$J$59*(B83^$B$5)+(B83^$B$5)*$K$59*(D83*LN(B83))+(D83*LN(B83))*$J$60*(B83^$B$5)+(D83*LN(B83))*$K$60*(D83*LN(B83))))</x:f>
      </x:c>
      <x:c r="I83" s="3"/>
      <x:c r="J83" s="3"/>
      <x:c r="K83" s="3"/>
      <x:c r="L83" s="3"/>
      <x:c r="M83" s="3"/>
      <x:c r="N83" s="3"/>
      <x:c r="O83" s="3"/>
      <x:c r="P83" s="3"/>
      <x:c r="Q83" s="3"/>
    </x:row>
    <x:row r="84" ht="15" customHeight="1">
      <x:c r="A84" s="5" t="str">
        <x:f>IF(74&lt;='Сводка'!$B$3,'Сводка'!$B$4+74,"")</x:f>
      </x:c>
      <x:c r="B84" s="19" t="str">
        <x:f>IF($A84="","",(A84-37257+1)/1000)</x:f>
      </x:c>
      <x:c r="C84" s="19" t="str">
        <x:f>IF($A84="","",2*(A84-37257)/8978-1)</x:f>
      </x:c>
      <x:c r="D84" s="3" t="str">
        <x:f>IF($A84="","",$B$4*B84^$B$5)</x:f>
      </x:c>
      <x:c r="E84" s="3" t="str">
        <x:f>IF($A84="","",163.7170006565798*SQRT(1+(B84^$B$5)*$J$59*(B84^$B$5)+(B84^$B$5)*$K$59*(D84*LN(B84))+(D84*LN(B84))*$J$60*(B84^$B$5)+(D84*LN(B84))*$K$60*(D84*LN(B84))))</x:f>
      </x:c>
      <x:c r="F84" s="3" t="str">
        <x:f>IF($A84="","",D84-1.9602400929689823*E84)</x:f>
      </x:c>
      <x:c r="G84" s="3" t="str">
        <x:f>IF($A84="","",D84+1.9602400929689823*E84)</x:f>
      </x:c>
      <x:c r="H84" s="3" t="str">
        <x:f>IF($A84="","",163.7170006565798*SQRT((B84^$B$5)*$J$59*(B84^$B$5)+(B84^$B$5)*$K$59*(D84*LN(B84))+(D84*LN(B84))*$J$60*(B84^$B$5)+(D84*LN(B84))*$K$60*(D84*LN(B84))))</x:f>
      </x:c>
      <x:c r="I84" s="3"/>
      <x:c r="J84" s="3"/>
      <x:c r="K84" s="3"/>
      <x:c r="L84" s="3"/>
      <x:c r="M84" s="3"/>
      <x:c r="N84" s="3"/>
      <x:c r="O84" s="3"/>
      <x:c r="P84" s="3"/>
      <x:c r="Q84" s="3"/>
    </x:row>
    <x:row r="85" ht="15" customHeight="1">
      <x:c r="A85" s="5" t="str">
        <x:f>IF(75&lt;='Сводка'!$B$3,'Сводка'!$B$4+75,"")</x:f>
      </x:c>
      <x:c r="B85" s="19" t="str">
        <x:f>IF($A85="","",(A85-37257+1)/1000)</x:f>
      </x:c>
      <x:c r="C85" s="19" t="str">
        <x:f>IF($A85="","",2*(A85-37257)/8978-1)</x:f>
      </x:c>
      <x:c r="D85" s="3" t="str">
        <x:f>IF($A85="","",$B$4*B85^$B$5)</x:f>
      </x:c>
      <x:c r="E85" s="3" t="str">
        <x:f>IF($A85="","",163.7170006565798*SQRT(1+(B85^$B$5)*$J$59*(B85^$B$5)+(B85^$B$5)*$K$59*(D85*LN(B85))+(D85*LN(B85))*$J$60*(B85^$B$5)+(D85*LN(B85))*$K$60*(D85*LN(B85))))</x:f>
      </x:c>
      <x:c r="F85" s="3" t="str">
        <x:f>IF($A85="","",D85-1.9602400929689823*E85)</x:f>
      </x:c>
      <x:c r="G85" s="3" t="str">
        <x:f>IF($A85="","",D85+1.9602400929689823*E85)</x:f>
      </x:c>
      <x:c r="H85" s="3" t="str">
        <x:f>IF($A85="","",163.7170006565798*SQRT((B85^$B$5)*$J$59*(B85^$B$5)+(B85^$B$5)*$K$59*(D85*LN(B85))+(D85*LN(B85))*$J$60*(B85^$B$5)+(D85*LN(B85))*$K$60*(D85*LN(B85))))</x:f>
      </x:c>
      <x:c r="I85" s="3"/>
      <x:c r="J85" s="3"/>
      <x:c r="K85" s="3"/>
      <x:c r="L85" s="3"/>
      <x:c r="M85" s="3"/>
      <x:c r="N85" s="3"/>
      <x:c r="O85" s="3"/>
      <x:c r="P85" s="3"/>
      <x:c r="Q85" s="3"/>
    </x:row>
    <x:row r="86" ht="15" customHeight="1">
      <x:c r="A86" s="5" t="str">
        <x:f>IF(76&lt;='Сводка'!$B$3,'Сводка'!$B$4+76,"")</x:f>
      </x:c>
      <x:c r="B86" s="19" t="str">
        <x:f>IF($A86="","",(A86-37257+1)/1000)</x:f>
      </x:c>
      <x:c r="C86" s="19" t="str">
        <x:f>IF($A86="","",2*(A86-37257)/8978-1)</x:f>
      </x:c>
      <x:c r="D86" s="3" t="str">
        <x:f>IF($A86="","",$B$4*B86^$B$5)</x:f>
      </x:c>
      <x:c r="E86" s="3" t="str">
        <x:f>IF($A86="","",163.7170006565798*SQRT(1+(B86^$B$5)*$J$59*(B86^$B$5)+(B86^$B$5)*$K$59*(D86*LN(B86))+(D86*LN(B86))*$J$60*(B86^$B$5)+(D86*LN(B86))*$K$60*(D86*LN(B86))))</x:f>
      </x:c>
      <x:c r="F86" s="3" t="str">
        <x:f>IF($A86="","",D86-1.9602400929689823*E86)</x:f>
      </x:c>
      <x:c r="G86" s="3" t="str">
        <x:f>IF($A86="","",D86+1.9602400929689823*E86)</x:f>
      </x:c>
      <x:c r="H86" s="3" t="str">
        <x:f>IF($A86="","",163.7170006565798*SQRT((B86^$B$5)*$J$59*(B86^$B$5)+(B86^$B$5)*$K$59*(D86*LN(B86))+(D86*LN(B86))*$J$60*(B86^$B$5)+(D86*LN(B86))*$K$60*(D86*LN(B86))))</x:f>
      </x:c>
      <x:c r="I86" s="3"/>
      <x:c r="J86" s="3"/>
      <x:c r="K86" s="3"/>
      <x:c r="L86" s="3"/>
      <x:c r="M86" s="3"/>
      <x:c r="N86" s="3"/>
      <x:c r="O86" s="3"/>
      <x:c r="P86" s="3"/>
      <x:c r="Q86" s="3"/>
    </x:row>
    <x:row r="87" ht="15" customHeight="1">
      <x:c r="A87" s="5" t="str">
        <x:f>IF(77&lt;='Сводка'!$B$3,'Сводка'!$B$4+77,"")</x:f>
      </x:c>
      <x:c r="B87" s="19" t="str">
        <x:f>IF($A87="","",(A87-37257+1)/1000)</x:f>
      </x:c>
      <x:c r="C87" s="19" t="str">
        <x:f>IF($A87="","",2*(A87-37257)/8978-1)</x:f>
      </x:c>
      <x:c r="D87" s="3" t="str">
        <x:f>IF($A87="","",$B$4*B87^$B$5)</x:f>
      </x:c>
      <x:c r="E87" s="3" t="str">
        <x:f>IF($A87="","",163.7170006565798*SQRT(1+(B87^$B$5)*$J$59*(B87^$B$5)+(B87^$B$5)*$K$59*(D87*LN(B87))+(D87*LN(B87))*$J$60*(B87^$B$5)+(D87*LN(B87))*$K$60*(D87*LN(B87))))</x:f>
      </x:c>
      <x:c r="F87" s="3" t="str">
        <x:f>IF($A87="","",D87-1.9602400929689823*E87)</x:f>
      </x:c>
      <x:c r="G87" s="3" t="str">
        <x:f>IF($A87="","",D87+1.9602400929689823*E87)</x:f>
      </x:c>
      <x:c r="H87" s="3" t="str">
        <x:f>IF($A87="","",163.7170006565798*SQRT((B87^$B$5)*$J$59*(B87^$B$5)+(B87^$B$5)*$K$59*(D87*LN(B87))+(D87*LN(B87))*$J$60*(B87^$B$5)+(D87*LN(B87))*$K$60*(D87*LN(B87))))</x:f>
      </x:c>
      <x:c r="I87" s="3"/>
      <x:c r="J87" s="3"/>
      <x:c r="K87" s="3"/>
      <x:c r="L87" s="3"/>
      <x:c r="M87" s="3"/>
      <x:c r="N87" s="3"/>
      <x:c r="O87" s="3"/>
      <x:c r="P87" s="3"/>
      <x:c r="Q87" s="3"/>
    </x:row>
    <x:row r="88" ht="15" customHeight="1">
      <x:c r="A88" s="5" t="str">
        <x:f>IF(78&lt;='Сводка'!$B$3,'Сводка'!$B$4+78,"")</x:f>
      </x:c>
      <x:c r="B88" s="19" t="str">
        <x:f>IF($A88="","",(A88-37257+1)/1000)</x:f>
      </x:c>
      <x:c r="C88" s="19" t="str">
        <x:f>IF($A88="","",2*(A88-37257)/8978-1)</x:f>
      </x:c>
      <x:c r="D88" s="3" t="str">
        <x:f>IF($A88="","",$B$4*B88^$B$5)</x:f>
      </x:c>
      <x:c r="E88" s="3" t="str">
        <x:f>IF($A88="","",163.7170006565798*SQRT(1+(B88^$B$5)*$J$59*(B88^$B$5)+(B88^$B$5)*$K$59*(D88*LN(B88))+(D88*LN(B88))*$J$60*(B88^$B$5)+(D88*LN(B88))*$K$60*(D88*LN(B88))))</x:f>
      </x:c>
      <x:c r="F88" s="3" t="str">
        <x:f>IF($A88="","",D88-1.9602400929689823*E88)</x:f>
      </x:c>
      <x:c r="G88" s="3" t="str">
        <x:f>IF($A88="","",D88+1.9602400929689823*E88)</x:f>
      </x:c>
      <x:c r="H88" s="3" t="str">
        <x:f>IF($A88="","",163.7170006565798*SQRT((B88^$B$5)*$J$59*(B88^$B$5)+(B88^$B$5)*$K$59*(D88*LN(B88))+(D88*LN(B88))*$J$60*(B88^$B$5)+(D88*LN(B88))*$K$60*(D88*LN(B88))))</x:f>
      </x:c>
      <x:c r="I88" s="3"/>
      <x:c r="J88" s="3"/>
      <x:c r="K88" s="3"/>
      <x:c r="L88" s="3"/>
      <x:c r="M88" s="3"/>
      <x:c r="N88" s="3"/>
      <x:c r="O88" s="3"/>
      <x:c r="P88" s="3"/>
      <x:c r="Q88" s="3"/>
    </x:row>
    <x:row r="89" ht="15" customHeight="1">
      <x:c r="A89" s="5" t="str">
        <x:f>IF(79&lt;='Сводка'!$B$3,'Сводка'!$B$4+79,"")</x:f>
      </x:c>
      <x:c r="B89" s="19" t="str">
        <x:f>IF($A89="","",(A89-37257+1)/1000)</x:f>
      </x:c>
      <x:c r="C89" s="19" t="str">
        <x:f>IF($A89="","",2*(A89-37257)/8978-1)</x:f>
      </x:c>
      <x:c r="D89" s="3" t="str">
        <x:f>IF($A89="","",$B$4*B89^$B$5)</x:f>
      </x:c>
      <x:c r="E89" s="3" t="str">
        <x:f>IF($A89="","",163.7170006565798*SQRT(1+(B89^$B$5)*$J$59*(B89^$B$5)+(B89^$B$5)*$K$59*(D89*LN(B89))+(D89*LN(B89))*$J$60*(B89^$B$5)+(D89*LN(B89))*$K$60*(D89*LN(B89))))</x:f>
      </x:c>
      <x:c r="F89" s="3" t="str">
        <x:f>IF($A89="","",D89-1.9602400929689823*E89)</x:f>
      </x:c>
      <x:c r="G89" s="3" t="str">
        <x:f>IF($A89="","",D89+1.9602400929689823*E89)</x:f>
      </x:c>
      <x:c r="H89" s="3" t="str">
        <x:f>IF($A89="","",163.7170006565798*SQRT((B89^$B$5)*$J$59*(B89^$B$5)+(B89^$B$5)*$K$59*(D89*LN(B89))+(D89*LN(B89))*$J$60*(B89^$B$5)+(D89*LN(B89))*$K$60*(D89*LN(B89))))</x:f>
      </x:c>
      <x:c r="I89" s="3"/>
      <x:c r="J89" s="3"/>
      <x:c r="K89" s="3"/>
      <x:c r="L89" s="3"/>
      <x:c r="M89" s="3"/>
      <x:c r="N89" s="3"/>
      <x:c r="O89" s="3"/>
      <x:c r="P89" s="3"/>
      <x:c r="Q89" s="3"/>
    </x:row>
    <x:row r="90" ht="15" customHeight="1">
      <x:c r="A90" s="5" t="str">
        <x:f>IF(80&lt;='Сводка'!$B$3,'Сводка'!$B$4+80,"")</x:f>
      </x:c>
      <x:c r="B90" s="19" t="str">
        <x:f>IF($A90="","",(A90-37257+1)/1000)</x:f>
      </x:c>
      <x:c r="C90" s="19" t="str">
        <x:f>IF($A90="","",2*(A90-37257)/8978-1)</x:f>
      </x:c>
      <x:c r="D90" s="3" t="str">
        <x:f>IF($A90="","",$B$4*B90^$B$5)</x:f>
      </x:c>
      <x:c r="E90" s="3" t="str">
        <x:f>IF($A90="","",163.7170006565798*SQRT(1+(B90^$B$5)*$J$59*(B90^$B$5)+(B90^$B$5)*$K$59*(D90*LN(B90))+(D90*LN(B90))*$J$60*(B90^$B$5)+(D90*LN(B90))*$K$60*(D90*LN(B90))))</x:f>
      </x:c>
      <x:c r="F90" s="3" t="str">
        <x:f>IF($A90="","",D90-1.9602400929689823*E90)</x:f>
      </x:c>
      <x:c r="G90" s="3" t="str">
        <x:f>IF($A90="","",D90+1.9602400929689823*E90)</x:f>
      </x:c>
      <x:c r="H90" s="3" t="str">
        <x:f>IF($A90="","",163.7170006565798*SQRT((B90^$B$5)*$J$59*(B90^$B$5)+(B90^$B$5)*$K$59*(D90*LN(B90))+(D90*LN(B90))*$J$60*(B90^$B$5)+(D90*LN(B90))*$K$60*(D90*LN(B90))))</x:f>
      </x:c>
      <x:c r="I90" s="3"/>
      <x:c r="J90" s="3"/>
      <x:c r="K90" s="3"/>
      <x:c r="L90" s="3"/>
      <x:c r="M90" s="3"/>
      <x:c r="N90" s="3"/>
      <x:c r="O90" s="3"/>
      <x:c r="P90" s="3"/>
      <x:c r="Q90" s="3"/>
    </x:row>
    <x:row r="91" ht="15" customHeight="1">
      <x:c r="A91" s="5" t="str">
        <x:f>IF(81&lt;='Сводка'!$B$3,'Сводка'!$B$4+81,"")</x:f>
      </x:c>
      <x:c r="B91" s="19" t="str">
        <x:f>IF($A91="","",(A91-37257+1)/1000)</x:f>
      </x:c>
      <x:c r="C91" s="19" t="str">
        <x:f>IF($A91="","",2*(A91-37257)/8978-1)</x:f>
      </x:c>
      <x:c r="D91" s="3" t="str">
        <x:f>IF($A91="","",$B$4*B91^$B$5)</x:f>
      </x:c>
      <x:c r="E91" s="3" t="str">
        <x:f>IF($A91="","",163.7170006565798*SQRT(1+(B91^$B$5)*$J$59*(B91^$B$5)+(B91^$B$5)*$K$59*(D91*LN(B91))+(D91*LN(B91))*$J$60*(B91^$B$5)+(D91*LN(B91))*$K$60*(D91*LN(B91))))</x:f>
      </x:c>
      <x:c r="F91" s="3" t="str">
        <x:f>IF($A91="","",D91-1.9602400929689823*E91)</x:f>
      </x:c>
      <x:c r="G91" s="3" t="str">
        <x:f>IF($A91="","",D91+1.9602400929689823*E91)</x:f>
      </x:c>
      <x:c r="H91" s="3" t="str">
        <x:f>IF($A91="","",163.7170006565798*SQRT((B91^$B$5)*$J$59*(B91^$B$5)+(B91^$B$5)*$K$59*(D91*LN(B91))+(D91*LN(B91))*$J$60*(B91^$B$5)+(D91*LN(B91))*$K$60*(D91*LN(B91))))</x:f>
      </x:c>
      <x:c r="I91" s="3"/>
      <x:c r="J91" s="3"/>
      <x:c r="K91" s="3"/>
      <x:c r="L91" s="3"/>
      <x:c r="M91" s="3"/>
      <x:c r="N91" s="3"/>
      <x:c r="O91" s="3"/>
      <x:c r="P91" s="3"/>
      <x:c r="Q91" s="3"/>
    </x:row>
    <x:row r="92" ht="15" customHeight="1">
      <x:c r="A92" s="5" t="str">
        <x:f>IF(82&lt;='Сводка'!$B$3,'Сводка'!$B$4+82,"")</x:f>
      </x:c>
      <x:c r="B92" s="19" t="str">
        <x:f>IF($A92="","",(A92-37257+1)/1000)</x:f>
      </x:c>
      <x:c r="C92" s="19" t="str">
        <x:f>IF($A92="","",2*(A92-37257)/8978-1)</x:f>
      </x:c>
      <x:c r="D92" s="3" t="str">
        <x:f>IF($A92="","",$B$4*B92^$B$5)</x:f>
      </x:c>
      <x:c r="E92" s="3" t="str">
        <x:f>IF($A92="","",163.7170006565798*SQRT(1+(B92^$B$5)*$J$59*(B92^$B$5)+(B92^$B$5)*$K$59*(D92*LN(B92))+(D92*LN(B92))*$J$60*(B92^$B$5)+(D92*LN(B92))*$K$60*(D92*LN(B92))))</x:f>
      </x:c>
      <x:c r="F92" s="3" t="str">
        <x:f>IF($A92="","",D92-1.9602400929689823*E92)</x:f>
      </x:c>
      <x:c r="G92" s="3" t="str">
        <x:f>IF($A92="","",D92+1.9602400929689823*E92)</x:f>
      </x:c>
      <x:c r="H92" s="3" t="str">
        <x:f>IF($A92="","",163.7170006565798*SQRT((B92^$B$5)*$J$59*(B92^$B$5)+(B92^$B$5)*$K$59*(D92*LN(B92))+(D92*LN(B92))*$J$60*(B92^$B$5)+(D92*LN(B92))*$K$60*(D92*LN(B92))))</x:f>
      </x:c>
      <x:c r="I92" s="3"/>
      <x:c r="J92" s="3"/>
      <x:c r="K92" s="3"/>
      <x:c r="L92" s="3"/>
      <x:c r="M92" s="3"/>
      <x:c r="N92" s="3"/>
      <x:c r="O92" s="3"/>
      <x:c r="P92" s="3"/>
      <x:c r="Q92" s="3"/>
    </x:row>
    <x:row r="93" ht="15" customHeight="1">
      <x:c r="A93" s="5" t="str">
        <x:f>IF(83&lt;='Сводка'!$B$3,'Сводка'!$B$4+83,"")</x:f>
      </x:c>
      <x:c r="B93" s="19" t="str">
        <x:f>IF($A93="","",(A93-37257+1)/1000)</x:f>
      </x:c>
      <x:c r="C93" s="19" t="str">
        <x:f>IF($A93="","",2*(A93-37257)/8978-1)</x:f>
      </x:c>
      <x:c r="D93" s="3" t="str">
        <x:f>IF($A93="","",$B$4*B93^$B$5)</x:f>
      </x:c>
      <x:c r="E93" s="3" t="str">
        <x:f>IF($A93="","",163.7170006565798*SQRT(1+(B93^$B$5)*$J$59*(B93^$B$5)+(B93^$B$5)*$K$59*(D93*LN(B93))+(D93*LN(B93))*$J$60*(B93^$B$5)+(D93*LN(B93))*$K$60*(D93*LN(B93))))</x:f>
      </x:c>
      <x:c r="F93" s="3" t="str">
        <x:f>IF($A93="","",D93-1.9602400929689823*E93)</x:f>
      </x:c>
      <x:c r="G93" s="3" t="str">
        <x:f>IF($A93="","",D93+1.9602400929689823*E93)</x:f>
      </x:c>
      <x:c r="H93" s="3" t="str">
        <x:f>IF($A93="","",163.7170006565798*SQRT((B93^$B$5)*$J$59*(B93^$B$5)+(B93^$B$5)*$K$59*(D93*LN(B93))+(D93*LN(B93))*$J$60*(B93^$B$5)+(D93*LN(B93))*$K$60*(D93*LN(B93))))</x:f>
      </x:c>
      <x:c r="I93" s="3"/>
      <x:c r="J93" s="3"/>
      <x:c r="K93" s="3"/>
      <x:c r="L93" s="3"/>
      <x:c r="M93" s="3"/>
      <x:c r="N93" s="3"/>
      <x:c r="O93" s="3"/>
      <x:c r="P93" s="3"/>
      <x:c r="Q93" s="3"/>
    </x:row>
    <x:row r="94" ht="15" customHeight="1">
      <x:c r="A94" s="5" t="str">
        <x:f>IF(84&lt;='Сводка'!$B$3,'Сводка'!$B$4+84,"")</x:f>
      </x:c>
      <x:c r="B94" s="19" t="str">
        <x:f>IF($A94="","",(A94-37257+1)/1000)</x:f>
      </x:c>
      <x:c r="C94" s="19" t="str">
        <x:f>IF($A94="","",2*(A94-37257)/8978-1)</x:f>
      </x:c>
      <x:c r="D94" s="3" t="str">
        <x:f>IF($A94="","",$B$4*B94^$B$5)</x:f>
      </x:c>
      <x:c r="E94" s="3" t="str">
        <x:f>IF($A94="","",163.7170006565798*SQRT(1+(B94^$B$5)*$J$59*(B94^$B$5)+(B94^$B$5)*$K$59*(D94*LN(B94))+(D94*LN(B94))*$J$60*(B94^$B$5)+(D94*LN(B94))*$K$60*(D94*LN(B94))))</x:f>
      </x:c>
      <x:c r="F94" s="3" t="str">
        <x:f>IF($A94="","",D94-1.9602400929689823*E94)</x:f>
      </x:c>
      <x:c r="G94" s="3" t="str">
        <x:f>IF($A94="","",D94+1.9602400929689823*E94)</x:f>
      </x:c>
      <x:c r="H94" s="3" t="str">
        <x:f>IF($A94="","",163.7170006565798*SQRT((B94^$B$5)*$J$59*(B94^$B$5)+(B94^$B$5)*$K$59*(D94*LN(B94))+(D94*LN(B94))*$J$60*(B94^$B$5)+(D94*LN(B94))*$K$60*(D94*LN(B94))))</x:f>
      </x:c>
      <x:c r="I94" s="3"/>
      <x:c r="J94" s="3"/>
      <x:c r="K94" s="3"/>
      <x:c r="L94" s="3"/>
      <x:c r="M94" s="3"/>
      <x:c r="N94" s="3"/>
      <x:c r="O94" s="3"/>
      <x:c r="P94" s="3"/>
      <x:c r="Q94" s="3"/>
    </x:row>
    <x:row r="95" ht="15" customHeight="1">
      <x:c r="A95" s="5" t="str">
        <x:f>IF(85&lt;='Сводка'!$B$3,'Сводка'!$B$4+85,"")</x:f>
      </x:c>
      <x:c r="B95" s="19" t="str">
        <x:f>IF($A95="","",(A95-37257+1)/1000)</x:f>
      </x:c>
      <x:c r="C95" s="19" t="str">
        <x:f>IF($A95="","",2*(A95-37257)/8978-1)</x:f>
      </x:c>
      <x:c r="D95" s="3" t="str">
        <x:f>IF($A95="","",$B$4*B95^$B$5)</x:f>
      </x:c>
      <x:c r="E95" s="3" t="str">
        <x:f>IF($A95="","",163.7170006565798*SQRT(1+(B95^$B$5)*$J$59*(B95^$B$5)+(B95^$B$5)*$K$59*(D95*LN(B95))+(D95*LN(B95))*$J$60*(B95^$B$5)+(D95*LN(B95))*$K$60*(D95*LN(B95))))</x:f>
      </x:c>
      <x:c r="F95" s="3" t="str">
        <x:f>IF($A95="","",D95-1.9602400929689823*E95)</x:f>
      </x:c>
      <x:c r="G95" s="3" t="str">
        <x:f>IF($A95="","",D95+1.9602400929689823*E95)</x:f>
      </x:c>
      <x:c r="H95" s="3" t="str">
        <x:f>IF($A95="","",163.7170006565798*SQRT((B95^$B$5)*$J$59*(B95^$B$5)+(B95^$B$5)*$K$59*(D95*LN(B95))+(D95*LN(B95))*$J$60*(B95^$B$5)+(D95*LN(B95))*$K$60*(D95*LN(B95))))</x:f>
      </x:c>
      <x:c r="I95" s="3"/>
      <x:c r="J95" s="3"/>
      <x:c r="K95" s="3"/>
      <x:c r="L95" s="3"/>
      <x:c r="M95" s="3"/>
      <x:c r="N95" s="3"/>
      <x:c r="O95" s="3"/>
      <x:c r="P95" s="3"/>
      <x:c r="Q95" s="3"/>
    </x:row>
    <x:row r="96" ht="15" customHeight="1">
      <x:c r="A96" s="5" t="str">
        <x:f>IF(86&lt;='Сводка'!$B$3,'Сводка'!$B$4+86,"")</x:f>
      </x:c>
      <x:c r="B96" s="19" t="str">
        <x:f>IF($A96="","",(A96-37257+1)/1000)</x:f>
      </x:c>
      <x:c r="C96" s="19" t="str">
        <x:f>IF($A96="","",2*(A96-37257)/8978-1)</x:f>
      </x:c>
      <x:c r="D96" s="3" t="str">
        <x:f>IF($A96="","",$B$4*B96^$B$5)</x:f>
      </x:c>
      <x:c r="E96" s="3" t="str">
        <x:f>IF($A96="","",163.7170006565798*SQRT(1+(B96^$B$5)*$J$59*(B96^$B$5)+(B96^$B$5)*$K$59*(D96*LN(B96))+(D96*LN(B96))*$J$60*(B96^$B$5)+(D96*LN(B96))*$K$60*(D96*LN(B96))))</x:f>
      </x:c>
      <x:c r="F96" s="3" t="str">
        <x:f>IF($A96="","",D96-1.9602400929689823*E96)</x:f>
      </x:c>
      <x:c r="G96" s="3" t="str">
        <x:f>IF($A96="","",D96+1.9602400929689823*E96)</x:f>
      </x:c>
      <x:c r="H96" s="3" t="str">
        <x:f>IF($A96="","",163.7170006565798*SQRT((B96^$B$5)*$J$59*(B96^$B$5)+(B96^$B$5)*$K$59*(D96*LN(B96))+(D96*LN(B96))*$J$60*(B96^$B$5)+(D96*LN(B96))*$K$60*(D96*LN(B96))))</x:f>
      </x:c>
      <x:c r="I96" s="3"/>
      <x:c r="J96" s="3"/>
      <x:c r="K96" s="3"/>
      <x:c r="L96" s="3"/>
      <x:c r="M96" s="3"/>
      <x:c r="N96" s="3"/>
      <x:c r="O96" s="3"/>
      <x:c r="P96" s="3"/>
      <x:c r="Q96" s="3"/>
    </x:row>
    <x:row r="97" ht="15" customHeight="1">
      <x:c r="A97" s="5" t="str">
        <x:f>IF(87&lt;='Сводка'!$B$3,'Сводка'!$B$4+87,"")</x:f>
      </x:c>
      <x:c r="B97" s="19" t="str">
        <x:f>IF($A97="","",(A97-37257+1)/1000)</x:f>
      </x:c>
      <x:c r="C97" s="19" t="str">
        <x:f>IF($A97="","",2*(A97-37257)/8978-1)</x:f>
      </x:c>
      <x:c r="D97" s="3" t="str">
        <x:f>IF($A97="","",$B$4*B97^$B$5)</x:f>
      </x:c>
      <x:c r="E97" s="3" t="str">
        <x:f>IF($A97="","",163.7170006565798*SQRT(1+(B97^$B$5)*$J$59*(B97^$B$5)+(B97^$B$5)*$K$59*(D97*LN(B97))+(D97*LN(B97))*$J$60*(B97^$B$5)+(D97*LN(B97))*$K$60*(D97*LN(B97))))</x:f>
      </x:c>
      <x:c r="F97" s="3" t="str">
        <x:f>IF($A97="","",D97-1.9602400929689823*E97)</x:f>
      </x:c>
      <x:c r="G97" s="3" t="str">
        <x:f>IF($A97="","",D97+1.9602400929689823*E97)</x:f>
      </x:c>
      <x:c r="H97" s="3" t="str">
        <x:f>IF($A97="","",163.7170006565798*SQRT((B97^$B$5)*$J$59*(B97^$B$5)+(B97^$B$5)*$K$59*(D97*LN(B97))+(D97*LN(B97))*$J$60*(B97^$B$5)+(D97*LN(B97))*$K$60*(D97*LN(B97))))</x:f>
      </x:c>
      <x:c r="I97" s="3"/>
      <x:c r="J97" s="3"/>
      <x:c r="K97" s="3"/>
      <x:c r="L97" s="3"/>
      <x:c r="M97" s="3"/>
      <x:c r="N97" s="3"/>
      <x:c r="O97" s="3"/>
      <x:c r="P97" s="3"/>
      <x:c r="Q97" s="3"/>
    </x:row>
    <x:row r="98" ht="15" customHeight="1">
      <x:c r="A98" s="5" t="str">
        <x:f>IF(88&lt;='Сводка'!$B$3,'Сводка'!$B$4+88,"")</x:f>
      </x:c>
      <x:c r="B98" s="19" t="str">
        <x:f>IF($A98="","",(A98-37257+1)/1000)</x:f>
      </x:c>
      <x:c r="C98" s="19" t="str">
        <x:f>IF($A98="","",2*(A98-37257)/8978-1)</x:f>
      </x:c>
      <x:c r="D98" s="3" t="str">
        <x:f>IF($A98="","",$B$4*B98^$B$5)</x:f>
      </x:c>
      <x:c r="E98" s="3" t="str">
        <x:f>IF($A98="","",163.7170006565798*SQRT(1+(B98^$B$5)*$J$59*(B98^$B$5)+(B98^$B$5)*$K$59*(D98*LN(B98))+(D98*LN(B98))*$J$60*(B98^$B$5)+(D98*LN(B98))*$K$60*(D98*LN(B98))))</x:f>
      </x:c>
      <x:c r="F98" s="3" t="str">
        <x:f>IF($A98="","",D98-1.9602400929689823*E98)</x:f>
      </x:c>
      <x:c r="G98" s="3" t="str">
        <x:f>IF($A98="","",D98+1.9602400929689823*E98)</x:f>
      </x:c>
      <x:c r="H98" s="3" t="str">
        <x:f>IF($A98="","",163.7170006565798*SQRT((B98^$B$5)*$J$59*(B98^$B$5)+(B98^$B$5)*$K$59*(D98*LN(B98))+(D98*LN(B98))*$J$60*(B98^$B$5)+(D98*LN(B98))*$K$60*(D98*LN(B98))))</x:f>
      </x:c>
      <x:c r="I98" s="3"/>
      <x:c r="J98" s="3"/>
      <x:c r="K98" s="3"/>
      <x:c r="L98" s="3"/>
      <x:c r="M98" s="3"/>
      <x:c r="N98" s="3"/>
      <x:c r="O98" s="3"/>
      <x:c r="P98" s="3"/>
      <x:c r="Q98" s="3"/>
    </x:row>
    <x:row r="99" ht="15" customHeight="1">
      <x:c r="A99" s="5" t="str">
        <x:f>IF(89&lt;='Сводка'!$B$3,'Сводка'!$B$4+89,"")</x:f>
      </x:c>
      <x:c r="B99" s="19" t="str">
        <x:f>IF($A99="","",(A99-37257+1)/1000)</x:f>
      </x:c>
      <x:c r="C99" s="19" t="str">
        <x:f>IF($A99="","",2*(A99-37257)/8978-1)</x:f>
      </x:c>
      <x:c r="D99" s="3" t="str">
        <x:f>IF($A99="","",$B$4*B99^$B$5)</x:f>
      </x:c>
      <x:c r="E99" s="3" t="str">
        <x:f>IF($A99="","",163.7170006565798*SQRT(1+(B99^$B$5)*$J$59*(B99^$B$5)+(B99^$B$5)*$K$59*(D99*LN(B99))+(D99*LN(B99))*$J$60*(B99^$B$5)+(D99*LN(B99))*$K$60*(D99*LN(B99))))</x:f>
      </x:c>
      <x:c r="F99" s="3" t="str">
        <x:f>IF($A99="","",D99-1.9602400929689823*E99)</x:f>
      </x:c>
      <x:c r="G99" s="3" t="str">
        <x:f>IF($A99="","",D99+1.9602400929689823*E99)</x:f>
      </x:c>
      <x:c r="H99" s="3" t="str">
        <x:f>IF($A99="","",163.7170006565798*SQRT((B99^$B$5)*$J$59*(B99^$B$5)+(B99^$B$5)*$K$59*(D99*LN(B99))+(D99*LN(B99))*$J$60*(B99^$B$5)+(D99*LN(B99))*$K$60*(D99*LN(B99))))</x:f>
      </x:c>
      <x:c r="I99" s="3"/>
      <x:c r="J99" s="3"/>
      <x:c r="K99" s="3"/>
      <x:c r="L99" s="3"/>
      <x:c r="M99" s="3"/>
      <x:c r="N99" s="3"/>
      <x:c r="O99" s="3"/>
      <x:c r="P99" s="3"/>
      <x:c r="Q99" s="3"/>
    </x:row>
    <x:row r="100" ht="15" customHeight="1">
      <x:c r="A100" s="5" t="str">
        <x:f>IF(90&lt;='Сводка'!$B$3,'Сводка'!$B$4+90,"")</x:f>
      </x:c>
      <x:c r="B100" s="19" t="str">
        <x:f>IF($A100="","",(A100-37257+1)/1000)</x:f>
      </x:c>
      <x:c r="C100" s="19" t="str">
        <x:f>IF($A100="","",2*(A100-37257)/8978-1)</x:f>
      </x:c>
      <x:c r="D100" s="3" t="str">
        <x:f>IF($A100="","",$B$4*B100^$B$5)</x:f>
      </x:c>
      <x:c r="E100" s="3" t="str">
        <x:f>IF($A100="","",163.7170006565798*SQRT(1+(B100^$B$5)*$J$59*(B100^$B$5)+(B100^$B$5)*$K$59*(D100*LN(B100))+(D100*LN(B100))*$J$60*(B100^$B$5)+(D100*LN(B100))*$K$60*(D100*LN(B100))))</x:f>
      </x:c>
      <x:c r="F100" s="3" t="str">
        <x:f>IF($A100="","",D100-1.9602400929689823*E100)</x:f>
      </x:c>
      <x:c r="G100" s="3" t="str">
        <x:f>IF($A100="","",D100+1.9602400929689823*E100)</x:f>
      </x:c>
      <x:c r="H100" s="3" t="str">
        <x:f>IF($A100="","",163.7170006565798*SQRT((B100^$B$5)*$J$59*(B100^$B$5)+(B100^$B$5)*$K$59*(D100*LN(B100))+(D100*LN(B100))*$J$60*(B100^$B$5)+(D100*LN(B100))*$K$60*(D100*LN(B100))))</x:f>
      </x:c>
      <x:c r="I100" s="3"/>
      <x:c r="J100" s="3"/>
      <x:c r="K100" s="3"/>
      <x:c r="L100" s="3"/>
      <x:c r="M100" s="3"/>
      <x:c r="N100" s="3"/>
      <x:c r="O100" s="3"/>
      <x:c r="P100" s="3"/>
      <x:c r="Q100" s="3"/>
    </x:row>
    <x:row r="101" ht="1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</x:row>
  </x:sheetData>
  <x:pageMargins left="0.7" right="0.7" top="0.75" bottom="0.75" header="0.3" footer="0.3"/>
  <x:drawing xmlns:r="http://schemas.openxmlformats.org/officeDocument/2006/relationships" r:id="R4c4eb46f7c804f27"/>
</x:worksheet>
</file>

<file path=xl/worksheets/sheet5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5" customHeight="1">
      <x:c r="A1" s="3" t="str">
        <x:v>Логарифмическая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customHeight="1">
      <x:c r="A2" s="3" t="str">
        <x:v>H = a + b·ln(x)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customHeight="1">
      <x:c r="A3" s="12" t="str">
        <x:v>Коэф.</x:v>
      </x:c>
      <x:c r="B3" s="12" t="str">
        <x:v>Оценка</x:v>
      </x:c>
      <x:c r="C3" s="12" t="str">
        <x:v>SE</x:v>
      </x:c>
      <x:c r="D3" s="3" t="str">
        <x:v>Коэффициенты (тест)</x:v>
      </x:c>
      <x:c r="E3" s="3"/>
      <x:c r="F3" s="3" t="str">
        <x:v>Показатели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customHeight="1">
      <x:c r="A4" s="7" t="str">
        <x:v>a</x:v>
      </x:c>
      <x:c r="B4" s="15" t="n">
        <x:f>$J$59*$O$52+$K$59*$O$53</x:f>
        <x:v>0.824596089735536</x:v>
      </x:c>
      <x:c r="C4" s="15" t="n">
        <x:f>162.51458035855006*SQRT($J$59)</x:f>
        <x:v>2.7146570757251913</x:v>
      </x:c>
      <x:c r="D4" s="7" t="str">
        <x:v>a</x:v>
      </x:c>
      <x:c r="E4" s="15" t="n">
        <x:v>0.9207116186018109</x:v>
      </x:c>
      <x:c r="F4" s="7" t="str">
        <x:v>R²</x:v>
      </x:c>
      <x:c r="G4" s="17" t="n">
        <x:v>0.1080285702363496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customHeight="1">
      <x:c r="A5" s="7" t="str">
        <x:v>b</x:v>
      </x:c>
      <x:c r="B5" s="15" t="n">
        <x:f>$J$60*$O$52+$K$60*$O$53</x:f>
        <x:v>56.750231955374375</x:v>
      </x:c>
      <x:c r="C5" s="15" t="n">
        <x:f>162.51458035855006*SQRT($K$60)</x:f>
        <x:v>1.7591440062621226</x:v>
      </x:c>
      <x:c r="D5" s="7" t="str">
        <x:v>b</x:v>
      </x:c>
      <x:c r="E5" s="15" t="n">
        <x:v>56.27114627145038</x:v>
      </x:c>
      <x:c r="F5" s="7" t="str">
        <x:v>MAE</x:v>
      </x:c>
      <x:c r="G5" s="7" t="n">
        <x:f>AVERAGE(N20:N49)</x:f>
        <x:v>135.69479455395026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1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1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1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ht="15" customHeight="1">
      <x:c r="A9" s="3" t="str">
        <x:v>Прогноз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ht="15" customHeight="1">
      <x:c r="A10" s="13" t="str">
        <x:v>Дата</x:v>
      </x:c>
      <x:c r="B10" s="13" t="str">
        <x:v>x</x:v>
      </x:c>
      <x:c r="C10" s="13" t="str">
        <x:v>u</x:v>
      </x:c>
      <x:c r="D10" s="13" t="str">
        <x:v>Прогноз</x:v>
      </x:c>
      <x:c r="E10" s="13" t="str">
        <x:v>SE прогноза</x:v>
      </x:c>
      <x:c r="F10" s="13" t="str">
        <x:v>Нижняя 95%</x:v>
      </x:c>
      <x:c r="G10" s="13" t="str">
        <x:v>Верхняя 95%</x:v>
      </x:c>
      <x:c r="H10" s="13" t="str">
        <x:v>SE среднего</x:v>
      </x:c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15" customHeight="1">
      <x:c r="A11" s="9" t="n">
        <x:f>IF(1&lt;='Сводка'!$B$3,'Сводка'!$B$4+1,"")</x:f>
        <x:v>46236</x:v>
      </x:c>
      <x:c r="B11" s="18" t="n">
        <x:f>IF($A11="","",(A11-37257+1)/1000)</x:f>
        <x:v>8.98</x:v>
      </x:c>
      <x:c r="C11" s="18" t="n">
        <x:f>IF($A11="","",2*(A11-37257)/8978-1)</x:f>
        <x:v>1.000222766763199</x:v>
      </x:c>
      <x:c r="D11" s="7" t="n">
        <x:f>IF($A11="","",$B$4+$B$5*LN(B11))</x:f>
        <x:v>125.39134855308063</x:v>
      </x:c>
      <x:c r="E11" s="7" t="n">
        <x:f>IF($A11="","",162.51458035855*SQRT(1+(1)*$J$59*(1)+(1)*$K$59*(LN(B11))+(LN(B11))*$J$60*(1)+(LN(B11))*$K$60*(LN(B11))))</x:f>
        <x:v>162.53387474824692</x:v>
      </x:c>
      <x:c r="F11" s="7" t="n">
        <x:f>IF($A11="","",D11-1.9602400929689823*E11)</x:f>
        <x:v>-193.21406919403185</x:v>
      </x:c>
      <x:c r="G11" s="7" t="n">
        <x:f>IF($A11="","",D11+1.9602400929689823*E11)</x:f>
        <x:v>443.99676630019314</x:v>
      </x:c>
      <x:c r="H11" s="7" t="n">
        <x:f>IF($A11="","",162.51458035855*SQRT((1)*$J$59*(1)+(1)*$K$59*(LN(B11))+(LN(B11))*$J$60*(1)+(LN(B11))*$K$60*(LN(B11))))</x:f>
        <x:v>2.504318582609702</x:v>
      </x:c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customHeight="1">
      <x:c r="A12" s="9" t="n">
        <x:f>IF(2&lt;='Сводка'!$B$3,'Сводка'!$B$4+2,"")</x:f>
        <x:v>46237</x:v>
      </x:c>
      <x:c r="B12" s="18" t="n">
        <x:f>IF($A12="","",(A12-37257+1)/1000)</x:f>
        <x:v>8.981</x:v>
      </x:c>
      <x:c r="C12" s="18" t="n">
        <x:f>IF($A12="","",2*(A12-37257)/8978-1)</x:f>
        <x:v>1.0004455335263978</x:v>
      </x:c>
      <x:c r="D12" s="7" t="n">
        <x:f>IF($A12="","",$B$4+$B$5*LN(B12))</x:f>
        <x:v>125.39766782617389</x:v>
      </x:c>
      <x:c r="E12" s="7" t="n">
        <x:f>IF($A12="","",162.51458035855*SQRT(1+(1)*$J$59*(1)+(1)*$K$59*(LN(B12))+(LN(B12))*$J$60*(1)+(LN(B12))*$K$60*(LN(B12))))</x:f>
        <x:v>162.53387690387055</x:v>
      </x:c>
      <x:c r="F12" s="7" t="n">
        <x:f>IF($A12="","",D12-1.9602400929689823*E12)</x:f>
        <x:v>-193.20775414647844</x:v>
      </x:c>
      <x:c r="G12" s="7" t="n">
        <x:f>IF($A12="","",D12+1.9602400929689823*E12)</x:f>
        <x:v>444.0030897988262</x:v>
      </x:c>
      <x:c r="H12" s="7" t="n">
        <x:f>IF($A12="","",162.51458035855*SQRT((1)*$J$59*(1)+(1)*$K$59*(LN(B12))+(LN(B12))*$J$60*(1)+(LN(B12))*$K$60*(LN(B12))))</x:f>
        <x:v>2.5044584817757674</x:v>
      </x:c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customHeight="1">
      <x:c r="A13" s="9" t="n">
        <x:f>IF(3&lt;='Сводка'!$B$3,'Сводка'!$B$4+3,"")</x:f>
        <x:v>46238</x:v>
      </x:c>
      <x:c r="B13" s="18" t="n">
        <x:f>IF($A13="","",(A13-37257+1)/1000)</x:f>
        <x:v>8.982</x:v>
      </x:c>
      <x:c r="C13" s="18" t="n">
        <x:f>IF($A13="","",2*(A13-37257)/8978-1)</x:f>
        <x:v>1.0006683002895969</x:v>
      </x:c>
      <x:c r="D13" s="7" t="n">
        <x:f>IF($A13="","",$B$4+$B$5*LN(B13))</x:f>
        <x:v>125.40398639567941</x:v>
      </x:c>
      <x:c r="E13" s="7" t="n">
        <x:f>IF($A13="","",162.51458035855*SQRT(1+(1)*$J$59*(1)+(1)*$K$59*(LN(B13))+(LN(B13))*$J$60*(1)+(LN(B13))*$K$60*(LN(B13))))</x:f>
        <x:v>162.53387905949023</x:v>
      </x:c>
      <x:c r="F13" s="7" t="n">
        <x:f>IF($A13="","",D13-1.9602400929689823*E13)</x:f>
        <x:v>-193.20143980250504</x:v>
      </x:c>
      <x:c r="G13" s="7" t="n">
        <x:f>IF($A13="","",D13+1.9602400929689823*E13)</x:f>
        <x:v>444.00941259386383</x:v>
      </x:c>
      <x:c r="H13" s="7" t="n">
        <x:f>IF($A13="","",162.51458035855*SQRT((1)*$J$59*(1)+(1)*$K$59*(LN(B13))+(LN(B13))*$J$60*(1)+(LN(B13))*$K$60*(LN(B13))))</x:f>
        <x:v>2.5045983728700447</x:v>
      </x:c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customHeight="1">
      <x:c r="A14" s="9" t="n">
        <x:f>IF(4&lt;='Сводка'!$B$3,'Сводка'!$B$4+4,"")</x:f>
        <x:v>46239</x:v>
      </x:c>
      <x:c r="B14" s="18" t="n">
        <x:f>IF($A14="","",(A14-37257+1)/1000)</x:f>
        <x:v>8.983</x:v>
      </x:c>
      <x:c r="C14" s="18" t="n">
        <x:f>IF($A14="","",2*(A14-37257)/8978-1)</x:f>
        <x:v>1.0008910670527955</x:v>
      </x:c>
      <x:c r="D14" s="7" t="n">
        <x:f>IF($A14="","",$B$4+$B$5*LN(B14))</x:f>
        <x:v>125.41030426175391</x:v>
      </x:c>
      <x:c r="E14" s="7" t="n">
        <x:f>IF($A14="","",162.51458035855*SQRT(1+(1)*$J$59*(1)+(1)*$K$59*(LN(B14))+(LN(B14))*$J$60*(1)+(LN(B14))*$K$60*(LN(B14))))</x:f>
        <x:v>162.53388121510585</x:v>
      </x:c>
      <x:c r="F14" s="7" t="n">
        <x:f>IF($A14="","",D14-1.9602400929689823*E14)</x:f>
        <x:v>-193.19512616195473</x:v>
      </x:c>
      <x:c r="G14" s="7" t="n">
        <x:f>IF($A14="","",D14+1.9602400929689823*E14)</x:f>
        <x:v>444.0157346854626</x:v>
      </x:c>
      <x:c r="H14" s="7" t="n">
        <x:f>IF($A14="","",162.51458035855*SQRT((1)*$J$59*(1)+(1)*$K$59*(LN(B14))+(LN(B14))*$J$60*(1)+(LN(B14))*$K$60*(LN(B14))))</x:f>
        <x:v>2.50473825589224</x:v>
      </x:c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customHeight="1">
      <x:c r="A15" s="9" t="n">
        <x:f>IF(5&lt;='Сводка'!$B$3,'Сводка'!$B$4+5,"")</x:f>
        <x:v>46240</x:v>
      </x:c>
      <x:c r="B15" s="18" t="n">
        <x:f>IF($A15="","",(A15-37257+1)/1000)</x:f>
        <x:v>8.984</x:v>
      </x:c>
      <x:c r="C15" s="18" t="n">
        <x:f>IF($A15="","",2*(A15-37257)/8978-1)</x:f>
        <x:v>1.0011138338159946</x:v>
      </x:c>
      <x:c r="D15" s="7" t="n">
        <x:f>IF($A15="","",$B$4+$B$5*LN(B15))</x:f>
        <x:v>125.41662142455391</x:v>
      </x:c>
      <x:c r="E15" s="7" t="n">
        <x:f>IF($A15="","",162.51458035855*SQRT(1+(1)*$J$59*(1)+(1)*$K$59*(LN(B15))+(LN(B15))*$J$60*(1)+(LN(B15))*$K$60*(LN(B15))))</x:f>
        <x:v>162.53388337071743</x:v>
      </x:c>
      <x:c r="F15" s="7" t="n">
        <x:f>IF($A15="","",D15-1.9602400929689823*E15)</x:f>
        <x:v>-193.18881322467098</x:v>
      </x:c>
      <x:c r="G15" s="7" t="n">
        <x:f>IF($A15="","",D15+1.9602400929689823*E15)</x:f>
        <x:v>444.0220560737788</x:v>
      </x:c>
      <x:c r="H15" s="7" t="n">
        <x:f>IF($A15="","",162.51458035855*SQRT((1)*$J$59*(1)+(1)*$K$59*(LN(B15))+(LN(B15))*$J$60*(1)+(LN(B15))*$K$60*(LN(B15))))</x:f>
        <x:v>2.504878130842055</x:v>
      </x:c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customHeight="1">
      <x:c r="A16" s="9" t="n">
        <x:f>IF(6&lt;='Сводка'!$B$3,'Сводка'!$B$4+6,"")</x:f>
        <x:v>46241</x:v>
      </x:c>
      <x:c r="B16" s="18" t="n">
        <x:f>IF($A16="","",(A16-37257+1)/1000)</x:f>
        <x:v>8.985</x:v>
      </x:c>
      <x:c r="C16" s="18" t="n">
        <x:f>IF($A16="","",2*(A16-37257)/8978-1)</x:f>
        <x:v>1.0013366005791937</x:v>
      </x:c>
      <x:c r="D16" s="7" t="n">
        <x:f>IF($A16="","",$B$4+$B$5*LN(B16))</x:f>
        <x:v>125.42293788423605</x:v>
      </x:c>
      <x:c r="E16" s="7" t="n">
        <x:f>IF($A16="","",162.51458035855*SQRT(1+(1)*$J$59*(1)+(1)*$K$59*(LN(B16))+(LN(B16))*$J$60*(1)+(LN(B16))*$K$60*(LN(B16))))</x:f>
        <x:v>162.53388552632495</x:v>
      </x:c>
      <x:c r="F16" s="7" t="n">
        <x:f>IF($A16="","",D16-1.9602400929689823*E16)</x:f>
        <x:v>-193.1825009904971</x:v>
      </x:c>
      <x:c r="G16" s="7" t="n">
        <x:f>IF($A16="","",D16+1.9602400929689823*E16)</x:f>
        <x:v>444.02837675896916</x:v>
      </x:c>
      <x:c r="H16" s="7" t="n">
        <x:f>IF($A16="","",162.51458035855*SQRT((1)*$J$59*(1)+(1)*$K$59*(LN(B16))+(LN(B16))*$J$60*(1)+(LN(B16))*$K$60*(LN(B16))))</x:f>
        <x:v>2.5050179977192006</x:v>
      </x:c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customHeight="1">
      <x:c r="A17" s="9" t="n">
        <x:f>IF(7&lt;='Сводка'!$B$3,'Сводка'!$B$4+7,"")</x:f>
        <x:v>46242</x:v>
      </x:c>
      <x:c r="B17" s="18" t="n">
        <x:f>IF($A17="","",(A17-37257+1)/1000)</x:f>
        <x:v>8.986</x:v>
      </x:c>
      <x:c r="C17" s="18" t="n">
        <x:f>IF($A17="","",2*(A17-37257)/8978-1)</x:f>
        <x:v>1.0015593673423924</x:v>
      </x:c>
      <x:c r="D17" s="7" t="n">
        <x:f>IF($A17="","",$B$4+$B$5*LN(B17))</x:f>
        <x:v>125.42925364095674</x:v>
      </x:c>
      <x:c r="E17" s="7" t="n">
        <x:f>IF($A17="","",162.51458035855*SQRT(1+(1)*$J$59*(1)+(1)*$K$59*(LN(B17))+(LN(B17))*$J$60*(1)+(LN(B17))*$K$60*(LN(B17))))</x:f>
        <x:v>162.53388768192835</x:v>
      </x:c>
      <x:c r="F17" s="7" t="n">
        <x:f>IF($A17="","",D17-1.9602400929689823*E17)</x:f>
        <x:v>-193.1761894592766</x:v>
      </x:c>
      <x:c r="G17" s="7" t="n">
        <x:f>IF($A17="","",D17+1.9602400929689823*E17)</x:f>
        <x:v>444.0346967411901</x:v>
      </x:c>
      <x:c r="H17" s="7" t="n">
        <x:f>IF($A17="","",162.51458035855*SQRT((1)*$J$59*(1)+(1)*$K$59*(LN(B17))+(LN(B17))*$J$60*(1)+(LN(B17))*$K$60*(LN(B17))))</x:f>
        <x:v>2.505157856523381</x:v>
      </x:c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customHeight="1">
      <x:c r="A18" s="9" t="n">
        <x:f>IF(8&lt;='Сводка'!$B$3,'Сводка'!$B$4+8,"")</x:f>
        <x:v>46243</x:v>
      </x:c>
      <x:c r="B18" s="18" t="n">
        <x:f>IF($A18="","",(A18-37257+1)/1000)</x:f>
        <x:v>8.987</x:v>
      </x:c>
      <x:c r="C18" s="18" t="n">
        <x:f>IF($A18="","",2*(A18-37257)/8978-1)</x:f>
        <x:v>1.0017821341055915</x:v>
      </x:c>
      <x:c r="D18" s="7" t="n">
        <x:f>IF($A18="","",$B$4+$B$5*LN(B18))</x:f>
        <x:v>125.43556869487252</x:v>
      </x:c>
      <x:c r="E18" s="7" t="n">
        <x:f>IF($A18="","",162.51458035855*SQRT(1+(1)*$J$59*(1)+(1)*$K$59*(LN(B18))+(LN(B18))*$J$60*(1)+(LN(B18))*$K$60*(LN(B18))))</x:f>
        <x:v>162.53388983752768</x:v>
      </x:c>
      <x:c r="F18" s="7" t="n">
        <x:f>IF($A18="","",D18-1.9602400929689823*E18)</x:f>
        <x:v>-193.16987863085308</x:v>
      </x:c>
      <x:c r="G18" s="7" t="n">
        <x:f>IF($A18="","",D18+1.9602400929689823*E18)</x:f>
        <x:v>444.04101602059814</x:v>
      </x:c>
      <x:c r="H18" s="7" t="n">
        <x:f>IF($A18="","",162.51458035855*SQRT((1)*$J$59*(1)+(1)*$K$59*(LN(B18))+(LN(B18))*$J$60*(1)+(LN(B18))*$K$60*(LN(B18))))</x:f>
        <x:v>2.5052977072543077</x:v>
      </x:c>
      <x:c r="I18" s="3"/>
      <x:c r="J18" s="3" t="str">
        <x:v>Тестовый период</x:v>
      </x:c>
      <x:c r="K18" s="3"/>
      <x:c r="L18" s="3"/>
      <x:c r="M18" s="3"/>
      <x:c r="N18" s="3"/>
      <x:c r="O18" s="3"/>
      <x:c r="P18" s="3"/>
      <x:c r="Q18" s="3"/>
    </x:row>
    <x:row r="19" ht="15" customHeight="1">
      <x:c r="A19" s="9" t="n">
        <x:f>IF(9&lt;='Сводка'!$B$3,'Сводка'!$B$4+9,"")</x:f>
        <x:v>46244</x:v>
      </x:c>
      <x:c r="B19" s="18" t="n">
        <x:f>IF($A19="","",(A19-37257+1)/1000)</x:f>
        <x:v>8.988</x:v>
      </x:c>
      <x:c r="C19" s="18" t="n">
        <x:f>IF($A19="","",2*(A19-37257)/8978-1)</x:f>
        <x:v>1.0020049008687906</x:v>
      </x:c>
      <x:c r="D19" s="7" t="n">
        <x:f>IF($A19="","",$B$4+$B$5*LN(B19))</x:f>
        <x:v>125.44188304613971</x:v>
      </x:c>
      <x:c r="E19" s="7" t="n">
        <x:f>IF($A19="","",162.51458035855*SQRT(1+(1)*$J$59*(1)+(1)*$K$59*(LN(B19))+(LN(B19))*$J$60*(1)+(LN(B19))*$K$60*(LN(B19))))</x:f>
        <x:v>162.53389199312284</x:v>
      </x:c>
      <x:c r="F19" s="7" t="n">
        <x:f>IF($A19="","",D19-1.9602400929689823*E19)</x:f>
        <x:v>-193.16356850506992</x:v>
      </x:c>
      <x:c r="G19" s="7" t="n">
        <x:f>IF($A19="","",D19+1.9602400929689823*E19)</x:f>
        <x:v>444.04733459734933</x:v>
      </x:c>
      <x:c r="H19" s="7" t="n">
        <x:f>IF($A19="","",162.51458035855*SQRT((1)*$J$59*(1)+(1)*$K$59*(LN(B19))+(LN(B19))*$J$60*(1)+(LN(B19))*$K$60*(LN(B19))))</x:f>
        <x:v>2.5054375499116857</x:v>
      </x:c>
      <x:c r="I19" s="3"/>
      <x:c r="J19" s="13" t="str">
        <x:v>Дата</x:v>
      </x:c>
      <x:c r="K19" s="13" t="str">
        <x:v>Факт</x:v>
      </x:c>
      <x:c r="L19" s="13" t="str">
        <x:v>Прогноз</x:v>
      </x:c>
      <x:c r="M19" s="13" t="str">
        <x:v>Ошибка</x:v>
      </x:c>
      <x:c r="N19" s="13" t="str">
        <x:v>|Ошибка|</x:v>
      </x:c>
      <x:c r="O19" s="3"/>
      <x:c r="P19" s="3"/>
      <x:c r="Q19" s="3"/>
    </x:row>
    <x:row r="20" ht="15" customHeight="1">
      <x:c r="A20" s="9" t="n">
        <x:f>IF(10&lt;='Сводка'!$B$3,'Сводка'!$B$4+10,"")</x:f>
        <x:v>46245</x:v>
      </x:c>
      <x:c r="B20" s="18" t="n">
        <x:f>IF($A20="","",(A20-37257+1)/1000)</x:f>
        <x:v>8.989</x:v>
      </x:c>
      <x:c r="C20" s="18" t="n">
        <x:f>IF($A20="","",2*(A20-37257)/8978-1)</x:f>
        <x:v>1.0022276676319892</x:v>
      </x:c>
      <x:c r="D20" s="7" t="n">
        <x:f>IF($A20="","",$B$4+$B$5*LN(B20))</x:f>
        <x:v>125.4481966949147</x:v>
      </x:c>
      <x:c r="E20" s="7" t="n">
        <x:f>IF($A20="","",162.51458035855*SQRT(1+(1)*$J$59*(1)+(1)*$K$59*(LN(B20))+(LN(B20))*$J$60*(1)+(LN(B20))*$K$60*(LN(B20))))</x:f>
        <x:v>162.53389414871378</x:v>
      </x:c>
      <x:c r="F20" s="7" t="n">
        <x:f>IF($A20="","",D20-1.9602400929689823*E20)</x:f>
        <x:v>-193.15725908177075</x:v>
      </x:c>
      <x:c r="G20" s="7" t="n">
        <x:f>IF($A20="","",D20+1.9602400929689823*E20)</x:f>
        <x:v>444.0536524716002</x:v>
      </x:c>
      <x:c r="H20" s="7" t="n">
        <x:f>IF($A20="","",162.51458035855*SQRT((1)*$J$59*(1)+(1)*$K$59*(LN(B20))+(LN(B20))*$J$60*(1)+(LN(B20))*$K$60*(LN(B20))))</x:f>
        <x:v>2.5055773844952287</x:v>
      </x:c>
      <x:c r="I20" s="3"/>
      <x:c r="J20" s="9" t="n">
        <x:v>46206</x:v>
      </x:c>
      <x:c r="K20" s="7" t="n">
        <x:v>105</x:v>
      </x:c>
      <x:c r="L20" s="7" t="n">
        <x:f>$E$4+$E$5*LN(((J20-37257+1)/1000))</x:f>
        <x:v>124.24756811025121</x:v>
      </x:c>
      <x:c r="M20" s="7" t="n">
        <x:f>K20-L20</x:f>
        <x:v>-19.24756811025121</x:v>
      </x:c>
      <x:c r="N20" s="7" t="n">
        <x:f>ABS(M20)</x:f>
        <x:v>19.24756811025121</x:v>
      </x:c>
      <x:c r="O20" s="3"/>
      <x:c r="P20" s="3"/>
      <x:c r="Q20" s="3"/>
    </x:row>
    <x:row r="21" ht="15" customHeight="1">
      <x:c r="A21" s="9" t="n">
        <x:f>IF(11&lt;='Сводка'!$B$3,'Сводка'!$B$4+11,"")</x:f>
        <x:v>46246</x:v>
      </x:c>
      <x:c r="B21" s="18" t="n">
        <x:f>IF($A21="","",(A21-37257+1)/1000)</x:f>
        <x:v>8.99</x:v>
      </x:c>
      <x:c r="C21" s="18" t="n">
        <x:f>IF($A21="","",2*(A21-37257)/8978-1)</x:f>
        <x:v>1.0024504343951883</x:v>
      </x:c>
      <x:c r="D21" s="7" t="n">
        <x:f>IF($A21="","",$B$4+$B$5*LN(B21))</x:f>
        <x:v>125.45450964135375</x:v>
      </x:c>
      <x:c r="E21" s="7" t="n">
        <x:f>IF($A21="","",162.51458035855*SQRT(1+(1)*$J$59*(1)+(1)*$K$59*(LN(B21))+(LN(B21))*$J$60*(1)+(LN(B21))*$K$60*(LN(B21))))</x:f>
        <x:v>162.53389630430058</x:v>
      </x:c>
      <x:c r="F21" s="7" t="n">
        <x:f>IF($A21="","",D21-1.9602400929689823*E21)</x:f>
        <x:v>-193.15095036079936</x:v>
      </x:c>
      <x:c r="G21" s="7" t="n">
        <x:f>IF($A21="","",D21+1.9602400929689823*E21)</x:f>
        <x:v>444.05996964350686</x:v>
      </x:c>
      <x:c r="H21" s="7" t="n">
        <x:f>IF($A21="","",162.51458035855*SQRT((1)*$J$59*(1)+(1)*$K$59*(LN(B21))+(LN(B21))*$J$60*(1)+(LN(B21))*$K$60*(LN(B21))))</x:f>
        <x:v>2.505717211004646</x:v>
      </x:c>
      <x:c r="I21" s="3"/>
      <x:c r="J21" s="9" t="n">
        <x:v>46207</x:v>
      </x:c>
      <x:c r="K21" s="7" t="n">
        <x:v>121</x:v>
      </x:c>
      <x:c r="L21" s="7" t="n">
        <x:f>$E$4+$E$5*LN(((J21-37257+1)/1000))</x:f>
        <x:v>124.25385503794575</x:v>
      </x:c>
      <x:c r="M21" s="7" t="n">
        <x:f>K21-L21</x:f>
        <x:v>-3.2538550379457547</x:v>
      </x:c>
      <x:c r="N21" s="7" t="n">
        <x:f>ABS(M21)</x:f>
        <x:v>3.2538550379457547</x:v>
      </x:c>
      <x:c r="O21" s="3"/>
      <x:c r="P21" s="3"/>
      <x:c r="Q21" s="3"/>
    </x:row>
    <x:row r="22" ht="15" customHeight="1">
      <x:c r="A22" s="9" t="n">
        <x:f>IF(12&lt;='Сводка'!$B$3,'Сводка'!$B$4+12,"")</x:f>
        <x:v>46247</x:v>
      </x:c>
      <x:c r="B22" s="18" t="n">
        <x:f>IF($A22="","",(A22-37257+1)/1000)</x:f>
        <x:v>8.991</x:v>
      </x:c>
      <x:c r="C22" s="18" t="n">
        <x:f>IF($A22="","",2*(A22-37257)/8978-1)</x:f>
        <x:v>1.002673201158387</x:v>
      </x:c>
      <x:c r="D22" s="7" t="n">
        <x:f>IF($A22="","",$B$4+$B$5*LN(B22))</x:f>
        <x:v>125.46082188561311</x:v>
      </x:c>
      <x:c r="E22" s="7" t="n">
        <x:f>IF($A22="","",162.51458035855*SQRT(1+(1)*$J$59*(1)+(1)*$K$59*(LN(B22))+(LN(B22))*$J$60*(1)+(LN(B22))*$K$60*(LN(B22))))</x:f>
        <x:v>162.53389845988312</x:v>
      </x:c>
      <x:c r="F22" s="7" t="n">
        <x:f>IF($A22="","",D22-1.9602400929689823*E22)</x:f>
        <x:v>-193.1446423419993</x:v>
      </x:c>
      <x:c r="G22" s="7" t="n">
        <x:f>IF($A22="","",D22+1.9602400929689823*E22)</x:f>
        <x:v>444.0662861132255</x:v>
      </x:c>
      <x:c r="H22" s="7" t="n">
        <x:f>IF($A22="","",162.51458035855*SQRT((1)*$J$59*(1)+(1)*$K$59*(LN(B22))+(LN(B22))*$J$60*(1)+(LN(B22))*$K$60*(LN(B22))))</x:f>
        <x:v>2.505857029439651</x:v>
      </x:c>
      <x:c r="I22" s="3"/>
      <x:c r="J22" s="9" t="n">
        <x:v>46208</x:v>
      </x:c>
      <x:c r="K22" s="7" t="n">
        <x:v>138</x:v>
      </x:c>
      <x:c r="L22" s="7" t="n">
        <x:f>$E$4+$E$5*LN(((J22-37257+1)/1000))</x:f>
        <x:v>124.26014126330796</x:v>
      </x:c>
      <x:c r="M22" s="7" t="n">
        <x:f>K22-L22</x:f>
        <x:v>13.739858736692042</x:v>
      </x:c>
      <x:c r="N22" s="7" t="n">
        <x:f>ABS(M22)</x:f>
        <x:v>13.739858736692042</x:v>
      </x:c>
      <x:c r="O22" s="3"/>
      <x:c r="P22" s="3"/>
      <x:c r="Q22" s="3"/>
    </x:row>
    <x:row r="23" ht="15" customHeight="1">
      <x:c r="A23" s="9" t="n">
        <x:f>IF(13&lt;='Сводка'!$B$3,'Сводка'!$B$4+13,"")</x:f>
        <x:v>46248</x:v>
      </x:c>
      <x:c r="B23" s="18" t="n">
        <x:f>IF($A23="","",(A23-37257+1)/1000)</x:f>
        <x:v>8.992</x:v>
      </x:c>
      <x:c r="C23" s="18" t="n">
        <x:f>IF($A23="","",2*(A23-37257)/8978-1)</x:f>
        <x:v>1.002895967921586</x:v>
      </x:c>
      <x:c r="D23" s="7" t="n">
        <x:f>IF($A23="","",$B$4+$B$5*LN(B23))</x:f>
        <x:v>125.467133427849</x:v>
      </x:c>
      <x:c r="E23" s="7" t="n">
        <x:f>IF($A23="","",162.51458035855*SQRT(1+(1)*$J$59*(1)+(1)*$K$59*(LN(B23))+(LN(B23))*$J$60*(1)+(LN(B23))*$K$60*(LN(B23))))</x:f>
        <x:v>162.53390061546142</x:v>
      </x:c>
      <x:c r="F23" s="7" t="n">
        <x:f>IF($A23="","",D23-1.9602400929689823*E23)</x:f>
        <x:v>-193.1383350252144</x:v>
      </x:c>
      <x:c r="G23" s="7" t="n">
        <x:f>IF($A23="","",D23+1.9602400929689823*E23)</x:f>
        <x:v>444.07260188091243</x:v>
      </x:c>
      <x:c r="H23" s="7" t="n">
        <x:f>IF($A23="","",162.51458035855*SQRT((1)*$J$59*(1)+(1)*$K$59*(LN(B23))+(LN(B23))*$J$60*(1)+(LN(B23))*$K$60*(LN(B23))))</x:f>
        <x:v>2.5059968397999564</x:v>
      </x:c>
      <x:c r="I23" s="3"/>
      <x:c r="J23" s="9" t="n">
        <x:v>46209</x:v>
      </x:c>
      <x:c r="K23" s="7" t="n">
        <x:v>149</x:v>
      </x:c>
      <x:c r="L23" s="7" t="n">
        <x:f>$E$4+$E$5*LN(((J23-37257+1)/1000))</x:f>
        <x:v>124.26642678649478</x:v>
      </x:c>
      <x:c r="M23" s="7" t="n">
        <x:f>K23-L23</x:f>
        <x:v>24.733573213505224</x:v>
      </x:c>
      <x:c r="N23" s="7" t="n">
        <x:f>ABS(M23)</x:f>
        <x:v>24.733573213505224</x:v>
      </x:c>
      <x:c r="O23" s="3"/>
      <x:c r="P23" s="3"/>
      <x:c r="Q23" s="3"/>
    </x:row>
    <x:row r="24" ht="15" customHeight="1">
      <x:c r="A24" s="9" t="n">
        <x:f>IF(14&lt;='Сводка'!$B$3,'Сводка'!$B$4+14,"")</x:f>
        <x:v>46249</x:v>
      </x:c>
      <x:c r="B24" s="18" t="n">
        <x:f>IF($A24="","",(A24-37257+1)/1000)</x:f>
        <x:v>8.993</x:v>
      </x:c>
      <x:c r="C24" s="18" t="n">
        <x:f>IF($A24="","",2*(A24-37257)/8978-1)</x:f>
        <x:v>1.0031187346847852</x:v>
      </x:c>
      <x:c r="D24" s="7" t="n">
        <x:f>IF($A24="","",$B$4+$B$5*LN(B24))</x:f>
        <x:v>125.47344426821749</x:v>
      </x:c>
      <x:c r="E24" s="7" t="n">
        <x:f>IF($A24="","",162.51458035855*SQRT(1+(1)*$J$59*(1)+(1)*$K$59*(LN(B24))+(LN(B24))*$J$60*(1)+(LN(B24))*$K$60*(LN(B24))))</x:f>
        <x:v>162.53390277103546</x:v>
      </x:c>
      <x:c r="F24" s="7" t="n">
        <x:f>IF($A24="","",D24-1.9602400929689823*E24)</x:f>
        <x:v>-193.1320284102886</x:v>
      </x:c>
      <x:c r="G24" s="7" t="n">
        <x:f>IF($A24="","",D24+1.9602400929689823*E24)</x:f>
        <x:v>444.07891694672355</x:v>
      </x:c>
      <x:c r="H24" s="7" t="n">
        <x:f>IF($A24="","",162.51458035855*SQRT((1)*$J$59*(1)+(1)*$K$59*(LN(B24))+(LN(B24))*$J$60*(1)+(LN(B24))*$K$60*(LN(B24))))</x:f>
        <x:v>2.506136642085273</x:v>
      </x:c>
      <x:c r="I24" s="3"/>
      <x:c r="J24" s="9" t="n">
        <x:v>46210</x:v>
      </x:c>
      <x:c r="K24" s="7" t="n">
        <x:v>158</x:v>
      </x:c>
      <x:c r="L24" s="7" t="n">
        <x:f>$E$4+$E$5*LN(((J24-37257+1)/1000))</x:f>
        <x:v>124.27271160766304</x:v>
      </x:c>
      <x:c r="M24" s="7" t="n">
        <x:f>K24-L24</x:f>
        <x:v>33.72728839233696</x:v>
      </x:c>
      <x:c r="N24" s="7" t="n">
        <x:f>ABS(M24)</x:f>
        <x:v>33.72728839233696</x:v>
      </x:c>
      <x:c r="O24" s="3"/>
      <x:c r="P24" s="3"/>
      <x:c r="Q24" s="3"/>
    </x:row>
    <x:row r="25" ht="15" customHeight="1">
      <x:c r="A25" s="9" t="n">
        <x:f>IF(15&lt;='Сводка'!$B$3,'Сводка'!$B$4+15,"")</x:f>
        <x:v>46250</x:v>
      </x:c>
      <x:c r="B25" s="18" t="n">
        <x:f>IF($A25="","",(A25-37257+1)/1000)</x:f>
        <x:v>8.994</x:v>
      </x:c>
      <x:c r="C25" s="18" t="n">
        <x:f>IF($A25="","",2*(A25-37257)/8978-1)</x:f>
        <x:v>1.0033415014479838</x:v>
      </x:c>
      <x:c r="D25" s="7" t="n">
        <x:f>IF($A25="","",$B$4+$B$5*LN(B25))</x:f>
        <x:v>125.47975440687475</x:v>
      </x:c>
      <x:c r="E25" s="7" t="n">
        <x:f>IF($A25="","",162.51458035855*SQRT(1+(1)*$J$59*(1)+(1)*$K$59*(LN(B25))+(LN(B25))*$J$60*(1)+(LN(B25))*$K$60*(LN(B25))))</x:f>
        <x:v>162.5339049266052</x:v>
      </x:c>
      <x:c r="F25" s="7" t="n">
        <x:f>IF($A25="","",D25-1.9602400929689823*E25)</x:f>
        <x:v>-193.12572249706557</x:v>
      </x:c>
      <x:c r="G25" s="7" t="n">
        <x:f>IF($A25="","",D25+1.9602400929689823*E25)</x:f>
        <x:v>444.08523131081506</x:v>
      </x:c>
      <x:c r="H25" s="7" t="n">
        <x:f>IF($A25="","",162.51458035855*SQRT((1)*$J$59*(1)+(1)*$K$59*(LN(B25))+(LN(B25))*$J$60*(1)+(LN(B25))*$K$60*(LN(B25))))</x:f>
        <x:v>2.5062764362953196</x:v>
      </x:c>
      <x:c r="I25" s="3"/>
      <x:c r="J25" s="9" t="n">
        <x:v>46211</x:v>
      </x:c>
      <x:c r="K25" s="7" t="n">
        <x:v>166</x:v>
      </x:c>
      <x:c r="L25" s="7" t="n">
        <x:f>$E$4+$E$5*LN(((J25-37257+1)/1000))</x:f>
        <x:v>124.27899572696953</x:v>
      </x:c>
      <x:c r="M25" s="7" t="n">
        <x:f>K25-L25</x:f>
        <x:v>41.72100427303047</x:v>
      </x:c>
      <x:c r="N25" s="7" t="n">
        <x:f>ABS(M25)</x:f>
        <x:v>41.72100427303047</x:v>
      </x:c>
      <x:c r="O25" s="3"/>
      <x:c r="P25" s="3"/>
      <x:c r="Q25" s="3"/>
    </x:row>
    <x:row r="26" ht="15" customHeight="1">
      <x:c r="A26" s="9" t="n">
        <x:f>IF(16&lt;='Сводка'!$B$3,'Сводка'!$B$4+16,"")</x:f>
        <x:v>46251</x:v>
      </x:c>
      <x:c r="B26" s="18" t="n">
        <x:f>IF($A26="","",(A26-37257+1)/1000)</x:f>
        <x:v>8.995</x:v>
      </x:c>
      <x:c r="C26" s="18" t="n">
        <x:f>IF($A26="","",2*(A26-37257)/8978-1)</x:f>
        <x:v>1.003564268211183</x:v>
      </x:c>
      <x:c r="D26" s="7" t="n">
        <x:f>IF($A26="","",$B$4+$B$5*LN(B26))</x:f>
        <x:v>125.48606384397672</x:v>
      </x:c>
      <x:c r="E26" s="7" t="n">
        <x:f>IF($A26="","",162.51458035855*SQRT(1+(1)*$J$59*(1)+(1)*$K$59*(LN(B26))+(LN(B26))*$J$60*(1)+(LN(B26))*$K$60*(LN(B26))))</x:f>
        <x:v>162.5339070821706</x:v>
      </x:c>
      <x:c r="F26" s="7" t="n">
        <x:f>IF($A26="","",D26-1.9602400929689823*E26)</x:f>
        <x:v>-193.1194172853893</x:v>
      </x:c>
      <x:c r="G26" s="7" t="n">
        <x:f>IF($A26="","",D26+1.9602400929689823*E26)</x:f>
        <x:v>444.0915449733427</x:v>
      </x:c>
      <x:c r="H26" s="7" t="n">
        <x:f>IF($A26="","",162.51458035855*SQRT((1)*$J$59*(1)+(1)*$K$59*(LN(B26))+(LN(B26))*$J$60*(1)+(LN(B26))*$K$60*(LN(B26))))</x:f>
        <x:v>2.5064162224298103</x:v>
      </x:c>
      <x:c r="I26" s="3"/>
      <x:c r="J26" s="9" t="n">
        <x:v>46212</x:v>
      </x:c>
      <x:c r="K26" s="7" t="n">
        <x:v>174</x:v>
      </x:c>
      <x:c r="L26" s="7" t="n">
        <x:f>$E$4+$E$5*LN(((J26-37257+1)/1000))</x:f>
        <x:v>124.28527914457098</x:v>
      </x:c>
      <x:c r="M26" s="7" t="n">
        <x:f>K26-L26</x:f>
        <x:v>49.71472085542902</x:v>
      </x:c>
      <x:c r="N26" s="7" t="n">
        <x:f>ABS(M26)</x:f>
        <x:v>49.71472085542902</x:v>
      </x:c>
      <x:c r="O26" s="3"/>
      <x:c r="P26" s="3"/>
      <x:c r="Q26" s="3"/>
    </x:row>
    <x:row r="27" ht="15" customHeight="1">
      <x:c r="A27" s="9" t="n">
        <x:f>IF(17&lt;='Сводка'!$B$3,'Сводка'!$B$4+17,"")</x:f>
        <x:v>46252</x:v>
      </x:c>
      <x:c r="B27" s="18" t="n">
        <x:f>IF($A27="","",(A27-37257+1)/1000)</x:f>
        <x:v>8.996</x:v>
      </x:c>
      <x:c r="C27" s="18" t="n">
        <x:f>IF($A27="","",2*(A27-37257)/8978-1)</x:f>
        <x:v>1.003787034974382</x:v>
      </x:c>
      <x:c r="D27" s="7" t="n">
        <x:f>IF($A27="","",$B$4+$B$5*LN(B27))</x:f>
        <x:v>125.49237257967944</x:v>
      </x:c>
      <x:c r="E27" s="7" t="n">
        <x:f>IF($A27="","",162.51458035855*SQRT(1+(1)*$J$59*(1)+(1)*$K$59*(LN(B27))+(LN(B27))*$J$60*(1)+(LN(B27))*$K$60*(LN(B27))))</x:f>
        <x:v>162.53390923773165</x:v>
      </x:c>
      <x:c r="F27" s="7" t="n">
        <x:f>IF($A27="","",D27-1.9602400929689823*E27)</x:f>
        <x:v>-193.1131127751038</x:v>
      </x:c>
      <x:c r="G27" s="7" t="n">
        <x:f>IF($A27="","",D27+1.9602400929689823*E27)</x:f>
        <x:v>444.0978579344627</x:v>
      </x:c>
      <x:c r="H27" s="7" t="n">
        <x:f>IF($A27="","",162.51458035855*SQRT((1)*$J$59*(1)+(1)*$K$59*(LN(B27))+(LN(B27))*$J$60*(1)+(LN(B27))*$K$60*(LN(B27))))</x:f>
        <x:v>2.5065560004884606</x:v>
      </x:c>
      <x:c r="I27" s="3"/>
      <x:c r="J27" s="9" t="n">
        <x:v>46213</x:v>
      </x:c>
      <x:c r="K27" s="7" t="n">
        <x:v>180</x:v>
      </x:c>
      <x:c r="L27" s="7" t="n">
        <x:f>$E$4+$E$5*LN(((J27-37257+1)/1000))</x:f>
        <x:v>124.29156186062411</x:v>
      </x:c>
      <x:c r="M27" s="7" t="n">
        <x:f>K27-L27</x:f>
        <x:v>55.708438139375886</x:v>
      </x:c>
      <x:c r="N27" s="7" t="n">
        <x:f>ABS(M27)</x:f>
        <x:v>55.708438139375886</x:v>
      </x:c>
      <x:c r="O27" s="3"/>
      <x:c r="P27" s="3"/>
      <x:c r="Q27" s="3"/>
    </x:row>
    <x:row r="28" ht="15" customHeight="1">
      <x:c r="A28" s="9" t="n">
        <x:f>IF(18&lt;='Сводка'!$B$3,'Сводка'!$B$4+18,"")</x:f>
        <x:v>46253</x:v>
      </x:c>
      <x:c r="B28" s="18" t="n">
        <x:f>IF($A28="","",(A28-37257+1)/1000)</x:f>
        <x:v>8.997</x:v>
      </x:c>
      <x:c r="C28" s="18" t="n">
        <x:f>IF($A28="","",2*(A28-37257)/8978-1)</x:f>
        <x:v>1.0040098017375807</x:v>
      </x:c>
      <x:c r="D28" s="7" t="n">
        <x:f>IF($A28="","",$B$4+$B$5*LN(B28))</x:f>
        <x:v>125.49868061413882</x:v>
      </x:c>
      <x:c r="E28" s="7" t="n">
        <x:f>IF($A28="","",162.51458035855*SQRT(1+(1)*$J$59*(1)+(1)*$K$59*(LN(B28))+(LN(B28))*$J$60*(1)+(LN(B28))*$K$60*(LN(B28))))</x:f>
        <x:v>162.53391139328832</x:v>
      </x:c>
      <x:c r="F28" s="7" t="n">
        <x:f>IF($A28="","",D28-1.9602400929689823*E28)</x:f>
        <x:v>-193.106808966053</x:v>
      </x:c>
      <x:c r="G28" s="7" t="n">
        <x:f>IF($A28="","",D28+1.9602400929689823*E28)</x:f>
        <x:v>444.10417019433066</x:v>
      </x:c>
      <x:c r="H28" s="7" t="n">
        <x:f>IF($A28="","",162.51458035855*SQRT((1)*$J$59*(1)+(1)*$K$59*(LN(B28))+(LN(B28))*$J$60*(1)+(LN(B28))*$K$60*(LN(B28))))</x:f>
        <x:v>2.50669577047099</x:v>
      </x:c>
      <x:c r="I28" s="3"/>
      <x:c r="J28" s="9" t="n">
        <x:v>46214</x:v>
      </x:c>
      <x:c r="K28" s="7" t="n">
        <x:v>181</x:v>
      </x:c>
      <x:c r="L28" s="7" t="n">
        <x:f>$E$4+$E$5*LN(((J28-37257+1)/1000))</x:f>
        <x:v>124.29784387528558</x:v>
      </x:c>
      <x:c r="M28" s="7" t="n">
        <x:f>K28-L28</x:f>
        <x:v>56.70215612471442</x:v>
      </x:c>
      <x:c r="N28" s="7" t="n">
        <x:f>ABS(M28)</x:f>
        <x:v>56.70215612471442</x:v>
      </x:c>
      <x:c r="O28" s="3"/>
      <x:c r="P28" s="3"/>
      <x:c r="Q28" s="3"/>
    </x:row>
    <x:row r="29" ht="15" customHeight="1">
      <x:c r="A29" s="9" t="n">
        <x:f>IF(19&lt;='Сводка'!$B$3,'Сводка'!$B$4+19,"")</x:f>
        <x:v>46254</x:v>
      </x:c>
      <x:c r="B29" s="18" t="n">
        <x:f>IF($A29="","",(A29-37257+1)/1000)</x:f>
        <x:v>8.998</x:v>
      </x:c>
      <x:c r="C29" s="18" t="n">
        <x:f>IF($A29="","",2*(A29-37257)/8978-1)</x:f>
        <x:v>1.0042325685007798</x:v>
      </x:c>
      <x:c r="D29" s="7" t="n">
        <x:f>IF($A29="","",$B$4+$B$5*LN(B29))</x:f>
        <x:v>125.50498794751074</x:v>
      </x:c>
      <x:c r="E29" s="7" t="n">
        <x:f>IF($A29="","",162.51458035855*SQRT(1+(1)*$J$59*(1)+(1)*$K$59*(LN(B29))+(LN(B29))*$J$60*(1)+(LN(B29))*$K$60*(LN(B29))))</x:f>
        <x:v>162.53391354884062</x:v>
      </x:c>
      <x:c r="F29" s="7" t="n">
        <x:f>IF($A29="","",D29-1.9602400929689823*E29)</x:f>
        <x:v>-193.10050585808108</x:v>
      </x:c>
      <x:c r="G29" s="7" t="n">
        <x:f>IF($A29="","",D29+1.9602400929689823*E29)</x:f>
        <x:v>444.1104817531026</x:v>
      </x:c>
      <x:c r="H29" s="7" t="n">
        <x:f>IF($A29="","",162.51458035855*SQRT((1)*$J$59*(1)+(1)*$K$59*(LN(B29))+(LN(B29))*$J$60*(1)+(LN(B29))*$K$60*(LN(B29))))</x:f>
        <x:v>2.5068355323771154</x:v>
      </x:c>
      <x:c r="I29" s="3"/>
      <x:c r="J29" s="9" t="n">
        <x:v>46215</x:v>
      </x:c>
      <x:c r="K29" s="7" t="n">
        <x:v>179</x:v>
      </x:c>
      <x:c r="L29" s="7" t="n">
        <x:f>$E$4+$E$5*LN(((J29-37257+1)/1000))</x:f>
        <x:v>124.30412518871191</x:v>
      </x:c>
      <x:c r="M29" s="7" t="n">
        <x:f>K29-L29</x:f>
        <x:v>54.69587481128809</x:v>
      </x:c>
      <x:c r="N29" s="7" t="n">
        <x:f>ABS(M29)</x:f>
        <x:v>54.69587481128809</x:v>
      </x:c>
      <x:c r="O29" s="3"/>
      <x:c r="P29" s="3"/>
      <x:c r="Q29" s="3"/>
    </x:row>
    <x:row r="30" ht="15" customHeight="1">
      <x:c r="A30" s="9" t="n">
        <x:f>IF(20&lt;='Сводка'!$B$3,'Сводка'!$B$4+20,"")</x:f>
        <x:v>46255</x:v>
      </x:c>
      <x:c r="B30" s="18" t="n">
        <x:f>IF($A30="","",(A30-37257+1)/1000)</x:f>
        <x:v>8.999</x:v>
      </x:c>
      <x:c r="C30" s="18" t="n">
        <x:f>IF($A30="","",2*(A30-37257)/8978-1)</x:f>
        <x:v>1.0044553352639785</x:v>
      </x:c>
      <x:c r="D30" s="7" t="n">
        <x:f>IF($A30="","",$B$4+$B$5*LN(B30))</x:f>
        <x:v>125.51129457995101</x:v>
      </x:c>
      <x:c r="E30" s="7" t="n">
        <x:f>IF($A30="","",162.51458035855*SQRT(1+(1)*$J$59*(1)+(1)*$K$59*(LN(B30))+(LN(B30))*$J$60*(1)+(LN(B30))*$K$60*(LN(B30))))</x:f>
        <x:v>162.53391570438848</x:v>
      </x:c>
      <x:c r="F30" s="7" t="n">
        <x:f>IF($A30="","",D30-1.9602400929689823*E30)</x:f>
        <x:v>-193.09420345103217</x:v>
      </x:c>
      <x:c r="G30" s="7" t="n">
        <x:f>IF($A30="","",D30+1.9602400929689823*E30)</x:f>
        <x:v>444.1167926109342</x:v>
      </x:c>
      <x:c r="H30" s="7" t="n">
        <x:f>IF($A30="","",162.51458035855*SQRT((1)*$J$59*(1)+(1)*$K$59*(LN(B30))+(LN(B30))*$J$60*(1)+(LN(B30))*$K$60*(LN(B30))))</x:f>
        <x:v>2.506975286206557</x:v>
      </x:c>
      <x:c r="I30" s="3"/>
      <x:c r="J30" s="9" t="n">
        <x:v>46216</x:v>
      </x:c>
      <x:c r="K30" s="7" t="n">
        <x:v>182</x:v>
      </x:c>
      <x:c r="L30" s="7" t="n">
        <x:f>$E$4+$E$5*LN(((J30-37257+1)/1000))</x:f>
        <x:v>124.31040580105967</x:v>
      </x:c>
      <x:c r="M30" s="7" t="n">
        <x:f>K30-L30</x:f>
        <x:v>57.68959419894033</x:v>
      </x:c>
      <x:c r="N30" s="7" t="n">
        <x:f>ABS(M30)</x:f>
        <x:v>57.68959419894033</x:v>
      </x:c>
      <x:c r="O30" s="3"/>
      <x:c r="P30" s="3"/>
      <x:c r="Q30" s="3"/>
    </x:row>
    <x:row r="31" ht="15" customHeight="1">
      <x:c r="A31" s="9" t="n">
        <x:f>IF(21&lt;='Сводка'!$B$3,'Сводка'!$B$4+21,"")</x:f>
        <x:v>46256</x:v>
      </x:c>
      <x:c r="B31" s="18" t="n">
        <x:f>IF($A31="","",(A31-37257+1)/1000)</x:f>
        <x:v>9</x:v>
      </x:c>
      <x:c r="C31" s="18" t="n">
        <x:f>IF($A31="","",2*(A31-37257)/8978-1)</x:f>
        <x:v>1.0046781020271776</x:v>
      </x:c>
      <x:c r="D31" s="7" t="n">
        <x:f>IF($A31="","",$B$4+$B$5*LN(B31))</x:f>
        <x:v>125.51760051161541</x:v>
      </x:c>
      <x:c r="E31" s="7" t="n">
        <x:f>IF($A31="","",162.51458035855*SQRT(1+(1)*$J$59*(1)+(1)*$K$59*(LN(B31))+(LN(B31))*$J$60*(1)+(LN(B31))*$K$60*(LN(B31))))</x:f>
        <x:v>162.53391785993188</x:v>
      </x:c>
      <x:c r="F31" s="7" t="n">
        <x:f>IF($A31="","",D31-1.9602400929689823*E31)</x:f>
        <x:v>-193.0879017447504</x:v>
      </x:c>
      <x:c r="G31" s="7" t="n">
        <x:f>IF($A31="","",D31+1.9602400929689823*E31)</x:f>
        <x:v>444.1231027679812</x:v>
      </x:c>
      <x:c r="H31" s="7" t="n">
        <x:f>IF($A31="","",162.51458035855*SQRT((1)*$J$59*(1)+(1)*$K$59*(LN(B31))+(LN(B31))*$J$60*(1)+(LN(B31))*$K$60*(LN(B31))))</x:f>
        <x:v>2.507115031959034</x:v>
      </x:c>
      <x:c r="I31" s="3"/>
      <x:c r="J31" s="9" t="n">
        <x:v>46217</x:v>
      </x:c>
      <x:c r="K31" s="7" t="n">
        <x:v>191</x:v>
      </x:c>
      <x:c r="L31" s="7" t="n">
        <x:f>$E$4+$E$5*LN(((J31-37257+1)/1000))</x:f>
        <x:v>124.31668571248537</x:v>
      </x:c>
      <x:c r="M31" s="7" t="n">
        <x:f>K31-L31</x:f>
        <x:v>66.68331428751463</x:v>
      </x:c>
      <x:c r="N31" s="7" t="n">
        <x:f>ABS(M31)</x:f>
        <x:v>66.68331428751463</x:v>
      </x:c>
      <x:c r="O31" s="3"/>
      <x:c r="P31" s="3"/>
      <x:c r="Q31" s="3"/>
    </x:row>
    <x:row r="32" ht="15" customHeight="1">
      <x:c r="A32" s="9" t="n">
        <x:f>IF(22&lt;='Сводка'!$B$3,'Сводка'!$B$4+22,"")</x:f>
        <x:v>46257</x:v>
      </x:c>
      <x:c r="B32" s="18" t="n">
        <x:f>IF($A32="","",(A32-37257+1)/1000)</x:f>
        <x:v>9.001</x:v>
      </x:c>
      <x:c r="C32" s="18" t="n">
        <x:f>IF($A32="","",2*(A32-37257)/8978-1)</x:f>
        <x:v>1.0049008687903767</x:v>
      </x:c>
      <x:c r="D32" s="7" t="n">
        <x:f>IF($A32="","",$B$4+$B$5*LN(B32))</x:f>
        <x:v>125.52390574265966</x:v>
      </x:c>
      <x:c r="E32" s="7" t="n">
        <x:f>IF($A32="","",162.51458035855*SQRT(1+(1)*$J$59*(1)+(1)*$K$59*(LN(B32))+(LN(B32))*$J$60*(1)+(LN(B32))*$K$60*(LN(B32))))</x:f>
        <x:v>162.5339200154708</x:v>
      </x:c>
      <x:c r="F32" s="7" t="n">
        <x:f>IF($A32="","",D32-1.9602400929689823*E32)</x:f>
        <x:v>-193.08160073907993</x:v>
      </x:c>
      <x:c r="G32" s="7" t="n">
        <x:f>IF($A32="","",D32+1.9602400929689823*E32)</x:f>
        <x:v>444.1294122243993</x:v>
      </x:c>
      <x:c r="H32" s="7" t="n">
        <x:f>IF($A32="","",162.51458035855*SQRT((1)*$J$59*(1)+(1)*$K$59*(LN(B32))+(LN(B32))*$J$60*(1)+(LN(B32))*$K$60*(LN(B32))))</x:f>
        <x:v>2.5072547696342675</x:v>
      </x:c>
      <x:c r="I32" s="3"/>
      <x:c r="J32" s="9" t="n">
        <x:v>46218</x:v>
      </x:c>
      <x:c r="K32" s="7" t="n">
        <x:v>206</x:v>
      </x:c>
      <x:c r="L32" s="7" t="n">
        <x:f>$E$4+$E$5*LN(((J32-37257+1)/1000))</x:f>
        <x:v>124.32296492314539</x:v>
      </x:c>
      <x:c r="M32" s="7" t="n">
        <x:f>K32-L32</x:f>
        <x:v>81.67703507685461</x:v>
      </x:c>
      <x:c r="N32" s="7" t="n">
        <x:f>ABS(M32)</x:f>
        <x:v>81.67703507685461</x:v>
      </x:c>
      <x:c r="O32" s="3"/>
      <x:c r="P32" s="3"/>
      <x:c r="Q32" s="3"/>
    </x:row>
    <x:row r="33" ht="15" customHeight="1">
      <x:c r="A33" s="9" t="n">
        <x:f>IF(23&lt;='Сводка'!$B$3,'Сводка'!$B$4+23,"")</x:f>
        <x:v>46258</x:v>
      </x:c>
      <x:c r="B33" s="18" t="n">
        <x:f>IF($A33="","",(A33-37257+1)/1000)</x:f>
        <x:v>9.002</x:v>
      </x:c>
      <x:c r="C33" s="18" t="n">
        <x:f>IF($A33="","",2*(A33-37257)/8978-1)</x:f>
        <x:v>1.0051236355535753</x:v>
      </x:c>
      <x:c r="D33" s="7" t="n">
        <x:f>IF($A33="","",$B$4+$B$5*LN(B33))</x:f>
        <x:v>125.53021027323943</x:v>
      </x:c>
      <x:c r="E33" s="7" t="n">
        <x:f>IF($A33="","",162.51458035855*SQRT(1+(1)*$J$59*(1)+(1)*$K$59*(LN(B33))+(LN(B33))*$J$60*(1)+(LN(B33))*$K$60*(LN(B33))))</x:f>
        <x:v>162.5339221710052</x:v>
      </x:c>
      <x:c r="F33" s="7" t="n">
        <x:f>IF($A33="","",D33-1.9602400929689823*E33)</x:f>
        <x:v>-193.0753004338651</x:v>
      </x:c>
      <x:c r="G33" s="7" t="n">
        <x:f>IF($A33="","",D33+1.9602400929689823*E33)</x:f>
        <x:v>444.135720980344</x:v>
      </x:c>
      <x:c r="H33" s="7" t="n">
        <x:f>IF($A33="","",162.51458035855*SQRT((1)*$J$59*(1)+(1)*$K$59*(LN(B33))+(LN(B33))*$J$60*(1)+(LN(B33))*$K$60*(LN(B33))))</x:f>
        <x:v>2.5073944992319794</x:v>
      </x:c>
      <x:c r="I33" s="3"/>
      <x:c r="J33" s="9" t="n">
        <x:v>46219</x:v>
      </x:c>
      <x:c r="K33" s="7" t="n">
        <x:v>225</x:v>
      </x:c>
      <x:c r="L33" s="7" t="n">
        <x:f>$E$4+$E$5*LN(((J33-37257+1)/1000))</x:f>
        <x:v>124.32924343319614</x:v>
      </x:c>
      <x:c r="M33" s="7" t="n">
        <x:f>K33-L33</x:f>
        <x:v>100.67075656680386</x:v>
      </x:c>
      <x:c r="N33" s="7" t="n">
        <x:f>ABS(M33)</x:f>
        <x:v>100.67075656680386</x:v>
      </x:c>
      <x:c r="O33" s="3"/>
      <x:c r="P33" s="3"/>
      <x:c r="Q33" s="3"/>
    </x:row>
    <x:row r="34" ht="15" customHeight="1">
      <x:c r="A34" s="9" t="n">
        <x:f>IF(24&lt;='Сводка'!$B$3,'Сводка'!$B$4+24,"")</x:f>
        <x:v>46259</x:v>
      </x:c>
      <x:c r="B34" s="18" t="n">
        <x:f>IF($A34="","",(A34-37257+1)/1000)</x:f>
        <x:v>9.003</x:v>
      </x:c>
      <x:c r="C34" s="18" t="n">
        <x:f>IF($A34="","",2*(A34-37257)/8978-1)</x:f>
        <x:v>1.0053464023167744</x:v>
      </x:c>
      <x:c r="D34" s="7" t="n">
        <x:f>IF($A34="","",$B$4+$B$5*LN(B34))</x:f>
        <x:v>125.53651410351031</x:v>
      </x:c>
      <x:c r="E34" s="7" t="n">
        <x:f>IF($A34="","",162.51458035855*SQRT(1+(1)*$J$59*(1)+(1)*$K$59*(LN(B34))+(LN(B34))*$J$60*(1)+(LN(B34))*$K$60*(LN(B34))))</x:f>
        <x:v>162.53392432653516</x:v>
      </x:c>
      <x:c r="F34" s="7" t="n">
        <x:f>IF($A34="","",D34-1.9602400929689823*E34)</x:f>
        <x:v>-193.06900082895046</x:v>
      </x:c>
      <x:c r="G34" s="7" t="n">
        <x:f>IF($A34="","",D34+1.9602400929689823*E34)</x:f>
        <x:v>444.14202903597106</x:v>
      </x:c>
      <x:c r="H34" s="7" t="n">
        <x:f>IF($A34="","",162.51458035855*SQRT((1)*$J$59*(1)+(1)*$K$59*(LN(B34))+(LN(B34))*$J$60*(1)+(LN(B34))*$K$60*(LN(B34))))</x:f>
        <x:v>2.5075342207518942</x:v>
      </x:c>
      <x:c r="I34" s="3"/>
      <x:c r="J34" s="9" t="n">
        <x:v>46220</x:v>
      </x:c>
      <x:c r="K34" s="7" t="n">
        <x:v>245</x:v>
      </x:c>
      <x:c r="L34" s="7" t="n">
        <x:f>$E$4+$E$5*LN(((J34-37257+1)/1000))</x:f>
        <x:v>124.33552124279393</x:v>
      </x:c>
      <x:c r="M34" s="7" t="n">
        <x:f>K34-L34</x:f>
        <x:v>120.66447875720607</x:v>
      </x:c>
      <x:c r="N34" s="7" t="n">
        <x:f>ABS(M34)</x:f>
        <x:v>120.66447875720607</x:v>
      </x:c>
      <x:c r="O34" s="3"/>
      <x:c r="P34" s="3"/>
      <x:c r="Q34" s="3"/>
    </x:row>
    <x:row r="35" ht="15" customHeight="1">
      <x:c r="A35" s="9" t="n">
        <x:f>IF(25&lt;='Сводка'!$B$3,'Сводка'!$B$4+25,"")</x:f>
        <x:v>46260</x:v>
      </x:c>
      <x:c r="B35" s="18" t="n">
        <x:f>IF($A35="","",(A35-37257+1)/1000)</x:f>
        <x:v>9.004</x:v>
      </x:c>
      <x:c r="C35" s="18" t="n">
        <x:f>IF($A35="","",2*(A35-37257)/8978-1)</x:f>
        <x:v>1.005569169079973</x:v>
      </x:c>
      <x:c r="D35" s="7" t="n">
        <x:f>IF($A35="","",$B$4+$B$5*LN(B35))</x:f>
        <x:v>125.54281723362791</x:v>
      </x:c>
      <x:c r="E35" s="7" t="n">
        <x:f>IF($A35="","",162.51458035855*SQRT(1+(1)*$J$59*(1)+(1)*$K$59*(LN(B35))+(LN(B35))*$J$60*(1)+(LN(B35))*$K$60*(LN(B35))))</x:f>
        <x:v>162.53392648206048</x:v>
      </x:c>
      <x:c r="F35" s="7" t="n">
        <x:f>IF($A35="","",D35-1.9602400929689823*E35)</x:f>
        <x:v>-193.06270192418006</x:v>
      </x:c>
      <x:c r="G35" s="7" t="n">
        <x:f>IF($A35="","",D35+1.9602400929689823*E35)</x:f>
        <x:v>444.1483363914359</x:v>
      </x:c>
      <x:c r="H35" s="7" t="n">
        <x:f>IF($A35="","",162.51458035855*SQRT((1)*$J$59*(1)+(1)*$K$59*(LN(B35))+(LN(B35))*$J$60*(1)+(LN(B35))*$K$60*(LN(B35))))</x:f>
        <x:v>2.507673934193734</x:v>
      </x:c>
      <x:c r="I35" s="3"/>
      <x:c r="J35" s="9" t="n">
        <x:v>46221</x:v>
      </x:c>
      <x:c r="K35" s="7" t="n">
        <x:v>266</x:v>
      </x:c>
      <x:c r="L35" s="7" t="n">
        <x:f>$E$4+$E$5*LN(((J35-37257+1)/1000))</x:f>
        <x:v>124.34179835209505</x:v>
      </x:c>
      <x:c r="M35" s="7" t="n">
        <x:f>K35-L35</x:f>
        <x:v>141.65820164790495</x:v>
      </x:c>
      <x:c r="N35" s="7" t="n">
        <x:f>ABS(M35)</x:f>
        <x:v>141.65820164790495</x:v>
      </x:c>
      <x:c r="O35" s="3"/>
      <x:c r="P35" s="3"/>
      <x:c r="Q35" s="3"/>
    </x:row>
    <x:row r="36" ht="15" customHeight="1">
      <x:c r="A36" s="9" t="n">
        <x:f>IF(26&lt;='Сводка'!$B$3,'Сводка'!$B$4+26,"")</x:f>
        <x:v>46261</x:v>
      </x:c>
      <x:c r="B36" s="18" t="n">
        <x:f>IF($A36="","",(A36-37257+1)/1000)</x:f>
        <x:v>9.005</x:v>
      </x:c>
      <x:c r="C36" s="18" t="n">
        <x:f>IF($A36="","",2*(A36-37257)/8978-1)</x:f>
        <x:v>1.0057919358431722</x:v>
      </x:c>
      <x:c r="D36" s="7" t="n">
        <x:f>IF($A36="","",$B$4+$B$5*LN(B36))</x:f>
        <x:v>125.54911966374769</x:v>
      </x:c>
      <x:c r="E36" s="7" t="n">
        <x:f>IF($A36="","",162.51458035855*SQRT(1+(1)*$J$59*(1)+(1)*$K$59*(LN(B36))+(LN(B36))*$J$60*(1)+(LN(B36))*$K$60*(LN(B36))))</x:f>
        <x:v>162.53392863758125</x:v>
      </x:c>
      <x:c r="F36" s="7" t="n">
        <x:f>IF($A36="","",D36-1.9602400929689823*E36)</x:f>
        <x:v>-193.0564037193985</x:v>
      </x:c>
      <x:c r="G36" s="7" t="n">
        <x:f>IF($A36="","",D36+1.9602400929689823*E36)</x:f>
        <x:v>444.15464304689385</x:v>
      </x:c>
      <x:c r="H36" s="7" t="n">
        <x:f>IF($A36="","",162.51458035855*SQRT((1)*$J$59*(1)+(1)*$K$59*(LN(B36))+(LN(B36))*$J$60*(1)+(LN(B36))*$K$60*(LN(B36))))</x:f>
        <x:v>2.5078136395572233</x:v>
      </x:c>
      <x:c r="I36" s="3"/>
      <x:c r="J36" s="9" t="n">
        <x:v>46222</x:v>
      </x:c>
      <x:c r="K36" s="7" t="n">
        <x:v>281</x:v>
      </x:c>
      <x:c r="L36" s="7" t="n">
        <x:f>$E$4+$E$5*LN(((J36-37257+1)/1000))</x:f>
        <x:v>124.3480747612557</x:v>
      </x:c>
      <x:c r="M36" s="7" t="n">
        <x:f>K36-L36</x:f>
        <x:v>156.6519252387443</x:v>
      </x:c>
      <x:c r="N36" s="7" t="n">
        <x:f>ABS(M36)</x:f>
        <x:v>156.6519252387443</x:v>
      </x:c>
      <x:c r="O36" s="3"/>
      <x:c r="P36" s="3"/>
      <x:c r="Q36" s="3"/>
    </x:row>
    <x:row r="37" ht="15" customHeight="1">
      <x:c r="A37" s="9" t="n">
        <x:f>IF(27&lt;='Сводка'!$B$3,'Сводка'!$B$4+27,"")</x:f>
        <x:v>46262</x:v>
      </x:c>
      <x:c r="B37" s="18" t="n">
        <x:f>IF($A37="","",(A37-37257+1)/1000)</x:f>
        <x:v>9.006</x:v>
      </x:c>
      <x:c r="C37" s="18" t="n">
        <x:f>IF($A37="","",2*(A37-37257)/8978-1)</x:f>
        <x:v>1.0060147026063713</x:v>
      </x:c>
      <x:c r="D37" s="7" t="n">
        <x:f>IF($A37="","",$B$4+$B$5*LN(B37))</x:f>
        <x:v>125.55542139402516</x:v>
      </x:c>
      <x:c r="E37" s="7" t="n">
        <x:f>IF($A37="","",162.51458035855*SQRT(1+(1)*$J$59*(1)+(1)*$K$59*(LN(B37))+(LN(B37))*$J$60*(1)+(LN(B37))*$K$60*(LN(B37))))</x:f>
        <x:v>162.53393079309743</x:v>
      </x:c>
      <x:c r="F37" s="7" t="n">
        <x:f>IF($A37="","",D37-1.9602400929689823*E37)</x:f>
        <x:v>-193.05010621445027</x:v>
      </x:c>
      <x:c r="G37" s="7" t="n">
        <x:f>IF($A37="","",D37+1.9602400929689823*E37)</x:f>
        <x:v>444.1609490025006</x:v>
      </x:c>
      <x:c r="H37" s="7" t="n">
        <x:f>IF($A37="","",162.51458035855*SQRT((1)*$J$59*(1)+(1)*$K$59*(LN(B37))+(LN(B37))*$J$60*(1)+(LN(B37))*$K$60*(LN(B37))))</x:f>
        <x:v>2.5079533368420894</x:v>
      </x:c>
      <x:c r="I37" s="3"/>
      <x:c r="J37" s="9" t="n">
        <x:v>46223</x:v>
      </x:c>
      <x:c r="K37" s="7" t="n">
        <x:v>292</x:v>
      </x:c>
      <x:c r="L37" s="7" t="n">
        <x:f>$E$4+$E$5*LN(((J37-37257+1)/1000))</x:f>
        <x:v>124.35435047043205</x:v>
      </x:c>
      <x:c r="M37" s="7" t="n">
        <x:f>K37-L37</x:f>
        <x:v>167.64564952956795</x:v>
      </x:c>
      <x:c r="N37" s="7" t="n">
        <x:f>ABS(M37)</x:f>
        <x:v>167.64564952956795</x:v>
      </x:c>
      <x:c r="O37" s="3"/>
      <x:c r="P37" s="3"/>
      <x:c r="Q37" s="3"/>
    </x:row>
    <x:row r="38" ht="15" customHeight="1">
      <x:c r="A38" s="9" t="n">
        <x:f>IF(28&lt;='Сводка'!$B$3,'Сводка'!$B$4+28,"")</x:f>
        <x:v>46263</x:v>
      </x:c>
      <x:c r="B38" s="18" t="n">
        <x:f>IF($A38="","",(A38-37257+1)/1000)</x:f>
        <x:v>9.007</x:v>
      </x:c>
      <x:c r="C38" s="18" t="n">
        <x:f>IF($A38="","",2*(A38-37257)/8978-1)</x:f>
        <x:v>1.00623746936957</x:v>
      </x:c>
      <x:c r="D38" s="7" t="n">
        <x:f>IF($A38="","",$B$4+$B$5*LN(B38))</x:f>
        <x:v>125.56172242461568</x:v>
      </x:c>
      <x:c r="E38" s="7" t="n">
        <x:f>IF($A38="","",162.51458035855*SQRT(1+(1)*$J$59*(1)+(1)*$K$59*(LN(B38))+(LN(B38))*$J$60*(1)+(LN(B38))*$K$60*(LN(B38))))</x:f>
        <x:v>162.53393294860902</x:v>
      </x:c>
      <x:c r="F38" s="7" t="n">
        <x:f>IF($A38="","",D38-1.9602400929689823*E38)</x:f>
        <x:v>-193.04380940918</x:v>
      </x:c>
      <x:c r="G38" s="7" t="n">
        <x:f>IF($A38="","",D38+1.9602400929689823*E38)</x:f>
        <x:v>444.1672542584114</x:v>
      </x:c>
      <x:c r="H38" s="7" t="n">
        <x:f>IF($A38="","",162.51458035855*SQRT((1)*$J$59*(1)+(1)*$K$59*(LN(B38))+(LN(B38))*$J$60*(1)+(LN(B38))*$K$60*(LN(B38))))</x:f>
        <x:v>2.5080930260480567</x:v>
      </x:c>
      <x:c r="I38" s="3"/>
      <x:c r="J38" s="9" t="n">
        <x:v>46224</x:v>
      </x:c>
      <x:c r="K38" s="7" t="n">
        <x:v>303</x:v>
      </x:c>
      <x:c r="L38" s="7" t="n">
        <x:f>$E$4+$E$5*LN(((J38-37257+1)/1000))</x:f>
        <x:v>124.36062547978023</x:v>
      </x:c>
      <x:c r="M38" s="7" t="n">
        <x:f>K38-L38</x:f>
        <x:v>178.63937452021977</x:v>
      </x:c>
      <x:c r="N38" s="7" t="n">
        <x:f>ABS(M38)</x:f>
        <x:v>178.63937452021977</x:v>
      </x:c>
      <x:c r="O38" s="3"/>
      <x:c r="P38" s="3"/>
      <x:c r="Q38" s="3"/>
    </x:row>
    <x:row r="39" ht="15" customHeight="1">
      <x:c r="A39" s="9" t="n">
        <x:f>IF(29&lt;='Сводка'!$B$3,'Сводка'!$B$4+29,"")</x:f>
        <x:v>46264</x:v>
      </x:c>
      <x:c r="B39" s="18" t="n">
        <x:f>IF($A39="","",(A39-37257+1)/1000)</x:f>
        <x:v>9.008</x:v>
      </x:c>
      <x:c r="C39" s="18" t="n">
        <x:f>IF($A39="","",2*(A39-37257)/8978-1)</x:f>
        <x:v>1.006460236132769</x:v>
      </x:c>
      <x:c r="D39" s="7" t="n">
        <x:f>IF($A39="","",$B$4+$B$5*LN(B39))</x:f>
        <x:v>125.56802275567466</x:v>
      </x:c>
      <x:c r="E39" s="7" t="n">
        <x:f>IF($A39="","",162.51458035855*SQRT(1+(1)*$J$59*(1)+(1)*$K$59*(LN(B39))+(LN(B39))*$J$60*(1)+(LN(B39))*$K$60*(LN(B39))))</x:f>
        <x:v>162.53393510411584</x:v>
      </x:c>
      <x:c r="F39" s="7" t="n">
        <x:f>IF($A39="","",D39-1.9602400929689823*E39)</x:f>
        <x:v>-193.0375133034319</x:v>
      </x:c>
      <x:c r="G39" s="7" t="n">
        <x:f>IF($A39="","",D39+1.9602400929689823*E39)</x:f>
        <x:v>444.17355881478125</x:v>
      </x:c>
      <x:c r="H39" s="7" t="n">
        <x:f>IF($A39="","",162.51458035855*SQRT((1)*$J$59*(1)+(1)*$K$59*(LN(B39))+(LN(B39))*$J$60*(1)+(LN(B39))*$K$60*(LN(B39))))</x:f>
        <x:v>2.5082327071748556</x:v>
      </x:c>
      <x:c r="I39" s="3"/>
      <x:c r="J39" s="9" t="n">
        <x:v>46225</x:v>
      </x:c>
      <x:c r="K39" s="7" t="n">
        <x:v>311</x:v>
      </x:c>
      <x:c r="L39" s="7" t="n">
        <x:f>$E$4+$E$5*LN(((J39-37257+1)/1000))</x:f>
        <x:v>124.36689978945627</x:v>
      </x:c>
      <x:c r="M39" s="7" t="n">
        <x:f>K39-L39</x:f>
        <x:v>186.63310021054372</x:v>
      </x:c>
      <x:c r="N39" s="7" t="n">
        <x:f>ABS(M39)</x:f>
        <x:v>186.63310021054372</x:v>
      </x:c>
      <x:c r="O39" s="3"/>
      <x:c r="P39" s="3"/>
      <x:c r="Q39" s="3"/>
    </x:row>
    <x:row r="40" ht="15" customHeight="1">
      <x:c r="A40" s="9" t="n">
        <x:f>IF(30&lt;='Сводка'!$B$3,'Сводка'!$B$4+30,"")</x:f>
        <x:v>46265</x:v>
      </x:c>
      <x:c r="B40" s="18" t="n">
        <x:f>IF($A40="","",(A40-37257+1)/1000)</x:f>
        <x:v>9.009</x:v>
      </x:c>
      <x:c r="C40" s="18" t="n">
        <x:f>IF($A40="","",2*(A40-37257)/8978-1)</x:f>
        <x:v>1.0066830028959681</x:v>
      </x:c>
      <x:c r="D40" s="7" t="n">
        <x:f>IF($A40="","",$B$4+$B$5*LN(B40))</x:f>
        <x:v>125.57432238735738</x:v>
      </x:c>
      <x:c r="E40" s="7" t="n">
        <x:f>IF($A40="","",162.51458035855*SQRT(1+(1)*$J$59*(1)+(1)*$K$59*(LN(B40))+(LN(B40))*$J$60*(1)+(LN(B40))*$K$60*(LN(B40))))</x:f>
        <x:v>162.5339372596181</x:v>
      </x:c>
      <x:c r="F40" s="7" t="n">
        <x:f>IF($A40="","",D40-1.9602400929689823*E40)</x:f>
        <x:v>-193.0312178970512</x:v>
      </x:c>
      <x:c r="G40" s="7" t="n">
        <x:f>IF($A40="","",D40+1.9602400929689823*E40)</x:f>
        <x:v>444.17986267176593</x:v>
      </x:c>
      <x:c r="H40" s="7" t="n">
        <x:f>IF($A40="","",162.51458035855*SQRT((1)*$J$59*(1)+(1)*$K$59*(LN(B40))+(LN(B40))*$J$60*(1)+(LN(B40))*$K$60*(LN(B40))))</x:f>
        <x:v>2.508372380222211</x:v>
      </x:c>
      <x:c r="I40" s="3"/>
      <x:c r="J40" s="9" t="n">
        <x:v>46226</x:v>
      </x:c>
      <x:c r="K40" s="7" t="n">
        <x:v>328</x:v>
      </x:c>
      <x:c r="L40" s="7" t="n">
        <x:f>$E$4+$E$5*LN(((J40-37257+1)/1000))</x:f>
        <x:v>124.37317339961623</x:v>
      </x:c>
      <x:c r="M40" s="7" t="n">
        <x:f>K40-L40</x:f>
        <x:v>203.62682660038377</x:v>
      </x:c>
      <x:c r="N40" s="7" t="n">
        <x:f>ABS(M40)</x:f>
        <x:v>203.62682660038377</x:v>
      </x:c>
      <x:c r="O40" s="3"/>
      <x:c r="P40" s="3"/>
      <x:c r="Q40" s="3"/>
    </x:row>
    <x:row r="41" ht="15" customHeight="1">
      <x:c r="A41" s="5" t="str">
        <x:f>IF(31&lt;='Сводка'!$B$3,'Сводка'!$B$4+31,"")</x:f>
      </x:c>
      <x:c r="B41" s="19" t="str">
        <x:f>IF($A41="","",(A41-37257+1)/1000)</x:f>
      </x:c>
      <x:c r="C41" s="19" t="str">
        <x:f>IF($A41="","",2*(A41-37257)/8978-1)</x:f>
      </x:c>
      <x:c r="D41" s="3" t="str">
        <x:f>IF($A41="","",$B$4+$B$5*LN(B41))</x:f>
      </x:c>
      <x:c r="E41" s="3" t="str">
        <x:f>IF($A41="","",162.51458035855*SQRT(1+(1)*$J$59*(1)+(1)*$K$59*(LN(B41))+(LN(B41))*$J$60*(1)+(LN(B41))*$K$60*(LN(B41))))</x:f>
      </x:c>
      <x:c r="F41" s="3" t="str">
        <x:f>IF($A41="","",D41-1.9602400929689823*E41)</x:f>
      </x:c>
      <x:c r="G41" s="3" t="str">
        <x:f>IF($A41="","",D41+1.9602400929689823*E41)</x:f>
      </x:c>
      <x:c r="H41" s="3" t="str">
        <x:f>IF($A41="","",162.51458035855*SQRT((1)*$J$59*(1)+(1)*$K$59*(LN(B41))+(LN(B41))*$J$60*(1)+(LN(B41))*$K$60*(LN(B41))))</x:f>
      </x:c>
      <x:c r="I41" s="3"/>
      <x:c r="J41" s="9" t="n">
        <x:v>46227</x:v>
      </x:c>
      <x:c r="K41" s="7" t="n">
        <x:v>340</x:v>
      </x:c>
      <x:c r="L41" s="7" t="n">
        <x:f>$E$4+$E$5*LN(((J41-37257+1)/1000))</x:f>
        <x:v>124.37944631041606</x:v>
      </x:c>
      <x:c r="M41" s="7" t="n">
        <x:f>K41-L41</x:f>
        <x:v>215.62055368958394</x:v>
      </x:c>
      <x:c r="N41" s="7" t="n">
        <x:f>ABS(M41)</x:f>
        <x:v>215.62055368958394</x:v>
      </x:c>
      <x:c r="O41" s="3"/>
      <x:c r="P41" s="3"/>
      <x:c r="Q41" s="3"/>
    </x:row>
    <x:row r="42" ht="15" customHeight="1">
      <x:c r="A42" s="5" t="str">
        <x:f>IF(32&lt;='Сводка'!$B$3,'Сводка'!$B$4+32,"")</x:f>
      </x:c>
      <x:c r="B42" s="19" t="str">
        <x:f>IF($A42="","",(A42-37257+1)/1000)</x:f>
      </x:c>
      <x:c r="C42" s="19" t="str">
        <x:f>IF($A42="","",2*(A42-37257)/8978-1)</x:f>
      </x:c>
      <x:c r="D42" s="3" t="str">
        <x:f>IF($A42="","",$B$4+$B$5*LN(B42))</x:f>
      </x:c>
      <x:c r="E42" s="3" t="str">
        <x:f>IF($A42="","",162.51458035855*SQRT(1+(1)*$J$59*(1)+(1)*$K$59*(LN(B42))+(LN(B42))*$J$60*(1)+(LN(B42))*$K$60*(LN(B42))))</x:f>
      </x:c>
      <x:c r="F42" s="3" t="str">
        <x:f>IF($A42="","",D42-1.9602400929689823*E42)</x:f>
      </x:c>
      <x:c r="G42" s="3" t="str">
        <x:f>IF($A42="","",D42+1.9602400929689823*E42)</x:f>
      </x:c>
      <x:c r="H42" s="3" t="str">
        <x:f>IF($A42="","",162.51458035855*SQRT((1)*$J$59*(1)+(1)*$K$59*(LN(B42))+(LN(B42))*$J$60*(1)+(LN(B42))*$K$60*(LN(B42))))</x:f>
      </x:c>
      <x:c r="I42" s="3"/>
      <x:c r="J42" s="9" t="n">
        <x:v>46228</x:v>
      </x:c>
      <x:c r="K42" s="7" t="n">
        <x:v>350</x:v>
      </x:c>
      <x:c r="L42" s="7" t="n">
        <x:f>$E$4+$E$5*LN(((J42-37257+1)/1000))</x:f>
        <x:v>124.38571852201163</x:v>
      </x:c>
      <x:c r="M42" s="7" t="n">
        <x:f>K42-L42</x:f>
        <x:v>225.61428147798836</x:v>
      </x:c>
      <x:c r="N42" s="7" t="n">
        <x:f>ABS(M42)</x:f>
        <x:v>225.61428147798836</x:v>
      </x:c>
      <x:c r="O42" s="3"/>
      <x:c r="P42" s="3"/>
      <x:c r="Q42" s="3"/>
    </x:row>
    <x:row r="43" ht="15" customHeight="1">
      <x:c r="A43" s="5" t="str">
        <x:f>IF(33&lt;='Сводка'!$B$3,'Сводка'!$B$4+33,"")</x:f>
      </x:c>
      <x:c r="B43" s="19" t="str">
        <x:f>IF($A43="","",(A43-37257+1)/1000)</x:f>
      </x:c>
      <x:c r="C43" s="19" t="str">
        <x:f>IF($A43="","",2*(A43-37257)/8978-1)</x:f>
      </x:c>
      <x:c r="D43" s="3" t="str">
        <x:f>IF($A43="","",$B$4+$B$5*LN(B43))</x:f>
      </x:c>
      <x:c r="E43" s="3" t="str">
        <x:f>IF($A43="","",162.51458035855*SQRT(1+(1)*$J$59*(1)+(1)*$K$59*(LN(B43))+(LN(B43))*$J$60*(1)+(LN(B43))*$K$60*(LN(B43))))</x:f>
      </x:c>
      <x:c r="F43" s="3" t="str">
        <x:f>IF($A43="","",D43-1.9602400929689823*E43)</x:f>
      </x:c>
      <x:c r="G43" s="3" t="str">
        <x:f>IF($A43="","",D43+1.9602400929689823*E43)</x:f>
      </x:c>
      <x:c r="H43" s="3" t="str">
        <x:f>IF($A43="","",162.51458035855*SQRT((1)*$J$59*(1)+(1)*$K$59*(LN(B43))+(LN(B43))*$J$60*(1)+(LN(B43))*$K$60*(LN(B43))))</x:f>
      </x:c>
      <x:c r="I43" s="3"/>
      <x:c r="J43" s="9" t="n">
        <x:v>46229</x:v>
      </x:c>
      <x:c r="K43" s="7" t="n">
        <x:v>361</x:v>
      </x:c>
      <x:c r="L43" s="7" t="n">
        <x:f>$E$4+$E$5*LN(((J43-37257+1)/1000))</x:f>
        <x:v>124.39199003455882</x:v>
      </x:c>
      <x:c r="M43" s="7" t="n">
        <x:f>K43-L43</x:f>
        <x:v>236.60800996544117</x:v>
      </x:c>
      <x:c r="N43" s="7" t="n">
        <x:f>ABS(M43)</x:f>
        <x:v>236.60800996544117</x:v>
      </x:c>
      <x:c r="O43" s="3"/>
      <x:c r="P43" s="3"/>
      <x:c r="Q43" s="3"/>
    </x:row>
    <x:row r="44" ht="15" customHeight="1">
      <x:c r="A44" s="5" t="str">
        <x:f>IF(34&lt;='Сводка'!$B$3,'Сводка'!$B$4+34,"")</x:f>
      </x:c>
      <x:c r="B44" s="19" t="str">
        <x:f>IF($A44="","",(A44-37257+1)/1000)</x:f>
      </x:c>
      <x:c r="C44" s="19" t="str">
        <x:f>IF($A44="","",2*(A44-37257)/8978-1)</x:f>
      </x:c>
      <x:c r="D44" s="3" t="str">
        <x:f>IF($A44="","",$B$4+$B$5*LN(B44))</x:f>
      </x:c>
      <x:c r="E44" s="3" t="str">
        <x:f>IF($A44="","",162.51458035855*SQRT(1+(1)*$J$59*(1)+(1)*$K$59*(LN(B44))+(LN(B44))*$J$60*(1)+(LN(B44))*$K$60*(LN(B44))))</x:f>
      </x:c>
      <x:c r="F44" s="3" t="str">
        <x:f>IF($A44="","",D44-1.9602400929689823*E44)</x:f>
      </x:c>
      <x:c r="G44" s="3" t="str">
        <x:f>IF($A44="","",D44+1.9602400929689823*E44)</x:f>
      </x:c>
      <x:c r="H44" s="3" t="str">
        <x:f>IF($A44="","",162.51458035855*SQRT((1)*$J$59*(1)+(1)*$K$59*(LN(B44))+(LN(B44))*$J$60*(1)+(LN(B44))*$K$60*(LN(B44))))</x:f>
      </x:c>
      <x:c r="I44" s="3"/>
      <x:c r="J44" s="9" t="n">
        <x:v>46230</x:v>
      </x:c>
      <x:c r="K44" s="7" t="n">
        <x:v>369</x:v>
      </x:c>
      <x:c r="L44" s="7" t="n">
        <x:f>$E$4+$E$5*LN(((J44-37257+1)/1000))</x:f>
        <x:v>124.39826084821343</x:v>
      </x:c>
      <x:c r="M44" s="7" t="n">
        <x:f>K44-L44</x:f>
        <x:v>244.60173915178657</x:v>
      </x:c>
      <x:c r="N44" s="7" t="n">
        <x:f>ABS(M44)</x:f>
        <x:v>244.60173915178657</x:v>
      </x:c>
      <x:c r="O44" s="3"/>
      <x:c r="P44" s="3"/>
      <x:c r="Q44" s="3"/>
    </x:row>
    <x:row r="45" ht="15" customHeight="1">
      <x:c r="A45" s="5" t="str">
        <x:f>IF(35&lt;='Сводка'!$B$3,'Сводка'!$B$4+35,"")</x:f>
      </x:c>
      <x:c r="B45" s="19" t="str">
        <x:f>IF($A45="","",(A45-37257+1)/1000)</x:f>
      </x:c>
      <x:c r="C45" s="19" t="str">
        <x:f>IF($A45="","",2*(A45-37257)/8978-1)</x:f>
      </x:c>
      <x:c r="D45" s="3" t="str">
        <x:f>IF($A45="","",$B$4+$B$5*LN(B45))</x:f>
      </x:c>
      <x:c r="E45" s="3" t="str">
        <x:f>IF($A45="","",162.51458035855*SQRT(1+(1)*$J$59*(1)+(1)*$K$59*(LN(B45))+(LN(B45))*$J$60*(1)+(LN(B45))*$K$60*(LN(B45))))</x:f>
      </x:c>
      <x:c r="F45" s="3" t="str">
        <x:f>IF($A45="","",D45-1.9602400929689823*E45)</x:f>
      </x:c>
      <x:c r="G45" s="3" t="str">
        <x:f>IF($A45="","",D45+1.9602400929689823*E45)</x:f>
      </x:c>
      <x:c r="H45" s="3" t="str">
        <x:f>IF($A45="","",162.51458035855*SQRT((1)*$J$59*(1)+(1)*$K$59*(LN(B45))+(LN(B45))*$J$60*(1)+(LN(B45))*$K$60*(LN(B45))))</x:f>
      </x:c>
      <x:c r="I45" s="3"/>
      <x:c r="J45" s="9" t="n">
        <x:v>46231</x:v>
      </x:c>
      <x:c r="K45" s="7" t="n">
        <x:v>377</x:v>
      </x:c>
      <x:c r="L45" s="7" t="n">
        <x:f>$E$4+$E$5*LN(((J45-37257+1)/1000))</x:f>
        <x:v>124.40453096313121</x:v>
      </x:c>
      <x:c r="M45" s="7" t="n">
        <x:f>K45-L45</x:f>
        <x:v>252.5954690368688</x:v>
      </x:c>
      <x:c r="N45" s="7" t="n">
        <x:f>ABS(M45)</x:f>
        <x:v>252.5954690368688</x:v>
      </x:c>
      <x:c r="O45" s="3"/>
      <x:c r="P45" s="3"/>
      <x:c r="Q45" s="3"/>
    </x:row>
    <x:row r="46" ht="15" customHeight="1">
      <x:c r="A46" s="5" t="str">
        <x:f>IF(36&lt;='Сводка'!$B$3,'Сводка'!$B$4+36,"")</x:f>
      </x:c>
      <x:c r="B46" s="19" t="str">
        <x:f>IF($A46="","",(A46-37257+1)/1000)</x:f>
      </x:c>
      <x:c r="C46" s="19" t="str">
        <x:f>IF($A46="","",2*(A46-37257)/8978-1)</x:f>
      </x:c>
      <x:c r="D46" s="3" t="str">
        <x:f>IF($A46="","",$B$4+$B$5*LN(B46))</x:f>
      </x:c>
      <x:c r="E46" s="3" t="str">
        <x:f>IF($A46="","",162.51458035855*SQRT(1+(1)*$J$59*(1)+(1)*$K$59*(LN(B46))+(LN(B46))*$J$60*(1)+(LN(B46))*$K$60*(LN(B46))))</x:f>
      </x:c>
      <x:c r="F46" s="3" t="str">
        <x:f>IF($A46="","",D46-1.9602400929689823*E46)</x:f>
      </x:c>
      <x:c r="G46" s="3" t="str">
        <x:f>IF($A46="","",D46+1.9602400929689823*E46)</x:f>
      </x:c>
      <x:c r="H46" s="3" t="str">
        <x:f>IF($A46="","",162.51458035855*SQRT((1)*$J$59*(1)+(1)*$K$59*(LN(B46))+(LN(B46))*$J$60*(1)+(LN(B46))*$K$60*(LN(B46))))</x:f>
      </x:c>
      <x:c r="I46" s="3"/>
      <x:c r="J46" s="9" t="n">
        <x:v>46232</x:v>
      </x:c>
      <x:c r="K46" s="7" t="n">
        <x:v>385</x:v>
      </x:c>
      <x:c r="L46" s="7" t="n">
        <x:f>$E$4+$E$5*LN(((J46-37257+1)/1000))</x:f>
        <x:v>124.4108003794679</x:v>
      </x:c>
      <x:c r="M46" s="7" t="n">
        <x:f>K46-L46</x:f>
        <x:v>260.5891996205321</x:v>
      </x:c>
      <x:c r="N46" s="7" t="n">
        <x:f>ABS(M46)</x:f>
        <x:v>260.5891996205321</x:v>
      </x:c>
      <x:c r="O46" s="3"/>
      <x:c r="P46" s="3"/>
      <x:c r="Q46" s="3"/>
    </x:row>
    <x:row r="47" ht="15" customHeight="1">
      <x:c r="A47" s="5" t="str">
        <x:f>IF(37&lt;='Сводка'!$B$3,'Сводка'!$B$4+37,"")</x:f>
      </x:c>
      <x:c r="B47" s="19" t="str">
        <x:f>IF($A47="","",(A47-37257+1)/1000)</x:f>
      </x:c>
      <x:c r="C47" s="19" t="str">
        <x:f>IF($A47="","",2*(A47-37257)/8978-1)</x:f>
      </x:c>
      <x:c r="D47" s="3" t="str">
        <x:f>IF($A47="","",$B$4+$B$5*LN(B47))</x:f>
      </x:c>
      <x:c r="E47" s="3" t="str">
        <x:f>IF($A47="","",162.51458035855*SQRT(1+(1)*$J$59*(1)+(1)*$K$59*(LN(B47))+(LN(B47))*$J$60*(1)+(LN(B47))*$K$60*(LN(B47))))</x:f>
      </x:c>
      <x:c r="F47" s="3" t="str">
        <x:f>IF($A47="","",D47-1.9602400929689823*E47)</x:f>
      </x:c>
      <x:c r="G47" s="3" t="str">
        <x:f>IF($A47="","",D47+1.9602400929689823*E47)</x:f>
      </x:c>
      <x:c r="H47" s="3" t="str">
        <x:f>IF($A47="","",162.51458035855*SQRT((1)*$J$59*(1)+(1)*$K$59*(LN(B47))+(LN(B47))*$J$60*(1)+(LN(B47))*$K$60*(LN(B47))))</x:f>
      </x:c>
      <x:c r="I47" s="3"/>
      <x:c r="J47" s="9" t="n">
        <x:v>46233</x:v>
      </x:c>
      <x:c r="K47" s="7" t="n">
        <x:v>389</x:v>
      </x:c>
      <x:c r="L47" s="7" t="n">
        <x:f>$E$4+$E$5*LN(((J47-37257+1)/1000))</x:f>
        <x:v>124.41706909737906</x:v>
      </x:c>
      <x:c r="M47" s="7" t="n">
        <x:f>K47-L47</x:f>
        <x:v>264.58293090262094</x:v>
      </x:c>
      <x:c r="N47" s="7" t="n">
        <x:f>ABS(M47)</x:f>
        <x:v>264.58293090262094</x:v>
      </x:c>
      <x:c r="O47" s="3"/>
      <x:c r="P47" s="3"/>
      <x:c r="Q47" s="3"/>
    </x:row>
    <x:row r="48" ht="15" customHeight="1">
      <x:c r="A48" s="5" t="str">
        <x:f>IF(38&lt;='Сводка'!$B$3,'Сводка'!$B$4+38,"")</x:f>
      </x:c>
      <x:c r="B48" s="19" t="str">
        <x:f>IF($A48="","",(A48-37257+1)/1000)</x:f>
      </x:c>
      <x:c r="C48" s="19" t="str">
        <x:f>IF($A48="","",2*(A48-37257)/8978-1)</x:f>
      </x:c>
      <x:c r="D48" s="3" t="str">
        <x:f>IF($A48="","",$B$4+$B$5*LN(B48))</x:f>
      </x:c>
      <x:c r="E48" s="3" t="str">
        <x:f>IF($A48="","",162.51458035855*SQRT(1+(1)*$J$59*(1)+(1)*$K$59*(LN(B48))+(LN(B48))*$J$60*(1)+(LN(B48))*$K$60*(LN(B48))))</x:f>
      </x:c>
      <x:c r="F48" s="3" t="str">
        <x:f>IF($A48="","",D48-1.9602400929689823*E48)</x:f>
      </x:c>
      <x:c r="G48" s="3" t="str">
        <x:f>IF($A48="","",D48+1.9602400929689823*E48)</x:f>
      </x:c>
      <x:c r="H48" s="3" t="str">
        <x:f>IF($A48="","",162.51458035855*SQRT((1)*$J$59*(1)+(1)*$K$59*(LN(B48))+(LN(B48))*$J$60*(1)+(LN(B48))*$K$60*(LN(B48))))</x:f>
      </x:c>
      <x:c r="I48" s="3"/>
      <x:c r="J48" s="9" t="n">
        <x:v>46234</x:v>
      </x:c>
      <x:c r="K48" s="7" t="n">
        <x:v>399</x:v>
      </x:c>
      <x:c r="L48" s="7" t="n">
        <x:f>$E$4+$E$5*LN(((J48-37257+1)/1000))</x:f>
        <x:v>124.42333711702034</x:v>
      </x:c>
      <x:c r="M48" s="7" t="n">
        <x:f>K48-L48</x:f>
        <x:v>274.5766628829797</x:v>
      </x:c>
      <x:c r="N48" s="7" t="n">
        <x:f>ABS(M48)</x:f>
        <x:v>274.5766628829797</x:v>
      </x:c>
      <x:c r="O48" s="3"/>
      <x:c r="P48" s="3"/>
      <x:c r="Q48" s="3"/>
    </x:row>
    <x:row r="49" ht="15" customHeight="1">
      <x:c r="A49" s="5" t="str">
        <x:f>IF(39&lt;='Сводка'!$B$3,'Сводка'!$B$4+39,"")</x:f>
      </x:c>
      <x:c r="B49" s="19" t="str">
        <x:f>IF($A49="","",(A49-37257+1)/1000)</x:f>
      </x:c>
      <x:c r="C49" s="19" t="str">
        <x:f>IF($A49="","",2*(A49-37257)/8978-1)</x:f>
      </x:c>
      <x:c r="D49" s="3" t="str">
        <x:f>IF($A49="","",$B$4+$B$5*LN(B49))</x:f>
      </x:c>
      <x:c r="E49" s="3" t="str">
        <x:f>IF($A49="","",162.51458035855*SQRT(1+(1)*$J$59*(1)+(1)*$K$59*(LN(B49))+(LN(B49))*$J$60*(1)+(LN(B49))*$K$60*(LN(B49))))</x:f>
      </x:c>
      <x:c r="F49" s="3" t="str">
        <x:f>IF($A49="","",D49-1.9602400929689823*E49)</x:f>
      </x:c>
      <x:c r="G49" s="3" t="str">
        <x:f>IF($A49="","",D49+1.9602400929689823*E49)</x:f>
      </x:c>
      <x:c r="H49" s="3" t="str">
        <x:f>IF($A49="","",162.51458035855*SQRT((1)*$J$59*(1)+(1)*$K$59*(LN(B49))+(LN(B49))*$J$60*(1)+(LN(B49))*$K$60*(LN(B49))))</x:f>
      </x:c>
      <x:c r="I49" s="3"/>
      <x:c r="J49" s="9" t="n">
        <x:v>46235</x:v>
      </x:c>
      <x:c r="K49" s="7" t="n">
        <x:v>405</x:v>
      </x:c>
      <x:c r="L49" s="7" t="n">
        <x:f>$E$4+$E$5*LN(((J49-37257+1)/1000))</x:f>
        <x:v>124.42960443854729</x:v>
      </x:c>
      <x:c r="M49" s="7" t="n">
        <x:f>K49-L49</x:f>
        <x:v>280.5703955614527</x:v>
      </x:c>
      <x:c r="N49" s="7" t="n">
        <x:f>ABS(M49)</x:f>
        <x:v>280.5703955614527</x:v>
      </x:c>
      <x:c r="O49" s="3"/>
      <x:c r="P49" s="3"/>
      <x:c r="Q49" s="3"/>
    </x:row>
    <x:row r="50" ht="15" customHeight="1">
      <x:c r="A50" s="5" t="str">
        <x:f>IF(40&lt;='Сводка'!$B$3,'Сводка'!$B$4+40,"")</x:f>
      </x:c>
      <x:c r="B50" s="19" t="str">
        <x:f>IF($A50="","",(A50-37257+1)/1000)</x:f>
      </x:c>
      <x:c r="C50" s="19" t="str">
        <x:f>IF($A50="","",2*(A50-37257)/8978-1)</x:f>
      </x:c>
      <x:c r="D50" s="3" t="str">
        <x:f>IF($A50="","",$B$4+$B$5*LN(B50))</x:f>
      </x:c>
      <x:c r="E50" s="3" t="str">
        <x:f>IF($A50="","",162.51458035855*SQRT(1+(1)*$J$59*(1)+(1)*$K$59*(LN(B50))+(LN(B50))*$J$60*(1)+(LN(B50))*$K$60*(LN(B50))))</x:f>
      </x:c>
      <x:c r="F50" s="3" t="str">
        <x:f>IF($A50="","",D50-1.9602400929689823*E50)</x:f>
      </x:c>
      <x:c r="G50" s="3" t="str">
        <x:f>IF($A50="","",D50+1.9602400929689823*E50)</x:f>
      </x:c>
      <x:c r="H50" s="3" t="str">
        <x:f>IF($A50="","",162.51458035855*SQRT((1)*$J$59*(1)+(1)*$K$59*(LN(B50))+(LN(B50))*$J$60*(1)+(LN(B50))*$K$60*(LN(B50))))</x:f>
      </x:c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customHeight="1">
      <x:c r="A51" s="5" t="str">
        <x:f>IF(41&lt;='Сводка'!$B$3,'Сводка'!$B$4+41,"")</x:f>
      </x:c>
      <x:c r="B51" s="19" t="str">
        <x:f>IF($A51="","",(A51-37257+1)/1000)</x:f>
      </x:c>
      <x:c r="C51" s="19" t="str">
        <x:f>IF($A51="","",2*(A51-37257)/8978-1)</x:f>
      </x:c>
      <x:c r="D51" s="3" t="str">
        <x:f>IF($A51="","",$B$4+$B$5*LN(B51))</x:f>
      </x:c>
      <x:c r="E51" s="3" t="str">
        <x:f>IF($A51="","",162.51458035855*SQRT(1+(1)*$J$59*(1)+(1)*$K$59*(LN(B51))+(LN(B51))*$J$60*(1)+(LN(B51))*$K$60*(LN(B51))))</x:f>
      </x:c>
      <x:c r="F51" s="3" t="str">
        <x:f>IF($A51="","",D51-1.9602400929689823*E51)</x:f>
      </x:c>
      <x:c r="G51" s="3" t="str">
        <x:f>IF($A51="","",D51+1.9602400929689823*E51)</x:f>
      </x:c>
      <x:c r="H51" s="3" t="str">
        <x:f>IF($A51="","",162.51458035855*SQRT((1)*$J$59*(1)+(1)*$K$59*(LN(B51))+(LN(B51))*$J$60*(1)+(LN(B51))*$K$60*(LN(B51))))</x:f>
      </x:c>
      <x:c r="I51" s="3"/>
      <x:c r="J51" s="3" t="str">
        <x:v>XᵀX</x:v>
      </x:c>
      <x:c r="K51" s="3"/>
      <x:c r="L51" s="3"/>
      <x:c r="M51" s="3"/>
      <x:c r="N51" s="3"/>
      <x:c r="O51" s="3" t="str">
        <x:v>Xᵀy</x:v>
      </x:c>
      <x:c r="P51" s="3"/>
      <x:c r="Q51" s="3"/>
    </x:row>
    <x:row r="52" ht="15" customHeight="1">
      <x:c r="A52" s="5" t="str">
        <x:f>IF(42&lt;='Сводка'!$B$3,'Сводка'!$B$4+42,"")</x:f>
      </x:c>
      <x:c r="B52" s="19" t="str">
        <x:f>IF($A52="","",(A52-37257+1)/1000)</x:f>
      </x:c>
      <x:c r="C52" s="19" t="str">
        <x:f>IF($A52="","",2*(A52-37257)/8978-1)</x:f>
      </x:c>
      <x:c r="D52" s="3" t="str">
        <x:f>IF($A52="","",$B$4+$B$5*LN(B52))</x:f>
      </x:c>
      <x:c r="E52" s="3" t="str">
        <x:f>IF($A52="","",162.51458035855*SQRT(1+(1)*$J$59*(1)+(1)*$K$59*(LN(B52))+(LN(B52))*$J$60*(1)+(LN(B52))*$K$60*(LN(B52))))</x:f>
      </x:c>
      <x:c r="F52" s="3" t="str">
        <x:f>IF($A52="","",D52-1.9602400929689823*E52)</x:f>
      </x:c>
      <x:c r="G52" s="3" t="str">
        <x:f>IF($A52="","",D52+1.9602400929689823*E52)</x:f>
      </x:c>
      <x:c r="H52" s="3" t="str">
        <x:f>IF($A52="","",162.51458035855*SQRT((1)*$J$59*(1)+(1)*$K$59*(LN(B52))+(LN(B52))*$J$60*(1)+(LN(B52))*$K$60*(LN(B52))))</x:f>
      </x:c>
      <x:c r="I52" s="3"/>
      <x:c r="J52" s="7" t="n">
        <x:v>8595</x:v>
      </x:c>
      <x:c r="K52" s="7" t="n">
        <x:v>10127.528589850872</x:v>
      </x:c>
      <x:c r="L52" s="3"/>
      <x:c r="M52" s="3"/>
      <x:c r="N52" s="3"/>
      <x:c r="O52" s="7" t="n">
        <x:v>581827</x:v>
      </x:c>
      <x:c r="P52" s="3"/>
      <x:c r="Q52" s="3"/>
    </x:row>
    <x:row r="53" ht="15" customHeight="1">
      <x:c r="A53" s="5" t="str">
        <x:f>IF(43&lt;='Сводка'!$B$3,'Сводка'!$B$4+43,"")</x:f>
      </x:c>
      <x:c r="B53" s="19" t="str">
        <x:f>IF($A53="","",(A53-37257+1)/1000)</x:f>
      </x:c>
      <x:c r="C53" s="19" t="str">
        <x:f>IF($A53="","",2*(A53-37257)/8978-1)</x:f>
      </x:c>
      <x:c r="D53" s="3" t="str">
        <x:f>IF($A53="","",$B$4+$B$5*LN(B53))</x:f>
      </x:c>
      <x:c r="E53" s="3" t="str">
        <x:f>IF($A53="","",162.51458035855*SQRT(1+(1)*$J$59*(1)+(1)*$K$59*(LN(B53))+(LN(B53))*$J$60*(1)+(LN(B53))*$K$60*(LN(B53))))</x:f>
      </x:c>
      <x:c r="F53" s="3" t="str">
        <x:f>IF($A53="","",D53-1.9602400929689823*E53)</x:f>
      </x:c>
      <x:c r="G53" s="3" t="str">
        <x:f>IF($A53="","",D53+1.9602400929689823*E53)</x:f>
      </x:c>
      <x:c r="H53" s="3" t="str">
        <x:f>IF($A53="","",162.51458035855*SQRT((1)*$J$59*(1)+(1)*$K$59*(LN(B53))+(LN(B53))*$J$60*(1)+(LN(B53))*$K$60*(LN(B53))))</x:f>
      </x:c>
      <x:c r="I53" s="3"/>
      <x:c r="J53" s="7" t="n">
        <x:v>10127.528589850872</x:v>
      </x:c>
      <x:c r="K53" s="7" t="n">
        <x:v>20467.888712127333</x:v>
      </x:c>
      <x:c r="L53" s="3"/>
      <x:c r="M53" s="3"/>
      <x:c r="N53" s="3"/>
      <x:c r="O53" s="7" t="n">
        <x:v>1169908.5525238917</x:v>
      </x:c>
      <x:c r="P53" s="3"/>
      <x:c r="Q53" s="3"/>
    </x:row>
    <x:row r="54" ht="15" customHeight="1">
      <x:c r="A54" s="5" t="str">
        <x:f>IF(44&lt;='Сводка'!$B$3,'Сводка'!$B$4+44,"")</x:f>
      </x:c>
      <x:c r="B54" s="19" t="str">
        <x:f>IF($A54="","",(A54-37257+1)/1000)</x:f>
      </x:c>
      <x:c r="C54" s="19" t="str">
        <x:f>IF($A54="","",2*(A54-37257)/8978-1)</x:f>
      </x:c>
      <x:c r="D54" s="3" t="str">
        <x:f>IF($A54="","",$B$4+$B$5*LN(B54))</x:f>
      </x:c>
      <x:c r="E54" s="3" t="str">
        <x:f>IF($A54="","",162.51458035855*SQRT(1+(1)*$J$59*(1)+(1)*$K$59*(LN(B54))+(LN(B54))*$J$60*(1)+(LN(B54))*$K$60*(LN(B54))))</x:f>
      </x:c>
      <x:c r="F54" s="3" t="str">
        <x:f>IF($A54="","",D54-1.9602400929689823*E54)</x:f>
      </x:c>
      <x:c r="G54" s="3" t="str">
        <x:f>IF($A54="","",D54+1.9602400929689823*E54)</x:f>
      </x:c>
      <x:c r="H54" s="3" t="str">
        <x:f>IF($A54="","",162.51458035855*SQRT((1)*$J$59*(1)+(1)*$K$59*(LN(B54))+(LN(B54))*$J$60*(1)+(LN(B54))*$K$60*(LN(B54))))</x:f>
      </x:c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15" customHeight="1">
      <x:c r="A55" s="5" t="str">
        <x:f>IF(45&lt;='Сводка'!$B$3,'Сводка'!$B$4+45,"")</x:f>
      </x:c>
      <x:c r="B55" s="19" t="str">
        <x:f>IF($A55="","",(A55-37257+1)/1000)</x:f>
      </x:c>
      <x:c r="C55" s="19" t="str">
        <x:f>IF($A55="","",2*(A55-37257)/8978-1)</x:f>
      </x:c>
      <x:c r="D55" s="3" t="str">
        <x:f>IF($A55="","",$B$4+$B$5*LN(B55))</x:f>
      </x:c>
      <x:c r="E55" s="3" t="str">
        <x:f>IF($A55="","",162.51458035855*SQRT(1+(1)*$J$59*(1)+(1)*$K$59*(LN(B55))+(LN(B55))*$J$60*(1)+(LN(B55))*$K$60*(LN(B55))))</x:f>
      </x:c>
      <x:c r="F55" s="3" t="str">
        <x:f>IF($A55="","",D55-1.9602400929689823*E55)</x:f>
      </x:c>
      <x:c r="G55" s="3" t="str">
        <x:f>IF($A55="","",D55+1.9602400929689823*E55)</x:f>
      </x:c>
      <x:c r="H55" s="3" t="str">
        <x:f>IF($A55="","",162.51458035855*SQRT((1)*$J$59*(1)+(1)*$K$59*(LN(B55))+(LN(B55))*$J$60*(1)+(LN(B55))*$K$60*(LN(B55))))</x:f>
      </x:c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15" customHeight="1">
      <x:c r="A56" s="5" t="str">
        <x:f>IF(46&lt;='Сводка'!$B$3,'Сводка'!$B$4+46,"")</x:f>
      </x:c>
      <x:c r="B56" s="19" t="str">
        <x:f>IF($A56="","",(A56-37257+1)/1000)</x:f>
      </x:c>
      <x:c r="C56" s="19" t="str">
        <x:f>IF($A56="","",2*(A56-37257)/8978-1)</x:f>
      </x:c>
      <x:c r="D56" s="3" t="str">
        <x:f>IF($A56="","",$B$4+$B$5*LN(B56))</x:f>
      </x:c>
      <x:c r="E56" s="3" t="str">
        <x:f>IF($A56="","",162.51458035855*SQRT(1+(1)*$J$59*(1)+(1)*$K$59*(LN(B56))+(LN(B56))*$J$60*(1)+(LN(B56))*$K$60*(LN(B56))))</x:f>
      </x:c>
      <x:c r="F56" s="3" t="str">
        <x:f>IF($A56="","",D56-1.9602400929689823*E56)</x:f>
      </x:c>
      <x:c r="G56" s="3" t="str">
        <x:f>IF($A56="","",D56+1.9602400929689823*E56)</x:f>
      </x:c>
      <x:c r="H56" s="3" t="str">
        <x:f>IF($A56="","",162.51458035855*SQRT((1)*$J$59*(1)+(1)*$K$59*(LN(B56))+(LN(B56))*$J$60*(1)+(LN(B56))*$K$60*(LN(B56))))</x:f>
      </x:c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customHeight="1">
      <x:c r="A57" s="5" t="str">
        <x:f>IF(47&lt;='Сводка'!$B$3,'Сводка'!$B$4+47,"")</x:f>
      </x:c>
      <x:c r="B57" s="19" t="str">
        <x:f>IF($A57="","",(A57-37257+1)/1000)</x:f>
      </x:c>
      <x:c r="C57" s="19" t="str">
        <x:f>IF($A57="","",2*(A57-37257)/8978-1)</x:f>
      </x:c>
      <x:c r="D57" s="3" t="str">
        <x:f>IF($A57="","",$B$4+$B$5*LN(B57))</x:f>
      </x:c>
      <x:c r="E57" s="3" t="str">
        <x:f>IF($A57="","",162.51458035855*SQRT(1+(1)*$J$59*(1)+(1)*$K$59*(LN(B57))+(LN(B57))*$J$60*(1)+(LN(B57))*$K$60*(LN(B57))))</x:f>
      </x:c>
      <x:c r="F57" s="3" t="str">
        <x:f>IF($A57="","",D57-1.9602400929689823*E57)</x:f>
      </x:c>
      <x:c r="G57" s="3" t="str">
        <x:f>IF($A57="","",D57+1.9602400929689823*E57)</x:f>
      </x:c>
      <x:c r="H57" s="3" t="str">
        <x:f>IF($A57="","",162.51458035855*SQRT((1)*$J$59*(1)+(1)*$K$59*(LN(B57))+(LN(B57))*$J$60*(1)+(LN(B57))*$K$60*(LN(B57))))</x:f>
      </x:c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customHeight="1">
      <x:c r="A58" s="5" t="str">
        <x:f>IF(48&lt;='Сводка'!$B$3,'Сводка'!$B$4+48,"")</x:f>
      </x:c>
      <x:c r="B58" s="19" t="str">
        <x:f>IF($A58="","",(A58-37257+1)/1000)</x:f>
      </x:c>
      <x:c r="C58" s="19" t="str">
        <x:f>IF($A58="","",2*(A58-37257)/8978-1)</x:f>
      </x:c>
      <x:c r="D58" s="3" t="str">
        <x:f>IF($A58="","",$B$4+$B$5*LN(B58))</x:f>
      </x:c>
      <x:c r="E58" s="3" t="str">
        <x:f>IF($A58="","",162.51458035855*SQRT(1+(1)*$J$59*(1)+(1)*$K$59*(LN(B58))+(LN(B58))*$J$60*(1)+(LN(B58))*$K$60*(LN(B58))))</x:f>
      </x:c>
      <x:c r="F58" s="3" t="str">
        <x:f>IF($A58="","",D58-1.9602400929689823*E58)</x:f>
      </x:c>
      <x:c r="G58" s="3" t="str">
        <x:f>IF($A58="","",D58+1.9602400929689823*E58)</x:f>
      </x:c>
      <x:c r="H58" s="3" t="str">
        <x:f>IF($A58="","",162.51458035855*SQRT((1)*$J$59*(1)+(1)*$K$59*(LN(B58))+(LN(B58))*$J$60*(1)+(LN(B58))*$K$60*(LN(B58))))</x:f>
      </x:c>
      <x:c r="I58" s="3"/>
      <x:c r="J58" s="3" t="str">
        <x:v>(XᵀX)⁻¹</x:v>
      </x:c>
      <x:c r="K58" s="3"/>
      <x:c r="L58" s="3"/>
      <x:c r="M58" s="3"/>
      <x:c r="N58" s="3"/>
      <x:c r="O58" s="3" t="str">
        <x:v>det</x:v>
      </x:c>
      <x:c r="P58" s="3"/>
      <x:c r="Q58" s="3"/>
    </x:row>
    <x:row r="59" ht="15" customHeight="1">
      <x:c r="A59" s="5" t="str">
        <x:f>IF(49&lt;='Сводка'!$B$3,'Сводка'!$B$4+49,"")</x:f>
      </x:c>
      <x:c r="B59" s="19" t="str">
        <x:f>IF($A59="","",(A59-37257+1)/1000)</x:f>
      </x:c>
      <x:c r="C59" s="19" t="str">
        <x:f>IF($A59="","",2*(A59-37257)/8978-1)</x:f>
      </x:c>
      <x:c r="D59" s="3" t="str">
        <x:f>IF($A59="","",$B$4+$B$5*LN(B59))</x:f>
      </x:c>
      <x:c r="E59" s="3" t="str">
        <x:f>IF($A59="","",162.51458035855*SQRT(1+(1)*$J$59*(1)+(1)*$K$59*(LN(B59))+(LN(B59))*$J$60*(1)+(LN(B59))*$K$60*(LN(B59))))</x:f>
      </x:c>
      <x:c r="F59" s="3" t="str">
        <x:f>IF($A59="","",D59-1.9602400929689823*E59)</x:f>
      </x:c>
      <x:c r="G59" s="3" t="str">
        <x:f>IF($A59="","",D59+1.9602400929689823*E59)</x:f>
      </x:c>
      <x:c r="H59" s="3" t="str">
        <x:f>IF($A59="","",162.51458035855*SQRT((1)*$J$59*(1)+(1)*$K$59*(LN(B59))+(LN(B59))*$J$60*(1)+(LN(B59))*$K$60*(LN(B59))))</x:f>
      </x:c>
      <x:c r="I59" s="3"/>
      <x:c r="J59" s="7" t="n">
        <x:f>$K$53/$O$59</x:f>
        <x:v>0.0002790263964165105</x:v>
      </x:c>
      <x:c r="K59" s="7" t="n">
        <x:f>-$K$52/$O$59</x:f>
        <x:v>-0.0001380624961751401</x:v>
      </x:c>
      <x:c r="L59" s="3"/>
      <x:c r="M59" s="3"/>
      <x:c r="N59" s="3"/>
      <x:c r="O59" s="3" t="n">
        <x:f>($J$52*$K$53-$K$52*$J$53)</x:f>
        <x:v>73354668.14248765</x:v>
      </x:c>
      <x:c r="P59" s="3"/>
      <x:c r="Q59" s="3"/>
    </x:row>
    <x:row r="60" ht="15" customHeight="1">
      <x:c r="A60" s="5" t="str">
        <x:f>IF(50&lt;='Сводка'!$B$3,'Сводка'!$B$4+50,"")</x:f>
      </x:c>
      <x:c r="B60" s="19" t="str">
        <x:f>IF($A60="","",(A60-37257+1)/1000)</x:f>
      </x:c>
      <x:c r="C60" s="19" t="str">
        <x:f>IF($A60="","",2*(A60-37257)/8978-1)</x:f>
      </x:c>
      <x:c r="D60" s="3" t="str">
        <x:f>IF($A60="","",$B$4+$B$5*LN(B60))</x:f>
      </x:c>
      <x:c r="E60" s="3" t="str">
        <x:f>IF($A60="","",162.51458035855*SQRT(1+(1)*$J$59*(1)+(1)*$K$59*(LN(B60))+(LN(B60))*$J$60*(1)+(LN(B60))*$K$60*(LN(B60))))</x:f>
      </x:c>
      <x:c r="F60" s="3" t="str">
        <x:f>IF($A60="","",D60-1.9602400929689823*E60)</x:f>
      </x:c>
      <x:c r="G60" s="3" t="str">
        <x:f>IF($A60="","",D60+1.9602400929689823*E60)</x:f>
      </x:c>
      <x:c r="H60" s="3" t="str">
        <x:f>IF($A60="","",162.51458035855*SQRT((1)*$J$59*(1)+(1)*$K$59*(LN(B60))+(LN(B60))*$J$60*(1)+(LN(B60))*$K$60*(LN(B60))))</x:f>
      </x:c>
      <x:c r="I60" s="3"/>
      <x:c r="J60" s="7" t="n">
        <x:f>-$J$53/$O$59</x:f>
        <x:v>-0.0001380624961751401</x:v>
      </x:c>
      <x:c r="K60" s="7" t="n">
        <x:f>$J$52/$O$59</x:f>
        <x:v>0.0001171704571453402</x:v>
      </x:c>
      <x:c r="L60" s="3"/>
      <x:c r="M60" s="3"/>
      <x:c r="N60" s="3"/>
      <x:c r="O60" s="3"/>
      <x:c r="P60" s="3"/>
      <x:c r="Q60" s="3"/>
    </x:row>
    <x:row r="61" ht="15" customHeight="1">
      <x:c r="A61" s="5" t="str">
        <x:f>IF(51&lt;='Сводка'!$B$3,'Сводка'!$B$4+51,"")</x:f>
      </x:c>
      <x:c r="B61" s="19" t="str">
        <x:f>IF($A61="","",(A61-37257+1)/1000)</x:f>
      </x:c>
      <x:c r="C61" s="19" t="str">
        <x:f>IF($A61="","",2*(A61-37257)/8978-1)</x:f>
      </x:c>
      <x:c r="D61" s="3" t="str">
        <x:f>IF($A61="","",$B$4+$B$5*LN(B61))</x:f>
      </x:c>
      <x:c r="E61" s="3" t="str">
        <x:f>IF($A61="","",162.51458035855*SQRT(1+(1)*$J$59*(1)+(1)*$K$59*(LN(B61))+(LN(B61))*$J$60*(1)+(LN(B61))*$K$60*(LN(B61))))</x:f>
      </x:c>
      <x:c r="F61" s="3" t="str">
        <x:f>IF($A61="","",D61-1.9602400929689823*E61)</x:f>
      </x:c>
      <x:c r="G61" s="3" t="str">
        <x:f>IF($A61="","",D61+1.9602400929689823*E61)</x:f>
      </x:c>
      <x:c r="H61" s="3" t="str">
        <x:f>IF($A61="","",162.51458035855*SQRT((1)*$J$59*(1)+(1)*$K$59*(LN(B61))+(LN(B61))*$J$60*(1)+(LN(B61))*$K$60*(LN(B61))))</x:f>
      </x:c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15" customHeight="1">
      <x:c r="A62" s="5" t="str">
        <x:f>IF(52&lt;='Сводка'!$B$3,'Сводка'!$B$4+52,"")</x:f>
      </x:c>
      <x:c r="B62" s="19" t="str">
        <x:f>IF($A62="","",(A62-37257+1)/1000)</x:f>
      </x:c>
      <x:c r="C62" s="19" t="str">
        <x:f>IF($A62="","",2*(A62-37257)/8978-1)</x:f>
      </x:c>
      <x:c r="D62" s="3" t="str">
        <x:f>IF($A62="","",$B$4+$B$5*LN(B62))</x:f>
      </x:c>
      <x:c r="E62" s="3" t="str">
        <x:f>IF($A62="","",162.51458035855*SQRT(1+(1)*$J$59*(1)+(1)*$K$59*(LN(B62))+(LN(B62))*$J$60*(1)+(LN(B62))*$K$60*(LN(B62))))</x:f>
      </x:c>
      <x:c r="F62" s="3" t="str">
        <x:f>IF($A62="","",D62-1.9602400929689823*E62)</x:f>
      </x:c>
      <x:c r="G62" s="3" t="str">
        <x:f>IF($A62="","",D62+1.9602400929689823*E62)</x:f>
      </x:c>
      <x:c r="H62" s="3" t="str">
        <x:f>IF($A62="","",162.51458035855*SQRT((1)*$J$59*(1)+(1)*$K$59*(LN(B62))+(LN(B62))*$J$60*(1)+(LN(B62))*$K$60*(LN(B62))))</x:f>
      </x:c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15" customHeight="1">
      <x:c r="A63" s="5" t="str">
        <x:f>IF(53&lt;='Сводка'!$B$3,'Сводка'!$B$4+53,"")</x:f>
      </x:c>
      <x:c r="B63" s="19" t="str">
        <x:f>IF($A63="","",(A63-37257+1)/1000)</x:f>
      </x:c>
      <x:c r="C63" s="19" t="str">
        <x:f>IF($A63="","",2*(A63-37257)/8978-1)</x:f>
      </x:c>
      <x:c r="D63" s="3" t="str">
        <x:f>IF($A63="","",$B$4+$B$5*LN(B63))</x:f>
      </x:c>
      <x:c r="E63" s="3" t="str">
        <x:f>IF($A63="","",162.51458035855*SQRT(1+(1)*$J$59*(1)+(1)*$K$59*(LN(B63))+(LN(B63))*$J$60*(1)+(LN(B63))*$K$60*(LN(B63))))</x:f>
      </x:c>
      <x:c r="F63" s="3" t="str">
        <x:f>IF($A63="","",D63-1.9602400929689823*E63)</x:f>
      </x:c>
      <x:c r="G63" s="3" t="str">
        <x:f>IF($A63="","",D63+1.9602400929689823*E63)</x:f>
      </x:c>
      <x:c r="H63" s="3" t="str">
        <x:f>IF($A63="","",162.51458035855*SQRT((1)*$J$59*(1)+(1)*$K$59*(LN(B63))+(LN(B63))*$J$60*(1)+(LN(B63))*$K$60*(LN(B63))))</x:f>
      </x:c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customHeight="1">
      <x:c r="A64" s="5" t="str">
        <x:f>IF(54&lt;='Сводка'!$B$3,'Сводка'!$B$4+54,"")</x:f>
      </x:c>
      <x:c r="B64" s="19" t="str">
        <x:f>IF($A64="","",(A64-37257+1)/1000)</x:f>
      </x:c>
      <x:c r="C64" s="19" t="str">
        <x:f>IF($A64="","",2*(A64-37257)/8978-1)</x:f>
      </x:c>
      <x:c r="D64" s="3" t="str">
        <x:f>IF($A64="","",$B$4+$B$5*LN(B64))</x:f>
      </x:c>
      <x:c r="E64" s="3" t="str">
        <x:f>IF($A64="","",162.51458035855*SQRT(1+(1)*$J$59*(1)+(1)*$K$59*(LN(B64))+(LN(B64))*$J$60*(1)+(LN(B64))*$K$60*(LN(B64))))</x:f>
      </x:c>
      <x:c r="F64" s="3" t="str">
        <x:f>IF($A64="","",D64-1.9602400929689823*E64)</x:f>
      </x:c>
      <x:c r="G64" s="3" t="str">
        <x:f>IF($A64="","",D64+1.9602400929689823*E64)</x:f>
      </x:c>
      <x:c r="H64" s="3" t="str">
        <x:f>IF($A64="","",162.51458035855*SQRT((1)*$J$59*(1)+(1)*$K$59*(LN(B64))+(LN(B64))*$J$60*(1)+(LN(B64))*$K$60*(LN(B64))))</x:f>
      </x:c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customHeight="1">
      <x:c r="A65" s="5" t="str">
        <x:f>IF(55&lt;='Сводка'!$B$3,'Сводка'!$B$4+55,"")</x:f>
      </x:c>
      <x:c r="B65" s="19" t="str">
        <x:f>IF($A65="","",(A65-37257+1)/1000)</x:f>
      </x:c>
      <x:c r="C65" s="19" t="str">
        <x:f>IF($A65="","",2*(A65-37257)/8978-1)</x:f>
      </x:c>
      <x:c r="D65" s="3" t="str">
        <x:f>IF($A65="","",$B$4+$B$5*LN(B65))</x:f>
      </x:c>
      <x:c r="E65" s="3" t="str">
        <x:f>IF($A65="","",162.51458035855*SQRT(1+(1)*$J$59*(1)+(1)*$K$59*(LN(B65))+(LN(B65))*$J$60*(1)+(LN(B65))*$K$60*(LN(B65))))</x:f>
      </x:c>
      <x:c r="F65" s="3" t="str">
        <x:f>IF($A65="","",D65-1.9602400929689823*E65)</x:f>
      </x:c>
      <x:c r="G65" s="3" t="str">
        <x:f>IF($A65="","",D65+1.9602400929689823*E65)</x:f>
      </x:c>
      <x:c r="H65" s="3" t="str">
        <x:f>IF($A65="","",162.51458035855*SQRT((1)*$J$59*(1)+(1)*$K$59*(LN(B65))+(LN(B65))*$J$60*(1)+(LN(B65))*$K$60*(LN(B65))))</x:f>
      </x:c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customHeight="1">
      <x:c r="A66" s="5" t="str">
        <x:f>IF(56&lt;='Сводка'!$B$3,'Сводка'!$B$4+56,"")</x:f>
      </x:c>
      <x:c r="B66" s="19" t="str">
        <x:f>IF($A66="","",(A66-37257+1)/1000)</x:f>
      </x:c>
      <x:c r="C66" s="19" t="str">
        <x:f>IF($A66="","",2*(A66-37257)/8978-1)</x:f>
      </x:c>
      <x:c r="D66" s="3" t="str">
        <x:f>IF($A66="","",$B$4+$B$5*LN(B66))</x:f>
      </x:c>
      <x:c r="E66" s="3" t="str">
        <x:f>IF($A66="","",162.51458035855*SQRT(1+(1)*$J$59*(1)+(1)*$K$59*(LN(B66))+(LN(B66))*$J$60*(1)+(LN(B66))*$K$60*(LN(B66))))</x:f>
      </x:c>
      <x:c r="F66" s="3" t="str">
        <x:f>IF($A66="","",D66-1.9602400929689823*E66)</x:f>
      </x:c>
      <x:c r="G66" s="3" t="str">
        <x:f>IF($A66="","",D66+1.9602400929689823*E66)</x:f>
      </x:c>
      <x:c r="H66" s="3" t="str">
        <x:f>IF($A66="","",162.51458035855*SQRT((1)*$J$59*(1)+(1)*$K$59*(LN(B66))+(LN(B66))*$J$60*(1)+(LN(B66))*$K$60*(LN(B66))))</x:f>
      </x:c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customHeight="1">
      <x:c r="A67" s="5" t="str">
        <x:f>IF(57&lt;='Сводка'!$B$3,'Сводка'!$B$4+57,"")</x:f>
      </x:c>
      <x:c r="B67" s="19" t="str">
        <x:f>IF($A67="","",(A67-37257+1)/1000)</x:f>
      </x:c>
      <x:c r="C67" s="19" t="str">
        <x:f>IF($A67="","",2*(A67-37257)/8978-1)</x:f>
      </x:c>
      <x:c r="D67" s="3" t="str">
        <x:f>IF($A67="","",$B$4+$B$5*LN(B67))</x:f>
      </x:c>
      <x:c r="E67" s="3" t="str">
        <x:f>IF($A67="","",162.51458035855*SQRT(1+(1)*$J$59*(1)+(1)*$K$59*(LN(B67))+(LN(B67))*$J$60*(1)+(LN(B67))*$K$60*(LN(B67))))</x:f>
      </x:c>
      <x:c r="F67" s="3" t="str">
        <x:f>IF($A67="","",D67-1.9602400929689823*E67)</x:f>
      </x:c>
      <x:c r="G67" s="3" t="str">
        <x:f>IF($A67="","",D67+1.9602400929689823*E67)</x:f>
      </x:c>
      <x:c r="H67" s="3" t="str">
        <x:f>IF($A67="","",162.51458035855*SQRT((1)*$J$59*(1)+(1)*$K$59*(LN(B67))+(LN(B67))*$J$60*(1)+(LN(B67))*$K$60*(LN(B67))))</x:f>
      </x:c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customHeight="1">
      <x:c r="A68" s="5" t="str">
        <x:f>IF(58&lt;='Сводка'!$B$3,'Сводка'!$B$4+58,"")</x:f>
      </x:c>
      <x:c r="B68" s="19" t="str">
        <x:f>IF($A68="","",(A68-37257+1)/1000)</x:f>
      </x:c>
      <x:c r="C68" s="19" t="str">
        <x:f>IF($A68="","",2*(A68-37257)/8978-1)</x:f>
      </x:c>
      <x:c r="D68" s="3" t="str">
        <x:f>IF($A68="","",$B$4+$B$5*LN(B68))</x:f>
      </x:c>
      <x:c r="E68" s="3" t="str">
        <x:f>IF($A68="","",162.51458035855*SQRT(1+(1)*$J$59*(1)+(1)*$K$59*(LN(B68))+(LN(B68))*$J$60*(1)+(LN(B68))*$K$60*(LN(B68))))</x:f>
      </x:c>
      <x:c r="F68" s="3" t="str">
        <x:f>IF($A68="","",D68-1.9602400929689823*E68)</x:f>
      </x:c>
      <x:c r="G68" s="3" t="str">
        <x:f>IF($A68="","",D68+1.9602400929689823*E68)</x:f>
      </x:c>
      <x:c r="H68" s="3" t="str">
        <x:f>IF($A68="","",162.51458035855*SQRT((1)*$J$59*(1)+(1)*$K$59*(LN(B68))+(LN(B68))*$J$60*(1)+(LN(B68))*$K$60*(LN(B68))))</x:f>
      </x:c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customHeight="1">
      <x:c r="A69" s="5" t="str">
        <x:f>IF(59&lt;='Сводка'!$B$3,'Сводка'!$B$4+59,"")</x:f>
      </x:c>
      <x:c r="B69" s="19" t="str">
        <x:f>IF($A69="","",(A69-37257+1)/1000)</x:f>
      </x:c>
      <x:c r="C69" s="19" t="str">
        <x:f>IF($A69="","",2*(A69-37257)/8978-1)</x:f>
      </x:c>
      <x:c r="D69" s="3" t="str">
        <x:f>IF($A69="","",$B$4+$B$5*LN(B69))</x:f>
      </x:c>
      <x:c r="E69" s="3" t="str">
        <x:f>IF($A69="","",162.51458035855*SQRT(1+(1)*$J$59*(1)+(1)*$K$59*(LN(B69))+(LN(B69))*$J$60*(1)+(LN(B69))*$K$60*(LN(B69))))</x:f>
      </x:c>
      <x:c r="F69" s="3" t="str">
        <x:f>IF($A69="","",D69-1.9602400929689823*E69)</x:f>
      </x:c>
      <x:c r="G69" s="3" t="str">
        <x:f>IF($A69="","",D69+1.9602400929689823*E69)</x:f>
      </x:c>
      <x:c r="H69" s="3" t="str">
        <x:f>IF($A69="","",162.51458035855*SQRT((1)*$J$59*(1)+(1)*$K$59*(LN(B69))+(LN(B69))*$J$60*(1)+(LN(B69))*$K$60*(LN(B69))))</x:f>
      </x:c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customHeight="1">
      <x:c r="A70" s="5" t="str">
        <x:f>IF(60&lt;='Сводка'!$B$3,'Сводка'!$B$4+60,"")</x:f>
      </x:c>
      <x:c r="B70" s="19" t="str">
        <x:f>IF($A70="","",(A70-37257+1)/1000)</x:f>
      </x:c>
      <x:c r="C70" s="19" t="str">
        <x:f>IF($A70="","",2*(A70-37257)/8978-1)</x:f>
      </x:c>
      <x:c r="D70" s="3" t="str">
        <x:f>IF($A70="","",$B$4+$B$5*LN(B70))</x:f>
      </x:c>
      <x:c r="E70" s="3" t="str">
        <x:f>IF($A70="","",162.51458035855*SQRT(1+(1)*$J$59*(1)+(1)*$K$59*(LN(B70))+(LN(B70))*$J$60*(1)+(LN(B70))*$K$60*(LN(B70))))</x:f>
      </x:c>
      <x:c r="F70" s="3" t="str">
        <x:f>IF($A70="","",D70-1.9602400929689823*E70)</x:f>
      </x:c>
      <x:c r="G70" s="3" t="str">
        <x:f>IF($A70="","",D70+1.9602400929689823*E70)</x:f>
      </x:c>
      <x:c r="H70" s="3" t="str">
        <x:f>IF($A70="","",162.51458035855*SQRT((1)*$J$59*(1)+(1)*$K$59*(LN(B70))+(LN(B70))*$J$60*(1)+(LN(B70))*$K$60*(LN(B70))))</x:f>
      </x:c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customHeight="1">
      <x:c r="A71" s="5" t="str">
        <x:f>IF(61&lt;='Сводка'!$B$3,'Сводка'!$B$4+61,"")</x:f>
      </x:c>
      <x:c r="B71" s="19" t="str">
        <x:f>IF($A71="","",(A71-37257+1)/1000)</x:f>
      </x:c>
      <x:c r="C71" s="19" t="str">
        <x:f>IF($A71="","",2*(A71-37257)/8978-1)</x:f>
      </x:c>
      <x:c r="D71" s="3" t="str">
        <x:f>IF($A71="","",$B$4+$B$5*LN(B71))</x:f>
      </x:c>
      <x:c r="E71" s="3" t="str">
        <x:f>IF($A71="","",162.51458035855*SQRT(1+(1)*$J$59*(1)+(1)*$K$59*(LN(B71))+(LN(B71))*$J$60*(1)+(LN(B71))*$K$60*(LN(B71))))</x:f>
      </x:c>
      <x:c r="F71" s="3" t="str">
        <x:f>IF($A71="","",D71-1.9602400929689823*E71)</x:f>
      </x:c>
      <x:c r="G71" s="3" t="str">
        <x:f>IF($A71="","",D71+1.9602400929689823*E71)</x:f>
      </x:c>
      <x:c r="H71" s="3" t="str">
        <x:f>IF($A71="","",162.51458035855*SQRT((1)*$J$59*(1)+(1)*$K$59*(LN(B71))+(LN(B71))*$J$60*(1)+(LN(B71))*$K$60*(LN(B71))))</x:f>
      </x:c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customHeight="1">
      <x:c r="A72" s="5" t="str">
        <x:f>IF(62&lt;='Сводка'!$B$3,'Сводка'!$B$4+62,"")</x:f>
      </x:c>
      <x:c r="B72" s="19" t="str">
        <x:f>IF($A72="","",(A72-37257+1)/1000)</x:f>
      </x:c>
      <x:c r="C72" s="19" t="str">
        <x:f>IF($A72="","",2*(A72-37257)/8978-1)</x:f>
      </x:c>
      <x:c r="D72" s="3" t="str">
        <x:f>IF($A72="","",$B$4+$B$5*LN(B72))</x:f>
      </x:c>
      <x:c r="E72" s="3" t="str">
        <x:f>IF($A72="","",162.51458035855*SQRT(1+(1)*$J$59*(1)+(1)*$K$59*(LN(B72))+(LN(B72))*$J$60*(1)+(LN(B72))*$K$60*(LN(B72))))</x:f>
      </x:c>
      <x:c r="F72" s="3" t="str">
        <x:f>IF($A72="","",D72-1.9602400929689823*E72)</x:f>
      </x:c>
      <x:c r="G72" s="3" t="str">
        <x:f>IF($A72="","",D72+1.9602400929689823*E72)</x:f>
      </x:c>
      <x:c r="H72" s="3" t="str">
        <x:f>IF($A72="","",162.51458035855*SQRT((1)*$J$59*(1)+(1)*$K$59*(LN(B72))+(LN(B72))*$J$60*(1)+(LN(B72))*$K$60*(LN(B72))))</x:f>
      </x:c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customHeight="1">
      <x:c r="A73" s="5" t="str">
        <x:f>IF(63&lt;='Сводка'!$B$3,'Сводка'!$B$4+63,"")</x:f>
      </x:c>
      <x:c r="B73" s="19" t="str">
        <x:f>IF($A73="","",(A73-37257+1)/1000)</x:f>
      </x:c>
      <x:c r="C73" s="19" t="str">
        <x:f>IF($A73="","",2*(A73-37257)/8978-1)</x:f>
      </x:c>
      <x:c r="D73" s="3" t="str">
        <x:f>IF($A73="","",$B$4+$B$5*LN(B73))</x:f>
      </x:c>
      <x:c r="E73" s="3" t="str">
        <x:f>IF($A73="","",162.51458035855*SQRT(1+(1)*$J$59*(1)+(1)*$K$59*(LN(B73))+(LN(B73))*$J$60*(1)+(LN(B73))*$K$60*(LN(B73))))</x:f>
      </x:c>
      <x:c r="F73" s="3" t="str">
        <x:f>IF($A73="","",D73-1.9602400929689823*E73)</x:f>
      </x:c>
      <x:c r="G73" s="3" t="str">
        <x:f>IF($A73="","",D73+1.9602400929689823*E73)</x:f>
      </x:c>
      <x:c r="H73" s="3" t="str">
        <x:f>IF($A73="","",162.51458035855*SQRT((1)*$J$59*(1)+(1)*$K$59*(LN(B73))+(LN(B73))*$J$60*(1)+(LN(B73))*$K$60*(LN(B73))))</x:f>
      </x:c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customHeight="1">
      <x:c r="A74" s="5" t="str">
        <x:f>IF(64&lt;='Сводка'!$B$3,'Сводка'!$B$4+64,"")</x:f>
      </x:c>
      <x:c r="B74" s="19" t="str">
        <x:f>IF($A74="","",(A74-37257+1)/1000)</x:f>
      </x:c>
      <x:c r="C74" s="19" t="str">
        <x:f>IF($A74="","",2*(A74-37257)/8978-1)</x:f>
      </x:c>
      <x:c r="D74" s="3" t="str">
        <x:f>IF($A74="","",$B$4+$B$5*LN(B74))</x:f>
      </x:c>
      <x:c r="E74" s="3" t="str">
        <x:f>IF($A74="","",162.51458035855*SQRT(1+(1)*$J$59*(1)+(1)*$K$59*(LN(B74))+(LN(B74))*$J$60*(1)+(LN(B74))*$K$60*(LN(B74))))</x:f>
      </x:c>
      <x:c r="F74" s="3" t="str">
        <x:f>IF($A74="","",D74-1.9602400929689823*E74)</x:f>
      </x:c>
      <x:c r="G74" s="3" t="str">
        <x:f>IF($A74="","",D74+1.9602400929689823*E74)</x:f>
      </x:c>
      <x:c r="H74" s="3" t="str">
        <x:f>IF($A74="","",162.51458035855*SQRT((1)*$J$59*(1)+(1)*$K$59*(LN(B74))+(LN(B74))*$J$60*(1)+(LN(B74))*$K$60*(LN(B74))))</x:f>
      </x:c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customHeight="1">
      <x:c r="A75" s="5" t="str">
        <x:f>IF(65&lt;='Сводка'!$B$3,'Сводка'!$B$4+65,"")</x:f>
      </x:c>
      <x:c r="B75" s="19" t="str">
        <x:f>IF($A75="","",(A75-37257+1)/1000)</x:f>
      </x:c>
      <x:c r="C75" s="19" t="str">
        <x:f>IF($A75="","",2*(A75-37257)/8978-1)</x:f>
      </x:c>
      <x:c r="D75" s="3" t="str">
        <x:f>IF($A75="","",$B$4+$B$5*LN(B75))</x:f>
      </x:c>
      <x:c r="E75" s="3" t="str">
        <x:f>IF($A75="","",162.51458035855*SQRT(1+(1)*$J$59*(1)+(1)*$K$59*(LN(B75))+(LN(B75))*$J$60*(1)+(LN(B75))*$K$60*(LN(B75))))</x:f>
      </x:c>
      <x:c r="F75" s="3" t="str">
        <x:f>IF($A75="","",D75-1.9602400929689823*E75)</x:f>
      </x:c>
      <x:c r="G75" s="3" t="str">
        <x:f>IF($A75="","",D75+1.9602400929689823*E75)</x:f>
      </x:c>
      <x:c r="H75" s="3" t="str">
        <x:f>IF($A75="","",162.51458035855*SQRT((1)*$J$59*(1)+(1)*$K$59*(LN(B75))+(LN(B75))*$J$60*(1)+(LN(B75))*$K$60*(LN(B75))))</x:f>
      </x:c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customHeight="1">
      <x:c r="A76" s="5" t="str">
        <x:f>IF(66&lt;='Сводка'!$B$3,'Сводка'!$B$4+66,"")</x:f>
      </x:c>
      <x:c r="B76" s="19" t="str">
        <x:f>IF($A76="","",(A76-37257+1)/1000)</x:f>
      </x:c>
      <x:c r="C76" s="19" t="str">
        <x:f>IF($A76="","",2*(A76-37257)/8978-1)</x:f>
      </x:c>
      <x:c r="D76" s="3" t="str">
        <x:f>IF($A76="","",$B$4+$B$5*LN(B76))</x:f>
      </x:c>
      <x:c r="E76" s="3" t="str">
        <x:f>IF($A76="","",162.51458035855*SQRT(1+(1)*$J$59*(1)+(1)*$K$59*(LN(B76))+(LN(B76))*$J$60*(1)+(LN(B76))*$K$60*(LN(B76))))</x:f>
      </x:c>
      <x:c r="F76" s="3" t="str">
        <x:f>IF($A76="","",D76-1.9602400929689823*E76)</x:f>
      </x:c>
      <x:c r="G76" s="3" t="str">
        <x:f>IF($A76="","",D76+1.9602400929689823*E76)</x:f>
      </x:c>
      <x:c r="H76" s="3" t="str">
        <x:f>IF($A76="","",162.51458035855*SQRT((1)*$J$59*(1)+(1)*$K$59*(LN(B76))+(LN(B76))*$J$60*(1)+(LN(B76))*$K$60*(LN(B76))))</x:f>
      </x:c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customHeight="1">
      <x:c r="A77" s="5" t="str">
        <x:f>IF(67&lt;='Сводка'!$B$3,'Сводка'!$B$4+67,"")</x:f>
      </x:c>
      <x:c r="B77" s="19" t="str">
        <x:f>IF($A77="","",(A77-37257+1)/1000)</x:f>
      </x:c>
      <x:c r="C77" s="19" t="str">
        <x:f>IF($A77="","",2*(A77-37257)/8978-1)</x:f>
      </x:c>
      <x:c r="D77" s="3" t="str">
        <x:f>IF($A77="","",$B$4+$B$5*LN(B77))</x:f>
      </x:c>
      <x:c r="E77" s="3" t="str">
        <x:f>IF($A77="","",162.51458035855*SQRT(1+(1)*$J$59*(1)+(1)*$K$59*(LN(B77))+(LN(B77))*$J$60*(1)+(LN(B77))*$K$60*(LN(B77))))</x:f>
      </x:c>
      <x:c r="F77" s="3" t="str">
        <x:f>IF($A77="","",D77-1.9602400929689823*E77)</x:f>
      </x:c>
      <x:c r="G77" s="3" t="str">
        <x:f>IF($A77="","",D77+1.9602400929689823*E77)</x:f>
      </x:c>
      <x:c r="H77" s="3" t="str">
        <x:f>IF($A77="","",162.51458035855*SQRT((1)*$J$59*(1)+(1)*$K$59*(LN(B77))+(LN(B77))*$J$60*(1)+(LN(B77))*$K$60*(LN(B77))))</x:f>
      </x:c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customHeight="1">
      <x:c r="A78" s="5" t="str">
        <x:f>IF(68&lt;='Сводка'!$B$3,'Сводка'!$B$4+68,"")</x:f>
      </x:c>
      <x:c r="B78" s="19" t="str">
        <x:f>IF($A78="","",(A78-37257+1)/1000)</x:f>
      </x:c>
      <x:c r="C78" s="19" t="str">
        <x:f>IF($A78="","",2*(A78-37257)/8978-1)</x:f>
      </x:c>
      <x:c r="D78" s="3" t="str">
        <x:f>IF($A78="","",$B$4+$B$5*LN(B78))</x:f>
      </x:c>
      <x:c r="E78" s="3" t="str">
        <x:f>IF($A78="","",162.51458035855*SQRT(1+(1)*$J$59*(1)+(1)*$K$59*(LN(B78))+(LN(B78))*$J$60*(1)+(LN(B78))*$K$60*(LN(B78))))</x:f>
      </x:c>
      <x:c r="F78" s="3" t="str">
        <x:f>IF($A78="","",D78-1.9602400929689823*E78)</x:f>
      </x:c>
      <x:c r="G78" s="3" t="str">
        <x:f>IF($A78="","",D78+1.9602400929689823*E78)</x:f>
      </x:c>
      <x:c r="H78" s="3" t="str">
        <x:f>IF($A78="","",162.51458035855*SQRT((1)*$J$59*(1)+(1)*$K$59*(LN(B78))+(LN(B78))*$J$60*(1)+(LN(B78))*$K$60*(LN(B78))))</x:f>
      </x:c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customHeight="1">
      <x:c r="A79" s="5" t="str">
        <x:f>IF(69&lt;='Сводка'!$B$3,'Сводка'!$B$4+69,"")</x:f>
      </x:c>
      <x:c r="B79" s="19" t="str">
        <x:f>IF($A79="","",(A79-37257+1)/1000)</x:f>
      </x:c>
      <x:c r="C79" s="19" t="str">
        <x:f>IF($A79="","",2*(A79-37257)/8978-1)</x:f>
      </x:c>
      <x:c r="D79" s="3" t="str">
        <x:f>IF($A79="","",$B$4+$B$5*LN(B79))</x:f>
      </x:c>
      <x:c r="E79" s="3" t="str">
        <x:f>IF($A79="","",162.51458035855*SQRT(1+(1)*$J$59*(1)+(1)*$K$59*(LN(B79))+(LN(B79))*$J$60*(1)+(LN(B79))*$K$60*(LN(B79))))</x:f>
      </x:c>
      <x:c r="F79" s="3" t="str">
        <x:f>IF($A79="","",D79-1.9602400929689823*E79)</x:f>
      </x:c>
      <x:c r="G79" s="3" t="str">
        <x:f>IF($A79="","",D79+1.9602400929689823*E79)</x:f>
      </x:c>
      <x:c r="H79" s="3" t="str">
        <x:f>IF($A79="","",162.51458035855*SQRT((1)*$J$59*(1)+(1)*$K$59*(LN(B79))+(LN(B79))*$J$60*(1)+(LN(B79))*$K$60*(LN(B79))))</x:f>
      </x:c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customHeight="1">
      <x:c r="A80" s="5" t="str">
        <x:f>IF(70&lt;='Сводка'!$B$3,'Сводка'!$B$4+70,"")</x:f>
      </x:c>
      <x:c r="B80" s="19" t="str">
        <x:f>IF($A80="","",(A80-37257+1)/1000)</x:f>
      </x:c>
      <x:c r="C80" s="19" t="str">
        <x:f>IF($A80="","",2*(A80-37257)/8978-1)</x:f>
      </x:c>
      <x:c r="D80" s="3" t="str">
        <x:f>IF($A80="","",$B$4+$B$5*LN(B80))</x:f>
      </x:c>
      <x:c r="E80" s="3" t="str">
        <x:f>IF($A80="","",162.51458035855*SQRT(1+(1)*$J$59*(1)+(1)*$K$59*(LN(B80))+(LN(B80))*$J$60*(1)+(LN(B80))*$K$60*(LN(B80))))</x:f>
      </x:c>
      <x:c r="F80" s="3" t="str">
        <x:f>IF($A80="","",D80-1.9602400929689823*E80)</x:f>
      </x:c>
      <x:c r="G80" s="3" t="str">
        <x:f>IF($A80="","",D80+1.9602400929689823*E80)</x:f>
      </x:c>
      <x:c r="H80" s="3" t="str">
        <x:f>IF($A80="","",162.51458035855*SQRT((1)*$J$59*(1)+(1)*$K$59*(LN(B80))+(LN(B80))*$J$60*(1)+(LN(B80))*$K$60*(LN(B80))))</x:f>
      </x:c>
      <x:c r="I80" s="3"/>
      <x:c r="J80" s="3"/>
      <x:c r="K80" s="3"/>
      <x:c r="L80" s="3"/>
      <x:c r="M80" s="3"/>
      <x:c r="N80" s="3"/>
      <x:c r="O80" s="3"/>
      <x:c r="P80" s="3"/>
      <x:c r="Q80" s="3"/>
    </x:row>
    <x:row r="81" ht="15" customHeight="1">
      <x:c r="A81" s="5" t="str">
        <x:f>IF(71&lt;='Сводка'!$B$3,'Сводка'!$B$4+71,"")</x:f>
      </x:c>
      <x:c r="B81" s="19" t="str">
        <x:f>IF($A81="","",(A81-37257+1)/1000)</x:f>
      </x:c>
      <x:c r="C81" s="19" t="str">
        <x:f>IF($A81="","",2*(A81-37257)/8978-1)</x:f>
      </x:c>
      <x:c r="D81" s="3" t="str">
        <x:f>IF($A81="","",$B$4+$B$5*LN(B81))</x:f>
      </x:c>
      <x:c r="E81" s="3" t="str">
        <x:f>IF($A81="","",162.51458035855*SQRT(1+(1)*$J$59*(1)+(1)*$K$59*(LN(B81))+(LN(B81))*$J$60*(1)+(LN(B81))*$K$60*(LN(B81))))</x:f>
      </x:c>
      <x:c r="F81" s="3" t="str">
        <x:f>IF($A81="","",D81-1.9602400929689823*E81)</x:f>
      </x:c>
      <x:c r="G81" s="3" t="str">
        <x:f>IF($A81="","",D81+1.9602400929689823*E81)</x:f>
      </x:c>
      <x:c r="H81" s="3" t="str">
        <x:f>IF($A81="","",162.51458035855*SQRT((1)*$J$59*(1)+(1)*$K$59*(LN(B81))+(LN(B81))*$J$60*(1)+(LN(B81))*$K$60*(LN(B81))))</x:f>
      </x:c>
      <x:c r="I81" s="3"/>
      <x:c r="J81" s="3"/>
      <x:c r="K81" s="3"/>
      <x:c r="L81" s="3"/>
      <x:c r="M81" s="3"/>
      <x:c r="N81" s="3"/>
      <x:c r="O81" s="3"/>
      <x:c r="P81" s="3"/>
      <x:c r="Q81" s="3"/>
    </x:row>
    <x:row r="82" ht="15" customHeight="1">
      <x:c r="A82" s="5" t="str">
        <x:f>IF(72&lt;='Сводка'!$B$3,'Сводка'!$B$4+72,"")</x:f>
      </x:c>
      <x:c r="B82" s="19" t="str">
        <x:f>IF($A82="","",(A82-37257+1)/1000)</x:f>
      </x:c>
      <x:c r="C82" s="19" t="str">
        <x:f>IF($A82="","",2*(A82-37257)/8978-1)</x:f>
      </x:c>
      <x:c r="D82" s="3" t="str">
        <x:f>IF($A82="","",$B$4+$B$5*LN(B82))</x:f>
      </x:c>
      <x:c r="E82" s="3" t="str">
        <x:f>IF($A82="","",162.51458035855*SQRT(1+(1)*$J$59*(1)+(1)*$K$59*(LN(B82))+(LN(B82))*$J$60*(1)+(LN(B82))*$K$60*(LN(B82))))</x:f>
      </x:c>
      <x:c r="F82" s="3" t="str">
        <x:f>IF($A82="","",D82-1.9602400929689823*E82)</x:f>
      </x:c>
      <x:c r="G82" s="3" t="str">
        <x:f>IF($A82="","",D82+1.9602400929689823*E82)</x:f>
      </x:c>
      <x:c r="H82" s="3" t="str">
        <x:f>IF($A82="","",162.51458035855*SQRT((1)*$J$59*(1)+(1)*$K$59*(LN(B82))+(LN(B82))*$J$60*(1)+(LN(B82))*$K$60*(LN(B82))))</x:f>
      </x:c>
      <x:c r="I82" s="3"/>
      <x:c r="J82" s="3"/>
      <x:c r="K82" s="3"/>
      <x:c r="L82" s="3"/>
      <x:c r="M82" s="3"/>
      <x:c r="N82" s="3"/>
      <x:c r="O82" s="3"/>
      <x:c r="P82" s="3"/>
      <x:c r="Q82" s="3"/>
    </x:row>
    <x:row r="83" ht="15" customHeight="1">
      <x:c r="A83" s="5" t="str">
        <x:f>IF(73&lt;='Сводка'!$B$3,'Сводка'!$B$4+73,"")</x:f>
      </x:c>
      <x:c r="B83" s="19" t="str">
        <x:f>IF($A83="","",(A83-37257+1)/1000)</x:f>
      </x:c>
      <x:c r="C83" s="19" t="str">
        <x:f>IF($A83="","",2*(A83-37257)/8978-1)</x:f>
      </x:c>
      <x:c r="D83" s="3" t="str">
        <x:f>IF($A83="","",$B$4+$B$5*LN(B83))</x:f>
      </x:c>
      <x:c r="E83" s="3" t="str">
        <x:f>IF($A83="","",162.51458035855*SQRT(1+(1)*$J$59*(1)+(1)*$K$59*(LN(B83))+(LN(B83))*$J$60*(1)+(LN(B83))*$K$60*(LN(B83))))</x:f>
      </x:c>
      <x:c r="F83" s="3" t="str">
        <x:f>IF($A83="","",D83-1.9602400929689823*E83)</x:f>
      </x:c>
      <x:c r="G83" s="3" t="str">
        <x:f>IF($A83="","",D83+1.9602400929689823*E83)</x:f>
      </x:c>
      <x:c r="H83" s="3" t="str">
        <x:f>IF($A83="","",162.51458035855*SQRT((1)*$J$59*(1)+(1)*$K$59*(LN(B83))+(LN(B83))*$J$60*(1)+(LN(B83))*$K$60*(LN(B83))))</x:f>
      </x:c>
      <x:c r="I83" s="3"/>
      <x:c r="J83" s="3"/>
      <x:c r="K83" s="3"/>
      <x:c r="L83" s="3"/>
      <x:c r="M83" s="3"/>
      <x:c r="N83" s="3"/>
      <x:c r="O83" s="3"/>
      <x:c r="P83" s="3"/>
      <x:c r="Q83" s="3"/>
    </x:row>
    <x:row r="84" ht="15" customHeight="1">
      <x:c r="A84" s="5" t="str">
        <x:f>IF(74&lt;='Сводка'!$B$3,'Сводка'!$B$4+74,"")</x:f>
      </x:c>
      <x:c r="B84" s="19" t="str">
        <x:f>IF($A84="","",(A84-37257+1)/1000)</x:f>
      </x:c>
      <x:c r="C84" s="19" t="str">
        <x:f>IF($A84="","",2*(A84-37257)/8978-1)</x:f>
      </x:c>
      <x:c r="D84" s="3" t="str">
        <x:f>IF($A84="","",$B$4+$B$5*LN(B84))</x:f>
      </x:c>
      <x:c r="E84" s="3" t="str">
        <x:f>IF($A84="","",162.51458035855*SQRT(1+(1)*$J$59*(1)+(1)*$K$59*(LN(B84))+(LN(B84))*$J$60*(1)+(LN(B84))*$K$60*(LN(B84))))</x:f>
      </x:c>
      <x:c r="F84" s="3" t="str">
        <x:f>IF($A84="","",D84-1.9602400929689823*E84)</x:f>
      </x:c>
      <x:c r="G84" s="3" t="str">
        <x:f>IF($A84="","",D84+1.9602400929689823*E84)</x:f>
      </x:c>
      <x:c r="H84" s="3" t="str">
        <x:f>IF($A84="","",162.51458035855*SQRT((1)*$J$59*(1)+(1)*$K$59*(LN(B84))+(LN(B84))*$J$60*(1)+(LN(B84))*$K$60*(LN(B84))))</x:f>
      </x:c>
      <x:c r="I84" s="3"/>
      <x:c r="J84" s="3"/>
      <x:c r="K84" s="3"/>
      <x:c r="L84" s="3"/>
      <x:c r="M84" s="3"/>
      <x:c r="N84" s="3"/>
      <x:c r="O84" s="3"/>
      <x:c r="P84" s="3"/>
      <x:c r="Q84" s="3"/>
    </x:row>
    <x:row r="85" ht="15" customHeight="1">
      <x:c r="A85" s="5" t="str">
        <x:f>IF(75&lt;='Сводка'!$B$3,'Сводка'!$B$4+75,"")</x:f>
      </x:c>
      <x:c r="B85" s="19" t="str">
        <x:f>IF($A85="","",(A85-37257+1)/1000)</x:f>
      </x:c>
      <x:c r="C85" s="19" t="str">
        <x:f>IF($A85="","",2*(A85-37257)/8978-1)</x:f>
      </x:c>
      <x:c r="D85" s="3" t="str">
        <x:f>IF($A85="","",$B$4+$B$5*LN(B85))</x:f>
      </x:c>
      <x:c r="E85" s="3" t="str">
        <x:f>IF($A85="","",162.51458035855*SQRT(1+(1)*$J$59*(1)+(1)*$K$59*(LN(B85))+(LN(B85))*$J$60*(1)+(LN(B85))*$K$60*(LN(B85))))</x:f>
      </x:c>
      <x:c r="F85" s="3" t="str">
        <x:f>IF($A85="","",D85-1.9602400929689823*E85)</x:f>
      </x:c>
      <x:c r="G85" s="3" t="str">
        <x:f>IF($A85="","",D85+1.9602400929689823*E85)</x:f>
      </x:c>
      <x:c r="H85" s="3" t="str">
        <x:f>IF($A85="","",162.51458035855*SQRT((1)*$J$59*(1)+(1)*$K$59*(LN(B85))+(LN(B85))*$J$60*(1)+(LN(B85))*$K$60*(LN(B85))))</x:f>
      </x:c>
      <x:c r="I85" s="3"/>
      <x:c r="J85" s="3"/>
      <x:c r="K85" s="3"/>
      <x:c r="L85" s="3"/>
      <x:c r="M85" s="3"/>
      <x:c r="N85" s="3"/>
      <x:c r="O85" s="3"/>
      <x:c r="P85" s="3"/>
      <x:c r="Q85" s="3"/>
    </x:row>
    <x:row r="86" ht="15" customHeight="1">
      <x:c r="A86" s="5" t="str">
        <x:f>IF(76&lt;='Сводка'!$B$3,'Сводка'!$B$4+76,"")</x:f>
      </x:c>
      <x:c r="B86" s="19" t="str">
        <x:f>IF($A86="","",(A86-37257+1)/1000)</x:f>
      </x:c>
      <x:c r="C86" s="19" t="str">
        <x:f>IF($A86="","",2*(A86-37257)/8978-1)</x:f>
      </x:c>
      <x:c r="D86" s="3" t="str">
        <x:f>IF($A86="","",$B$4+$B$5*LN(B86))</x:f>
      </x:c>
      <x:c r="E86" s="3" t="str">
        <x:f>IF($A86="","",162.51458035855*SQRT(1+(1)*$J$59*(1)+(1)*$K$59*(LN(B86))+(LN(B86))*$J$60*(1)+(LN(B86))*$K$60*(LN(B86))))</x:f>
      </x:c>
      <x:c r="F86" s="3" t="str">
        <x:f>IF($A86="","",D86-1.9602400929689823*E86)</x:f>
      </x:c>
      <x:c r="G86" s="3" t="str">
        <x:f>IF($A86="","",D86+1.9602400929689823*E86)</x:f>
      </x:c>
      <x:c r="H86" s="3" t="str">
        <x:f>IF($A86="","",162.51458035855*SQRT((1)*$J$59*(1)+(1)*$K$59*(LN(B86))+(LN(B86))*$J$60*(1)+(LN(B86))*$K$60*(LN(B86))))</x:f>
      </x:c>
      <x:c r="I86" s="3"/>
      <x:c r="J86" s="3"/>
      <x:c r="K86" s="3"/>
      <x:c r="L86" s="3"/>
      <x:c r="M86" s="3"/>
      <x:c r="N86" s="3"/>
      <x:c r="O86" s="3"/>
      <x:c r="P86" s="3"/>
      <x:c r="Q86" s="3"/>
    </x:row>
    <x:row r="87" ht="15" customHeight="1">
      <x:c r="A87" s="5" t="str">
        <x:f>IF(77&lt;='Сводка'!$B$3,'Сводка'!$B$4+77,"")</x:f>
      </x:c>
      <x:c r="B87" s="19" t="str">
        <x:f>IF($A87="","",(A87-37257+1)/1000)</x:f>
      </x:c>
      <x:c r="C87" s="19" t="str">
        <x:f>IF($A87="","",2*(A87-37257)/8978-1)</x:f>
      </x:c>
      <x:c r="D87" s="3" t="str">
        <x:f>IF($A87="","",$B$4+$B$5*LN(B87))</x:f>
      </x:c>
      <x:c r="E87" s="3" t="str">
        <x:f>IF($A87="","",162.51458035855*SQRT(1+(1)*$J$59*(1)+(1)*$K$59*(LN(B87))+(LN(B87))*$J$60*(1)+(LN(B87))*$K$60*(LN(B87))))</x:f>
      </x:c>
      <x:c r="F87" s="3" t="str">
        <x:f>IF($A87="","",D87-1.9602400929689823*E87)</x:f>
      </x:c>
      <x:c r="G87" s="3" t="str">
        <x:f>IF($A87="","",D87+1.9602400929689823*E87)</x:f>
      </x:c>
      <x:c r="H87" s="3" t="str">
        <x:f>IF($A87="","",162.51458035855*SQRT((1)*$J$59*(1)+(1)*$K$59*(LN(B87))+(LN(B87))*$J$60*(1)+(LN(B87))*$K$60*(LN(B87))))</x:f>
      </x:c>
      <x:c r="I87" s="3"/>
      <x:c r="J87" s="3"/>
      <x:c r="K87" s="3"/>
      <x:c r="L87" s="3"/>
      <x:c r="M87" s="3"/>
      <x:c r="N87" s="3"/>
      <x:c r="O87" s="3"/>
      <x:c r="P87" s="3"/>
      <x:c r="Q87" s="3"/>
    </x:row>
    <x:row r="88" ht="15" customHeight="1">
      <x:c r="A88" s="5" t="str">
        <x:f>IF(78&lt;='Сводка'!$B$3,'Сводка'!$B$4+78,"")</x:f>
      </x:c>
      <x:c r="B88" s="19" t="str">
        <x:f>IF($A88="","",(A88-37257+1)/1000)</x:f>
      </x:c>
      <x:c r="C88" s="19" t="str">
        <x:f>IF($A88="","",2*(A88-37257)/8978-1)</x:f>
      </x:c>
      <x:c r="D88" s="3" t="str">
        <x:f>IF($A88="","",$B$4+$B$5*LN(B88))</x:f>
      </x:c>
      <x:c r="E88" s="3" t="str">
        <x:f>IF($A88="","",162.51458035855*SQRT(1+(1)*$J$59*(1)+(1)*$K$59*(LN(B88))+(LN(B88))*$J$60*(1)+(LN(B88))*$K$60*(LN(B88))))</x:f>
      </x:c>
      <x:c r="F88" s="3" t="str">
        <x:f>IF($A88="","",D88-1.9602400929689823*E88)</x:f>
      </x:c>
      <x:c r="G88" s="3" t="str">
        <x:f>IF($A88="","",D88+1.9602400929689823*E88)</x:f>
      </x:c>
      <x:c r="H88" s="3" t="str">
        <x:f>IF($A88="","",162.51458035855*SQRT((1)*$J$59*(1)+(1)*$K$59*(LN(B88))+(LN(B88))*$J$60*(1)+(LN(B88))*$K$60*(LN(B88))))</x:f>
      </x:c>
      <x:c r="I88" s="3"/>
      <x:c r="J88" s="3"/>
      <x:c r="K88" s="3"/>
      <x:c r="L88" s="3"/>
      <x:c r="M88" s="3"/>
      <x:c r="N88" s="3"/>
      <x:c r="O88" s="3"/>
      <x:c r="P88" s="3"/>
      <x:c r="Q88" s="3"/>
    </x:row>
    <x:row r="89" ht="15" customHeight="1">
      <x:c r="A89" s="5" t="str">
        <x:f>IF(79&lt;='Сводка'!$B$3,'Сводка'!$B$4+79,"")</x:f>
      </x:c>
      <x:c r="B89" s="19" t="str">
        <x:f>IF($A89="","",(A89-37257+1)/1000)</x:f>
      </x:c>
      <x:c r="C89" s="19" t="str">
        <x:f>IF($A89="","",2*(A89-37257)/8978-1)</x:f>
      </x:c>
      <x:c r="D89" s="3" t="str">
        <x:f>IF($A89="","",$B$4+$B$5*LN(B89))</x:f>
      </x:c>
      <x:c r="E89" s="3" t="str">
        <x:f>IF($A89="","",162.51458035855*SQRT(1+(1)*$J$59*(1)+(1)*$K$59*(LN(B89))+(LN(B89))*$J$60*(1)+(LN(B89))*$K$60*(LN(B89))))</x:f>
      </x:c>
      <x:c r="F89" s="3" t="str">
        <x:f>IF($A89="","",D89-1.9602400929689823*E89)</x:f>
      </x:c>
      <x:c r="G89" s="3" t="str">
        <x:f>IF($A89="","",D89+1.9602400929689823*E89)</x:f>
      </x:c>
      <x:c r="H89" s="3" t="str">
        <x:f>IF($A89="","",162.51458035855*SQRT((1)*$J$59*(1)+(1)*$K$59*(LN(B89))+(LN(B89))*$J$60*(1)+(LN(B89))*$K$60*(LN(B89))))</x:f>
      </x:c>
      <x:c r="I89" s="3"/>
      <x:c r="J89" s="3"/>
      <x:c r="K89" s="3"/>
      <x:c r="L89" s="3"/>
      <x:c r="M89" s="3"/>
      <x:c r="N89" s="3"/>
      <x:c r="O89" s="3"/>
      <x:c r="P89" s="3"/>
      <x:c r="Q89" s="3"/>
    </x:row>
    <x:row r="90" ht="15" customHeight="1">
      <x:c r="A90" s="5" t="str">
        <x:f>IF(80&lt;='Сводка'!$B$3,'Сводка'!$B$4+80,"")</x:f>
      </x:c>
      <x:c r="B90" s="19" t="str">
        <x:f>IF($A90="","",(A90-37257+1)/1000)</x:f>
      </x:c>
      <x:c r="C90" s="19" t="str">
        <x:f>IF($A90="","",2*(A90-37257)/8978-1)</x:f>
      </x:c>
      <x:c r="D90" s="3" t="str">
        <x:f>IF($A90="","",$B$4+$B$5*LN(B90))</x:f>
      </x:c>
      <x:c r="E90" s="3" t="str">
        <x:f>IF($A90="","",162.51458035855*SQRT(1+(1)*$J$59*(1)+(1)*$K$59*(LN(B90))+(LN(B90))*$J$60*(1)+(LN(B90))*$K$60*(LN(B90))))</x:f>
      </x:c>
      <x:c r="F90" s="3" t="str">
        <x:f>IF($A90="","",D90-1.9602400929689823*E90)</x:f>
      </x:c>
      <x:c r="G90" s="3" t="str">
        <x:f>IF($A90="","",D90+1.9602400929689823*E90)</x:f>
      </x:c>
      <x:c r="H90" s="3" t="str">
        <x:f>IF($A90="","",162.51458035855*SQRT((1)*$J$59*(1)+(1)*$K$59*(LN(B90))+(LN(B90))*$J$60*(1)+(LN(B90))*$K$60*(LN(B90))))</x:f>
      </x:c>
      <x:c r="I90" s="3"/>
      <x:c r="J90" s="3"/>
      <x:c r="K90" s="3"/>
      <x:c r="L90" s="3"/>
      <x:c r="M90" s="3"/>
      <x:c r="N90" s="3"/>
      <x:c r="O90" s="3"/>
      <x:c r="P90" s="3"/>
      <x:c r="Q90" s="3"/>
    </x:row>
    <x:row r="91" ht="15" customHeight="1">
      <x:c r="A91" s="5" t="str">
        <x:f>IF(81&lt;='Сводка'!$B$3,'Сводка'!$B$4+81,"")</x:f>
      </x:c>
      <x:c r="B91" s="19" t="str">
        <x:f>IF($A91="","",(A91-37257+1)/1000)</x:f>
      </x:c>
      <x:c r="C91" s="19" t="str">
        <x:f>IF($A91="","",2*(A91-37257)/8978-1)</x:f>
      </x:c>
      <x:c r="D91" s="3" t="str">
        <x:f>IF($A91="","",$B$4+$B$5*LN(B91))</x:f>
      </x:c>
      <x:c r="E91" s="3" t="str">
        <x:f>IF($A91="","",162.51458035855*SQRT(1+(1)*$J$59*(1)+(1)*$K$59*(LN(B91))+(LN(B91))*$J$60*(1)+(LN(B91))*$K$60*(LN(B91))))</x:f>
      </x:c>
      <x:c r="F91" s="3" t="str">
        <x:f>IF($A91="","",D91-1.9602400929689823*E91)</x:f>
      </x:c>
      <x:c r="G91" s="3" t="str">
        <x:f>IF($A91="","",D91+1.9602400929689823*E91)</x:f>
      </x:c>
      <x:c r="H91" s="3" t="str">
        <x:f>IF($A91="","",162.51458035855*SQRT((1)*$J$59*(1)+(1)*$K$59*(LN(B91))+(LN(B91))*$J$60*(1)+(LN(B91))*$K$60*(LN(B91))))</x:f>
      </x:c>
      <x:c r="I91" s="3"/>
      <x:c r="J91" s="3"/>
      <x:c r="K91" s="3"/>
      <x:c r="L91" s="3"/>
      <x:c r="M91" s="3"/>
      <x:c r="N91" s="3"/>
      <x:c r="O91" s="3"/>
      <x:c r="P91" s="3"/>
      <x:c r="Q91" s="3"/>
    </x:row>
    <x:row r="92" ht="15" customHeight="1">
      <x:c r="A92" s="5" t="str">
        <x:f>IF(82&lt;='Сводка'!$B$3,'Сводка'!$B$4+82,"")</x:f>
      </x:c>
      <x:c r="B92" s="19" t="str">
        <x:f>IF($A92="","",(A92-37257+1)/1000)</x:f>
      </x:c>
      <x:c r="C92" s="19" t="str">
        <x:f>IF($A92="","",2*(A92-37257)/8978-1)</x:f>
      </x:c>
      <x:c r="D92" s="3" t="str">
        <x:f>IF($A92="","",$B$4+$B$5*LN(B92))</x:f>
      </x:c>
      <x:c r="E92" s="3" t="str">
        <x:f>IF($A92="","",162.51458035855*SQRT(1+(1)*$J$59*(1)+(1)*$K$59*(LN(B92))+(LN(B92))*$J$60*(1)+(LN(B92))*$K$60*(LN(B92))))</x:f>
      </x:c>
      <x:c r="F92" s="3" t="str">
        <x:f>IF($A92="","",D92-1.9602400929689823*E92)</x:f>
      </x:c>
      <x:c r="G92" s="3" t="str">
        <x:f>IF($A92="","",D92+1.9602400929689823*E92)</x:f>
      </x:c>
      <x:c r="H92" s="3" t="str">
        <x:f>IF($A92="","",162.51458035855*SQRT((1)*$J$59*(1)+(1)*$K$59*(LN(B92))+(LN(B92))*$J$60*(1)+(LN(B92))*$K$60*(LN(B92))))</x:f>
      </x:c>
      <x:c r="I92" s="3"/>
      <x:c r="J92" s="3"/>
      <x:c r="K92" s="3"/>
      <x:c r="L92" s="3"/>
      <x:c r="M92" s="3"/>
      <x:c r="N92" s="3"/>
      <x:c r="O92" s="3"/>
      <x:c r="P92" s="3"/>
      <x:c r="Q92" s="3"/>
    </x:row>
    <x:row r="93" ht="15" customHeight="1">
      <x:c r="A93" s="5" t="str">
        <x:f>IF(83&lt;='Сводка'!$B$3,'Сводка'!$B$4+83,"")</x:f>
      </x:c>
      <x:c r="B93" s="19" t="str">
        <x:f>IF($A93="","",(A93-37257+1)/1000)</x:f>
      </x:c>
      <x:c r="C93" s="19" t="str">
        <x:f>IF($A93="","",2*(A93-37257)/8978-1)</x:f>
      </x:c>
      <x:c r="D93" s="3" t="str">
        <x:f>IF($A93="","",$B$4+$B$5*LN(B93))</x:f>
      </x:c>
      <x:c r="E93" s="3" t="str">
        <x:f>IF($A93="","",162.51458035855*SQRT(1+(1)*$J$59*(1)+(1)*$K$59*(LN(B93))+(LN(B93))*$J$60*(1)+(LN(B93))*$K$60*(LN(B93))))</x:f>
      </x:c>
      <x:c r="F93" s="3" t="str">
        <x:f>IF($A93="","",D93-1.9602400929689823*E93)</x:f>
      </x:c>
      <x:c r="G93" s="3" t="str">
        <x:f>IF($A93="","",D93+1.9602400929689823*E93)</x:f>
      </x:c>
      <x:c r="H93" s="3" t="str">
        <x:f>IF($A93="","",162.51458035855*SQRT((1)*$J$59*(1)+(1)*$K$59*(LN(B93))+(LN(B93))*$J$60*(1)+(LN(B93))*$K$60*(LN(B93))))</x:f>
      </x:c>
      <x:c r="I93" s="3"/>
      <x:c r="J93" s="3"/>
      <x:c r="K93" s="3"/>
      <x:c r="L93" s="3"/>
      <x:c r="M93" s="3"/>
      <x:c r="N93" s="3"/>
      <x:c r="O93" s="3"/>
      <x:c r="P93" s="3"/>
      <x:c r="Q93" s="3"/>
    </x:row>
    <x:row r="94" ht="15" customHeight="1">
      <x:c r="A94" s="5" t="str">
        <x:f>IF(84&lt;='Сводка'!$B$3,'Сводка'!$B$4+84,"")</x:f>
      </x:c>
      <x:c r="B94" s="19" t="str">
        <x:f>IF($A94="","",(A94-37257+1)/1000)</x:f>
      </x:c>
      <x:c r="C94" s="19" t="str">
        <x:f>IF($A94="","",2*(A94-37257)/8978-1)</x:f>
      </x:c>
      <x:c r="D94" s="3" t="str">
        <x:f>IF($A94="","",$B$4+$B$5*LN(B94))</x:f>
      </x:c>
      <x:c r="E94" s="3" t="str">
        <x:f>IF($A94="","",162.51458035855*SQRT(1+(1)*$J$59*(1)+(1)*$K$59*(LN(B94))+(LN(B94))*$J$60*(1)+(LN(B94))*$K$60*(LN(B94))))</x:f>
      </x:c>
      <x:c r="F94" s="3" t="str">
        <x:f>IF($A94="","",D94-1.9602400929689823*E94)</x:f>
      </x:c>
      <x:c r="G94" s="3" t="str">
        <x:f>IF($A94="","",D94+1.9602400929689823*E94)</x:f>
      </x:c>
      <x:c r="H94" s="3" t="str">
        <x:f>IF($A94="","",162.51458035855*SQRT((1)*$J$59*(1)+(1)*$K$59*(LN(B94))+(LN(B94))*$J$60*(1)+(LN(B94))*$K$60*(LN(B94))))</x:f>
      </x:c>
      <x:c r="I94" s="3"/>
      <x:c r="J94" s="3"/>
      <x:c r="K94" s="3"/>
      <x:c r="L94" s="3"/>
      <x:c r="M94" s="3"/>
      <x:c r="N94" s="3"/>
      <x:c r="O94" s="3"/>
      <x:c r="P94" s="3"/>
      <x:c r="Q94" s="3"/>
    </x:row>
    <x:row r="95" ht="15" customHeight="1">
      <x:c r="A95" s="5" t="str">
        <x:f>IF(85&lt;='Сводка'!$B$3,'Сводка'!$B$4+85,"")</x:f>
      </x:c>
      <x:c r="B95" s="19" t="str">
        <x:f>IF($A95="","",(A95-37257+1)/1000)</x:f>
      </x:c>
      <x:c r="C95" s="19" t="str">
        <x:f>IF($A95="","",2*(A95-37257)/8978-1)</x:f>
      </x:c>
      <x:c r="D95" s="3" t="str">
        <x:f>IF($A95="","",$B$4+$B$5*LN(B95))</x:f>
      </x:c>
      <x:c r="E95" s="3" t="str">
        <x:f>IF($A95="","",162.51458035855*SQRT(1+(1)*$J$59*(1)+(1)*$K$59*(LN(B95))+(LN(B95))*$J$60*(1)+(LN(B95))*$K$60*(LN(B95))))</x:f>
      </x:c>
      <x:c r="F95" s="3" t="str">
        <x:f>IF($A95="","",D95-1.9602400929689823*E95)</x:f>
      </x:c>
      <x:c r="G95" s="3" t="str">
        <x:f>IF($A95="","",D95+1.9602400929689823*E95)</x:f>
      </x:c>
      <x:c r="H95" s="3" t="str">
        <x:f>IF($A95="","",162.51458035855*SQRT((1)*$J$59*(1)+(1)*$K$59*(LN(B95))+(LN(B95))*$J$60*(1)+(LN(B95))*$K$60*(LN(B95))))</x:f>
      </x:c>
      <x:c r="I95" s="3"/>
      <x:c r="J95" s="3"/>
      <x:c r="K95" s="3"/>
      <x:c r="L95" s="3"/>
      <x:c r="M95" s="3"/>
      <x:c r="N95" s="3"/>
      <x:c r="O95" s="3"/>
      <x:c r="P95" s="3"/>
      <x:c r="Q95" s="3"/>
    </x:row>
    <x:row r="96" ht="15" customHeight="1">
      <x:c r="A96" s="5" t="str">
        <x:f>IF(86&lt;='Сводка'!$B$3,'Сводка'!$B$4+86,"")</x:f>
      </x:c>
      <x:c r="B96" s="19" t="str">
        <x:f>IF($A96="","",(A96-37257+1)/1000)</x:f>
      </x:c>
      <x:c r="C96" s="19" t="str">
        <x:f>IF($A96="","",2*(A96-37257)/8978-1)</x:f>
      </x:c>
      <x:c r="D96" s="3" t="str">
        <x:f>IF($A96="","",$B$4+$B$5*LN(B96))</x:f>
      </x:c>
      <x:c r="E96" s="3" t="str">
        <x:f>IF($A96="","",162.51458035855*SQRT(1+(1)*$J$59*(1)+(1)*$K$59*(LN(B96))+(LN(B96))*$J$60*(1)+(LN(B96))*$K$60*(LN(B96))))</x:f>
      </x:c>
      <x:c r="F96" s="3" t="str">
        <x:f>IF($A96="","",D96-1.9602400929689823*E96)</x:f>
      </x:c>
      <x:c r="G96" s="3" t="str">
        <x:f>IF($A96="","",D96+1.9602400929689823*E96)</x:f>
      </x:c>
      <x:c r="H96" s="3" t="str">
        <x:f>IF($A96="","",162.51458035855*SQRT((1)*$J$59*(1)+(1)*$K$59*(LN(B96))+(LN(B96))*$J$60*(1)+(LN(B96))*$K$60*(LN(B96))))</x:f>
      </x:c>
      <x:c r="I96" s="3"/>
      <x:c r="J96" s="3"/>
      <x:c r="K96" s="3"/>
      <x:c r="L96" s="3"/>
      <x:c r="M96" s="3"/>
      <x:c r="N96" s="3"/>
      <x:c r="O96" s="3"/>
      <x:c r="P96" s="3"/>
      <x:c r="Q96" s="3"/>
    </x:row>
    <x:row r="97" ht="15" customHeight="1">
      <x:c r="A97" s="5" t="str">
        <x:f>IF(87&lt;='Сводка'!$B$3,'Сводка'!$B$4+87,"")</x:f>
      </x:c>
      <x:c r="B97" s="19" t="str">
        <x:f>IF($A97="","",(A97-37257+1)/1000)</x:f>
      </x:c>
      <x:c r="C97" s="19" t="str">
        <x:f>IF($A97="","",2*(A97-37257)/8978-1)</x:f>
      </x:c>
      <x:c r="D97" s="3" t="str">
        <x:f>IF($A97="","",$B$4+$B$5*LN(B97))</x:f>
      </x:c>
      <x:c r="E97" s="3" t="str">
        <x:f>IF($A97="","",162.51458035855*SQRT(1+(1)*$J$59*(1)+(1)*$K$59*(LN(B97))+(LN(B97))*$J$60*(1)+(LN(B97))*$K$60*(LN(B97))))</x:f>
      </x:c>
      <x:c r="F97" s="3" t="str">
        <x:f>IF($A97="","",D97-1.9602400929689823*E97)</x:f>
      </x:c>
      <x:c r="G97" s="3" t="str">
        <x:f>IF($A97="","",D97+1.9602400929689823*E97)</x:f>
      </x:c>
      <x:c r="H97" s="3" t="str">
        <x:f>IF($A97="","",162.51458035855*SQRT((1)*$J$59*(1)+(1)*$K$59*(LN(B97))+(LN(B97))*$J$60*(1)+(LN(B97))*$K$60*(LN(B97))))</x:f>
      </x:c>
      <x:c r="I97" s="3"/>
      <x:c r="J97" s="3"/>
      <x:c r="K97" s="3"/>
      <x:c r="L97" s="3"/>
      <x:c r="M97" s="3"/>
      <x:c r="N97" s="3"/>
      <x:c r="O97" s="3"/>
      <x:c r="P97" s="3"/>
      <x:c r="Q97" s="3"/>
    </x:row>
    <x:row r="98" ht="15" customHeight="1">
      <x:c r="A98" s="5" t="str">
        <x:f>IF(88&lt;='Сводка'!$B$3,'Сводка'!$B$4+88,"")</x:f>
      </x:c>
      <x:c r="B98" s="19" t="str">
        <x:f>IF($A98="","",(A98-37257+1)/1000)</x:f>
      </x:c>
      <x:c r="C98" s="19" t="str">
        <x:f>IF($A98="","",2*(A98-37257)/8978-1)</x:f>
      </x:c>
      <x:c r="D98" s="3" t="str">
        <x:f>IF($A98="","",$B$4+$B$5*LN(B98))</x:f>
      </x:c>
      <x:c r="E98" s="3" t="str">
        <x:f>IF($A98="","",162.51458035855*SQRT(1+(1)*$J$59*(1)+(1)*$K$59*(LN(B98))+(LN(B98))*$J$60*(1)+(LN(B98))*$K$60*(LN(B98))))</x:f>
      </x:c>
      <x:c r="F98" s="3" t="str">
        <x:f>IF($A98="","",D98-1.9602400929689823*E98)</x:f>
      </x:c>
      <x:c r="G98" s="3" t="str">
        <x:f>IF($A98="","",D98+1.9602400929689823*E98)</x:f>
      </x:c>
      <x:c r="H98" s="3" t="str">
        <x:f>IF($A98="","",162.51458035855*SQRT((1)*$J$59*(1)+(1)*$K$59*(LN(B98))+(LN(B98))*$J$60*(1)+(LN(B98))*$K$60*(LN(B98))))</x:f>
      </x:c>
      <x:c r="I98" s="3"/>
      <x:c r="J98" s="3"/>
      <x:c r="K98" s="3"/>
      <x:c r="L98" s="3"/>
      <x:c r="M98" s="3"/>
      <x:c r="N98" s="3"/>
      <x:c r="O98" s="3"/>
      <x:c r="P98" s="3"/>
      <x:c r="Q98" s="3"/>
    </x:row>
    <x:row r="99" ht="15" customHeight="1">
      <x:c r="A99" s="5" t="str">
        <x:f>IF(89&lt;='Сводка'!$B$3,'Сводка'!$B$4+89,"")</x:f>
      </x:c>
      <x:c r="B99" s="19" t="str">
        <x:f>IF($A99="","",(A99-37257+1)/1000)</x:f>
      </x:c>
      <x:c r="C99" s="19" t="str">
        <x:f>IF($A99="","",2*(A99-37257)/8978-1)</x:f>
      </x:c>
      <x:c r="D99" s="3" t="str">
        <x:f>IF($A99="","",$B$4+$B$5*LN(B99))</x:f>
      </x:c>
      <x:c r="E99" s="3" t="str">
        <x:f>IF($A99="","",162.51458035855*SQRT(1+(1)*$J$59*(1)+(1)*$K$59*(LN(B99))+(LN(B99))*$J$60*(1)+(LN(B99))*$K$60*(LN(B99))))</x:f>
      </x:c>
      <x:c r="F99" s="3" t="str">
        <x:f>IF($A99="","",D99-1.9602400929689823*E99)</x:f>
      </x:c>
      <x:c r="G99" s="3" t="str">
        <x:f>IF($A99="","",D99+1.9602400929689823*E99)</x:f>
      </x:c>
      <x:c r="H99" s="3" t="str">
        <x:f>IF($A99="","",162.51458035855*SQRT((1)*$J$59*(1)+(1)*$K$59*(LN(B99))+(LN(B99))*$J$60*(1)+(LN(B99))*$K$60*(LN(B99))))</x:f>
      </x:c>
      <x:c r="I99" s="3"/>
      <x:c r="J99" s="3"/>
      <x:c r="K99" s="3"/>
      <x:c r="L99" s="3"/>
      <x:c r="M99" s="3"/>
      <x:c r="N99" s="3"/>
      <x:c r="O99" s="3"/>
      <x:c r="P99" s="3"/>
      <x:c r="Q99" s="3"/>
    </x:row>
    <x:row r="100" ht="15" customHeight="1">
      <x:c r="A100" s="5" t="str">
        <x:f>IF(90&lt;='Сводка'!$B$3,'Сводка'!$B$4+90,"")</x:f>
      </x:c>
      <x:c r="B100" s="19" t="str">
        <x:f>IF($A100="","",(A100-37257+1)/1000)</x:f>
      </x:c>
      <x:c r="C100" s="19" t="str">
        <x:f>IF($A100="","",2*(A100-37257)/8978-1)</x:f>
      </x:c>
      <x:c r="D100" s="3" t="str">
        <x:f>IF($A100="","",$B$4+$B$5*LN(B100))</x:f>
      </x:c>
      <x:c r="E100" s="3" t="str">
        <x:f>IF($A100="","",162.51458035855*SQRT(1+(1)*$J$59*(1)+(1)*$K$59*(LN(B100))+(LN(B100))*$J$60*(1)+(LN(B100))*$K$60*(LN(B100))))</x:f>
      </x:c>
      <x:c r="F100" s="3" t="str">
        <x:f>IF($A100="","",D100-1.9602400929689823*E100)</x:f>
      </x:c>
      <x:c r="G100" s="3" t="str">
        <x:f>IF($A100="","",D100+1.9602400929689823*E100)</x:f>
      </x:c>
      <x:c r="H100" s="3" t="str">
        <x:f>IF($A100="","",162.51458035855*SQRT((1)*$J$59*(1)+(1)*$K$59*(LN(B100))+(LN(B100))*$J$60*(1)+(LN(B100))*$K$60*(LN(B100))))</x:f>
      </x:c>
      <x:c r="I100" s="3"/>
      <x:c r="J100" s="3"/>
      <x:c r="K100" s="3"/>
      <x:c r="L100" s="3"/>
      <x:c r="M100" s="3"/>
      <x:c r="N100" s="3"/>
      <x:c r="O100" s="3"/>
      <x:c r="P100" s="3"/>
      <x:c r="Q100" s="3"/>
    </x:row>
    <x:row r="101" ht="1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</x:row>
  </x:sheetData>
  <x:pageMargins left="0.7" right="0.7" top="0.75" bottom="0.75" header="0.3" footer="0.3"/>
  <x:drawing xmlns:r="http://schemas.openxmlformats.org/officeDocument/2006/relationships" r:id="Rc34767e75aca4f5d"/>
</x:worksheet>
</file>

<file path=xl/worksheets/sheet6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5" customHeight="1">
      <x:c r="A1" s="3" t="str">
        <x:v>Экспоненциальная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customHeight="1">
      <x:c r="A2" s="3" t="str">
        <x:v>H = a·exp(b·x)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15" customHeight="1">
      <x:c r="A3" s="12" t="str">
        <x:v>Коэф.</x:v>
      </x:c>
      <x:c r="B3" s="12" t="str">
        <x:v>Оценка</x:v>
      </x:c>
      <x:c r="C3" s="12" t="str">
        <x:v>SE</x:v>
      </x:c>
      <x:c r="D3" s="3" t="str">
        <x:v>Коэффициенты (тест)</x:v>
      </x:c>
      <x:c r="E3" s="3"/>
      <x:c r="F3" s="3" t="str">
        <x:v>Показатели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15" customHeight="1">
      <x:c r="A4" s="7" t="str">
        <x:v>a</x:v>
      </x:c>
      <x:c r="B4" s="15" t="n">
        <x:v>24.128164673201063</x:v>
      </x:c>
      <x:c r="C4" s="15" t="n">
        <x:f>165.60217192025465*SQRT($J$59)</x:f>
        <x:v>1.8950403517447243</x:v>
      </x:c>
      <x:c r="D4" s="7" t="str">
        <x:v>a</x:v>
      </x:c>
      <x:c r="E4" s="15" t="n">
        <x:v>24.431544771937062</x:v>
      </x:c>
      <x:c r="F4" s="7" t="str">
        <x:v>R²</x:v>
      </x:c>
      <x:c r="G4" s="17" t="n">
        <x:v>0.07381372877329251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5" customHeight="1">
      <x:c r="A5" s="7" t="str">
        <x:v>b</x:v>
      </x:c>
      <x:c r="B5" s="15" t="n">
        <x:v>0.21489689154598815</x:v>
      </x:c>
      <x:c r="C5" s="15" t="n">
        <x:f>165.60217192025465*SQRT($K$60)</x:f>
        <x:v>0.01111849781587606</x:v>
      </x:c>
      <x:c r="D5" s="7" t="str">
        <x:v>b</x:v>
      </x:c>
      <x:c r="E5" s="15" t="n">
        <x:v>0.2118482903708804</x:v>
      </x:c>
      <x:c r="F5" s="7" t="str">
        <x:v>MAE</x:v>
      </x:c>
      <x:c r="G5" s="7" t="n">
        <x:f>AVERAGE(N20:N49)</x:f>
        <x:v>104.85448122223653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1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1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1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ht="15" customHeight="1">
      <x:c r="A9" s="3" t="str">
        <x:v>Прогноз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ht="15" customHeight="1">
      <x:c r="A10" s="13" t="str">
        <x:v>Дата</x:v>
      </x:c>
      <x:c r="B10" s="13" t="str">
        <x:v>x</x:v>
      </x:c>
      <x:c r="C10" s="13" t="str">
        <x:v>u</x:v>
      </x:c>
      <x:c r="D10" s="13" t="str">
        <x:v>Прогноз</x:v>
      </x:c>
      <x:c r="E10" s="13" t="str">
        <x:v>SE прогноза</x:v>
      </x:c>
      <x:c r="F10" s="13" t="str">
        <x:v>Нижняя 95%</x:v>
      </x:c>
      <x:c r="G10" s="13" t="str">
        <x:v>Верхняя 95%</x:v>
      </x:c>
      <x:c r="H10" s="13" t="str">
        <x:v>SE среднего</x:v>
      </x:c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15" customHeight="1">
      <x:c r="A11" s="9" t="n">
        <x:f>IF(1&lt;='Сводка'!$B$3,'Сводка'!$B$4+1,"")</x:f>
        <x:v>46236</x:v>
      </x:c>
      <x:c r="B11" s="18" t="n">
        <x:f>IF($A11="","",(A11-37257+1)/1000)</x:f>
        <x:v>8.98</x:v>
      </x:c>
      <x:c r="C11" s="18" t="n">
        <x:f>IF($A11="","",2*(A11-37257)/8978-1)</x:f>
        <x:v>1.000222766763199</x:v>
      </x:c>
      <x:c r="D11" s="7" t="n">
        <x:f>IF($A11="","",$B$4*EXP($B$5*B11))</x:f>
        <x:v>166.1936879182149</x:v>
      </x:c>
      <x:c r="E11" s="7" t="n">
        <x:f>IF($A11="","",165.60217192025453*SQRT(1+(EXP($B$5*B11))*$J$59*(EXP($B$5*B11))+(EXP($B$5*B11))*$K$59*(D11*B11)+(D11*B11)*$J$60*(EXP($B$5*B11))+(D11*B11)*$K$60*(D11*B11)))</x:f>
        <x:v>165.69097133534723</x:v>
      </x:c>
      <x:c r="F11" s="7" t="n">
        <x:f>IF($A11="","",D11-1.9602400929689823*E11)</x:f>
        <x:v>-158.60039713630715</x:v>
      </x:c>
      <x:c r="G11" s="7" t="n">
        <x:f>IF($A11="","",D11+1.9602400929689823*E11)</x:f>
        <x:v>490.98777297273693</x:v>
      </x:c>
      <x:c r="H11" s="7" t="n">
        <x:f>IF($A11="","",165.60217192025453*SQRT((EXP($B$5*B11))*$J$59*(EXP($B$5*B11))+(EXP($B$5*B11))*$K$59*(D11*B11)+(D11*B11)*$J$60*(EXP($B$5*B11))+(D11*B11)*$K$60*(D11*B11)))</x:f>
        <x:v>5.423895034503734</x:v>
      </x:c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15" customHeight="1">
      <x:c r="A12" s="9" t="n">
        <x:f>IF(2&lt;='Сводка'!$B$3,'Сводка'!$B$4+2,"")</x:f>
        <x:v>46237</x:v>
      </x:c>
      <x:c r="B12" s="18" t="n">
        <x:f>IF($A12="","",(A12-37257+1)/1000)</x:f>
        <x:v>8.981</x:v>
      </x:c>
      <x:c r="C12" s="18" t="n">
        <x:f>IF($A12="","",2*(A12-37257)/8978-1)</x:f>
        <x:v>1.0004455335263978</x:v>
      </x:c>
      <x:c r="D12" s="7" t="n">
        <x:f>IF($A12="","",$B$4*EXP($B$5*B12))</x:f>
        <x:v>166.22940626288622</x:v>
      </x:c>
      <x:c r="E12" s="7" t="n">
        <x:f>IF($A12="","",165.60217192025453*SQRT(1+(EXP($B$5*B12))*$J$59*(EXP($B$5*B12))+(EXP($B$5*B12))*$K$59*(D12*B12)+(D12*B12)*$J$60*(EXP($B$5*B12))+(D12*B12)*$K$60*(D12*B12)))</x:f>
        <x:v>165.69105468660476</x:v>
      </x:c>
      <x:c r="F12" s="7" t="n">
        <x:f>IF($A12="","",D12-1.9602400929689823*E12)</x:f>
        <x:v>-158.5648421801126</x:v>
      </x:c>
      <x:c r="G12" s="7" t="n">
        <x:f>IF($A12="","",D12+1.9602400929689823*E12)</x:f>
        <x:v>491.02365470588506</x:v>
      </x:c>
      <x:c r="H12" s="7" t="n">
        <x:f>IF($A12="","",165.60217192025453*SQRT((EXP($B$5*B12))*$J$59*(EXP($B$5*B12))+(EXP($B$5*B12))*$K$59*(D12*B12)+(D12*B12)*$J$60*(EXP($B$5*B12))+(D12*B12)*$K$60*(D12*B12)))</x:f>
        <x:v>5.426440680032865</x:v>
      </x:c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15" customHeight="1">
      <x:c r="A13" s="9" t="n">
        <x:f>IF(3&lt;='Сводка'!$B$3,'Сводка'!$B$4+3,"")</x:f>
        <x:v>46238</x:v>
      </x:c>
      <x:c r="B13" s="18" t="n">
        <x:f>IF($A13="","",(A13-37257+1)/1000)</x:f>
        <x:v>8.982</x:v>
      </x:c>
      <x:c r="C13" s="18" t="n">
        <x:f>IF($A13="","",2*(A13-37257)/8978-1)</x:f>
        <x:v>1.0006683002895969</x:v>
      </x:c>
      <x:c r="D13" s="7" t="n">
        <x:f>IF($A13="","",$B$4*EXP($B$5*B13))</x:f>
        <x:v>166.2651322841436</x:v>
      </x:c>
      <x:c r="E13" s="7" t="n">
        <x:f>IF($A13="","",165.60217192025453*SQRT(1+(EXP($B$5*B13))*$J$59*(EXP($B$5*B13))+(EXP($B$5*B13))*$K$59*(D13*B13)+(D13*B13)*$J$60*(EXP($B$5*B13))+(D13*B13)*$K$60*(D13*B13)))</x:f>
        <x:v>165.69113811370258</x:v>
      </x:c>
      <x:c r="F13" s="7" t="n">
        <x:f>IF($A13="","",D13-1.9602400929689823*E13)</x:f>
        <x:v>-158.52927969599722</x:v>
      </x:c>
      <x:c r="G13" s="7" t="n">
        <x:f>IF($A13="","",D13+1.9602400929689823*E13)</x:f>
        <x:v>491.0595442642844</x:v>
      </x:c>
      <x:c r="H13" s="7" t="n">
        <x:f>IF($A13="","",165.60217192025453*SQRT((EXP($B$5*B13))*$J$59*(EXP($B$5*B13))+(EXP($B$5*B13))*$K$59*(D13*B13)+(D13*B13)*$J$60*(EXP($B$5*B13))+(D13*B13)*$K$60*(D13*B13)))</x:f>
        <x:v>5.428987447815276</x:v>
      </x:c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15" customHeight="1">
      <x:c r="A14" s="9" t="n">
        <x:f>IF(4&lt;='Сводка'!$B$3,'Сводка'!$B$4+4,"")</x:f>
        <x:v>46239</x:v>
      </x:c>
      <x:c r="B14" s="18" t="n">
        <x:f>IF($A14="","",(A14-37257+1)/1000)</x:f>
        <x:v>8.983</x:v>
      </x:c>
      <x:c r="C14" s="18" t="n">
        <x:f>IF($A14="","",2*(A14-37257)/8978-1)</x:f>
        <x:v>1.0008910670527955</x:v>
      </x:c>
      <x:c r="D14" s="7" t="n">
        <x:f>IF($A14="","",$B$4*EXP($B$5*B14))</x:f>
        <x:v>166.30086598363695</x:v>
      </x:c>
      <x:c r="E14" s="7" t="n">
        <x:f>IF($A14="","",165.60217192025453*SQRT(1+(EXP($B$5*B14))*$J$59*(EXP($B$5*B14))+(EXP($B$5*B14))*$K$59*(D14*B14)+(D14*B14)*$J$60*(EXP($B$5*B14))+(D14*B14)*$K$60*(D14*B14)))</x:f>
        <x:v>165.69122161669932</x:v>
      </x:c>
      <x:c r="F14" s="7" t="n">
        <x:f>IF($A14="","",D14-1.9602400929689823*E14)</x:f>
        <x:v>-158.493709682426</x:v>
      </x:c>
      <x:c r="G14" s="7" t="n">
        <x:f>IF($A14="","",D14+1.9602400929689823*E14)</x:f>
        <x:v>491.09544164969986</x:v>
      </x:c>
      <x:c r="H14" s="7" t="n">
        <x:f>IF($A14="","",165.60217192025453*SQRT((EXP($B$5*B14))*$J$59*(EXP($B$5*B14))+(EXP($B$5*B14))*$K$59*(D14*B14)+(D14*B14)*$J$60*(EXP($B$5*B14))+(D14*B14)*$K$60*(D14*B14)))</x:f>
        <x:v>5.4315353380631635</x:v>
      </x:c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15" customHeight="1">
      <x:c r="A15" s="9" t="n">
        <x:f>IF(5&lt;='Сводка'!$B$3,'Сводка'!$B$4+5,"")</x:f>
        <x:v>46240</x:v>
      </x:c>
      <x:c r="B15" s="18" t="n">
        <x:f>IF($A15="","",(A15-37257+1)/1000)</x:f>
        <x:v>8.984</x:v>
      </x:c>
      <x:c r="C15" s="18" t="n">
        <x:f>IF($A15="","",2*(A15-37257)/8978-1)</x:f>
        <x:v>1.0011138338159946</x:v>
      </x:c>
      <x:c r="D15" s="7" t="n">
        <x:f>IF($A15="","",$B$4*EXP($B$5*B15))</x:f>
        <x:v>166.33660736301633</x:v>
      </x:c>
      <x:c r="E15" s="7" t="n">
        <x:f>IF($A15="","",165.60217192025453*SQRT(1+(EXP($B$5*B15))*$J$59*(EXP($B$5*B15))+(EXP($B$5*B15))*$K$59*(D15*B15)+(D15*B15)*$J$60*(EXP($B$5*B15))+(D15*B15)*$K$60*(D15*B15)))</x:f>
        <x:v>165.69130519565354</x:v>
      </x:c>
      <x:c r="F15" s="7" t="n">
        <x:f>IF($A15="","",D15-1.9602400929689823*E15)</x:f>
        <x:v>-158.4581321378636</x:v>
      </x:c>
      <x:c r="G15" s="7" t="n">
        <x:f>IF($A15="","",D15+1.9602400929689823*E15)</x:f>
        <x:v>491.1313468638963</x:v>
      </x:c>
      <x:c r="H15" s="7" t="n">
        <x:f>IF($A15="","",165.60217192025453*SQRT((EXP($B$5*B15))*$J$59*(EXP($B$5*B15))+(EXP($B$5*B15))*$K$59*(D15*B15)+(D15*B15)*$J$60*(EXP($B$5*B15))+(D15*B15)*$K$60*(D15*B15)))</x:f>
        <x:v>5.434084350988815</x:v>
      </x:c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15" customHeight="1">
      <x:c r="A16" s="9" t="n">
        <x:f>IF(6&lt;='Сводка'!$B$3,'Сводка'!$B$4+6,"")</x:f>
        <x:v>46241</x:v>
      </x:c>
      <x:c r="B16" s="18" t="n">
        <x:f>IF($A16="","",(A16-37257+1)/1000)</x:f>
        <x:v>8.985</x:v>
      </x:c>
      <x:c r="C16" s="18" t="n">
        <x:f>IF($A16="","",2*(A16-37257)/8978-1)</x:f>
        <x:v>1.0013366005791937</x:v>
      </x:c>
      <x:c r="D16" s="7" t="n">
        <x:f>IF($A16="","",$B$4*EXP($B$5*B16))</x:f>
        <x:v>166.3723564239324</x:v>
      </x:c>
      <x:c r="E16" s="7" t="n">
        <x:f>IF($A16="","",165.60217192025453*SQRT(1+(EXP($B$5*B16))*$J$59*(EXP($B$5*B16))+(EXP($B$5*B16))*$K$59*(D16*B16)+(D16*B16)*$J$60*(EXP($B$5*B16))+(D16*B16)*$K$60*(D16*B16)))</x:f>
        <x:v>165.6913888506239</x:v>
      </x:c>
      <x:c r="F16" s="7" t="n">
        <x:f>IF($A16="","",D16-1.9602400929689823*E16)</x:f>
        <x:v>-158.42254706077438</x:v>
      </x:c>
      <x:c r="G16" s="7" t="n">
        <x:f>IF($A16="","",D16+1.9602400929689823*E16)</x:f>
        <x:v>491.16725990863915</x:v>
      </x:c>
      <x:c r="H16" s="7" t="n">
        <x:f>IF($A16="","",165.60217192025453*SQRT((EXP($B$5*B16))*$J$59*(EXP($B$5*B16))+(EXP($B$5*B16))*$K$59*(D16*B16)+(D16*B16)*$J$60*(EXP($B$5*B16))+(D16*B16)*$K$60*(D16*B16)))</x:f>
        <x:v>5.436634486804685</x:v>
      </x:c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15" customHeight="1">
      <x:c r="A17" s="9" t="n">
        <x:f>IF(7&lt;='Сводка'!$B$3,'Сводка'!$B$4+7,"")</x:f>
        <x:v>46242</x:v>
      </x:c>
      <x:c r="B17" s="18" t="n">
        <x:f>IF($A17="","",(A17-37257+1)/1000)</x:f>
        <x:v>8.986</x:v>
      </x:c>
      <x:c r="C17" s="18" t="n">
        <x:f>IF($A17="","",2*(A17-37257)/8978-1)</x:f>
        <x:v>1.0015593673423924</x:v>
      </x:c>
      <x:c r="D17" s="7" t="n">
        <x:f>IF($A17="","",$B$4*EXP($B$5*B17))</x:f>
        <x:v>166.40811316803607</x:v>
      </x:c>
      <x:c r="E17" s="7" t="n">
        <x:f>IF($A17="","",165.60217192025453*SQRT(1+(EXP($B$5*B17))*$J$59*(EXP($B$5*B17))+(EXP($B$5*B17))*$K$59*(D17*B17)+(D17*B17)*$J$60*(EXP($B$5*B17))+(D17*B17)*$K$60*(D17*B17)))</x:f>
        <x:v>165.69147258166916</x:v>
      </x:c>
      <x:c r="F17" s="7" t="n">
        <x:f>IF($A17="","",D17-1.9602400929689823*E17)</x:f>
        <x:v>-158.38695444962266</x:v>
      </x:c>
      <x:c r="G17" s="7" t="n">
        <x:f>IF($A17="","",D17+1.9602400929689823*E17)</x:f>
        <x:v>491.2031807856948</x:v>
      </x:c>
      <x:c r="H17" s="7" t="n">
        <x:f>IF($A17="","",165.60217192025453*SQRT((EXP($B$5*B17))*$J$59*(EXP($B$5*B17))+(EXP($B$5*B17))*$K$59*(D17*B17)+(D17*B17)*$J$60*(EXP($B$5*B17))+(D17*B17)*$K$60*(D17*B17)))</x:f>
        <x:v>5.43918574572335</x:v>
      </x:c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15" customHeight="1">
      <x:c r="A18" s="9" t="n">
        <x:f>IF(8&lt;='Сводка'!$B$3,'Сводка'!$B$4+8,"")</x:f>
        <x:v>46243</x:v>
      </x:c>
      <x:c r="B18" s="18" t="n">
        <x:f>IF($A18="","",(A18-37257+1)/1000)</x:f>
        <x:v>8.987</x:v>
      </x:c>
      <x:c r="C18" s="18" t="n">
        <x:f>IF($A18="","",2*(A18-37257)/8978-1)</x:f>
        <x:v>1.0017821341055915</x:v>
      </x:c>
      <x:c r="D18" s="7" t="n">
        <x:f>IF($A18="","",$B$4*EXP($B$5*B18))</x:f>
        <x:v>166.44387759697858</x:v>
      </x:c>
      <x:c r="E18" s="7" t="n">
        <x:f>IF($A18="","",165.60217192025453*SQRT(1+(EXP($B$5*B18))*$J$59*(EXP($B$5*B18))+(EXP($B$5*B18))*$K$59*(D18*B18)+(D18*B18)*$J$60*(EXP($B$5*B18))+(D18*B18)*$K$60*(D18*B18)))</x:f>
        <x:v>165.69155638884803</x:v>
      </x:c>
      <x:c r="F18" s="7" t="n">
        <x:f>IF($A18="","",D18-1.9602400929689823*E18)</x:f>
        <x:v>-158.35135430287224</x:v>
      </x:c>
      <x:c r="G18" s="7" t="n">
        <x:f>IF($A18="","",D18+1.9602400929689823*E18)</x:f>
        <x:v>491.2391094968294</x:v>
      </x:c>
      <x:c r="H18" s="7" t="n">
        <x:f>IF($A18="","",165.60217192025453*SQRT((EXP($B$5*B18))*$J$59*(EXP($B$5*B18))+(EXP($B$5*B18))*$K$59*(D18*B18)+(D18*B18)*$J$60*(EXP($B$5*B18))+(D18*B18)*$K$60*(D18*B18)))</x:f>
        <x:v>5.441738127957523</x:v>
      </x:c>
      <x:c r="I18" s="3"/>
      <x:c r="J18" s="3" t="str">
        <x:v>Тестовый период</x:v>
      </x:c>
      <x:c r="K18" s="3"/>
      <x:c r="L18" s="3"/>
      <x:c r="M18" s="3"/>
      <x:c r="N18" s="3"/>
      <x:c r="O18" s="3"/>
      <x:c r="P18" s="3"/>
      <x:c r="Q18" s="3"/>
    </x:row>
    <x:row r="19" ht="15" customHeight="1">
      <x:c r="A19" s="9" t="n">
        <x:f>IF(9&lt;='Сводка'!$B$3,'Сводка'!$B$4+9,"")</x:f>
        <x:v>46244</x:v>
      </x:c>
      <x:c r="B19" s="18" t="n">
        <x:f>IF($A19="","",(A19-37257+1)/1000)</x:f>
        <x:v>8.988</x:v>
      </x:c>
      <x:c r="C19" s="18" t="n">
        <x:f>IF($A19="","",2*(A19-37257)/8978-1)</x:f>
        <x:v>1.0020049008687906</x:v>
      </x:c>
      <x:c r="D19" s="7" t="n">
        <x:f>IF($A19="","",$B$4*EXP($B$5*B19))</x:f>
        <x:v>166.47964971241157</x:v>
      </x:c>
      <x:c r="E19" s="7" t="n">
        <x:f>IF($A19="","",165.60217192025453*SQRT(1+(EXP($B$5*B19))*$J$59*(EXP($B$5*B19))+(EXP($B$5*B19))*$K$59*(D19*B19)+(D19*B19)*$J$60*(EXP($B$5*B19))+(D19*B19)*$K$60*(D19*B19)))</x:f>
        <x:v>165.69164027221933</x:v>
      </x:c>
      <x:c r="F19" s="7" t="n">
        <x:f>IF($A19="","",D19-1.9602400929689823*E19)</x:f>
        <x:v>-158.3157466189868</x:v>
      </x:c>
      <x:c r="G19" s="7" t="n">
        <x:f>IF($A19="","",D19+1.9602400929689823*E19)</x:f>
        <x:v>491.27504604380994</x:v>
      </x:c>
      <x:c r="H19" s="7" t="n">
        <x:f>IF($A19="","",165.60217192025453*SQRT((EXP($B$5*B19))*$J$59*(EXP($B$5*B19))+(EXP($B$5*B19))*$K$59*(D19*B19)+(D19*B19)*$J$60*(EXP($B$5*B19))+(D19*B19)*$K$60*(D19*B19)))</x:f>
        <x:v>5.444291633720041</x:v>
      </x:c>
      <x:c r="I19" s="3"/>
      <x:c r="J19" s="13" t="str">
        <x:v>Дата</x:v>
      </x:c>
      <x:c r="K19" s="13" t="str">
        <x:v>Факт</x:v>
      </x:c>
      <x:c r="L19" s="13" t="str">
        <x:v>Прогноз</x:v>
      </x:c>
      <x:c r="M19" s="13" t="str">
        <x:v>Ошибка</x:v>
      </x:c>
      <x:c r="N19" s="13" t="str">
        <x:v>|Ошибка|</x:v>
      </x:c>
      <x:c r="O19" s="3"/>
      <x:c r="P19" s="3"/>
      <x:c r="Q19" s="3"/>
    </x:row>
    <x:row r="20" ht="15" customHeight="1">
      <x:c r="A20" s="9" t="n">
        <x:f>IF(10&lt;='Сводка'!$B$3,'Сводка'!$B$4+10,"")</x:f>
        <x:v>46245</x:v>
      </x:c>
      <x:c r="B20" s="18" t="n">
        <x:f>IF($A20="","",(A20-37257+1)/1000)</x:f>
        <x:v>8.989</x:v>
      </x:c>
      <x:c r="C20" s="18" t="n">
        <x:f>IF($A20="","",2*(A20-37257)/8978-1)</x:f>
        <x:v>1.0022276676319892</x:v>
      </x:c>
      <x:c r="D20" s="7" t="n">
        <x:f>IF($A20="","",$B$4*EXP($B$5*B20))</x:f>
        <x:v>166.515429515987</x:v>
      </x:c>
      <x:c r="E20" s="7" t="n">
        <x:f>IF($A20="","",165.60217192025453*SQRT(1+(EXP($B$5*B20))*$J$59*(EXP($B$5*B20))+(EXP($B$5*B20))*$K$59*(D20*B20)+(D20*B20)*$J$60*(EXP($B$5*B20))+(D20*B20)*$K$60*(D20*B20)))</x:f>
        <x:v>165.69172423184187</x:v>
      </x:c>
      <x:c r="F20" s="7" t="n">
        <x:f>IF($A20="","",D20-1.9602400929689823*E20)</x:f>
        <x:v>-158.2801313964297</x:v>
      </x:c>
      <x:c r="G20" s="7" t="n">
        <x:f>IF($A20="","",D20+1.9602400929689823*E20)</x:f>
        <x:v>491.31099042840367</x:v>
      </x:c>
      <x:c r="H20" s="7" t="n">
        <x:f>IF($A20="","",165.60217192025453*SQRT((EXP($B$5*B20))*$J$59*(EXP($B$5*B20))+(EXP($B$5*B20))*$K$59*(D20*B20)+(D20*B20)*$J$60*(EXP($B$5*B20))+(D20*B20)*$K$60*(D20*B20)))</x:f>
        <x:v>5.4468462632239</x:v>
      </x:c>
      <x:c r="I20" s="3"/>
      <x:c r="J20" s="9" t="n">
        <x:v>46206</x:v>
      </x:c>
      <x:c r="K20" s="7" t="n">
        <x:v>105</x:v>
      </x:c>
      <x:c r="L20" s="7" t="n">
        <x:f>$E$4*EXP($E$5*((J20-37257+1)/1000))</x:f>
        <x:v>162.70151318947958</x:v>
      </x:c>
      <x:c r="M20" s="7" t="n">
        <x:f>K20-L20</x:f>
        <x:v>-57.701513189479584</x:v>
      </x:c>
      <x:c r="N20" s="7" t="n">
        <x:f>ABS(M20)</x:f>
        <x:v>57.701513189479584</x:v>
      </x:c>
      <x:c r="O20" s="3"/>
      <x:c r="P20" s="3"/>
      <x:c r="Q20" s="3"/>
    </x:row>
    <x:row r="21" ht="15" customHeight="1">
      <x:c r="A21" s="9" t="n">
        <x:f>IF(11&lt;='Сводка'!$B$3,'Сводка'!$B$4+11,"")</x:f>
        <x:v>46246</x:v>
      </x:c>
      <x:c r="B21" s="18" t="n">
        <x:f>IF($A21="","",(A21-37257+1)/1000)</x:f>
        <x:v>8.99</x:v>
      </x:c>
      <x:c r="C21" s="18" t="n">
        <x:f>IF($A21="","",2*(A21-37257)/8978-1)</x:f>
        <x:v>1.0024504343951883</x:v>
      </x:c>
      <x:c r="D21" s="7" t="n">
        <x:f>IF($A21="","",$B$4*EXP($B$5*B21))</x:f>
        <x:v>166.55121700935726</x:v>
      </x:c>
      <x:c r="E21" s="7" t="n">
        <x:f>IF($A21="","",165.60217192025453*SQRT(1+(EXP($B$5*B21))*$J$59*(EXP($B$5*B21))+(EXP($B$5*B21))*$K$59*(D21*B21)+(D21*B21)*$J$60*(EXP($B$5*B21))+(D21*B21)*$K$60*(D21*B21)))</x:f>
        <x:v>165.69180826777455</x:v>
      </x:c>
      <x:c r="F21" s="7" t="n">
        <x:f>IF($A21="","",D21-1.9602400929689823*E21)</x:f>
        <x:v>-158.2445086336639</x:v>
      </x:c>
      <x:c r="G21" s="7" t="n">
        <x:f>IF($A21="","",D21+1.9602400929689823*E21)</x:f>
        <x:v>491.3469426523784</x:v>
      </x:c>
      <x:c r="H21" s="7" t="n">
        <x:f>IF($A21="","",165.60217192025453*SQRT((EXP($B$5*B21))*$J$59*(EXP($B$5*B21))+(EXP($B$5*B21))*$K$59*(D21*B21)+(D21*B21)*$J$60*(EXP($B$5*B21))+(D21*B21)*$K$60*(D21*B21)))</x:f>
        <x:v>5.449402016682209</x:v>
      </x:c>
      <x:c r="I21" s="3"/>
      <x:c r="J21" s="9" t="n">
        <x:v>46207</x:v>
      </x:c>
      <x:c r="K21" s="7" t="n">
        <x:v>121</x:v>
      </x:c>
      <x:c r="L21" s="7" t="n">
        <x:f>$E$4*EXP($E$5*((J21-37257+1)/1000))</x:f>
        <x:v>162.73598487814482</x:v>
      </x:c>
      <x:c r="M21" s="7" t="n">
        <x:f>K21-L21</x:f>
        <x:v>-41.73598487814482</x:v>
      </x:c>
      <x:c r="N21" s="7" t="n">
        <x:f>ABS(M21)</x:f>
        <x:v>41.73598487814482</x:v>
      </x:c>
      <x:c r="O21" s="3"/>
      <x:c r="P21" s="3"/>
      <x:c r="Q21" s="3"/>
    </x:row>
    <x:row r="22" ht="15" customHeight="1">
      <x:c r="A22" s="9" t="n">
        <x:f>IF(12&lt;='Сводка'!$B$3,'Сводка'!$B$4+12,"")</x:f>
        <x:v>46247</x:v>
      </x:c>
      <x:c r="B22" s="18" t="n">
        <x:f>IF($A22="","",(A22-37257+1)/1000)</x:f>
        <x:v>8.991</x:v>
      </x:c>
      <x:c r="C22" s="18" t="n">
        <x:f>IF($A22="","",2*(A22-37257)/8978-1)</x:f>
        <x:v>1.002673201158387</x:v>
      </x:c>
      <x:c r="D22" s="7" t="n">
        <x:f>IF($A22="","",$B$4*EXP($B$5*B22))</x:f>
        <x:v>166.58701219417495</x:v>
      </x:c>
      <x:c r="E22" s="7" t="n">
        <x:f>IF($A22="","",165.60217192025453*SQRT(1+(EXP($B$5*B22))*$J$59*(EXP($B$5*B22))+(EXP($B$5*B22))*$K$59*(D22*B22)+(D22*B22)*$J$60*(EXP($B$5*B22))+(D22*B22)*$K$60*(D22*B22)))</x:f>
        <x:v>165.69189238007624</x:v>
      </x:c>
      <x:c r="F22" s="7" t="n">
        <x:f>IF($A22="","",D22-1.9602400929689823*E22)</x:f>
        <x:v>-158.20887832915233</x:v>
      </x:c>
      <x:c r="G22" s="7" t="n">
        <x:f>IF($A22="","",D22+1.9602400929689823*E22)</x:f>
        <x:v>491.38290271750225</x:v>
      </x:c>
      <x:c r="H22" s="7" t="n">
        <x:f>IF($A22="","",165.60217192025453*SQRT((EXP($B$5*B22))*$J$59*(EXP($B$5*B22))+(EXP($B$5*B22))*$K$59*(D22*B22)+(D22*B22)*$J$60*(EXP($B$5*B22))+(D22*B22)*$K$60*(D22*B22)))</x:f>
        <x:v>5.451958894308213</x:v>
      </x:c>
      <x:c r="I22" s="3"/>
      <x:c r="J22" s="9" t="n">
        <x:v>46208</x:v>
      </x:c>
      <x:c r="K22" s="7" t="n">
        <x:v>138</x:v>
      </x:c>
      <x:c r="L22" s="7" t="n">
        <x:f>$E$4*EXP($E$5*((J22-37257+1)/1000))</x:f>
        <x:v>162.7704638703519</x:v>
      </x:c>
      <x:c r="M22" s="7" t="n">
        <x:f>K22-L22</x:f>
        <x:v>-24.770463870351904</x:v>
      </x:c>
      <x:c r="N22" s="7" t="n">
        <x:f>ABS(M22)</x:f>
        <x:v>24.770463870351904</x:v>
      </x:c>
      <x:c r="O22" s="3"/>
      <x:c r="P22" s="3"/>
      <x:c r="Q22" s="3"/>
    </x:row>
    <x:row r="23" ht="15" customHeight="1">
      <x:c r="A23" s="9" t="n">
        <x:f>IF(13&lt;='Сводка'!$B$3,'Сводка'!$B$4+13,"")</x:f>
        <x:v>46248</x:v>
      </x:c>
      <x:c r="B23" s="18" t="n">
        <x:f>IF($A23="","",(A23-37257+1)/1000)</x:f>
        <x:v>8.992</x:v>
      </x:c>
      <x:c r="C23" s="18" t="n">
        <x:f>IF($A23="","",2*(A23-37257)/8978-1)</x:f>
        <x:v>1.002895967921586</x:v>
      </x:c>
      <x:c r="D23" s="7" t="n">
        <x:f>IF($A23="","",$B$4*EXP($B$5*B23))</x:f>
        <x:v>166.6228150720933</x:v>
      </x:c>
      <x:c r="E23" s="7" t="n">
        <x:f>IF($A23="","",165.60217192025453*SQRT(1+(EXP($B$5*B23))*$J$59*(EXP($B$5*B23))+(EXP($B$5*B23))*$K$59*(D23*B23)+(D23*B23)*$J$60*(EXP($B$5*B23))+(D23*B23)*$K$60*(D23*B23)))</x:f>
        <x:v>165.6919765688059</x:v>
      </x:c>
      <x:c r="F23" s="7" t="n">
        <x:f>IF($A23="","",D23-1.9602400929689823*E23)</x:f>
        <x:v>-158.17324048135723</x:v>
      </x:c>
      <x:c r="G23" s="7" t="n">
        <x:f>IF($A23="","",D23+1.9602400929689823*E23)</x:f>
        <x:v>491.41887062554383</x:v>
      </x:c>
      <x:c r="H23" s="7" t="n">
        <x:f>IF($A23="","",165.60217192025453*SQRT((EXP($B$5*B23))*$J$59*(EXP($B$5*B23))+(EXP($B$5*B23))*$K$59*(D23*B23)+(D23*B23)*$J$60*(EXP($B$5*B23))+(D23*B23)*$K$60*(D23*B23)))</x:f>
        <x:v>5.454516896315305</x:v>
      </x:c>
      <x:c r="I23" s="3"/>
      <x:c r="J23" s="9" t="n">
        <x:v>46209</x:v>
      </x:c>
      <x:c r="K23" s="7" t="n">
        <x:v>149</x:v>
      </x:c>
      <x:c r="L23" s="7" t="n">
        <x:f>$E$4*EXP($E$5*((J23-37257+1)/1000))</x:f>
        <x:v>162.80495016764823</x:v>
      </x:c>
      <x:c r="M23" s="7" t="n">
        <x:f>K23-L23</x:f>
        <x:v>-13.80495016764823</x:v>
      </x:c>
      <x:c r="N23" s="7" t="n">
        <x:f>ABS(M23)</x:f>
        <x:v>13.80495016764823</x:v>
      </x:c>
      <x:c r="O23" s="3"/>
      <x:c r="P23" s="3"/>
      <x:c r="Q23" s="3"/>
    </x:row>
    <x:row r="24" ht="15" customHeight="1">
      <x:c r="A24" s="9" t="n">
        <x:f>IF(14&lt;='Сводка'!$B$3,'Сводка'!$B$4+14,"")</x:f>
        <x:v>46249</x:v>
      </x:c>
      <x:c r="B24" s="18" t="n">
        <x:f>IF($A24="","",(A24-37257+1)/1000)</x:f>
        <x:v>8.993</x:v>
      </x:c>
      <x:c r="C24" s="18" t="n">
        <x:f>IF($A24="","",2*(A24-37257)/8978-1)</x:f>
        <x:v>1.0031187346847852</x:v>
      </x:c>
      <x:c r="D24" s="7" t="n">
        <x:f>IF($A24="","",$B$4*EXP($B$5*B24))</x:f>
        <x:v>166.65862564476544</x:v>
      </x:c>
      <x:c r="E24" s="7" t="n">
        <x:f>IF($A24="","",165.60217192025453*SQRT(1+(EXP($B$5*B24))*$J$59*(EXP($B$5*B24))+(EXP($B$5*B24))*$K$59*(D24*B24)+(D24*B24)*$J$60*(EXP($B$5*B24))+(D24*B24)*$K$60*(D24*B24)))</x:f>
        <x:v>165.69206083402258</x:v>
      </x:c>
      <x:c r="F24" s="7" t="n">
        <x:f>IF($A24="","",D24-1.9602400929689823*E24)</x:f>
        <x:v>-158.13759508874125</x:v>
      </x:c>
      <x:c r="G24" s="7" t="n">
        <x:f>IF($A24="","",D24+1.9602400929689823*E24)</x:f>
        <x:v>491.4548463782721</x:v>
      </x:c>
      <x:c r="H24" s="7" t="n">
        <x:f>IF($A24="","",165.60217192025453*SQRT((EXP($B$5*B24))*$J$59*(EXP($B$5*B24))+(EXP($B$5*B24))*$K$59*(D24*B24)+(D24*B24)*$J$60*(EXP($B$5*B24))+(D24*B24)*$K$60*(D24*B24)))</x:f>
        <x:v>5.457076022917001</x:v>
      </x:c>
      <x:c r="I24" s="3"/>
      <x:c r="J24" s="9" t="n">
        <x:v>46210</x:v>
      </x:c>
      <x:c r="K24" s="7" t="n">
        <x:v>158</x:v>
      </x:c>
      <x:c r="L24" s="7" t="n">
        <x:f>$E$4*EXP($E$5*((J24-37257+1)/1000))</x:f>
        <x:v>162.83944377158176</x:v>
      </x:c>
      <x:c r="M24" s="7" t="n">
        <x:f>K24-L24</x:f>
        <x:v>-4.839443771581756</x:v>
      </x:c>
      <x:c r="N24" s="7" t="n">
        <x:f>ABS(M24)</x:f>
        <x:v>4.839443771581756</x:v>
      </x:c>
      <x:c r="O24" s="3"/>
      <x:c r="P24" s="3"/>
      <x:c r="Q24" s="3"/>
    </x:row>
    <x:row r="25" ht="15" customHeight="1">
      <x:c r="A25" s="9" t="n">
        <x:f>IF(15&lt;='Сводка'!$B$3,'Сводка'!$B$4+15,"")</x:f>
        <x:v>46250</x:v>
      </x:c>
      <x:c r="B25" s="18" t="n">
        <x:f>IF($A25="","",(A25-37257+1)/1000)</x:f>
        <x:v>8.994</x:v>
      </x:c>
      <x:c r="C25" s="18" t="n">
        <x:f>IF($A25="","",2*(A25-37257)/8978-1)</x:f>
        <x:v>1.0033415014479838</x:v>
      </x:c>
      <x:c r="D25" s="7" t="n">
        <x:f>IF($A25="","",$B$4*EXP($B$5*B25))</x:f>
        <x:v>166.6944439138453</x:v>
      </x:c>
      <x:c r="E25" s="7" t="n">
        <x:f>IF($A25="","",165.60217192025453*SQRT(1+(EXP($B$5*B25))*$J$59*(EXP($B$5*B25))+(EXP($B$5*B25))*$K$59*(D25*B25)+(D25*B25)*$J$60*(EXP($B$5*B25))+(D25*B25)*$K$60*(D25*B25)))</x:f>
        <x:v>165.6921451757852</x:v>
      </x:c>
      <x:c r="F25" s="7" t="n">
        <x:f>IF($A25="","",D25-1.9602400929689823*E25)</x:f>
        <x:v>-158.101942149766</x:v>
      </x:c>
      <x:c r="G25" s="7" t="n">
        <x:f>IF($A25="","",D25+1.9602400929689823*E25)</x:f>
        <x:v>491.4908299774566</x:v>
      </x:c>
      <x:c r="H25" s="7" t="n">
        <x:f>IF($A25="","",165.60217192025453*SQRT((EXP($B$5*B25))*$J$59*(EXP($B$5*B25))+(EXP($B$5*B25))*$K$59*(D25*B25)+(D25*B25)*$J$60*(EXP($B$5*B25))+(D25*B25)*$K$60*(D25*B25)))</x:f>
        <x:v>5.459636274326937</x:v>
      </x:c>
      <x:c r="I25" s="3"/>
      <x:c r="J25" s="9" t="n">
        <x:v>46211</x:v>
      </x:c>
      <x:c r="K25" s="7" t="n">
        <x:v>166</x:v>
      </x:c>
      <x:c r="L25" s="7" t="n">
        <x:f>$E$4*EXP($E$5*((J25-37257+1)/1000))</x:f>
        <x:v>162.87394468370027</x:v>
      </x:c>
      <x:c r="M25" s="7" t="n">
        <x:f>K25-L25</x:f>
        <x:v>3.126055316299727</x:v>
      </x:c>
      <x:c r="N25" s="7" t="n">
        <x:f>ABS(M25)</x:f>
        <x:v>3.126055316299727</x:v>
      </x:c>
      <x:c r="O25" s="3"/>
      <x:c r="P25" s="3"/>
      <x:c r="Q25" s="3"/>
    </x:row>
    <x:row r="26" ht="15" customHeight="1">
      <x:c r="A26" s="9" t="n">
        <x:f>IF(16&lt;='Сводка'!$B$3,'Сводка'!$B$4+16,"")</x:f>
        <x:v>46251</x:v>
      </x:c>
      <x:c r="B26" s="18" t="n">
        <x:f>IF($A26="","",(A26-37257+1)/1000)</x:f>
        <x:v>8.995</x:v>
      </x:c>
      <x:c r="C26" s="18" t="n">
        <x:f>IF($A26="","",2*(A26-37257)/8978-1)</x:f>
        <x:v>1.003564268211183</x:v>
      </x:c>
      <x:c r="D26" s="7" t="n">
        <x:f>IF($A26="","",$B$4*EXP($B$5*B26))</x:f>
        <x:v>166.73026988098698</x:v>
      </x:c>
      <x:c r="E26" s="7" t="n">
        <x:f>IF($A26="","",165.60217192025453*SQRT(1+(EXP($B$5*B26))*$J$59*(EXP($B$5*B26))+(EXP($B$5*B26))*$K$59*(D26*B26)+(D26*B26)*$J$60*(EXP($B$5*B26))+(D26*B26)*$K$60*(D26*B26)))</x:f>
        <x:v>165.69222959415296</x:v>
      </x:c>
      <x:c r="F26" s="7" t="n">
        <x:f>IF($A26="","",D26-1.9602400929689823*E26)</x:f>
        <x:v>-158.06628166289337</x:v>
      </x:c>
      <x:c r="G26" s="7" t="n">
        <x:f>IF($A26="","",D26+1.9602400929689823*E26)</x:f>
        <x:v>491.5268214248673</x:v>
      </x:c>
      <x:c r="H26" s="7" t="n">
        <x:f>IF($A26="","",165.60217192025453*SQRT((EXP($B$5*B26))*$J$59*(EXP($B$5*B26))+(EXP($B$5*B26))*$K$59*(D26*B26)+(D26*B26)*$J$60*(EXP($B$5*B26))+(D26*B26)*$K$60*(D26*B26)))</x:f>
        <x:v>5.462197650758932</x:v>
      </x:c>
      <x:c r="I26" s="3"/>
      <x:c r="J26" s="9" t="n">
        <x:v>46212</x:v>
      </x:c>
      <x:c r="K26" s="7" t="n">
        <x:v>174</x:v>
      </x:c>
      <x:c r="L26" s="7" t="n">
        <x:f>$E$4*EXP($E$5*((J26-37257+1)/1000))</x:f>
        <x:v>162.9084529055523</x:v>
      </x:c>
      <x:c r="M26" s="7" t="n">
        <x:f>K26-L26</x:f>
        <x:v>11.09154709444769</x:v>
      </x:c>
      <x:c r="N26" s="7" t="n">
        <x:f>ABS(M26)</x:f>
        <x:v>11.09154709444769</x:v>
      </x:c>
      <x:c r="O26" s="3"/>
      <x:c r="P26" s="3"/>
      <x:c r="Q26" s="3"/>
    </x:row>
    <x:row r="27" ht="15" customHeight="1">
      <x:c r="A27" s="9" t="n">
        <x:f>IF(17&lt;='Сводка'!$B$3,'Сводка'!$B$4+17,"")</x:f>
        <x:v>46252</x:v>
      </x:c>
      <x:c r="B27" s="18" t="n">
        <x:f>IF($A27="","",(A27-37257+1)/1000)</x:f>
        <x:v>8.996</x:v>
      </x:c>
      <x:c r="C27" s="18" t="n">
        <x:f>IF($A27="","",2*(A27-37257)/8978-1)</x:f>
        <x:v>1.003787034974382</x:v>
      </x:c>
      <x:c r="D27" s="7" t="n">
        <x:f>IF($A27="","",$B$4*EXP($B$5*B27))</x:f>
        <x:v>166.766103547845</x:v>
      </x:c>
      <x:c r="E27" s="7" t="n">
        <x:f>IF($A27="","",165.60217192025453*SQRT(1+(EXP($B$5*B27))*$J$59*(EXP($B$5*B27))+(EXP($B$5*B27))*$K$59*(D27*B27)+(D27*B27)*$J$60*(EXP($B$5*B27))+(D27*B27)*$K$60*(D27*B27)))</x:f>
        <x:v>165.6923140891849</x:v>
      </x:c>
      <x:c r="F27" s="7" t="n">
        <x:f>IF($A27="","",D27-1.9602400929689823*E27)</x:f>
        <x:v>-158.0306136265846</x:v>
      </x:c>
      <x:c r="G27" s="7" t="n">
        <x:f>IF($A27="","",D27+1.9602400929689823*E27)</x:f>
        <x:v>491.56282072227464</x:v>
      </x:c>
      <x:c r="H27" s="7" t="n">
        <x:f>IF($A27="","",165.60217192025453*SQRT((EXP($B$5*B27))*$J$59*(EXP($B$5*B27))+(EXP($B$5*B27))*$K$59*(D27*B27)+(D27*B27)*$J$60*(EXP($B$5*B27))+(D27*B27)*$K$60*(D27*B27)))</x:f>
        <x:v>5.464760152426886</x:v>
      </x:c>
      <x:c r="I27" s="3"/>
      <x:c r="J27" s="9" t="n">
        <x:v>46213</x:v>
      </x:c>
      <x:c r="K27" s="7" t="n">
        <x:v>180</x:v>
      </x:c>
      <x:c r="L27" s="7" t="n">
        <x:f>$E$4*EXP($E$5*((J27-37257+1)/1000))</x:f>
        <x:v>162.9429684386866</x:v>
      </x:c>
      <x:c r="M27" s="7" t="n">
        <x:f>K27-L27</x:f>
        <x:v>17.05703156131341</x:v>
      </x:c>
      <x:c r="N27" s="7" t="n">
        <x:f>ABS(M27)</x:f>
        <x:v>17.05703156131341</x:v>
      </x:c>
      <x:c r="O27" s="3"/>
      <x:c r="P27" s="3"/>
      <x:c r="Q27" s="3"/>
    </x:row>
    <x:row r="28" ht="15" customHeight="1">
      <x:c r="A28" s="9" t="n">
        <x:f>IF(18&lt;='Сводка'!$B$3,'Сводка'!$B$4+18,"")</x:f>
        <x:v>46253</x:v>
      </x:c>
      <x:c r="B28" s="18" t="n">
        <x:f>IF($A28="","",(A28-37257+1)/1000)</x:f>
        <x:v>8.997</x:v>
      </x:c>
      <x:c r="C28" s="18" t="n">
        <x:f>IF($A28="","",2*(A28-37257)/8978-1)</x:f>
        <x:v>1.0040098017375807</x:v>
      </x:c>
      <x:c r="D28" s="7" t="n">
        <x:f>IF($A28="","",$B$4*EXP($B$5*B28))</x:f>
        <x:v>166.801944916074</x:v>
      </x:c>
      <x:c r="E28" s="7" t="n">
        <x:f>IF($A28="","",165.60217192025453*SQRT(1+(EXP($B$5*B28))*$J$59*(EXP($B$5*B28))+(EXP($B$5*B28))*$K$59*(D28*B28)+(D28*B28)*$J$60*(EXP($B$5*B28))+(D28*B28)*$K$60*(D28*B28)))</x:f>
        <x:v>165.6923986609401</x:v>
      </x:c>
      <x:c r="F28" s="7" t="n">
        <x:f>IF($A28="","",D28-1.9602400929689823*E28)</x:f>
        <x:v>-157.99493803930093</x:v>
      </x:c>
      <x:c r="G28" s="7" t="n">
        <x:f>IF($A28="","",D28+1.9602400929689823*E28)</x:f>
        <x:v>491.598827871449</x:v>
      </x:c>
      <x:c r="H28" s="7" t="n">
        <x:f>IF($A28="","",165.60217192025453*SQRT((EXP($B$5*B28))*$J$59*(EXP($B$5*B28))+(EXP($B$5*B28))*$K$59*(D28*B28)+(D28*B28)*$J$60*(EXP($B$5*B28))+(D28*B28)*$K$60*(D28*B28)))</x:f>
        <x:v>5.467323779544845</x:v>
      </x:c>
      <x:c r="I28" s="3"/>
      <x:c r="J28" s="9" t="n">
        <x:v>46214</x:v>
      </x:c>
      <x:c r="K28" s="7" t="n">
        <x:v>181</x:v>
      </x:c>
      <x:c r="L28" s="7" t="n">
        <x:f>$E$4*EXP($E$5*((J28-37257+1)/1000))</x:f>
        <x:v>162.9774912846521</x:v>
      </x:c>
      <x:c r="M28" s="7" t="n">
        <x:f>K28-L28</x:f>
        <x:v>18.022508715347897</x:v>
      </x:c>
      <x:c r="N28" s="7" t="n">
        <x:f>ABS(M28)</x:f>
        <x:v>18.022508715347897</x:v>
      </x:c>
      <x:c r="O28" s="3"/>
      <x:c r="P28" s="3"/>
      <x:c r="Q28" s="3"/>
    </x:row>
    <x:row r="29" ht="15" customHeight="1">
      <x:c r="A29" s="9" t="n">
        <x:f>IF(19&lt;='Сводка'!$B$3,'Сводка'!$B$4+19,"")</x:f>
        <x:v>46254</x:v>
      </x:c>
      <x:c r="B29" s="18" t="n">
        <x:f>IF($A29="","",(A29-37257+1)/1000)</x:f>
        <x:v>8.998</x:v>
      </x:c>
      <x:c r="C29" s="18" t="n">
        <x:f>IF($A29="","",2*(A29-37257)/8978-1)</x:f>
        <x:v>1.0042325685007798</x:v>
      </x:c>
      <x:c r="D29" s="7" t="n">
        <x:f>IF($A29="","",$B$4*EXP($B$5*B29))</x:f>
        <x:v>166.8377939873293</x:v>
      </x:c>
      <x:c r="E29" s="7" t="n">
        <x:f>IF($A29="","",165.60217192025453*SQRT(1+(EXP($B$5*B29))*$J$59*(EXP($B$5*B29))+(EXP($B$5*B29))*$K$59*(D29*B29)+(D29*B29)*$J$60*(EXP($B$5*B29))+(D29*B29)*$K$60*(D29*B29)))</x:f>
        <x:v>165.69248330947792</x:v>
      </x:c>
      <x:c r="F29" s="7" t="n">
        <x:f>IF($A29="","",D29-1.9602400929689823*E29)</x:f>
        <x:v>-157.95925489950326</x:v>
      </x:c>
      <x:c r="G29" s="7" t="n">
        <x:f>IF($A29="","",D29+1.9602400929689823*E29)</x:f>
        <x:v>491.63484287416185</x:v>
      </x:c>
      <x:c r="H29" s="7" t="n">
        <x:f>IF($A29="","",165.60217192025453*SQRT((EXP($B$5*B29))*$J$59*(EXP($B$5*B29))+(EXP($B$5*B29))*$K$59*(D29*B29)+(D29*B29)*$J$60*(EXP($B$5*B29))+(D29*B29)*$K$60*(D29*B29)))</x:f>
        <x:v>5.469888532327028</x:v>
      </x:c>
      <x:c r="I29" s="3"/>
      <x:c r="J29" s="9" t="n">
        <x:v>46215</x:v>
      </x:c>
      <x:c r="K29" s="7" t="n">
        <x:v>179</x:v>
      </x:c>
      <x:c r="L29" s="7" t="n">
        <x:f>$E$4*EXP($E$5*((J29-37257+1)/1000))</x:f>
        <x:v>163.01202144499825</x:v>
      </x:c>
      <x:c r="M29" s="7" t="n">
        <x:f>K29-L29</x:f>
        <x:v>15.987978555001746</x:v>
      </x:c>
      <x:c r="N29" s="7" t="n">
        <x:f>ABS(M29)</x:f>
        <x:v>15.987978555001746</x:v>
      </x:c>
      <x:c r="O29" s="3"/>
      <x:c r="P29" s="3"/>
      <x:c r="Q29" s="3"/>
    </x:row>
    <x:row r="30" ht="15" customHeight="1">
      <x:c r="A30" s="9" t="n">
        <x:f>IF(20&lt;='Сводка'!$B$3,'Сводка'!$B$4+20,"")</x:f>
        <x:v>46255</x:v>
      </x:c>
      <x:c r="B30" s="18" t="n">
        <x:f>IF($A30="","",(A30-37257+1)/1000)</x:f>
        <x:v>8.999</x:v>
      </x:c>
      <x:c r="C30" s="18" t="n">
        <x:f>IF($A30="","",2*(A30-37257)/8978-1)</x:f>
        <x:v>1.0044553352639785</x:v>
      </x:c>
      <x:c r="D30" s="7" t="n">
        <x:f>IF($A30="","",$B$4*EXP($B$5*B30))</x:f>
        <x:v>166.87365076326648</x:v>
      </x:c>
      <x:c r="E30" s="7" t="n">
        <x:f>IF($A30="","",165.60217192025453*SQRT(1+(EXP($B$5*B30))*$J$59*(EXP($B$5*B30))+(EXP($B$5*B30))*$K$59*(D30*B30)+(D30*B30)*$J$60*(EXP($B$5*B30))+(D30*B30)*$K$60*(D30*B30)))</x:f>
        <x:v>165.6925680348575</x:v>
      </x:c>
      <x:c r="F30" s="7" t="n">
        <x:f>IF($A30="","",D30-1.9602400929689823*E30)</x:f>
        <x:v>-157.92356420565199</x:v>
      </x:c>
      <x:c r="G30" s="7" t="n">
        <x:f>IF($A30="","",D30+1.9602400929689823*E30)</x:f>
        <x:v>491.67086573218495</x:v>
      </x:c>
      <x:c r="H30" s="7" t="n">
        <x:f>IF($A30="","",165.60217192025453*SQRT((EXP($B$5*B30))*$J$59*(EXP($B$5*B30))+(EXP($B$5*B30))*$K$59*(D30*B30)+(D30*B30)*$J$60*(EXP($B$5*B30))+(D30*B30)*$K$60*(D30*B30)))</x:f>
        <x:v>5.472454410987743</x:v>
      </x:c>
      <x:c r="I30" s="3"/>
      <x:c r="J30" s="9" t="n">
        <x:v>46216</x:v>
      </x:c>
      <x:c r="K30" s="7" t="n">
        <x:v>182</x:v>
      </x:c>
      <x:c r="L30" s="7" t="n">
        <x:f>$E$4*EXP($E$5*((J30-37257+1)/1000))</x:f>
        <x:v>163.0465589212748</x:v>
      </x:c>
      <x:c r="M30" s="7" t="n">
        <x:f>K30-L30</x:f>
        <x:v>18.953441078725206</x:v>
      </x:c>
      <x:c r="N30" s="7" t="n">
        <x:f>ABS(M30)</x:f>
        <x:v>18.953441078725206</x:v>
      </x:c>
      <x:c r="O30" s="3"/>
      <x:c r="P30" s="3"/>
      <x:c r="Q30" s="3"/>
    </x:row>
    <x:row r="31" ht="15" customHeight="1">
      <x:c r="A31" s="9" t="n">
        <x:f>IF(21&lt;='Сводка'!$B$3,'Сводка'!$B$4+21,"")</x:f>
        <x:v>46256</x:v>
      </x:c>
      <x:c r="B31" s="18" t="n">
        <x:f>IF($A31="","",(A31-37257+1)/1000)</x:f>
        <x:v>9</x:v>
      </x:c>
      <x:c r="C31" s="18" t="n">
        <x:f>IF($A31="","",2*(A31-37257)/8978-1)</x:f>
        <x:v>1.0046781020271776</x:v>
      </x:c>
      <x:c r="D31" s="7" t="n">
        <x:f>IF($A31="","",$B$4*EXP($B$5*B31))</x:f>
        <x:v>166.90951524554126</x:v>
      </x:c>
      <x:c r="E31" s="7" t="n">
        <x:f>IF($A31="","",165.60217192025453*SQRT(1+(EXP($B$5*B31))*$J$59*(EXP($B$5*B31))+(EXP($B$5*B31))*$K$59*(D31*B31)+(D31*B31)*$J$60*(EXP($B$5*B31))+(D31*B31)*$K$60*(D31*B31)))</x:f>
        <x:v>165.6926528371381</x:v>
      </x:c>
      <x:c r="F31" s="7" t="n">
        <x:f>IF($A31="","",D31-1.9602400929689823*E31)</x:f>
        <x:v>-157.8878659562076</x:v>
      </x:c>
      <x:c r="G31" s="7" t="n">
        <x:f>IF($A31="","",D31+1.9602400929689823*E31)</x:f>
        <x:v>491.7068964472901</x:v>
      </x:c>
      <x:c r="H31" s="7" t="n">
        <x:f>IF($A31="","",165.60217192025453*SQRT((EXP($B$5*B31))*$J$59*(EXP($B$5*B31))+(EXP($B$5*B31))*$K$59*(D31*B31)+(D31*B31)*$J$60*(EXP($B$5*B31))+(D31*B31)*$K$60*(D31*B31)))</x:f>
        <x:v>5.475021415741453</x:v>
      </x:c>
      <x:c r="I31" s="3"/>
      <x:c r="J31" s="9" t="n">
        <x:v>46217</x:v>
      </x:c>
      <x:c r="K31" s="7" t="n">
        <x:v>191</x:v>
      </x:c>
      <x:c r="L31" s="7" t="n">
        <x:f>$E$4*EXP($E$5*((J31-37257+1)/1000))</x:f>
        <x:v>163.08110371503165</x:v>
      </x:c>
      <x:c r="M31" s="7" t="n">
        <x:f>K31-L31</x:f>
        <x:v>27.918896284968355</x:v>
      </x:c>
      <x:c r="N31" s="7" t="n">
        <x:f>ABS(M31)</x:f>
        <x:v>27.918896284968355</x:v>
      </x:c>
      <x:c r="O31" s="3"/>
      <x:c r="P31" s="3"/>
      <x:c r="Q31" s="3"/>
    </x:row>
    <x:row r="32" ht="15" customHeight="1">
      <x:c r="A32" s="9" t="n">
        <x:f>IF(22&lt;='Сводка'!$B$3,'Сводка'!$B$4+22,"")</x:f>
        <x:v>46257</x:v>
      </x:c>
      <x:c r="B32" s="18" t="n">
        <x:f>IF($A32="","",(A32-37257+1)/1000)</x:f>
        <x:v>9.001</x:v>
      </x:c>
      <x:c r="C32" s="18" t="n">
        <x:f>IF($A32="","",2*(A32-37257)/8978-1)</x:f>
        <x:v>1.0049008687903767</x:v>
      </x:c>
      <x:c r="D32" s="7" t="n">
        <x:f>IF($A32="","",$B$4*EXP($B$5*B32))</x:f>
        <x:v>166.94538743581</x:v>
      </x:c>
      <x:c r="E32" s="7" t="n">
        <x:f>IF($A32="","",165.60217192025453*SQRT(1+(EXP($B$5*B32))*$J$59*(EXP($B$5*B32))+(EXP($B$5*B32))*$K$59*(D32*B32)+(D32*B32)*$J$60*(EXP($B$5*B32))+(D32*B32)*$K$60*(D32*B32)))</x:f>
        <x:v>165.69273771637907</x:v>
      </x:c>
      <x:c r="F32" s="7" t="n">
        <x:f>IF($A32="","",D32-1.9602400929689823*E32)</x:f>
        <x:v>-157.8521601496301</x:v>
      </x:c>
      <x:c r="G32" s="7" t="n">
        <x:f>IF($A32="","",D32+1.9602400929689823*E32)</x:f>
        <x:v>491.7429350212501</x:v>
      </x:c>
      <x:c r="H32" s="7" t="n">
        <x:f>IF($A32="","",165.60217192025453*SQRT((EXP($B$5*B32))*$J$59*(EXP($B$5*B32))+(EXP($B$5*B32))*$K$59*(D32*B32)+(D32*B32)*$J$60*(EXP($B$5*B32))+(D32*B32)*$K$60*(D32*B32)))</x:f>
        <x:v>5.477589546802747</x:v>
      </x:c>
      <x:c r="I32" s="3"/>
      <x:c r="J32" s="9" t="n">
        <x:v>46218</x:v>
      </x:c>
      <x:c r="K32" s="7" t="n">
        <x:v>206</x:v>
      </x:c>
      <x:c r="L32" s="7" t="n">
        <x:f>$E$4*EXP($E$5*((J32-37257+1)/1000))</x:f>
        <x:v>163.11565582781924</x:v>
      </x:c>
      <x:c r="M32" s="7" t="n">
        <x:f>K32-L32</x:f>
        <x:v>42.88434417218076</x:v>
      </x:c>
      <x:c r="N32" s="7" t="n">
        <x:f>ABS(M32)</x:f>
        <x:v>42.88434417218076</x:v>
      </x:c>
      <x:c r="O32" s="3"/>
      <x:c r="P32" s="3"/>
      <x:c r="Q32" s="3"/>
    </x:row>
    <x:row r="33" ht="15" customHeight="1">
      <x:c r="A33" s="9" t="n">
        <x:f>IF(23&lt;='Сводка'!$B$3,'Сводка'!$B$4+23,"")</x:f>
        <x:v>46258</x:v>
      </x:c>
      <x:c r="B33" s="18" t="n">
        <x:f>IF($A33="","",(A33-37257+1)/1000)</x:f>
        <x:v>9.002</x:v>
      </x:c>
      <x:c r="C33" s="18" t="n">
        <x:f>IF($A33="","",2*(A33-37257)/8978-1)</x:f>
        <x:v>1.0051236355535753</x:v>
      </x:c>
      <x:c r="D33" s="7" t="n">
        <x:f>IF($A33="","",$B$4*EXP($B$5*B33))</x:f>
        <x:v>166.98126733572934</x:v>
      </x:c>
      <x:c r="E33" s="7" t="n">
        <x:f>IF($A33="","",165.60217192025453*SQRT(1+(EXP($B$5*B33))*$J$59*(EXP($B$5*B33))+(EXP($B$5*B33))*$K$59*(D33*B33)+(D33*B33)*$J$60*(EXP($B$5*B33))+(D33*B33)*$K$60*(D33*B33)))</x:f>
        <x:v>165.69282267263972</x:v>
      </x:c>
      <x:c r="F33" s="7" t="n">
        <x:f>IF($A33="","",D33-1.9602400929689823*E33)</x:f>
        <x:v>-157.81644678437902</x:v>
      </x:c>
      <x:c r="G33" s="7" t="n">
        <x:f>IF($A33="","",D33+1.9602400929689823*E33)</x:f>
        <x:v>491.7789814558377</x:v>
      </x:c>
      <x:c r="H33" s="7" t="n">
        <x:f>IF($A33="","",165.60217192025453*SQRT((EXP($B$5*B33))*$J$59*(EXP($B$5*B33))+(EXP($B$5*B33))*$K$59*(D33*B33)+(D33*B33)*$J$60*(EXP($B$5*B33))+(D33*B33)*$K$60*(D33*B33)))</x:f>
        <x:v>5.48015880438637</x:v>
      </x:c>
      <x:c r="I33" s="3"/>
      <x:c r="J33" s="9" t="n">
        <x:v>46219</x:v>
      </x:c>
      <x:c r="K33" s="7" t="n">
        <x:v>225</x:v>
      </x:c>
      <x:c r="L33" s="7" t="n">
        <x:f>$E$4*EXP($E$5*((J33-37257+1)/1000))</x:f>
        <x:v>163.15021526118827</x:v>
      </x:c>
      <x:c r="M33" s="7" t="n">
        <x:f>K33-L33</x:f>
        <x:v>61.849784738811735</x:v>
      </x:c>
      <x:c r="N33" s="7" t="n">
        <x:f>ABS(M33)</x:f>
        <x:v>61.849784738811735</x:v>
      </x:c>
      <x:c r="O33" s="3"/>
      <x:c r="P33" s="3"/>
      <x:c r="Q33" s="3"/>
    </x:row>
    <x:row r="34" ht="15" customHeight="1">
      <x:c r="A34" s="9" t="n">
        <x:f>IF(24&lt;='Сводка'!$B$3,'Сводка'!$B$4+24,"")</x:f>
        <x:v>46259</x:v>
      </x:c>
      <x:c r="B34" s="18" t="n">
        <x:f>IF($A34="","",(A34-37257+1)/1000)</x:f>
        <x:v>9.003</x:v>
      </x:c>
      <x:c r="C34" s="18" t="n">
        <x:f>IF($A34="","",2*(A34-37257)/8978-1)</x:f>
        <x:v>1.0053464023167744</x:v>
      </x:c>
      <x:c r="D34" s="7" t="n">
        <x:f>IF($A34="","",$B$4*EXP($B$5*B34))</x:f>
        <x:v>167.01715494695614</x:v>
      </x:c>
      <x:c r="E34" s="7" t="n">
        <x:f>IF($A34="","",165.60217192025453*SQRT(1+(EXP($B$5*B34))*$J$59*(EXP($B$5*B34))+(EXP($B$5*B34))*$K$59*(D34*B34)+(D34*B34)*$J$60*(EXP($B$5*B34))+(D34*B34)*$K$60*(D34*B34)))</x:f>
        <x:v>165.69290770597948</x:v>
      </x:c>
      <x:c r="F34" s="7" t="n">
        <x:f>IF($A34="","",D34-1.9602400929689823*E34)</x:f>
        <x:v>-157.78072585891405</x:v>
      </x:c>
      <x:c r="G34" s="7" t="n">
        <x:f>IF($A34="","",D34+1.9602400929689823*E34)</x:f>
        <x:v>491.81503575282636</x:v>
      </x:c>
      <x:c r="H34" s="7" t="n">
        <x:f>IF($A34="","",165.60217192025453*SQRT((EXP($B$5*B34))*$J$59*(EXP($B$5*B34))+(EXP($B$5*B34))*$K$59*(D34*B34)+(D34*B34)*$J$60*(EXP($B$5*B34))+(D34*B34)*$K$60*(D34*B34)))</x:f>
        <x:v>5.482729188707162</x:v>
      </x:c>
      <x:c r="I34" s="3"/>
      <x:c r="J34" s="9" t="n">
        <x:v>46220</x:v>
      </x:c>
      <x:c r="K34" s="7" t="n">
        <x:v>245</x:v>
      </x:c>
      <x:c r="L34" s="7" t="n">
        <x:f>$E$4*EXP($E$5*((J34-37257+1)/1000))</x:f>
        <x:v>163.1847820166898</x:v>
      </x:c>
      <x:c r="M34" s="7" t="n">
        <x:f>K34-L34</x:f>
        <x:v>81.81521798331019</x:v>
      </x:c>
      <x:c r="N34" s="7" t="n">
        <x:f>ABS(M34)</x:f>
        <x:v>81.81521798331019</x:v>
      </x:c>
      <x:c r="O34" s="3"/>
      <x:c r="P34" s="3"/>
      <x:c r="Q34" s="3"/>
    </x:row>
    <x:row r="35" ht="15" customHeight="1">
      <x:c r="A35" s="9" t="n">
        <x:f>IF(25&lt;='Сводка'!$B$3,'Сводка'!$B$4+25,"")</x:f>
        <x:v>46260</x:v>
      </x:c>
      <x:c r="B35" s="18" t="n">
        <x:f>IF($A35="","",(A35-37257+1)/1000)</x:f>
        <x:v>9.004</x:v>
      </x:c>
      <x:c r="C35" s="18" t="n">
        <x:f>IF($A35="","",2*(A35-37257)/8978-1)</x:f>
        <x:v>1.005569169079973</x:v>
      </x:c>
      <x:c r="D35" s="7" t="n">
        <x:f>IF($A35="","",$B$4*EXP($B$5*B35))</x:f>
        <x:v>167.05305027114773</x:v>
      </x:c>
      <x:c r="E35" s="7" t="n">
        <x:f>IF($A35="","",165.60217192025453*SQRT(1+(EXP($B$5*B35))*$J$59*(EXP($B$5*B35))+(EXP($B$5*B35))*$K$59*(D35*B35)+(D35*B35)*$J$60*(EXP($B$5*B35))+(D35*B35)*$K$60*(D35*B35)))</x:f>
        <x:v>165.6929928164578</x:v>
      </x:c>
      <x:c r="F35" s="7" t="n">
        <x:f>IF($A35="","",D35-1.9602400929689823*E35)</x:f>
        <x:v>-157.74499737169444</x:v>
      </x:c>
      <x:c r="G35" s="7" t="n">
        <x:f>IF($A35="","",D35+1.9602400929689823*E35)</x:f>
        <x:v>491.85109791398986</x:v>
      </x:c>
      <x:c r="H35" s="7" t="n">
        <x:f>IF($A35="","",165.60217192025453*SQRT((EXP($B$5*B35))*$J$59*(EXP($B$5*B35))+(EXP($B$5*B35))*$K$59*(D35*B35)+(D35*B35)*$J$60*(EXP($B$5*B35))+(D35*B35)*$K$60*(D35*B35)))</x:f>
        <x:v>5.48530069998013</x:v>
      </x:c>
      <x:c r="I35" s="3"/>
      <x:c r="J35" s="9" t="n">
        <x:v>46221</x:v>
      </x:c>
      <x:c r="K35" s="7" t="n">
        <x:v>266</x:v>
      </x:c>
      <x:c r="L35" s="7" t="n">
        <x:f>$E$4*EXP($E$5*((J35-37257+1)/1000))</x:f>
        <x:v>163.219356095875</x:v>
      </x:c>
      <x:c r="M35" s="7" t="n">
        <x:f>K35-L35</x:f>
        <x:v>102.78064390412499</x:v>
      </x:c>
      <x:c r="N35" s="7" t="n">
        <x:f>ABS(M35)</x:f>
        <x:v>102.78064390412499</x:v>
      </x:c>
      <x:c r="O35" s="3"/>
      <x:c r="P35" s="3"/>
      <x:c r="Q35" s="3"/>
    </x:row>
    <x:row r="36" ht="15" customHeight="1">
      <x:c r="A36" s="9" t="n">
        <x:f>IF(26&lt;='Сводка'!$B$3,'Сводка'!$B$4+26,"")</x:f>
        <x:v>46261</x:v>
      </x:c>
      <x:c r="B36" s="18" t="n">
        <x:f>IF($A36="","",(A36-37257+1)/1000)</x:f>
        <x:v>9.005</x:v>
      </x:c>
      <x:c r="C36" s="18" t="n">
        <x:f>IF($A36="","",2*(A36-37257)/8978-1)</x:f>
        <x:v>1.0057919358431722</x:v>
      </x:c>
      <x:c r="D36" s="7" t="n">
        <x:f>IF($A36="","",$B$4*EXP($B$5*B36))</x:f>
        <x:v>167.08895330996185</x:v>
      </x:c>
      <x:c r="E36" s="7" t="n">
        <x:f>IF($A36="","",165.60217192025453*SQRT(1+(EXP($B$5*B36))*$J$59*(EXP($B$5*B36))+(EXP($B$5*B36))*$K$59*(D36*B36)+(D36*B36)*$J$60*(EXP($B$5*B36))+(D36*B36)*$K$60*(D36*B36)))</x:f>
        <x:v>165.69307800413412</x:v>
      </x:c>
      <x:c r="F36" s="7" t="n">
        <x:f>IF($A36="","",D36-1.9602400929689823*E36)</x:f>
        <x:v>-157.70926132117884</x:v>
      </x:c>
      <x:c r="G36" s="7" t="n">
        <x:f>IF($A36="","",D36+1.9602400929689823*E36)</x:f>
        <x:v>491.8871679411026</x:v>
      </x:c>
      <x:c r="H36" s="7" t="n">
        <x:f>IF($A36="","",165.60217192025453*SQRT((EXP($B$5*B36))*$J$59*(EXP($B$5*B36))+(EXP($B$5*B36))*$K$59*(D36*B36)+(D36*B36)*$J$60*(EXP($B$5*B36))+(D36*B36)*$K$60*(D36*B36)))</x:f>
        <x:v>5.487873338420414</x:v>
      </x:c>
      <x:c r="I36" s="3"/>
      <x:c r="J36" s="9" t="n">
        <x:v>46222</x:v>
      </x:c>
      <x:c r="K36" s="7" t="n">
        <x:v>281</x:v>
      </x:c>
      <x:c r="L36" s="7" t="n">
        <x:f>$E$4*EXP($E$5*((J36-37257+1)/1000))</x:f>
        <x:v>163.2539375002957</x:v>
      </x:c>
      <x:c r="M36" s="7" t="n">
        <x:f>K36-L36</x:f>
        <x:v>117.7460624997043</x:v>
      </x:c>
      <x:c r="N36" s="7" t="n">
        <x:f>ABS(M36)</x:f>
        <x:v>117.7460624997043</x:v>
      </x:c>
      <x:c r="O36" s="3"/>
      <x:c r="P36" s="3"/>
      <x:c r="Q36" s="3"/>
    </x:row>
    <x:row r="37" ht="15" customHeight="1">
      <x:c r="A37" s="9" t="n">
        <x:f>IF(27&lt;='Сводка'!$B$3,'Сводка'!$B$4+27,"")</x:f>
        <x:v>46262</x:v>
      </x:c>
      <x:c r="B37" s="18" t="n">
        <x:f>IF($A37="","",(A37-37257+1)/1000)</x:f>
        <x:v>9.006</x:v>
      </x:c>
      <x:c r="C37" s="18" t="n">
        <x:f>IF($A37="","",2*(A37-37257)/8978-1)</x:f>
        <x:v>1.0060147026063713</x:v>
      </x:c>
      <x:c r="D37" s="7" t="n">
        <x:f>IF($A37="","",$B$4*EXP($B$5*B37))</x:f>
        <x:v>167.12486406505644</x:v>
      </x:c>
      <x:c r="E37" s="7" t="n">
        <x:f>IF($A37="","",165.60217192025453*SQRT(1+(EXP($B$5*B37))*$J$59*(EXP($B$5*B37))+(EXP($B$5*B37))*$K$59*(D37*B37)+(D37*B37)*$J$60*(EXP($B$5*B37))+(D37*B37)*$K$60*(D37*B37)))</x:f>
        <x:v>165.693163269068</x:v>
      </x:c>
      <x:c r="F37" s="7" t="n">
        <x:f>IF($A37="","",D37-1.9602400929689823*E37)</x:f>
        <x:v>-157.6735177058262</x:v>
      </x:c>
      <x:c r="G37" s="7" t="n">
        <x:f>IF($A37="","",D37+1.9602400929689823*E37)</x:f>
        <x:v>491.9232458359391</x:v>
      </x:c>
      <x:c r="H37" s="7" t="n">
        <x:f>IF($A37="","",165.60217192025453*SQRT((EXP($B$5*B37))*$J$59*(EXP($B$5*B37))+(EXP($B$5*B37))*$K$59*(D37*B37)+(D37*B37)*$J$60*(EXP($B$5*B37))+(D37*B37)*$K$60*(D37*B37)))</x:f>
        <x:v>5.490447104243266</x:v>
      </x:c>
      <x:c r="I37" s="3"/>
      <x:c r="J37" s="9" t="n">
        <x:v>46223</x:v>
      </x:c>
      <x:c r="K37" s="7" t="n">
        <x:v>292</x:v>
      </x:c>
      <x:c r="L37" s="7" t="n">
        <x:f>$E$4*EXP($E$5*((J37-37257+1)/1000))</x:f>
        <x:v>163.28852623150397</x:v>
      </x:c>
      <x:c r="M37" s="7" t="n">
        <x:f>K37-L37</x:f>
        <x:v>128.71147376849603</x:v>
      </x:c>
      <x:c r="N37" s="7" t="n">
        <x:f>ABS(M37)</x:f>
        <x:v>128.71147376849603</x:v>
      </x:c>
      <x:c r="O37" s="3"/>
      <x:c r="P37" s="3"/>
      <x:c r="Q37" s="3"/>
    </x:row>
    <x:row r="38" ht="15" customHeight="1">
      <x:c r="A38" s="9" t="n">
        <x:f>IF(28&lt;='Сводка'!$B$3,'Сводка'!$B$4+28,"")</x:f>
        <x:v>46263</x:v>
      </x:c>
      <x:c r="B38" s="18" t="n">
        <x:f>IF($A38="","",(A38-37257+1)/1000)</x:f>
        <x:v>9.007</x:v>
      </x:c>
      <x:c r="C38" s="18" t="n">
        <x:f>IF($A38="","",2*(A38-37257)/8978-1)</x:f>
        <x:v>1.00623746936957</x:v>
      </x:c>
      <x:c r="D38" s="7" t="n">
        <x:f>IF($A38="","",$B$4*EXP($B$5*B38))</x:f>
        <x:v>167.16078253808993</x:v>
      </x:c>
      <x:c r="E38" s="7" t="n">
        <x:f>IF($A38="","",165.60217192025453*SQRT(1+(EXP($B$5*B38))*$J$59*(EXP($B$5*B38))+(EXP($B$5*B38))*$K$59*(D38*B38)+(D38*B38)*$J$60*(EXP($B$5*B38))+(D38*B38)*$K$60*(D38*B38)))</x:f>
        <x:v>165.693248611319</x:v>
      </x:c>
      <x:c r="F38" s="7" t="n">
        <x:f>IF($A38="","",D38-1.9602400929689823*E38)</x:f>
        <x:v>-157.63776652409476</x:v>
      </x:c>
      <x:c r="G38" s="7" t="n">
        <x:f>IF($A38="","",D38+1.9602400929689823*E38)</x:f>
        <x:v>491.9593316002746</x:v>
      </x:c>
      <x:c r="H38" s="7" t="n">
        <x:f>IF($A38="","",165.60217192025453*SQRT((EXP($B$5*B38))*$J$59*(EXP($B$5*B38))+(EXP($B$5*B38))*$K$59*(D38*B38)+(D38*B38)*$J$60*(EXP($B$5*B38))+(D38*B38)*$K$60*(D38*B38)))</x:f>
        <x:v>5.493021997664106</x:v>
      </x:c>
      <x:c r="I38" s="3"/>
      <x:c r="J38" s="9" t="n">
        <x:v>46224</x:v>
      </x:c>
      <x:c r="K38" s="7" t="n">
        <x:v>303</x:v>
      </x:c>
      <x:c r="L38" s="7" t="n">
        <x:f>$E$4*EXP($E$5*((J38-37257+1)/1000))</x:f>
        <x:v>163.32312229105193</x:v>
      </x:c>
      <x:c r="M38" s="7" t="n">
        <x:f>K38-L38</x:f>
        <x:v>139.67687770894807</x:v>
      </x:c>
      <x:c r="N38" s="7" t="n">
        <x:f>ABS(M38)</x:f>
        <x:v>139.67687770894807</x:v>
      </x:c>
      <x:c r="O38" s="3"/>
      <x:c r="P38" s="3"/>
      <x:c r="Q38" s="3"/>
    </x:row>
    <x:row r="39" ht="15" customHeight="1">
      <x:c r="A39" s="9" t="n">
        <x:f>IF(29&lt;='Сводка'!$B$3,'Сводка'!$B$4+29,"")</x:f>
        <x:v>46264</x:v>
      </x:c>
      <x:c r="B39" s="18" t="n">
        <x:f>IF($A39="","",(A39-37257+1)/1000)</x:f>
        <x:v>9.008</x:v>
      </x:c>
      <x:c r="C39" s="18" t="n">
        <x:f>IF($A39="","",2*(A39-37257)/8978-1)</x:f>
        <x:v>1.006460236132769</x:v>
      </x:c>
      <x:c r="D39" s="7" t="n">
        <x:f>IF($A39="","",$B$4*EXP($B$5*B39))</x:f>
        <x:v>167.19670873072104</x:v>
      </x:c>
      <x:c r="E39" s="7" t="n">
        <x:f>IF($A39="","",165.60217192025453*SQRT(1+(EXP($B$5*B39))*$J$59*(EXP($B$5*B39))+(EXP($B$5*B39))*$K$59*(D39*B39)+(D39*B39)*$J$60*(EXP($B$5*B39))+(D39*B39)*$K$60*(D39*B39)))</x:f>
        <x:v>165.69333403094663</x:v>
      </x:c>
      <x:c r="F39" s="7" t="n">
        <x:f>IF($A39="","",D39-1.9602400929689823*E39)</x:f>
        <x:v>-157.6020077744424</x:v>
      </x:c>
      <x:c r="G39" s="7" t="n">
        <x:f>IF($A39="","",D39+1.9602400929689823*E39)</x:f>
        <x:v>491.99542523588445</x:v>
      </x:c>
      <x:c r="H39" s="7" t="n">
        <x:f>IF($A39="","",165.60217192025453*SQRT((EXP($B$5*B39))*$J$59*(EXP($B$5*B39))+(EXP($B$5*B39))*$K$59*(D39*B39)+(D39*B39)*$J$60*(EXP($B$5*B39))+(D39*B39)*$K$60*(D39*B39)))</x:f>
        <x:v>5.495598018898452</x:v>
      </x:c>
      <x:c r="I39" s="3"/>
      <x:c r="J39" s="9" t="n">
        <x:v>46225</x:v>
      </x:c>
      <x:c r="K39" s="7" t="n">
        <x:v>311</x:v>
      </x:c>
      <x:c r="L39" s="7" t="n">
        <x:f>$E$4*EXP($E$5*((J39-37257+1)/1000))</x:f>
        <x:v>163.35772568049228</x:v>
      </x:c>
      <x:c r="M39" s="7" t="n">
        <x:f>K39-L39</x:f>
        <x:v>147.64227431950772</x:v>
      </x:c>
      <x:c r="N39" s="7" t="n">
        <x:f>ABS(M39)</x:f>
        <x:v>147.64227431950772</x:v>
      </x:c>
      <x:c r="O39" s="3"/>
      <x:c r="P39" s="3"/>
      <x:c r="Q39" s="3"/>
    </x:row>
    <x:row r="40" ht="15" customHeight="1">
      <x:c r="A40" s="9" t="n">
        <x:f>IF(30&lt;='Сводка'!$B$3,'Сводка'!$B$4+30,"")</x:f>
        <x:v>46265</x:v>
      </x:c>
      <x:c r="B40" s="18" t="n">
        <x:f>IF($A40="","",(A40-37257+1)/1000)</x:f>
        <x:v>9.009</x:v>
      </x:c>
      <x:c r="C40" s="18" t="n">
        <x:f>IF($A40="","",2*(A40-37257)/8978-1)</x:f>
        <x:v>1.0066830028959681</x:v>
      </x:c>
      <x:c r="D40" s="7" t="n">
        <x:f>IF($A40="","",$B$4*EXP($B$5*B40))</x:f>
        <x:v>167.23264264460897</x:v>
      </x:c>
      <x:c r="E40" s="7" t="n">
        <x:f>IF($A40="","",165.60217192025453*SQRT(1+(EXP($B$5*B40))*$J$59*(EXP($B$5*B40))+(EXP($B$5*B40))*$K$59*(D40*B40)+(D40*B40)*$J$60*(EXP($B$5*B40))+(D40*B40)*$K$60*(D40*B40)))</x:f>
        <x:v>165.69341952801062</x:v>
      </x:c>
      <x:c r="F40" s="7" t="n">
        <x:f>IF($A40="","",D40-1.9602400929689823*E40)</x:f>
        <x:v>-157.56624145532714</x:v>
      </x:c>
      <x:c r="G40" s="7" t="n">
        <x:f>IF($A40="","",D40+1.9602400929689823*E40)</x:f>
        <x:v>492.0315267445451</x:v>
      </x:c>
      <x:c r="H40" s="7" t="n">
        <x:f>IF($A40="","",165.60217192025453*SQRT((EXP($B$5*B40))*$J$59*(EXP($B$5*B40))+(EXP($B$5*B40))*$K$59*(D40*B40)+(D40*B40)*$J$60*(EXP($B$5*B40))+(D40*B40)*$K$60*(D40*B40)))</x:f>
        <x:v>5.4981751681619935</x:v>
      </x:c>
      <x:c r="I40" s="3"/>
      <x:c r="J40" s="9" t="n">
        <x:v>46226</x:v>
      </x:c>
      <x:c r="K40" s="7" t="n">
        <x:v>328</x:v>
      </x:c>
      <x:c r="L40" s="7" t="n">
        <x:f>$E$4*EXP($E$5*((J40-37257+1)/1000))</x:f>
        <x:v>163.39233640137823</x:v>
      </x:c>
      <x:c r="M40" s="7" t="n">
        <x:f>K40-L40</x:f>
        <x:v>164.60766359862177</x:v>
      </x:c>
      <x:c r="N40" s="7" t="n">
        <x:f>ABS(M40)</x:f>
        <x:v>164.60766359862177</x:v>
      </x:c>
      <x:c r="O40" s="3"/>
      <x:c r="P40" s="3"/>
      <x:c r="Q40" s="3"/>
    </x:row>
    <x:row r="41" ht="15" customHeight="1">
      <x:c r="A41" s="5" t="str">
        <x:f>IF(31&lt;='Сводка'!$B$3,'Сводка'!$B$4+31,"")</x:f>
      </x:c>
      <x:c r="B41" s="19" t="str">
        <x:f>IF($A41="","",(A41-37257+1)/1000)</x:f>
      </x:c>
      <x:c r="C41" s="19" t="str">
        <x:f>IF($A41="","",2*(A41-37257)/8978-1)</x:f>
      </x:c>
      <x:c r="D41" s="3" t="str">
        <x:f>IF($A41="","",$B$4*EXP($B$5*B41))</x:f>
      </x:c>
      <x:c r="E41" s="3" t="str">
        <x:f>IF($A41="","",165.60217192025453*SQRT(1+(EXP($B$5*B41))*$J$59*(EXP($B$5*B41))+(EXP($B$5*B41))*$K$59*(D41*B41)+(D41*B41)*$J$60*(EXP($B$5*B41))+(D41*B41)*$K$60*(D41*B41)))</x:f>
      </x:c>
      <x:c r="F41" s="3" t="str">
        <x:f>IF($A41="","",D41-1.9602400929689823*E41)</x:f>
      </x:c>
      <x:c r="G41" s="3" t="str">
        <x:f>IF($A41="","",D41+1.9602400929689823*E41)</x:f>
      </x:c>
      <x:c r="H41" s="3" t="str">
        <x:f>IF($A41="","",165.60217192025453*SQRT((EXP($B$5*B41))*$J$59*(EXP($B$5*B41))+(EXP($B$5*B41))*$K$59*(D41*B41)+(D41*B41)*$J$60*(EXP($B$5*B41))+(D41*B41)*$K$60*(D41*B41)))</x:f>
      </x:c>
      <x:c r="I41" s="3"/>
      <x:c r="J41" s="9" t="n">
        <x:v>46227</x:v>
      </x:c>
      <x:c r="K41" s="7" t="n">
        <x:v>340</x:v>
      </x:c>
      <x:c r="L41" s="7" t="n">
        <x:f>$E$4*EXP($E$5*((J41-37257+1)/1000))</x:f>
        <x:v>163.42695445526283</x:v>
      </x:c>
      <x:c r="M41" s="7" t="n">
        <x:f>K41-L41</x:f>
        <x:v>176.57304554473717</x:v>
      </x:c>
      <x:c r="N41" s="7" t="n">
        <x:f>ABS(M41)</x:f>
        <x:v>176.57304554473717</x:v>
      </x:c>
      <x:c r="O41" s="3"/>
      <x:c r="P41" s="3"/>
      <x:c r="Q41" s="3"/>
    </x:row>
    <x:row r="42" ht="15" customHeight="1">
      <x:c r="A42" s="5" t="str">
        <x:f>IF(32&lt;='Сводка'!$B$3,'Сводка'!$B$4+32,"")</x:f>
      </x:c>
      <x:c r="B42" s="19" t="str">
        <x:f>IF($A42="","",(A42-37257+1)/1000)</x:f>
      </x:c>
      <x:c r="C42" s="19" t="str">
        <x:f>IF($A42="","",2*(A42-37257)/8978-1)</x:f>
      </x:c>
      <x:c r="D42" s="3" t="str">
        <x:f>IF($A42="","",$B$4*EXP($B$5*B42))</x:f>
      </x:c>
      <x:c r="E42" s="3" t="str">
        <x:f>IF($A42="","",165.60217192025453*SQRT(1+(EXP($B$5*B42))*$J$59*(EXP($B$5*B42))+(EXP($B$5*B42))*$K$59*(D42*B42)+(D42*B42)*$J$60*(EXP($B$5*B42))+(D42*B42)*$K$60*(D42*B42)))</x:f>
      </x:c>
      <x:c r="F42" s="3" t="str">
        <x:f>IF($A42="","",D42-1.9602400929689823*E42)</x:f>
      </x:c>
      <x:c r="G42" s="3" t="str">
        <x:f>IF($A42="","",D42+1.9602400929689823*E42)</x:f>
      </x:c>
      <x:c r="H42" s="3" t="str">
        <x:f>IF($A42="","",165.60217192025453*SQRT((EXP($B$5*B42))*$J$59*(EXP($B$5*B42))+(EXP($B$5*B42))*$K$59*(D42*B42)+(D42*B42)*$J$60*(EXP($B$5*B42))+(D42*B42)*$K$60*(D42*B42)))</x:f>
      </x:c>
      <x:c r="I42" s="3"/>
      <x:c r="J42" s="9" t="n">
        <x:v>46228</x:v>
      </x:c>
      <x:c r="K42" s="7" t="n">
        <x:v>350</x:v>
      </x:c>
      <x:c r="L42" s="7" t="n">
        <x:f>$E$4*EXP($E$5*((J42-37257+1)/1000))</x:f>
        <x:v>163.46157984369984</x:v>
      </x:c>
      <x:c r="M42" s="7" t="n">
        <x:f>K42-L42</x:f>
        <x:v>186.53842015630016</x:v>
      </x:c>
      <x:c r="N42" s="7" t="n">
        <x:f>ABS(M42)</x:f>
        <x:v>186.53842015630016</x:v>
      </x:c>
      <x:c r="O42" s="3"/>
      <x:c r="P42" s="3"/>
      <x:c r="Q42" s="3"/>
    </x:row>
    <x:row r="43" ht="15" customHeight="1">
      <x:c r="A43" s="5" t="str">
        <x:f>IF(33&lt;='Сводка'!$B$3,'Сводка'!$B$4+33,"")</x:f>
      </x:c>
      <x:c r="B43" s="19" t="str">
        <x:f>IF($A43="","",(A43-37257+1)/1000)</x:f>
      </x:c>
      <x:c r="C43" s="19" t="str">
        <x:f>IF($A43="","",2*(A43-37257)/8978-1)</x:f>
      </x:c>
      <x:c r="D43" s="3" t="str">
        <x:f>IF($A43="","",$B$4*EXP($B$5*B43))</x:f>
      </x:c>
      <x:c r="E43" s="3" t="str">
        <x:f>IF($A43="","",165.60217192025453*SQRT(1+(EXP($B$5*B43))*$J$59*(EXP($B$5*B43))+(EXP($B$5*B43))*$K$59*(D43*B43)+(D43*B43)*$J$60*(EXP($B$5*B43))+(D43*B43)*$K$60*(D43*B43)))</x:f>
      </x:c>
      <x:c r="F43" s="3" t="str">
        <x:f>IF($A43="","",D43-1.9602400929689823*E43)</x:f>
      </x:c>
      <x:c r="G43" s="3" t="str">
        <x:f>IF($A43="","",D43+1.9602400929689823*E43)</x:f>
      </x:c>
      <x:c r="H43" s="3" t="str">
        <x:f>IF($A43="","",165.60217192025453*SQRT((EXP($B$5*B43))*$J$59*(EXP($B$5*B43))+(EXP($B$5*B43))*$K$59*(D43*B43)+(D43*B43)*$J$60*(EXP($B$5*B43))+(D43*B43)*$K$60*(D43*B43)))</x:f>
      </x:c>
      <x:c r="I43" s="3"/>
      <x:c r="J43" s="9" t="n">
        <x:v>46229</x:v>
      </x:c>
      <x:c r="K43" s="7" t="n">
        <x:v>361</x:v>
      </x:c>
      <x:c r="L43" s="7" t="n">
        <x:f>$E$4*EXP($E$5*((J43-37257+1)/1000))</x:f>
        <x:v>163.49621256824332</x:v>
      </x:c>
      <x:c r="M43" s="7" t="n">
        <x:f>K43-L43</x:f>
        <x:v>197.50378743175668</x:v>
      </x:c>
      <x:c r="N43" s="7" t="n">
        <x:f>ABS(M43)</x:f>
        <x:v>197.50378743175668</x:v>
      </x:c>
      <x:c r="O43" s="3"/>
      <x:c r="P43" s="3"/>
      <x:c r="Q43" s="3"/>
    </x:row>
    <x:row r="44" ht="15" customHeight="1">
      <x:c r="A44" s="5" t="str">
        <x:f>IF(34&lt;='Сводка'!$B$3,'Сводка'!$B$4+34,"")</x:f>
      </x:c>
      <x:c r="B44" s="19" t="str">
        <x:f>IF($A44="","",(A44-37257+1)/1000)</x:f>
      </x:c>
      <x:c r="C44" s="19" t="str">
        <x:f>IF($A44="","",2*(A44-37257)/8978-1)</x:f>
      </x:c>
      <x:c r="D44" s="3" t="str">
        <x:f>IF($A44="","",$B$4*EXP($B$5*B44))</x:f>
      </x:c>
      <x:c r="E44" s="3" t="str">
        <x:f>IF($A44="","",165.60217192025453*SQRT(1+(EXP($B$5*B44))*$J$59*(EXP($B$5*B44))+(EXP($B$5*B44))*$K$59*(D44*B44)+(D44*B44)*$J$60*(EXP($B$5*B44))+(D44*B44)*$K$60*(D44*B44)))</x:f>
      </x:c>
      <x:c r="F44" s="3" t="str">
        <x:f>IF($A44="","",D44-1.9602400929689823*E44)</x:f>
      </x:c>
      <x:c r="G44" s="3" t="str">
        <x:f>IF($A44="","",D44+1.9602400929689823*E44)</x:f>
      </x:c>
      <x:c r="H44" s="3" t="str">
        <x:f>IF($A44="","",165.60217192025453*SQRT((EXP($B$5*B44))*$J$59*(EXP($B$5*B44))+(EXP($B$5*B44))*$K$59*(D44*B44)+(D44*B44)*$J$60*(EXP($B$5*B44))+(D44*B44)*$K$60*(D44*B44)))</x:f>
      </x:c>
      <x:c r="I44" s="3"/>
      <x:c r="J44" s="9" t="n">
        <x:v>46230</x:v>
      </x:c>
      <x:c r="K44" s="7" t="n">
        <x:v>369</x:v>
      </x:c>
      <x:c r="L44" s="7" t="n">
        <x:f>$E$4*EXP($E$5*((J44-37257+1)/1000))</x:f>
        <x:v>163.5308526304474</x:v>
      </x:c>
      <x:c r="M44" s="7" t="n">
        <x:f>K44-L44</x:f>
        <x:v>205.4691473695526</x:v>
      </x:c>
      <x:c r="N44" s="7" t="n">
        <x:f>ABS(M44)</x:f>
        <x:v>205.4691473695526</x:v>
      </x:c>
      <x:c r="O44" s="3"/>
      <x:c r="P44" s="3"/>
      <x:c r="Q44" s="3"/>
    </x:row>
    <x:row r="45" ht="15" customHeight="1">
      <x:c r="A45" s="5" t="str">
        <x:f>IF(35&lt;='Сводка'!$B$3,'Сводка'!$B$4+35,"")</x:f>
      </x:c>
      <x:c r="B45" s="19" t="str">
        <x:f>IF($A45="","",(A45-37257+1)/1000)</x:f>
      </x:c>
      <x:c r="C45" s="19" t="str">
        <x:f>IF($A45="","",2*(A45-37257)/8978-1)</x:f>
      </x:c>
      <x:c r="D45" s="3" t="str">
        <x:f>IF($A45="","",$B$4*EXP($B$5*B45))</x:f>
      </x:c>
      <x:c r="E45" s="3" t="str">
        <x:f>IF($A45="","",165.60217192025453*SQRT(1+(EXP($B$5*B45))*$J$59*(EXP($B$5*B45))+(EXP($B$5*B45))*$K$59*(D45*B45)+(D45*B45)*$J$60*(EXP($B$5*B45))+(D45*B45)*$K$60*(D45*B45)))</x:f>
      </x:c>
      <x:c r="F45" s="3" t="str">
        <x:f>IF($A45="","",D45-1.9602400929689823*E45)</x:f>
      </x:c>
      <x:c r="G45" s="3" t="str">
        <x:f>IF($A45="","",D45+1.9602400929689823*E45)</x:f>
      </x:c>
      <x:c r="H45" s="3" t="str">
        <x:f>IF($A45="","",165.60217192025453*SQRT((EXP($B$5*B45))*$J$59*(EXP($B$5*B45))+(EXP($B$5*B45))*$K$59*(D45*B45)+(D45*B45)*$J$60*(EXP($B$5*B45))+(D45*B45)*$K$60*(D45*B45)))</x:f>
      </x:c>
      <x:c r="I45" s="3"/>
      <x:c r="J45" s="9" t="n">
        <x:v>46231</x:v>
      </x:c>
      <x:c r="K45" s="7" t="n">
        <x:v>377</x:v>
      </x:c>
      <x:c r="L45" s="7" t="n">
        <x:f>$E$4*EXP($E$5*((J45-37257+1)/1000))</x:f>
        <x:v>163.56550003186683</x:v>
      </x:c>
      <x:c r="M45" s="7" t="n">
        <x:f>K45-L45</x:f>
        <x:v>213.43449996813317</x:v>
      </x:c>
      <x:c r="N45" s="7" t="n">
        <x:f>ABS(M45)</x:f>
        <x:v>213.43449996813317</x:v>
      </x:c>
      <x:c r="O45" s="3"/>
      <x:c r="P45" s="3"/>
      <x:c r="Q45" s="3"/>
    </x:row>
    <x:row r="46" ht="15" customHeight="1">
      <x:c r="A46" s="5" t="str">
        <x:f>IF(36&lt;='Сводка'!$B$3,'Сводка'!$B$4+36,"")</x:f>
      </x:c>
      <x:c r="B46" s="19" t="str">
        <x:f>IF($A46="","",(A46-37257+1)/1000)</x:f>
      </x:c>
      <x:c r="C46" s="19" t="str">
        <x:f>IF($A46="","",2*(A46-37257)/8978-1)</x:f>
      </x:c>
      <x:c r="D46" s="3" t="str">
        <x:f>IF($A46="","",$B$4*EXP($B$5*B46))</x:f>
      </x:c>
      <x:c r="E46" s="3" t="str">
        <x:f>IF($A46="","",165.60217192025453*SQRT(1+(EXP($B$5*B46))*$J$59*(EXP($B$5*B46))+(EXP($B$5*B46))*$K$59*(D46*B46)+(D46*B46)*$J$60*(EXP($B$5*B46))+(D46*B46)*$K$60*(D46*B46)))</x:f>
      </x:c>
      <x:c r="F46" s="3" t="str">
        <x:f>IF($A46="","",D46-1.9602400929689823*E46)</x:f>
      </x:c>
      <x:c r="G46" s="3" t="str">
        <x:f>IF($A46="","",D46+1.9602400929689823*E46)</x:f>
      </x:c>
      <x:c r="H46" s="3" t="str">
        <x:f>IF($A46="","",165.60217192025453*SQRT((EXP($B$5*B46))*$J$59*(EXP($B$5*B46))+(EXP($B$5*B46))*$K$59*(D46*B46)+(D46*B46)*$J$60*(EXP($B$5*B46))+(D46*B46)*$K$60*(D46*B46)))</x:f>
      </x:c>
      <x:c r="I46" s="3"/>
      <x:c r="J46" s="9" t="n">
        <x:v>46232</x:v>
      </x:c>
      <x:c r="K46" s="7" t="n">
        <x:v>385</x:v>
      </x:c>
      <x:c r="L46" s="7" t="n">
        <x:f>$E$4*EXP($E$5*((J46-37257+1)/1000))</x:f>
        <x:v>163.60015477405662</x:v>
      </x:c>
      <x:c r="M46" s="7" t="n">
        <x:f>K46-L46</x:f>
        <x:v>221.39984522594338</x:v>
      </x:c>
      <x:c r="N46" s="7" t="n">
        <x:f>ABS(M46)</x:f>
        <x:v>221.39984522594338</x:v>
      </x:c>
      <x:c r="O46" s="3"/>
      <x:c r="P46" s="3"/>
      <x:c r="Q46" s="3"/>
    </x:row>
    <x:row r="47" ht="15" customHeight="1">
      <x:c r="A47" s="5" t="str">
        <x:f>IF(37&lt;='Сводка'!$B$3,'Сводка'!$B$4+37,"")</x:f>
      </x:c>
      <x:c r="B47" s="19" t="str">
        <x:f>IF($A47="","",(A47-37257+1)/1000)</x:f>
      </x:c>
      <x:c r="C47" s="19" t="str">
        <x:f>IF($A47="","",2*(A47-37257)/8978-1)</x:f>
      </x:c>
      <x:c r="D47" s="3" t="str">
        <x:f>IF($A47="","",$B$4*EXP($B$5*B47))</x:f>
      </x:c>
      <x:c r="E47" s="3" t="str">
        <x:f>IF($A47="","",165.60217192025453*SQRT(1+(EXP($B$5*B47))*$J$59*(EXP($B$5*B47))+(EXP($B$5*B47))*$K$59*(D47*B47)+(D47*B47)*$J$60*(EXP($B$5*B47))+(D47*B47)*$K$60*(D47*B47)))</x:f>
      </x:c>
      <x:c r="F47" s="3" t="str">
        <x:f>IF($A47="","",D47-1.9602400929689823*E47)</x:f>
      </x:c>
      <x:c r="G47" s="3" t="str">
        <x:f>IF($A47="","",D47+1.9602400929689823*E47)</x:f>
      </x:c>
      <x:c r="H47" s="3" t="str">
        <x:f>IF($A47="","",165.60217192025453*SQRT((EXP($B$5*B47))*$J$59*(EXP($B$5*B47))+(EXP($B$5*B47))*$K$59*(D47*B47)+(D47*B47)*$J$60*(EXP($B$5*B47))+(D47*B47)*$K$60*(D47*B47)))</x:f>
      </x:c>
      <x:c r="I47" s="3"/>
      <x:c r="J47" s="9" t="n">
        <x:v>46233</x:v>
      </x:c>
      <x:c r="K47" s="7" t="n">
        <x:v>389</x:v>
      </x:c>
      <x:c r="L47" s="7" t="n">
        <x:f>$E$4*EXP($E$5*((J47-37257+1)/1000))</x:f>
        <x:v>163.63481685857195</x:v>
      </x:c>
      <x:c r="M47" s="7" t="n">
        <x:f>K47-L47</x:f>
        <x:v>225.36518314142805</x:v>
      </x:c>
      <x:c r="N47" s="7" t="n">
        <x:f>ABS(M47)</x:f>
        <x:v>225.36518314142805</x:v>
      </x:c>
      <x:c r="O47" s="3"/>
      <x:c r="P47" s="3"/>
      <x:c r="Q47" s="3"/>
    </x:row>
    <x:row r="48" ht="15" customHeight="1">
      <x:c r="A48" s="5" t="str">
        <x:f>IF(38&lt;='Сводка'!$B$3,'Сводка'!$B$4+38,"")</x:f>
      </x:c>
      <x:c r="B48" s="19" t="str">
        <x:f>IF($A48="","",(A48-37257+1)/1000)</x:f>
      </x:c>
      <x:c r="C48" s="19" t="str">
        <x:f>IF($A48="","",2*(A48-37257)/8978-1)</x:f>
      </x:c>
      <x:c r="D48" s="3" t="str">
        <x:f>IF($A48="","",$B$4*EXP($B$5*B48))</x:f>
      </x:c>
      <x:c r="E48" s="3" t="str">
        <x:f>IF($A48="","",165.60217192025453*SQRT(1+(EXP($B$5*B48))*$J$59*(EXP($B$5*B48))+(EXP($B$5*B48))*$K$59*(D48*B48)+(D48*B48)*$J$60*(EXP($B$5*B48))+(D48*B48)*$K$60*(D48*B48)))</x:f>
      </x:c>
      <x:c r="F48" s="3" t="str">
        <x:f>IF($A48="","",D48-1.9602400929689823*E48)</x:f>
      </x:c>
      <x:c r="G48" s="3" t="str">
        <x:f>IF($A48="","",D48+1.9602400929689823*E48)</x:f>
      </x:c>
      <x:c r="H48" s="3" t="str">
        <x:f>IF($A48="","",165.60217192025453*SQRT((EXP($B$5*B48))*$J$59*(EXP($B$5*B48))+(EXP($B$5*B48))*$K$59*(D48*B48)+(D48*B48)*$J$60*(EXP($B$5*B48))+(D48*B48)*$K$60*(D48*B48)))</x:f>
      </x:c>
      <x:c r="I48" s="3"/>
      <x:c r="J48" s="9" t="n">
        <x:v>46234</x:v>
      </x:c>
      <x:c r="K48" s="7" t="n">
        <x:v>399</x:v>
      </x:c>
      <x:c r="L48" s="7" t="n">
        <x:f>$E$4*EXP($E$5*((J48-37257+1)/1000))</x:f>
        <x:v>163.66948628696846</x:v>
      </x:c>
      <x:c r="M48" s="7" t="n">
        <x:f>K48-L48</x:f>
        <x:v>235.33051371303154</x:v>
      </x:c>
      <x:c r="N48" s="7" t="n">
        <x:f>ABS(M48)</x:f>
        <x:v>235.33051371303154</x:v>
      </x:c>
      <x:c r="O48" s="3"/>
      <x:c r="P48" s="3"/>
      <x:c r="Q48" s="3"/>
    </x:row>
    <x:row r="49" ht="15" customHeight="1">
      <x:c r="A49" s="5" t="str">
        <x:f>IF(39&lt;='Сводка'!$B$3,'Сводка'!$B$4+39,"")</x:f>
      </x:c>
      <x:c r="B49" s="19" t="str">
        <x:f>IF($A49="","",(A49-37257+1)/1000)</x:f>
      </x:c>
      <x:c r="C49" s="19" t="str">
        <x:f>IF($A49="","",2*(A49-37257)/8978-1)</x:f>
      </x:c>
      <x:c r="D49" s="3" t="str">
        <x:f>IF($A49="","",$B$4*EXP($B$5*B49))</x:f>
      </x:c>
      <x:c r="E49" s="3" t="str">
        <x:f>IF($A49="","",165.60217192025453*SQRT(1+(EXP($B$5*B49))*$J$59*(EXP($B$5*B49))+(EXP($B$5*B49))*$K$59*(D49*B49)+(D49*B49)*$J$60*(EXP($B$5*B49))+(D49*B49)*$K$60*(D49*B49)))</x:f>
      </x:c>
      <x:c r="F49" s="3" t="str">
        <x:f>IF($A49="","",D49-1.9602400929689823*E49)</x:f>
      </x:c>
      <x:c r="G49" s="3" t="str">
        <x:f>IF($A49="","",D49+1.9602400929689823*E49)</x:f>
      </x:c>
      <x:c r="H49" s="3" t="str">
        <x:f>IF($A49="","",165.60217192025453*SQRT((EXP($B$5*B49))*$J$59*(EXP($B$5*B49))+(EXP($B$5*B49))*$K$59*(D49*B49)+(D49*B49)*$J$60*(EXP($B$5*B49))+(D49*B49)*$K$60*(D49*B49)))</x:f>
      </x:c>
      <x:c r="I49" s="3"/>
      <x:c r="J49" s="9" t="n">
        <x:v>46235</x:v>
      </x:c>
      <x:c r="K49" s="7" t="n">
        <x:v>405</x:v>
      </x:c>
      <x:c r="L49" s="7" t="n">
        <x:f>$E$4*EXP($E$5*((J49-37257+1)/1000))</x:f>
        <x:v>163.70416306080216</x:v>
      </x:c>
      <x:c r="M49" s="7" t="n">
        <x:f>K49-L49</x:f>
        <x:v>241.29583693919784</x:v>
      </x:c>
      <x:c r="N49" s="7" t="n">
        <x:f>ABS(M49)</x:f>
        <x:v>241.29583693919784</x:v>
      </x:c>
      <x:c r="O49" s="3"/>
      <x:c r="P49" s="3"/>
      <x:c r="Q49" s="3"/>
    </x:row>
    <x:row r="50" ht="15" customHeight="1">
      <x:c r="A50" s="5" t="str">
        <x:f>IF(40&lt;='Сводка'!$B$3,'Сводка'!$B$4+40,"")</x:f>
      </x:c>
      <x:c r="B50" s="19" t="str">
        <x:f>IF($A50="","",(A50-37257+1)/1000)</x:f>
      </x:c>
      <x:c r="C50" s="19" t="str">
        <x:f>IF($A50="","",2*(A50-37257)/8978-1)</x:f>
      </x:c>
      <x:c r="D50" s="3" t="str">
        <x:f>IF($A50="","",$B$4*EXP($B$5*B50))</x:f>
      </x:c>
      <x:c r="E50" s="3" t="str">
        <x:f>IF($A50="","",165.60217192025453*SQRT(1+(EXP($B$5*B50))*$J$59*(EXP($B$5*B50))+(EXP($B$5*B50))*$K$59*(D50*B50)+(D50*B50)*$J$60*(EXP($B$5*B50))+(D50*B50)*$K$60*(D50*B50)))</x:f>
      </x:c>
      <x:c r="F50" s="3" t="str">
        <x:f>IF($A50="","",D50-1.9602400929689823*E50)</x:f>
      </x:c>
      <x:c r="G50" s="3" t="str">
        <x:f>IF($A50="","",D50+1.9602400929689823*E50)</x:f>
      </x:c>
      <x:c r="H50" s="3" t="str">
        <x:f>IF($A50="","",165.60217192025453*SQRT((EXP($B$5*B50))*$J$59*(EXP($B$5*B50))+(EXP($B$5*B50))*$K$59*(D50*B50)+(D50*B50)*$J$60*(EXP($B$5*B50))+(D50*B50)*$K$60*(D50*B50)))</x:f>
      </x:c>
      <x:c r="I50" s="3"/>
      <x:c r="J50" s="3"/>
      <x:c r="K50" s="3"/>
      <x:c r="L50" s="3"/>
      <x:c r="M50" s="3"/>
      <x:c r="N50" s="3"/>
      <x:c r="O50" s="3"/>
      <x:c r="P50" s="3"/>
      <x:c r="Q50" s="3"/>
    </x:row>
    <x:row r="51" ht="15" customHeight="1">
      <x:c r="A51" s="5" t="str">
        <x:f>IF(41&lt;='Сводка'!$B$3,'Сводка'!$B$4+41,"")</x:f>
      </x:c>
      <x:c r="B51" s="19" t="str">
        <x:f>IF($A51="","",(A51-37257+1)/1000)</x:f>
      </x:c>
      <x:c r="C51" s="19" t="str">
        <x:f>IF($A51="","",2*(A51-37257)/8978-1)</x:f>
      </x:c>
      <x:c r="D51" s="3" t="str">
        <x:f>IF($A51="","",$B$4*EXP($B$5*B51))</x:f>
      </x:c>
      <x:c r="E51" s="3" t="str">
        <x:f>IF($A51="","",165.60217192025453*SQRT(1+(EXP($B$5*B51))*$J$59*(EXP($B$5*B51))+(EXP($B$5*B51))*$K$59*(D51*B51)+(D51*B51)*$J$60*(EXP($B$5*B51))+(D51*B51)*$K$60*(D51*B51)))</x:f>
      </x:c>
      <x:c r="F51" s="3" t="str">
        <x:f>IF($A51="","",D51-1.9602400929689823*E51)</x:f>
      </x:c>
      <x:c r="G51" s="3" t="str">
        <x:f>IF($A51="","",D51+1.9602400929689823*E51)</x:f>
      </x:c>
      <x:c r="H51" s="3" t="str">
        <x:f>IF($A51="","",165.60217192025453*SQRT((EXP($B$5*B51))*$J$59*(EXP($B$5*B51))+(EXP($B$5*B51))*$K$59*(D51*B51)+(D51*B51)*$J$60*(EXP($B$5*B51))+(D51*B51)*$K$60*(D51*B51)))</x:f>
      </x:c>
      <x:c r="I51" s="3"/>
      <x:c r="J51" s="3" t="str">
        <x:v>JᵀJ</x:v>
      </x:c>
      <x:c r="K51" s="3"/>
      <x:c r="L51" s="3"/>
      <x:c r="M51" s="3"/>
      <x:c r="N51" s="3"/>
      <x:c r="O51" s="3"/>
      <x:c r="P51" s="3"/>
      <x:c r="Q51" s="3"/>
    </x:row>
    <x:row r="52" ht="15" customHeight="1">
      <x:c r="A52" s="5" t="str">
        <x:f>IF(42&lt;='Сводка'!$B$3,'Сводка'!$B$4+42,"")</x:f>
      </x:c>
      <x:c r="B52" s="19" t="str">
        <x:f>IF($A52="","",(A52-37257+1)/1000)</x:f>
      </x:c>
      <x:c r="C52" s="19" t="str">
        <x:f>IF($A52="","",2*(A52-37257)/8978-1)</x:f>
      </x:c>
      <x:c r="D52" s="3" t="str">
        <x:f>IF($A52="","",$B$4*EXP($B$5*B52))</x:f>
      </x:c>
      <x:c r="E52" s="3" t="str">
        <x:f>IF($A52="","",165.60217192025453*SQRT(1+(EXP($B$5*B52))*$J$59*(EXP($B$5*B52))+(EXP($B$5*B52))*$K$59*(D52*B52)+(D52*B52)*$J$60*(EXP($B$5*B52))+(D52*B52)*$K$60*(D52*B52)))</x:f>
      </x:c>
      <x:c r="F52" s="3" t="str">
        <x:f>IF($A52="","",D52-1.9602400929689823*E52)</x:f>
      </x:c>
      <x:c r="G52" s="3" t="str">
        <x:f>IF($A52="","",D52+1.9602400929689823*E52)</x:f>
      </x:c>
      <x:c r="H52" s="3" t="str">
        <x:f>IF($A52="","",165.60217192025453*SQRT((EXP($B$5*B52))*$J$59*(EXP($B$5*B52))+(EXP($B$5*B52))*$K$59*(D52*B52)+(D52*B52)*$J$60*(EXP($B$5*B52))+(D52*B52)*$K$60*(D52*B52)))</x:f>
      </x:c>
      <x:c r="I52" s="3"/>
      <x:c r="J52" s="7" t="n">
        <x:v>99914.17283258468</x:v>
      </x:c>
      <x:c r="K52" s="7" t="n">
        <x:v>16365684.710666643</x:v>
      </x:c>
      <x:c r="L52" s="3"/>
      <x:c r="M52" s="3"/>
      <x:c r="N52" s="3"/>
      <x:c r="O52" s="3"/>
      <x:c r="P52" s="3"/>
      <x:c r="Q52" s="3"/>
    </x:row>
    <x:row r="53" ht="15" customHeight="1">
      <x:c r="A53" s="5" t="str">
        <x:f>IF(43&lt;='Сводка'!$B$3,'Сводка'!$B$4+43,"")</x:f>
      </x:c>
      <x:c r="B53" s="19" t="str">
        <x:f>IF($A53="","",(A53-37257+1)/1000)</x:f>
      </x:c>
      <x:c r="C53" s="19" t="str">
        <x:f>IF($A53="","",2*(A53-37257)/8978-1)</x:f>
      </x:c>
      <x:c r="D53" s="3" t="str">
        <x:f>IF($A53="","",$B$4*EXP($B$5*B53))</x:f>
      </x:c>
      <x:c r="E53" s="3" t="str">
        <x:f>IF($A53="","",165.60217192025453*SQRT(1+(EXP($B$5*B53))*$J$59*(EXP($B$5*B53))+(EXP($B$5*B53))*$K$59*(D53*B53)+(D53*B53)*$J$60*(EXP($B$5*B53))+(D53*B53)*$K$60*(D53*B53)))</x:f>
      </x:c>
      <x:c r="F53" s="3" t="str">
        <x:f>IF($A53="","",D53-1.9602400929689823*E53)</x:f>
      </x:c>
      <x:c r="G53" s="3" t="str">
        <x:f>IF($A53="","",D53+1.9602400929689823*E53)</x:f>
      </x:c>
      <x:c r="H53" s="3" t="str">
        <x:f>IF($A53="","",165.60217192025453*SQRT((EXP($B$5*B53))*$J$59*(EXP($B$5*B53))+(EXP($B$5*B53))*$K$59*(D53*B53)+(D53*B53)*$J$60*(EXP($B$5*B53))+(D53*B53)*$K$60*(D53*B53)))</x:f>
      </x:c>
      <x:c r="I53" s="3"/>
      <x:c r="J53" s="7" t="n">
        <x:v>16365684.710666643</x:v>
      </x:c>
      <x:c r="K53" s="7" t="n">
        <x:v>2902497077.2220984</x:v>
      </x:c>
      <x:c r="L53" s="3"/>
      <x:c r="M53" s="3"/>
      <x:c r="N53" s="3"/>
      <x:c r="O53" s="3"/>
      <x:c r="P53" s="3"/>
      <x:c r="Q53" s="3"/>
    </x:row>
    <x:row r="54" ht="15" customHeight="1">
      <x:c r="A54" s="5" t="str">
        <x:f>IF(44&lt;='Сводка'!$B$3,'Сводка'!$B$4+44,"")</x:f>
      </x:c>
      <x:c r="B54" s="19" t="str">
        <x:f>IF($A54="","",(A54-37257+1)/1000)</x:f>
      </x:c>
      <x:c r="C54" s="19" t="str">
        <x:f>IF($A54="","",2*(A54-37257)/8978-1)</x:f>
      </x:c>
      <x:c r="D54" s="3" t="str">
        <x:f>IF($A54="","",$B$4*EXP($B$5*B54))</x:f>
      </x:c>
      <x:c r="E54" s="3" t="str">
        <x:f>IF($A54="","",165.60217192025453*SQRT(1+(EXP($B$5*B54))*$J$59*(EXP($B$5*B54))+(EXP($B$5*B54))*$K$59*(D54*B54)+(D54*B54)*$J$60*(EXP($B$5*B54))+(D54*B54)*$K$60*(D54*B54)))</x:f>
      </x:c>
      <x:c r="F54" s="3" t="str">
        <x:f>IF($A54="","",D54-1.9602400929689823*E54)</x:f>
      </x:c>
      <x:c r="G54" s="3" t="str">
        <x:f>IF($A54="","",D54+1.9602400929689823*E54)</x:f>
      </x:c>
      <x:c r="H54" s="3" t="str">
        <x:f>IF($A54="","",165.60217192025453*SQRT((EXP($B$5*B54))*$J$59*(EXP($B$5*B54))+(EXP($B$5*B54))*$K$59*(D54*B54)+(D54*B54)*$J$60*(EXP($B$5*B54))+(D54*B54)*$K$60*(D54*B54)))</x:f>
      </x:c>
      <x:c r="I54" s="3"/>
      <x:c r="J54" s="3"/>
      <x:c r="K54" s="3"/>
      <x:c r="L54" s="3"/>
      <x:c r="M54" s="3"/>
      <x:c r="N54" s="3"/>
      <x:c r="O54" s="3"/>
      <x:c r="P54" s="3"/>
      <x:c r="Q54" s="3"/>
    </x:row>
    <x:row r="55" ht="15" customHeight="1">
      <x:c r="A55" s="5" t="str">
        <x:f>IF(45&lt;='Сводка'!$B$3,'Сводка'!$B$4+45,"")</x:f>
      </x:c>
      <x:c r="B55" s="19" t="str">
        <x:f>IF($A55="","",(A55-37257+1)/1000)</x:f>
      </x:c>
      <x:c r="C55" s="19" t="str">
        <x:f>IF($A55="","",2*(A55-37257)/8978-1)</x:f>
      </x:c>
      <x:c r="D55" s="3" t="str">
        <x:f>IF($A55="","",$B$4*EXP($B$5*B55))</x:f>
      </x:c>
      <x:c r="E55" s="3" t="str">
        <x:f>IF($A55="","",165.60217192025453*SQRT(1+(EXP($B$5*B55))*$J$59*(EXP($B$5*B55))+(EXP($B$5*B55))*$K$59*(D55*B55)+(D55*B55)*$J$60*(EXP($B$5*B55))+(D55*B55)*$K$60*(D55*B55)))</x:f>
      </x:c>
      <x:c r="F55" s="3" t="str">
        <x:f>IF($A55="","",D55-1.9602400929689823*E55)</x:f>
      </x:c>
      <x:c r="G55" s="3" t="str">
        <x:f>IF($A55="","",D55+1.9602400929689823*E55)</x:f>
      </x:c>
      <x:c r="H55" s="3" t="str">
        <x:f>IF($A55="","",165.60217192025453*SQRT((EXP($B$5*B55))*$J$59*(EXP($B$5*B55))+(EXP($B$5*B55))*$K$59*(D55*B55)+(D55*B55)*$J$60*(EXP($B$5*B55))+(D55*B55)*$K$60*(D55*B55)))</x:f>
      </x:c>
      <x:c r="I55" s="3"/>
      <x:c r="J55" s="3"/>
      <x:c r="K55" s="3"/>
      <x:c r="L55" s="3"/>
      <x:c r="M55" s="3"/>
      <x:c r="N55" s="3"/>
      <x:c r="O55" s="3"/>
      <x:c r="P55" s="3"/>
      <x:c r="Q55" s="3"/>
    </x:row>
    <x:row r="56" ht="15" customHeight="1">
      <x:c r="A56" s="5" t="str">
        <x:f>IF(46&lt;='Сводка'!$B$3,'Сводка'!$B$4+46,"")</x:f>
      </x:c>
      <x:c r="B56" s="19" t="str">
        <x:f>IF($A56="","",(A56-37257+1)/1000)</x:f>
      </x:c>
      <x:c r="C56" s="19" t="str">
        <x:f>IF($A56="","",2*(A56-37257)/8978-1)</x:f>
      </x:c>
      <x:c r="D56" s="3" t="str">
        <x:f>IF($A56="","",$B$4*EXP($B$5*B56))</x:f>
      </x:c>
      <x:c r="E56" s="3" t="str">
        <x:f>IF($A56="","",165.60217192025453*SQRT(1+(EXP($B$5*B56))*$J$59*(EXP($B$5*B56))+(EXP($B$5*B56))*$K$59*(D56*B56)+(D56*B56)*$J$60*(EXP($B$5*B56))+(D56*B56)*$K$60*(D56*B56)))</x:f>
      </x:c>
      <x:c r="F56" s="3" t="str">
        <x:f>IF($A56="","",D56-1.9602400929689823*E56)</x:f>
      </x:c>
      <x:c r="G56" s="3" t="str">
        <x:f>IF($A56="","",D56+1.9602400929689823*E56)</x:f>
      </x:c>
      <x:c r="H56" s="3" t="str">
        <x:f>IF($A56="","",165.60217192025453*SQRT((EXP($B$5*B56))*$J$59*(EXP($B$5*B56))+(EXP($B$5*B56))*$K$59*(D56*B56)+(D56*B56)*$J$60*(EXP($B$5*B56))+(D56*B56)*$K$60*(D56*B56)))</x:f>
      </x:c>
      <x:c r="I56" s="3"/>
      <x:c r="J56" s="3"/>
      <x:c r="K56" s="3"/>
      <x:c r="L56" s="3"/>
      <x:c r="M56" s="3"/>
      <x:c r="N56" s="3"/>
      <x:c r="O56" s="3"/>
      <x:c r="P56" s="3"/>
      <x:c r="Q56" s="3"/>
    </x:row>
    <x:row r="57" ht="15" customHeight="1">
      <x:c r="A57" s="5" t="str">
        <x:f>IF(47&lt;='Сводка'!$B$3,'Сводка'!$B$4+47,"")</x:f>
      </x:c>
      <x:c r="B57" s="19" t="str">
        <x:f>IF($A57="","",(A57-37257+1)/1000)</x:f>
      </x:c>
      <x:c r="C57" s="19" t="str">
        <x:f>IF($A57="","",2*(A57-37257)/8978-1)</x:f>
      </x:c>
      <x:c r="D57" s="3" t="str">
        <x:f>IF($A57="","",$B$4*EXP($B$5*B57))</x:f>
      </x:c>
      <x:c r="E57" s="3" t="str">
        <x:f>IF($A57="","",165.60217192025453*SQRT(1+(EXP($B$5*B57))*$J$59*(EXP($B$5*B57))+(EXP($B$5*B57))*$K$59*(D57*B57)+(D57*B57)*$J$60*(EXP($B$5*B57))+(D57*B57)*$K$60*(D57*B57)))</x:f>
      </x:c>
      <x:c r="F57" s="3" t="str">
        <x:f>IF($A57="","",D57-1.9602400929689823*E57)</x:f>
      </x:c>
      <x:c r="G57" s="3" t="str">
        <x:f>IF($A57="","",D57+1.9602400929689823*E57)</x:f>
      </x:c>
      <x:c r="H57" s="3" t="str">
        <x:f>IF($A57="","",165.60217192025453*SQRT((EXP($B$5*B57))*$J$59*(EXP($B$5*B57))+(EXP($B$5*B57))*$K$59*(D57*B57)+(D57*B57)*$J$60*(EXP($B$5*B57))+(D57*B57)*$K$60*(D57*B57)))</x:f>
      </x:c>
      <x:c r="I57" s="3"/>
      <x:c r="J57" s="3"/>
      <x:c r="K57" s="3"/>
      <x:c r="L57" s="3"/>
      <x:c r="M57" s="3"/>
      <x:c r="N57" s="3"/>
      <x:c r="O57" s="3"/>
      <x:c r="P57" s="3"/>
      <x:c r="Q57" s="3"/>
    </x:row>
    <x:row r="58" ht="15" customHeight="1">
      <x:c r="A58" s="5" t="str">
        <x:f>IF(48&lt;='Сводка'!$B$3,'Сводка'!$B$4+48,"")</x:f>
      </x:c>
      <x:c r="B58" s="19" t="str">
        <x:f>IF($A58="","",(A58-37257+1)/1000)</x:f>
      </x:c>
      <x:c r="C58" s="19" t="str">
        <x:f>IF($A58="","",2*(A58-37257)/8978-1)</x:f>
      </x:c>
      <x:c r="D58" s="3" t="str">
        <x:f>IF($A58="","",$B$4*EXP($B$5*B58))</x:f>
      </x:c>
      <x:c r="E58" s="3" t="str">
        <x:f>IF($A58="","",165.60217192025453*SQRT(1+(EXP($B$5*B58))*$J$59*(EXP($B$5*B58))+(EXP($B$5*B58))*$K$59*(D58*B58)+(D58*B58)*$J$60*(EXP($B$5*B58))+(D58*B58)*$K$60*(D58*B58)))</x:f>
      </x:c>
      <x:c r="F58" s="3" t="str">
        <x:f>IF($A58="","",D58-1.9602400929689823*E58)</x:f>
      </x:c>
      <x:c r="G58" s="3" t="str">
        <x:f>IF($A58="","",D58+1.9602400929689823*E58)</x:f>
      </x:c>
      <x:c r="H58" s="3" t="str">
        <x:f>IF($A58="","",165.60217192025453*SQRT((EXP($B$5*B58))*$J$59*(EXP($B$5*B58))+(EXP($B$5*B58))*$K$59*(D58*B58)+(D58*B58)*$J$60*(EXP($B$5*B58))+(D58*B58)*$K$60*(D58*B58)))</x:f>
      </x:c>
      <x:c r="I58" s="3"/>
      <x:c r="J58" s="3" t="str">
        <x:v>(JᵀJ)⁻¹</x:v>
      </x:c>
      <x:c r="K58" s="3"/>
      <x:c r="L58" s="3"/>
      <x:c r="M58" s="3"/>
      <x:c r="N58" s="3"/>
      <x:c r="O58" s="3" t="str">
        <x:v>det</x:v>
      </x:c>
      <x:c r="P58" s="3"/>
      <x:c r="Q58" s="3"/>
    </x:row>
    <x:row r="59" ht="15" customHeight="1">
      <x:c r="A59" s="5" t="str">
        <x:f>IF(49&lt;='Сводка'!$B$3,'Сводка'!$B$4+49,"")</x:f>
      </x:c>
      <x:c r="B59" s="19" t="str">
        <x:f>IF($A59="","",(A59-37257+1)/1000)</x:f>
      </x:c>
      <x:c r="C59" s="19" t="str">
        <x:f>IF($A59="","",2*(A59-37257)/8978-1)</x:f>
      </x:c>
      <x:c r="D59" s="3" t="str">
        <x:f>IF($A59="","",$B$4*EXP($B$5*B59))</x:f>
      </x:c>
      <x:c r="E59" s="3" t="str">
        <x:f>IF($A59="","",165.60217192025453*SQRT(1+(EXP($B$5*B59))*$J$59*(EXP($B$5*B59))+(EXP($B$5*B59))*$K$59*(D59*B59)+(D59*B59)*$J$60*(EXP($B$5*B59))+(D59*B59)*$K$60*(D59*B59)))</x:f>
      </x:c>
      <x:c r="F59" s="3" t="str">
        <x:f>IF($A59="","",D59-1.9602400929689823*E59)</x:f>
      </x:c>
      <x:c r="G59" s="3" t="str">
        <x:f>IF($A59="","",D59+1.9602400929689823*E59)</x:f>
      </x:c>
      <x:c r="H59" s="3" t="str">
        <x:f>IF($A59="","",165.60217192025453*SQRT((EXP($B$5*B59))*$J$59*(EXP($B$5*B59))+(EXP($B$5*B59))*$K$59*(D59*B59)+(D59*B59)*$J$60*(EXP($B$5*B59))+(D59*B59)*$K$60*(D59*B59)))</x:f>
      </x:c>
      <x:c r="I59" s="3"/>
      <x:c r="J59" s="7" t="n">
        <x:f>$K$53/$O$59</x:f>
        <x:v>0.00013094980836372442</x:v>
      </x:c>
      <x:c r="K59" s="7" t="n">
        <x:f>-$K$52/$O$59</x:f>
        <x:v>-7.383584615540832e-7</x:v>
      </x:c>
      <x:c r="L59" s="3"/>
      <x:c r="M59" s="3"/>
      <x:c r="N59" s="3"/>
      <x:c r="O59" s="3" t="n">
        <x:f>($J$52*$K$53-$K$52*$J$53)</x:f>
        <x:v>22164958570692.688</x:v>
      </x:c>
      <x:c r="P59" s="3"/>
      <x:c r="Q59" s="3"/>
    </x:row>
    <x:row r="60" ht="15" customHeight="1">
      <x:c r="A60" s="5" t="str">
        <x:f>IF(50&lt;='Сводка'!$B$3,'Сводка'!$B$4+50,"")</x:f>
      </x:c>
      <x:c r="B60" s="19" t="str">
        <x:f>IF($A60="","",(A60-37257+1)/1000)</x:f>
      </x:c>
      <x:c r="C60" s="19" t="str">
        <x:f>IF($A60="","",2*(A60-37257)/8978-1)</x:f>
      </x:c>
      <x:c r="D60" s="3" t="str">
        <x:f>IF($A60="","",$B$4*EXP($B$5*B60))</x:f>
      </x:c>
      <x:c r="E60" s="3" t="str">
        <x:f>IF($A60="","",165.60217192025453*SQRT(1+(EXP($B$5*B60))*$J$59*(EXP($B$5*B60))+(EXP($B$5*B60))*$K$59*(D60*B60)+(D60*B60)*$J$60*(EXP($B$5*B60))+(D60*B60)*$K$60*(D60*B60)))</x:f>
      </x:c>
      <x:c r="F60" s="3" t="str">
        <x:f>IF($A60="","",D60-1.9602400929689823*E60)</x:f>
      </x:c>
      <x:c r="G60" s="3" t="str">
        <x:f>IF($A60="","",D60+1.9602400929689823*E60)</x:f>
      </x:c>
      <x:c r="H60" s="3" t="str">
        <x:f>IF($A60="","",165.60217192025453*SQRT((EXP($B$5*B60))*$J$59*(EXP($B$5*B60))+(EXP($B$5*B60))*$K$59*(D60*B60)+(D60*B60)*$J$60*(EXP($B$5*B60))+(D60*B60)*$K$60*(D60*B60)))</x:f>
      </x:c>
      <x:c r="I60" s="3"/>
      <x:c r="J60" s="7" t="n">
        <x:f>-$J$53/$O$59</x:f>
        <x:v>-7.383584615540832e-7</x:v>
      </x:c>
      <x:c r="K60" s="7" t="n">
        <x:f>$J$52/$O$59</x:f>
        <x:v>4.507753646997329e-9</x:v>
      </x:c>
      <x:c r="L60" s="3"/>
      <x:c r="M60" s="3"/>
      <x:c r="N60" s="3"/>
      <x:c r="O60" s="3"/>
      <x:c r="P60" s="3"/>
      <x:c r="Q60" s="3"/>
    </x:row>
    <x:row r="61" ht="15" customHeight="1">
      <x:c r="A61" s="5" t="str">
        <x:f>IF(51&lt;='Сводка'!$B$3,'Сводка'!$B$4+51,"")</x:f>
      </x:c>
      <x:c r="B61" s="19" t="str">
        <x:f>IF($A61="","",(A61-37257+1)/1000)</x:f>
      </x:c>
      <x:c r="C61" s="19" t="str">
        <x:f>IF($A61="","",2*(A61-37257)/8978-1)</x:f>
      </x:c>
      <x:c r="D61" s="3" t="str">
        <x:f>IF($A61="","",$B$4*EXP($B$5*B61))</x:f>
      </x:c>
      <x:c r="E61" s="3" t="str">
        <x:f>IF($A61="","",165.60217192025453*SQRT(1+(EXP($B$5*B61))*$J$59*(EXP($B$5*B61))+(EXP($B$5*B61))*$K$59*(D61*B61)+(D61*B61)*$J$60*(EXP($B$5*B61))+(D61*B61)*$K$60*(D61*B61)))</x:f>
      </x:c>
      <x:c r="F61" s="3" t="str">
        <x:f>IF($A61="","",D61-1.9602400929689823*E61)</x:f>
      </x:c>
      <x:c r="G61" s="3" t="str">
        <x:f>IF($A61="","",D61+1.9602400929689823*E61)</x:f>
      </x:c>
      <x:c r="H61" s="3" t="str">
        <x:f>IF($A61="","",165.60217192025453*SQRT((EXP($B$5*B61))*$J$59*(EXP($B$5*B61))+(EXP($B$5*B61))*$K$59*(D61*B61)+(D61*B61)*$J$60*(EXP($B$5*B61))+(D61*B61)*$K$60*(D61*B61)))</x:f>
      </x:c>
      <x:c r="I61" s="3"/>
      <x:c r="J61" s="3"/>
      <x:c r="K61" s="3"/>
      <x:c r="L61" s="3"/>
      <x:c r="M61" s="3"/>
      <x:c r="N61" s="3"/>
      <x:c r="O61" s="3"/>
      <x:c r="P61" s="3"/>
      <x:c r="Q61" s="3"/>
    </x:row>
    <x:row r="62" ht="15" customHeight="1">
      <x:c r="A62" s="5" t="str">
        <x:f>IF(52&lt;='Сводка'!$B$3,'Сводка'!$B$4+52,"")</x:f>
      </x:c>
      <x:c r="B62" s="19" t="str">
        <x:f>IF($A62="","",(A62-37257+1)/1000)</x:f>
      </x:c>
      <x:c r="C62" s="19" t="str">
        <x:f>IF($A62="","",2*(A62-37257)/8978-1)</x:f>
      </x:c>
      <x:c r="D62" s="3" t="str">
        <x:f>IF($A62="","",$B$4*EXP($B$5*B62))</x:f>
      </x:c>
      <x:c r="E62" s="3" t="str">
        <x:f>IF($A62="","",165.60217192025453*SQRT(1+(EXP($B$5*B62))*$J$59*(EXP($B$5*B62))+(EXP($B$5*B62))*$K$59*(D62*B62)+(D62*B62)*$J$60*(EXP($B$5*B62))+(D62*B62)*$K$60*(D62*B62)))</x:f>
      </x:c>
      <x:c r="F62" s="3" t="str">
        <x:f>IF($A62="","",D62-1.9602400929689823*E62)</x:f>
      </x:c>
      <x:c r="G62" s="3" t="str">
        <x:f>IF($A62="","",D62+1.9602400929689823*E62)</x:f>
      </x:c>
      <x:c r="H62" s="3" t="str">
        <x:f>IF($A62="","",165.60217192025453*SQRT((EXP($B$5*B62))*$J$59*(EXP($B$5*B62))+(EXP($B$5*B62))*$K$59*(D62*B62)+(D62*B62)*$J$60*(EXP($B$5*B62))+(D62*B62)*$K$60*(D62*B62)))</x:f>
      </x:c>
      <x:c r="I62" s="3"/>
      <x:c r="J62" s="3"/>
      <x:c r="K62" s="3"/>
      <x:c r="L62" s="3"/>
      <x:c r="M62" s="3"/>
      <x:c r="N62" s="3"/>
      <x:c r="O62" s="3"/>
      <x:c r="P62" s="3"/>
      <x:c r="Q62" s="3"/>
    </x:row>
    <x:row r="63" ht="15" customHeight="1">
      <x:c r="A63" s="5" t="str">
        <x:f>IF(53&lt;='Сводка'!$B$3,'Сводка'!$B$4+53,"")</x:f>
      </x:c>
      <x:c r="B63" s="19" t="str">
        <x:f>IF($A63="","",(A63-37257+1)/1000)</x:f>
      </x:c>
      <x:c r="C63" s="19" t="str">
        <x:f>IF($A63="","",2*(A63-37257)/8978-1)</x:f>
      </x:c>
      <x:c r="D63" s="3" t="str">
        <x:f>IF($A63="","",$B$4*EXP($B$5*B63))</x:f>
      </x:c>
      <x:c r="E63" s="3" t="str">
        <x:f>IF($A63="","",165.60217192025453*SQRT(1+(EXP($B$5*B63))*$J$59*(EXP($B$5*B63))+(EXP($B$5*B63))*$K$59*(D63*B63)+(D63*B63)*$J$60*(EXP($B$5*B63))+(D63*B63)*$K$60*(D63*B63)))</x:f>
      </x:c>
      <x:c r="F63" s="3" t="str">
        <x:f>IF($A63="","",D63-1.9602400929689823*E63)</x:f>
      </x:c>
      <x:c r="G63" s="3" t="str">
        <x:f>IF($A63="","",D63+1.9602400929689823*E63)</x:f>
      </x:c>
      <x:c r="H63" s="3" t="str">
        <x:f>IF($A63="","",165.60217192025453*SQRT((EXP($B$5*B63))*$J$59*(EXP($B$5*B63))+(EXP($B$5*B63))*$K$59*(D63*B63)+(D63*B63)*$J$60*(EXP($B$5*B63))+(D63*B63)*$K$60*(D63*B63)))</x:f>
      </x:c>
      <x:c r="I63" s="3"/>
      <x:c r="J63" s="3"/>
      <x:c r="K63" s="3"/>
      <x:c r="L63" s="3"/>
      <x:c r="M63" s="3"/>
      <x:c r="N63" s="3"/>
      <x:c r="O63" s="3"/>
      <x:c r="P63" s="3"/>
      <x:c r="Q63" s="3"/>
    </x:row>
    <x:row r="64" ht="15" customHeight="1">
      <x:c r="A64" s="5" t="str">
        <x:f>IF(54&lt;='Сводка'!$B$3,'Сводка'!$B$4+54,"")</x:f>
      </x:c>
      <x:c r="B64" s="19" t="str">
        <x:f>IF($A64="","",(A64-37257+1)/1000)</x:f>
      </x:c>
      <x:c r="C64" s="19" t="str">
        <x:f>IF($A64="","",2*(A64-37257)/8978-1)</x:f>
      </x:c>
      <x:c r="D64" s="3" t="str">
        <x:f>IF($A64="","",$B$4*EXP($B$5*B64))</x:f>
      </x:c>
      <x:c r="E64" s="3" t="str">
        <x:f>IF($A64="","",165.60217192025453*SQRT(1+(EXP($B$5*B64))*$J$59*(EXP($B$5*B64))+(EXP($B$5*B64))*$K$59*(D64*B64)+(D64*B64)*$J$60*(EXP($B$5*B64))+(D64*B64)*$K$60*(D64*B64)))</x:f>
      </x:c>
      <x:c r="F64" s="3" t="str">
        <x:f>IF($A64="","",D64-1.9602400929689823*E64)</x:f>
      </x:c>
      <x:c r="G64" s="3" t="str">
        <x:f>IF($A64="","",D64+1.9602400929689823*E64)</x:f>
      </x:c>
      <x:c r="H64" s="3" t="str">
        <x:f>IF($A64="","",165.60217192025453*SQRT((EXP($B$5*B64))*$J$59*(EXP($B$5*B64))+(EXP($B$5*B64))*$K$59*(D64*B64)+(D64*B64)*$J$60*(EXP($B$5*B64))+(D64*B64)*$K$60*(D64*B64)))</x:f>
      </x:c>
      <x:c r="I64" s="3"/>
      <x:c r="J64" s="3"/>
      <x:c r="K64" s="3"/>
      <x:c r="L64" s="3"/>
      <x:c r="M64" s="3"/>
      <x:c r="N64" s="3"/>
      <x:c r="O64" s="3"/>
      <x:c r="P64" s="3"/>
      <x:c r="Q64" s="3"/>
    </x:row>
    <x:row r="65" ht="15" customHeight="1">
      <x:c r="A65" s="5" t="str">
        <x:f>IF(55&lt;='Сводка'!$B$3,'Сводка'!$B$4+55,"")</x:f>
      </x:c>
      <x:c r="B65" s="19" t="str">
        <x:f>IF($A65="","",(A65-37257+1)/1000)</x:f>
      </x:c>
      <x:c r="C65" s="19" t="str">
        <x:f>IF($A65="","",2*(A65-37257)/8978-1)</x:f>
      </x:c>
      <x:c r="D65" s="3" t="str">
        <x:f>IF($A65="","",$B$4*EXP($B$5*B65))</x:f>
      </x:c>
      <x:c r="E65" s="3" t="str">
        <x:f>IF($A65="","",165.60217192025453*SQRT(1+(EXP($B$5*B65))*$J$59*(EXP($B$5*B65))+(EXP($B$5*B65))*$K$59*(D65*B65)+(D65*B65)*$J$60*(EXP($B$5*B65))+(D65*B65)*$K$60*(D65*B65)))</x:f>
      </x:c>
      <x:c r="F65" s="3" t="str">
        <x:f>IF($A65="","",D65-1.9602400929689823*E65)</x:f>
      </x:c>
      <x:c r="G65" s="3" t="str">
        <x:f>IF($A65="","",D65+1.9602400929689823*E65)</x:f>
      </x:c>
      <x:c r="H65" s="3" t="str">
        <x:f>IF($A65="","",165.60217192025453*SQRT((EXP($B$5*B65))*$J$59*(EXP($B$5*B65))+(EXP($B$5*B65))*$K$59*(D65*B65)+(D65*B65)*$J$60*(EXP($B$5*B65))+(D65*B65)*$K$60*(D65*B65)))</x:f>
      </x:c>
      <x:c r="I65" s="3"/>
      <x:c r="J65" s="3"/>
      <x:c r="K65" s="3"/>
      <x:c r="L65" s="3"/>
      <x:c r="M65" s="3"/>
      <x:c r="N65" s="3"/>
      <x:c r="O65" s="3"/>
      <x:c r="P65" s="3"/>
      <x:c r="Q65" s="3"/>
    </x:row>
    <x:row r="66" ht="15" customHeight="1">
      <x:c r="A66" s="5" t="str">
        <x:f>IF(56&lt;='Сводка'!$B$3,'Сводка'!$B$4+56,"")</x:f>
      </x:c>
      <x:c r="B66" s="19" t="str">
        <x:f>IF($A66="","",(A66-37257+1)/1000)</x:f>
      </x:c>
      <x:c r="C66" s="19" t="str">
        <x:f>IF($A66="","",2*(A66-37257)/8978-1)</x:f>
      </x:c>
      <x:c r="D66" s="3" t="str">
        <x:f>IF($A66="","",$B$4*EXP($B$5*B66))</x:f>
      </x:c>
      <x:c r="E66" s="3" t="str">
        <x:f>IF($A66="","",165.60217192025453*SQRT(1+(EXP($B$5*B66))*$J$59*(EXP($B$5*B66))+(EXP($B$5*B66))*$K$59*(D66*B66)+(D66*B66)*$J$60*(EXP($B$5*B66))+(D66*B66)*$K$60*(D66*B66)))</x:f>
      </x:c>
      <x:c r="F66" s="3" t="str">
        <x:f>IF($A66="","",D66-1.9602400929689823*E66)</x:f>
      </x:c>
      <x:c r="G66" s="3" t="str">
        <x:f>IF($A66="","",D66+1.9602400929689823*E66)</x:f>
      </x:c>
      <x:c r="H66" s="3" t="str">
        <x:f>IF($A66="","",165.60217192025453*SQRT((EXP($B$5*B66))*$J$59*(EXP($B$5*B66))+(EXP($B$5*B66))*$K$59*(D66*B66)+(D66*B66)*$J$60*(EXP($B$5*B66))+(D66*B66)*$K$60*(D66*B66)))</x:f>
      </x:c>
      <x:c r="I66" s="3"/>
      <x:c r="J66" s="3"/>
      <x:c r="K66" s="3"/>
      <x:c r="L66" s="3"/>
      <x:c r="M66" s="3"/>
      <x:c r="N66" s="3"/>
      <x:c r="O66" s="3"/>
      <x:c r="P66" s="3"/>
      <x:c r="Q66" s="3"/>
    </x:row>
    <x:row r="67" ht="15" customHeight="1">
      <x:c r="A67" s="5" t="str">
        <x:f>IF(57&lt;='Сводка'!$B$3,'Сводка'!$B$4+57,"")</x:f>
      </x:c>
      <x:c r="B67" s="19" t="str">
        <x:f>IF($A67="","",(A67-37257+1)/1000)</x:f>
      </x:c>
      <x:c r="C67" s="19" t="str">
        <x:f>IF($A67="","",2*(A67-37257)/8978-1)</x:f>
      </x:c>
      <x:c r="D67" s="3" t="str">
        <x:f>IF($A67="","",$B$4*EXP($B$5*B67))</x:f>
      </x:c>
      <x:c r="E67" s="3" t="str">
        <x:f>IF($A67="","",165.60217192025453*SQRT(1+(EXP($B$5*B67))*$J$59*(EXP($B$5*B67))+(EXP($B$5*B67))*$K$59*(D67*B67)+(D67*B67)*$J$60*(EXP($B$5*B67))+(D67*B67)*$K$60*(D67*B67)))</x:f>
      </x:c>
      <x:c r="F67" s="3" t="str">
        <x:f>IF($A67="","",D67-1.9602400929689823*E67)</x:f>
      </x:c>
      <x:c r="G67" s="3" t="str">
        <x:f>IF($A67="","",D67+1.9602400929689823*E67)</x:f>
      </x:c>
      <x:c r="H67" s="3" t="str">
        <x:f>IF($A67="","",165.60217192025453*SQRT((EXP($B$5*B67))*$J$59*(EXP($B$5*B67))+(EXP($B$5*B67))*$K$59*(D67*B67)+(D67*B67)*$J$60*(EXP($B$5*B67))+(D67*B67)*$K$60*(D67*B67)))</x:f>
      </x:c>
      <x:c r="I67" s="3"/>
      <x:c r="J67" s="3"/>
      <x:c r="K67" s="3"/>
      <x:c r="L67" s="3"/>
      <x:c r="M67" s="3"/>
      <x:c r="N67" s="3"/>
      <x:c r="O67" s="3"/>
      <x:c r="P67" s="3"/>
      <x:c r="Q67" s="3"/>
    </x:row>
    <x:row r="68" ht="15" customHeight="1">
      <x:c r="A68" s="5" t="str">
        <x:f>IF(58&lt;='Сводка'!$B$3,'Сводка'!$B$4+58,"")</x:f>
      </x:c>
      <x:c r="B68" s="19" t="str">
        <x:f>IF($A68="","",(A68-37257+1)/1000)</x:f>
      </x:c>
      <x:c r="C68" s="19" t="str">
        <x:f>IF($A68="","",2*(A68-37257)/8978-1)</x:f>
      </x:c>
      <x:c r="D68" s="3" t="str">
        <x:f>IF($A68="","",$B$4*EXP($B$5*B68))</x:f>
      </x:c>
      <x:c r="E68" s="3" t="str">
        <x:f>IF($A68="","",165.60217192025453*SQRT(1+(EXP($B$5*B68))*$J$59*(EXP($B$5*B68))+(EXP($B$5*B68))*$K$59*(D68*B68)+(D68*B68)*$J$60*(EXP($B$5*B68))+(D68*B68)*$K$60*(D68*B68)))</x:f>
      </x:c>
      <x:c r="F68" s="3" t="str">
        <x:f>IF($A68="","",D68-1.9602400929689823*E68)</x:f>
      </x:c>
      <x:c r="G68" s="3" t="str">
        <x:f>IF($A68="","",D68+1.9602400929689823*E68)</x:f>
      </x:c>
      <x:c r="H68" s="3" t="str">
        <x:f>IF($A68="","",165.60217192025453*SQRT((EXP($B$5*B68))*$J$59*(EXP($B$5*B68))+(EXP($B$5*B68))*$K$59*(D68*B68)+(D68*B68)*$J$60*(EXP($B$5*B68))+(D68*B68)*$K$60*(D68*B68)))</x:f>
      </x:c>
      <x:c r="I68" s="3"/>
      <x:c r="J68" s="3"/>
      <x:c r="K68" s="3"/>
      <x:c r="L68" s="3"/>
      <x:c r="M68" s="3"/>
      <x:c r="N68" s="3"/>
      <x:c r="O68" s="3"/>
      <x:c r="P68" s="3"/>
      <x:c r="Q68" s="3"/>
    </x:row>
    <x:row r="69" ht="15" customHeight="1">
      <x:c r="A69" s="5" t="str">
        <x:f>IF(59&lt;='Сводка'!$B$3,'Сводка'!$B$4+59,"")</x:f>
      </x:c>
      <x:c r="B69" s="19" t="str">
        <x:f>IF($A69="","",(A69-37257+1)/1000)</x:f>
      </x:c>
      <x:c r="C69" s="19" t="str">
        <x:f>IF($A69="","",2*(A69-37257)/8978-1)</x:f>
      </x:c>
      <x:c r="D69" s="3" t="str">
        <x:f>IF($A69="","",$B$4*EXP($B$5*B69))</x:f>
      </x:c>
      <x:c r="E69" s="3" t="str">
        <x:f>IF($A69="","",165.60217192025453*SQRT(1+(EXP($B$5*B69))*$J$59*(EXP($B$5*B69))+(EXP($B$5*B69))*$K$59*(D69*B69)+(D69*B69)*$J$60*(EXP($B$5*B69))+(D69*B69)*$K$60*(D69*B69)))</x:f>
      </x:c>
      <x:c r="F69" s="3" t="str">
        <x:f>IF($A69="","",D69-1.9602400929689823*E69)</x:f>
      </x:c>
      <x:c r="G69" s="3" t="str">
        <x:f>IF($A69="","",D69+1.9602400929689823*E69)</x:f>
      </x:c>
      <x:c r="H69" s="3" t="str">
        <x:f>IF($A69="","",165.60217192025453*SQRT((EXP($B$5*B69))*$J$59*(EXP($B$5*B69))+(EXP($B$5*B69))*$K$59*(D69*B69)+(D69*B69)*$J$60*(EXP($B$5*B69))+(D69*B69)*$K$60*(D69*B69)))</x:f>
      </x:c>
      <x:c r="I69" s="3"/>
      <x:c r="J69" s="3"/>
      <x:c r="K69" s="3"/>
      <x:c r="L69" s="3"/>
      <x:c r="M69" s="3"/>
      <x:c r="N69" s="3"/>
      <x:c r="O69" s="3"/>
      <x:c r="P69" s="3"/>
      <x:c r="Q69" s="3"/>
    </x:row>
    <x:row r="70" ht="15" customHeight="1">
      <x:c r="A70" s="5" t="str">
        <x:f>IF(60&lt;='Сводка'!$B$3,'Сводка'!$B$4+60,"")</x:f>
      </x:c>
      <x:c r="B70" s="19" t="str">
        <x:f>IF($A70="","",(A70-37257+1)/1000)</x:f>
      </x:c>
      <x:c r="C70" s="19" t="str">
        <x:f>IF($A70="","",2*(A70-37257)/8978-1)</x:f>
      </x:c>
      <x:c r="D70" s="3" t="str">
        <x:f>IF($A70="","",$B$4*EXP($B$5*B70))</x:f>
      </x:c>
      <x:c r="E70" s="3" t="str">
        <x:f>IF($A70="","",165.60217192025453*SQRT(1+(EXP($B$5*B70))*$J$59*(EXP($B$5*B70))+(EXP($B$5*B70))*$K$59*(D70*B70)+(D70*B70)*$J$60*(EXP($B$5*B70))+(D70*B70)*$K$60*(D70*B70)))</x:f>
      </x:c>
      <x:c r="F70" s="3" t="str">
        <x:f>IF($A70="","",D70-1.9602400929689823*E70)</x:f>
      </x:c>
      <x:c r="G70" s="3" t="str">
        <x:f>IF($A70="","",D70+1.9602400929689823*E70)</x:f>
      </x:c>
      <x:c r="H70" s="3" t="str">
        <x:f>IF($A70="","",165.60217192025453*SQRT((EXP($B$5*B70))*$J$59*(EXP($B$5*B70))+(EXP($B$5*B70))*$K$59*(D70*B70)+(D70*B70)*$J$60*(EXP($B$5*B70))+(D70*B70)*$K$60*(D70*B70)))</x:f>
      </x:c>
      <x:c r="I70" s="3"/>
      <x:c r="J70" s="3"/>
      <x:c r="K70" s="3"/>
      <x:c r="L70" s="3"/>
      <x:c r="M70" s="3"/>
      <x:c r="N70" s="3"/>
      <x:c r="O70" s="3"/>
      <x:c r="P70" s="3"/>
      <x:c r="Q70" s="3"/>
    </x:row>
    <x:row r="71" ht="15" customHeight="1">
      <x:c r="A71" s="5" t="str">
        <x:f>IF(61&lt;='Сводка'!$B$3,'Сводка'!$B$4+61,"")</x:f>
      </x:c>
      <x:c r="B71" s="19" t="str">
        <x:f>IF($A71="","",(A71-37257+1)/1000)</x:f>
      </x:c>
      <x:c r="C71" s="19" t="str">
        <x:f>IF($A71="","",2*(A71-37257)/8978-1)</x:f>
      </x:c>
      <x:c r="D71" s="3" t="str">
        <x:f>IF($A71="","",$B$4*EXP($B$5*B71))</x:f>
      </x:c>
      <x:c r="E71" s="3" t="str">
        <x:f>IF($A71="","",165.60217192025453*SQRT(1+(EXP($B$5*B71))*$J$59*(EXP($B$5*B71))+(EXP($B$5*B71))*$K$59*(D71*B71)+(D71*B71)*$J$60*(EXP($B$5*B71))+(D71*B71)*$K$60*(D71*B71)))</x:f>
      </x:c>
      <x:c r="F71" s="3" t="str">
        <x:f>IF($A71="","",D71-1.9602400929689823*E71)</x:f>
      </x:c>
      <x:c r="G71" s="3" t="str">
        <x:f>IF($A71="","",D71+1.9602400929689823*E71)</x:f>
      </x:c>
      <x:c r="H71" s="3" t="str">
        <x:f>IF($A71="","",165.60217192025453*SQRT((EXP($B$5*B71))*$J$59*(EXP($B$5*B71))+(EXP($B$5*B71))*$K$59*(D71*B71)+(D71*B71)*$J$60*(EXP($B$5*B71))+(D71*B71)*$K$60*(D71*B71)))</x:f>
      </x:c>
      <x:c r="I71" s="3"/>
      <x:c r="J71" s="3"/>
      <x:c r="K71" s="3"/>
      <x:c r="L71" s="3"/>
      <x:c r="M71" s="3"/>
      <x:c r="N71" s="3"/>
      <x:c r="O71" s="3"/>
      <x:c r="P71" s="3"/>
      <x:c r="Q71" s="3"/>
    </x:row>
    <x:row r="72" ht="15" customHeight="1">
      <x:c r="A72" s="5" t="str">
        <x:f>IF(62&lt;='Сводка'!$B$3,'Сводка'!$B$4+62,"")</x:f>
      </x:c>
      <x:c r="B72" s="19" t="str">
        <x:f>IF($A72="","",(A72-37257+1)/1000)</x:f>
      </x:c>
      <x:c r="C72" s="19" t="str">
        <x:f>IF($A72="","",2*(A72-37257)/8978-1)</x:f>
      </x:c>
      <x:c r="D72" s="3" t="str">
        <x:f>IF($A72="","",$B$4*EXP($B$5*B72))</x:f>
      </x:c>
      <x:c r="E72" s="3" t="str">
        <x:f>IF($A72="","",165.60217192025453*SQRT(1+(EXP($B$5*B72))*$J$59*(EXP($B$5*B72))+(EXP($B$5*B72))*$K$59*(D72*B72)+(D72*B72)*$J$60*(EXP($B$5*B72))+(D72*B72)*$K$60*(D72*B72)))</x:f>
      </x:c>
      <x:c r="F72" s="3" t="str">
        <x:f>IF($A72="","",D72-1.9602400929689823*E72)</x:f>
      </x:c>
      <x:c r="G72" s="3" t="str">
        <x:f>IF($A72="","",D72+1.9602400929689823*E72)</x:f>
      </x:c>
      <x:c r="H72" s="3" t="str">
        <x:f>IF($A72="","",165.60217192025453*SQRT((EXP($B$5*B72))*$J$59*(EXP($B$5*B72))+(EXP($B$5*B72))*$K$59*(D72*B72)+(D72*B72)*$J$60*(EXP($B$5*B72))+(D72*B72)*$K$60*(D72*B72)))</x:f>
      </x:c>
      <x:c r="I72" s="3"/>
      <x:c r="J72" s="3"/>
      <x:c r="K72" s="3"/>
      <x:c r="L72" s="3"/>
      <x:c r="M72" s="3"/>
      <x:c r="N72" s="3"/>
      <x:c r="O72" s="3"/>
      <x:c r="P72" s="3"/>
      <x:c r="Q72" s="3"/>
    </x:row>
    <x:row r="73" ht="15" customHeight="1">
      <x:c r="A73" s="5" t="str">
        <x:f>IF(63&lt;='Сводка'!$B$3,'Сводка'!$B$4+63,"")</x:f>
      </x:c>
      <x:c r="B73" s="19" t="str">
        <x:f>IF($A73="","",(A73-37257+1)/1000)</x:f>
      </x:c>
      <x:c r="C73" s="19" t="str">
        <x:f>IF($A73="","",2*(A73-37257)/8978-1)</x:f>
      </x:c>
      <x:c r="D73" s="3" t="str">
        <x:f>IF($A73="","",$B$4*EXP($B$5*B73))</x:f>
      </x:c>
      <x:c r="E73" s="3" t="str">
        <x:f>IF($A73="","",165.60217192025453*SQRT(1+(EXP($B$5*B73))*$J$59*(EXP($B$5*B73))+(EXP($B$5*B73))*$K$59*(D73*B73)+(D73*B73)*$J$60*(EXP($B$5*B73))+(D73*B73)*$K$60*(D73*B73)))</x:f>
      </x:c>
      <x:c r="F73" s="3" t="str">
        <x:f>IF($A73="","",D73-1.9602400929689823*E73)</x:f>
      </x:c>
      <x:c r="G73" s="3" t="str">
        <x:f>IF($A73="","",D73+1.9602400929689823*E73)</x:f>
      </x:c>
      <x:c r="H73" s="3" t="str">
        <x:f>IF($A73="","",165.60217192025453*SQRT((EXP($B$5*B73))*$J$59*(EXP($B$5*B73))+(EXP($B$5*B73))*$K$59*(D73*B73)+(D73*B73)*$J$60*(EXP($B$5*B73))+(D73*B73)*$K$60*(D73*B73)))</x:f>
      </x:c>
      <x:c r="I73" s="3"/>
      <x:c r="J73" s="3"/>
      <x:c r="K73" s="3"/>
      <x:c r="L73" s="3"/>
      <x:c r="M73" s="3"/>
      <x:c r="N73" s="3"/>
      <x:c r="O73" s="3"/>
      <x:c r="P73" s="3"/>
      <x:c r="Q73" s="3"/>
    </x:row>
    <x:row r="74" ht="15" customHeight="1">
      <x:c r="A74" s="5" t="str">
        <x:f>IF(64&lt;='Сводка'!$B$3,'Сводка'!$B$4+64,"")</x:f>
      </x:c>
      <x:c r="B74" s="19" t="str">
        <x:f>IF($A74="","",(A74-37257+1)/1000)</x:f>
      </x:c>
      <x:c r="C74" s="19" t="str">
        <x:f>IF($A74="","",2*(A74-37257)/8978-1)</x:f>
      </x:c>
      <x:c r="D74" s="3" t="str">
        <x:f>IF($A74="","",$B$4*EXP($B$5*B74))</x:f>
      </x:c>
      <x:c r="E74" s="3" t="str">
        <x:f>IF($A74="","",165.60217192025453*SQRT(1+(EXP($B$5*B74))*$J$59*(EXP($B$5*B74))+(EXP($B$5*B74))*$K$59*(D74*B74)+(D74*B74)*$J$60*(EXP($B$5*B74))+(D74*B74)*$K$60*(D74*B74)))</x:f>
      </x:c>
      <x:c r="F74" s="3" t="str">
        <x:f>IF($A74="","",D74-1.9602400929689823*E74)</x:f>
      </x:c>
      <x:c r="G74" s="3" t="str">
        <x:f>IF($A74="","",D74+1.9602400929689823*E74)</x:f>
      </x:c>
      <x:c r="H74" s="3" t="str">
        <x:f>IF($A74="","",165.60217192025453*SQRT((EXP($B$5*B74))*$J$59*(EXP($B$5*B74))+(EXP($B$5*B74))*$K$59*(D74*B74)+(D74*B74)*$J$60*(EXP($B$5*B74))+(D74*B74)*$K$60*(D74*B74)))</x:f>
      </x:c>
      <x:c r="I74" s="3"/>
      <x:c r="J74" s="3"/>
      <x:c r="K74" s="3"/>
      <x:c r="L74" s="3"/>
      <x:c r="M74" s="3"/>
      <x:c r="N74" s="3"/>
      <x:c r="O74" s="3"/>
      <x:c r="P74" s="3"/>
      <x:c r="Q74" s="3"/>
    </x:row>
    <x:row r="75" ht="15" customHeight="1">
      <x:c r="A75" s="5" t="str">
        <x:f>IF(65&lt;='Сводка'!$B$3,'Сводка'!$B$4+65,"")</x:f>
      </x:c>
      <x:c r="B75" s="19" t="str">
        <x:f>IF($A75="","",(A75-37257+1)/1000)</x:f>
      </x:c>
      <x:c r="C75" s="19" t="str">
        <x:f>IF($A75="","",2*(A75-37257)/8978-1)</x:f>
      </x:c>
      <x:c r="D75" s="3" t="str">
        <x:f>IF($A75="","",$B$4*EXP($B$5*B75))</x:f>
      </x:c>
      <x:c r="E75" s="3" t="str">
        <x:f>IF($A75="","",165.60217192025453*SQRT(1+(EXP($B$5*B75))*$J$59*(EXP($B$5*B75))+(EXP($B$5*B75))*$K$59*(D75*B75)+(D75*B75)*$J$60*(EXP($B$5*B75))+(D75*B75)*$K$60*(D75*B75)))</x:f>
      </x:c>
      <x:c r="F75" s="3" t="str">
        <x:f>IF($A75="","",D75-1.9602400929689823*E75)</x:f>
      </x:c>
      <x:c r="G75" s="3" t="str">
        <x:f>IF($A75="","",D75+1.9602400929689823*E75)</x:f>
      </x:c>
      <x:c r="H75" s="3" t="str">
        <x:f>IF($A75="","",165.60217192025453*SQRT((EXP($B$5*B75))*$J$59*(EXP($B$5*B75))+(EXP($B$5*B75))*$K$59*(D75*B75)+(D75*B75)*$J$60*(EXP($B$5*B75))+(D75*B75)*$K$60*(D75*B75)))</x:f>
      </x:c>
      <x:c r="I75" s="3"/>
      <x:c r="J75" s="3"/>
      <x:c r="K75" s="3"/>
      <x:c r="L75" s="3"/>
      <x:c r="M75" s="3"/>
      <x:c r="N75" s="3"/>
      <x:c r="O75" s="3"/>
      <x:c r="P75" s="3"/>
      <x:c r="Q75" s="3"/>
    </x:row>
    <x:row r="76" ht="15" customHeight="1">
      <x:c r="A76" s="5" t="str">
        <x:f>IF(66&lt;='Сводка'!$B$3,'Сводка'!$B$4+66,"")</x:f>
      </x:c>
      <x:c r="B76" s="19" t="str">
        <x:f>IF($A76="","",(A76-37257+1)/1000)</x:f>
      </x:c>
      <x:c r="C76" s="19" t="str">
        <x:f>IF($A76="","",2*(A76-37257)/8978-1)</x:f>
      </x:c>
      <x:c r="D76" s="3" t="str">
        <x:f>IF($A76="","",$B$4*EXP($B$5*B76))</x:f>
      </x:c>
      <x:c r="E76" s="3" t="str">
        <x:f>IF($A76="","",165.60217192025453*SQRT(1+(EXP($B$5*B76))*$J$59*(EXP($B$5*B76))+(EXP($B$5*B76))*$K$59*(D76*B76)+(D76*B76)*$J$60*(EXP($B$5*B76))+(D76*B76)*$K$60*(D76*B76)))</x:f>
      </x:c>
      <x:c r="F76" s="3" t="str">
        <x:f>IF($A76="","",D76-1.9602400929689823*E76)</x:f>
      </x:c>
      <x:c r="G76" s="3" t="str">
        <x:f>IF($A76="","",D76+1.9602400929689823*E76)</x:f>
      </x:c>
      <x:c r="H76" s="3" t="str">
        <x:f>IF($A76="","",165.60217192025453*SQRT((EXP($B$5*B76))*$J$59*(EXP($B$5*B76))+(EXP($B$5*B76))*$K$59*(D76*B76)+(D76*B76)*$J$60*(EXP($B$5*B76))+(D76*B76)*$K$60*(D76*B76)))</x:f>
      </x:c>
      <x:c r="I76" s="3"/>
      <x:c r="J76" s="3"/>
      <x:c r="K76" s="3"/>
      <x:c r="L76" s="3"/>
      <x:c r="M76" s="3"/>
      <x:c r="N76" s="3"/>
      <x:c r="O76" s="3"/>
      <x:c r="P76" s="3"/>
      <x:c r="Q76" s="3"/>
    </x:row>
    <x:row r="77" ht="15" customHeight="1">
      <x:c r="A77" s="5" t="str">
        <x:f>IF(67&lt;='Сводка'!$B$3,'Сводка'!$B$4+67,"")</x:f>
      </x:c>
      <x:c r="B77" s="19" t="str">
        <x:f>IF($A77="","",(A77-37257+1)/1000)</x:f>
      </x:c>
      <x:c r="C77" s="19" t="str">
        <x:f>IF($A77="","",2*(A77-37257)/8978-1)</x:f>
      </x:c>
      <x:c r="D77" s="3" t="str">
        <x:f>IF($A77="","",$B$4*EXP($B$5*B77))</x:f>
      </x:c>
      <x:c r="E77" s="3" t="str">
        <x:f>IF($A77="","",165.60217192025453*SQRT(1+(EXP($B$5*B77))*$J$59*(EXP($B$5*B77))+(EXP($B$5*B77))*$K$59*(D77*B77)+(D77*B77)*$J$60*(EXP($B$5*B77))+(D77*B77)*$K$60*(D77*B77)))</x:f>
      </x:c>
      <x:c r="F77" s="3" t="str">
        <x:f>IF($A77="","",D77-1.9602400929689823*E77)</x:f>
      </x:c>
      <x:c r="G77" s="3" t="str">
        <x:f>IF($A77="","",D77+1.9602400929689823*E77)</x:f>
      </x:c>
      <x:c r="H77" s="3" t="str">
        <x:f>IF($A77="","",165.60217192025453*SQRT((EXP($B$5*B77))*$J$59*(EXP($B$5*B77))+(EXP($B$5*B77))*$K$59*(D77*B77)+(D77*B77)*$J$60*(EXP($B$5*B77))+(D77*B77)*$K$60*(D77*B77)))</x:f>
      </x:c>
      <x:c r="I77" s="3"/>
      <x:c r="J77" s="3"/>
      <x:c r="K77" s="3"/>
      <x:c r="L77" s="3"/>
      <x:c r="M77" s="3"/>
      <x:c r="N77" s="3"/>
      <x:c r="O77" s="3"/>
      <x:c r="P77" s="3"/>
      <x:c r="Q77" s="3"/>
    </x:row>
    <x:row r="78" ht="15" customHeight="1">
      <x:c r="A78" s="5" t="str">
        <x:f>IF(68&lt;='Сводка'!$B$3,'Сводка'!$B$4+68,"")</x:f>
      </x:c>
      <x:c r="B78" s="19" t="str">
        <x:f>IF($A78="","",(A78-37257+1)/1000)</x:f>
      </x:c>
      <x:c r="C78" s="19" t="str">
        <x:f>IF($A78="","",2*(A78-37257)/8978-1)</x:f>
      </x:c>
      <x:c r="D78" s="3" t="str">
        <x:f>IF($A78="","",$B$4*EXP($B$5*B78))</x:f>
      </x:c>
      <x:c r="E78" s="3" t="str">
        <x:f>IF($A78="","",165.60217192025453*SQRT(1+(EXP($B$5*B78))*$J$59*(EXP($B$5*B78))+(EXP($B$5*B78))*$K$59*(D78*B78)+(D78*B78)*$J$60*(EXP($B$5*B78))+(D78*B78)*$K$60*(D78*B78)))</x:f>
      </x:c>
      <x:c r="F78" s="3" t="str">
        <x:f>IF($A78="","",D78-1.9602400929689823*E78)</x:f>
      </x:c>
      <x:c r="G78" s="3" t="str">
        <x:f>IF($A78="","",D78+1.9602400929689823*E78)</x:f>
      </x:c>
      <x:c r="H78" s="3" t="str">
        <x:f>IF($A78="","",165.60217192025453*SQRT((EXP($B$5*B78))*$J$59*(EXP($B$5*B78))+(EXP($B$5*B78))*$K$59*(D78*B78)+(D78*B78)*$J$60*(EXP($B$5*B78))+(D78*B78)*$K$60*(D78*B78)))</x:f>
      </x:c>
      <x:c r="I78" s="3"/>
      <x:c r="J78" s="3"/>
      <x:c r="K78" s="3"/>
      <x:c r="L78" s="3"/>
      <x:c r="M78" s="3"/>
      <x:c r="N78" s="3"/>
      <x:c r="O78" s="3"/>
      <x:c r="P78" s="3"/>
      <x:c r="Q78" s="3"/>
    </x:row>
    <x:row r="79" ht="15" customHeight="1">
      <x:c r="A79" s="5" t="str">
        <x:f>IF(69&lt;='Сводка'!$B$3,'Сводка'!$B$4+69,"")</x:f>
      </x:c>
      <x:c r="B79" s="19" t="str">
        <x:f>IF($A79="","",(A79-37257+1)/1000)</x:f>
      </x:c>
      <x:c r="C79" s="19" t="str">
        <x:f>IF($A79="","",2*(A79-37257)/8978-1)</x:f>
      </x:c>
      <x:c r="D79" s="3" t="str">
        <x:f>IF($A79="","",$B$4*EXP($B$5*B79))</x:f>
      </x:c>
      <x:c r="E79" s="3" t="str">
        <x:f>IF($A79="","",165.60217192025453*SQRT(1+(EXP($B$5*B79))*$J$59*(EXP($B$5*B79))+(EXP($B$5*B79))*$K$59*(D79*B79)+(D79*B79)*$J$60*(EXP($B$5*B79))+(D79*B79)*$K$60*(D79*B79)))</x:f>
      </x:c>
      <x:c r="F79" s="3" t="str">
        <x:f>IF($A79="","",D79-1.9602400929689823*E79)</x:f>
      </x:c>
      <x:c r="G79" s="3" t="str">
        <x:f>IF($A79="","",D79+1.9602400929689823*E79)</x:f>
      </x:c>
      <x:c r="H79" s="3" t="str">
        <x:f>IF($A79="","",165.60217192025453*SQRT((EXP($B$5*B79))*$J$59*(EXP($B$5*B79))+(EXP($B$5*B79))*$K$59*(D79*B79)+(D79*B79)*$J$60*(EXP($B$5*B79))+(D79*B79)*$K$60*(D79*B79)))</x:f>
      </x:c>
      <x:c r="I79" s="3"/>
      <x:c r="J79" s="3"/>
      <x:c r="K79" s="3"/>
      <x:c r="L79" s="3"/>
      <x:c r="M79" s="3"/>
      <x:c r="N79" s="3"/>
      <x:c r="O79" s="3"/>
      <x:c r="P79" s="3"/>
      <x:c r="Q79" s="3"/>
    </x:row>
    <x:row r="80" ht="15" customHeight="1">
      <x:c r="A80" s="5" t="str">
        <x:f>IF(70&lt;='Сводка'!$B$3,'Сводка'!$B$4+70,"")</x:f>
      </x:c>
      <x:c r="B80" s="19" t="str">
        <x:f>IF($A80="","",(A80-37257+1)/1000)</x:f>
      </x:c>
      <x:c r="C80" s="19" t="str">
        <x:f>IF($A80="","",2*(A80-37257)/8978-1)</x:f>
      </x:c>
      <x:c r="D80" s="3" t="str">
        <x:f>IF($A80="","",$B$4*EXP($B$5*B80))</x:f>
      </x:c>
      <x:c r="E80" s="3" t="str">
        <x:f>IF($A80="","",165.60217192025453*SQRT(1+(EXP($B$5*B80))*$J$59*(EXP($B$5*B80))+(EXP($B$5*B80))*$K$59*(D80*B80)+(D80*B80)*$J$60*(EXP($B$5*B80))+(D80*B80)*$K$60*(D80*B80)))</x:f>
      </x:c>
      <x:c r="F80" s="3" t="str">
        <x:f>IF($A80="","",D80-1.9602400929689823*E80)</x:f>
      </x:c>
      <x:c r="G80" s="3" t="str">
        <x:f>IF($A80="","",D80+1.9602400929689823*E80)</x:f>
      </x:c>
      <x:c r="H80" s="3" t="str">
        <x:f>IF($A80="","",165.60217192025453*SQRT((EXP($B$5*B80))*$J$59*(EXP($B$5*B80))+(EXP($B$5*B80))*$K$59*(D80*B80)+(D80*B80)*$J$60*(EXP($B$5*B80))+(D80*B80)*$K$60*(D80*B80)))</x:f>
      </x:c>
      <x:c r="I80" s="3"/>
      <x:c r="J80" s="3"/>
      <x:c r="K80" s="3"/>
      <x:c r="L80" s="3"/>
      <x:c r="M80" s="3"/>
      <x:c r="N80" s="3"/>
      <x:c r="O80" s="3"/>
      <x:c r="P80" s="3"/>
      <x:c r="Q80" s="3"/>
    </x:row>
    <x:row r="81" ht="15" customHeight="1">
      <x:c r="A81" s="5" t="str">
        <x:f>IF(71&lt;='Сводка'!$B$3,'Сводка'!$B$4+71,"")</x:f>
      </x:c>
      <x:c r="B81" s="19" t="str">
        <x:f>IF($A81="","",(A81-37257+1)/1000)</x:f>
      </x:c>
      <x:c r="C81" s="19" t="str">
        <x:f>IF($A81="","",2*(A81-37257)/8978-1)</x:f>
      </x:c>
      <x:c r="D81" s="3" t="str">
        <x:f>IF($A81="","",$B$4*EXP($B$5*B81))</x:f>
      </x:c>
      <x:c r="E81" s="3" t="str">
        <x:f>IF($A81="","",165.60217192025453*SQRT(1+(EXP($B$5*B81))*$J$59*(EXP($B$5*B81))+(EXP($B$5*B81))*$K$59*(D81*B81)+(D81*B81)*$J$60*(EXP($B$5*B81))+(D81*B81)*$K$60*(D81*B81)))</x:f>
      </x:c>
      <x:c r="F81" s="3" t="str">
        <x:f>IF($A81="","",D81-1.9602400929689823*E81)</x:f>
      </x:c>
      <x:c r="G81" s="3" t="str">
        <x:f>IF($A81="","",D81+1.9602400929689823*E81)</x:f>
      </x:c>
      <x:c r="H81" s="3" t="str">
        <x:f>IF($A81="","",165.60217192025453*SQRT((EXP($B$5*B81))*$J$59*(EXP($B$5*B81))+(EXP($B$5*B81))*$K$59*(D81*B81)+(D81*B81)*$J$60*(EXP($B$5*B81))+(D81*B81)*$K$60*(D81*B81)))</x:f>
      </x:c>
      <x:c r="I81" s="3"/>
      <x:c r="J81" s="3"/>
      <x:c r="K81" s="3"/>
      <x:c r="L81" s="3"/>
      <x:c r="M81" s="3"/>
      <x:c r="N81" s="3"/>
      <x:c r="O81" s="3"/>
      <x:c r="P81" s="3"/>
      <x:c r="Q81" s="3"/>
    </x:row>
    <x:row r="82" ht="15" customHeight="1">
      <x:c r="A82" s="5" t="str">
        <x:f>IF(72&lt;='Сводка'!$B$3,'Сводка'!$B$4+72,"")</x:f>
      </x:c>
      <x:c r="B82" s="19" t="str">
        <x:f>IF($A82="","",(A82-37257+1)/1000)</x:f>
      </x:c>
      <x:c r="C82" s="19" t="str">
        <x:f>IF($A82="","",2*(A82-37257)/8978-1)</x:f>
      </x:c>
      <x:c r="D82" s="3" t="str">
        <x:f>IF($A82="","",$B$4*EXP($B$5*B82))</x:f>
      </x:c>
      <x:c r="E82" s="3" t="str">
        <x:f>IF($A82="","",165.60217192025453*SQRT(1+(EXP($B$5*B82))*$J$59*(EXP($B$5*B82))+(EXP($B$5*B82))*$K$59*(D82*B82)+(D82*B82)*$J$60*(EXP($B$5*B82))+(D82*B82)*$K$60*(D82*B82)))</x:f>
      </x:c>
      <x:c r="F82" s="3" t="str">
        <x:f>IF($A82="","",D82-1.9602400929689823*E82)</x:f>
      </x:c>
      <x:c r="G82" s="3" t="str">
        <x:f>IF($A82="","",D82+1.9602400929689823*E82)</x:f>
      </x:c>
      <x:c r="H82" s="3" t="str">
        <x:f>IF($A82="","",165.60217192025453*SQRT((EXP($B$5*B82))*$J$59*(EXP($B$5*B82))+(EXP($B$5*B82))*$K$59*(D82*B82)+(D82*B82)*$J$60*(EXP($B$5*B82))+(D82*B82)*$K$60*(D82*B82)))</x:f>
      </x:c>
      <x:c r="I82" s="3"/>
      <x:c r="J82" s="3"/>
      <x:c r="K82" s="3"/>
      <x:c r="L82" s="3"/>
      <x:c r="M82" s="3"/>
      <x:c r="N82" s="3"/>
      <x:c r="O82" s="3"/>
      <x:c r="P82" s="3"/>
      <x:c r="Q82" s="3"/>
    </x:row>
    <x:row r="83" ht="15" customHeight="1">
      <x:c r="A83" s="5" t="str">
        <x:f>IF(73&lt;='Сводка'!$B$3,'Сводка'!$B$4+73,"")</x:f>
      </x:c>
      <x:c r="B83" s="19" t="str">
        <x:f>IF($A83="","",(A83-37257+1)/1000)</x:f>
      </x:c>
      <x:c r="C83" s="19" t="str">
        <x:f>IF($A83="","",2*(A83-37257)/8978-1)</x:f>
      </x:c>
      <x:c r="D83" s="3" t="str">
        <x:f>IF($A83="","",$B$4*EXP($B$5*B83))</x:f>
      </x:c>
      <x:c r="E83" s="3" t="str">
        <x:f>IF($A83="","",165.60217192025453*SQRT(1+(EXP($B$5*B83))*$J$59*(EXP($B$5*B83))+(EXP($B$5*B83))*$K$59*(D83*B83)+(D83*B83)*$J$60*(EXP($B$5*B83))+(D83*B83)*$K$60*(D83*B83)))</x:f>
      </x:c>
      <x:c r="F83" s="3" t="str">
        <x:f>IF($A83="","",D83-1.9602400929689823*E83)</x:f>
      </x:c>
      <x:c r="G83" s="3" t="str">
        <x:f>IF($A83="","",D83+1.9602400929689823*E83)</x:f>
      </x:c>
      <x:c r="H83" s="3" t="str">
        <x:f>IF($A83="","",165.60217192025453*SQRT((EXP($B$5*B83))*$J$59*(EXP($B$5*B83))+(EXP($B$5*B83))*$K$59*(D83*B83)+(D83*B83)*$J$60*(EXP($B$5*B83))+(D83*B83)*$K$60*(D83*B83)))</x:f>
      </x:c>
      <x:c r="I83" s="3"/>
      <x:c r="J83" s="3"/>
      <x:c r="K83" s="3"/>
      <x:c r="L83" s="3"/>
      <x:c r="M83" s="3"/>
      <x:c r="N83" s="3"/>
      <x:c r="O83" s="3"/>
      <x:c r="P83" s="3"/>
      <x:c r="Q83" s="3"/>
    </x:row>
    <x:row r="84" ht="15" customHeight="1">
      <x:c r="A84" s="5" t="str">
        <x:f>IF(74&lt;='Сводка'!$B$3,'Сводка'!$B$4+74,"")</x:f>
      </x:c>
      <x:c r="B84" s="19" t="str">
        <x:f>IF($A84="","",(A84-37257+1)/1000)</x:f>
      </x:c>
      <x:c r="C84" s="19" t="str">
        <x:f>IF($A84="","",2*(A84-37257)/8978-1)</x:f>
      </x:c>
      <x:c r="D84" s="3" t="str">
        <x:f>IF($A84="","",$B$4*EXP($B$5*B84))</x:f>
      </x:c>
      <x:c r="E84" s="3" t="str">
        <x:f>IF($A84="","",165.60217192025453*SQRT(1+(EXP($B$5*B84))*$J$59*(EXP($B$5*B84))+(EXP($B$5*B84))*$K$59*(D84*B84)+(D84*B84)*$J$60*(EXP($B$5*B84))+(D84*B84)*$K$60*(D84*B84)))</x:f>
      </x:c>
      <x:c r="F84" s="3" t="str">
        <x:f>IF($A84="","",D84-1.9602400929689823*E84)</x:f>
      </x:c>
      <x:c r="G84" s="3" t="str">
        <x:f>IF($A84="","",D84+1.9602400929689823*E84)</x:f>
      </x:c>
      <x:c r="H84" s="3" t="str">
        <x:f>IF($A84="","",165.60217192025453*SQRT((EXP($B$5*B84))*$J$59*(EXP($B$5*B84))+(EXP($B$5*B84))*$K$59*(D84*B84)+(D84*B84)*$J$60*(EXP($B$5*B84))+(D84*B84)*$K$60*(D84*B84)))</x:f>
      </x:c>
      <x:c r="I84" s="3"/>
      <x:c r="J84" s="3"/>
      <x:c r="K84" s="3"/>
      <x:c r="L84" s="3"/>
      <x:c r="M84" s="3"/>
      <x:c r="N84" s="3"/>
      <x:c r="O84" s="3"/>
      <x:c r="P84" s="3"/>
      <x:c r="Q84" s="3"/>
    </x:row>
    <x:row r="85" ht="15" customHeight="1">
      <x:c r="A85" s="5" t="str">
        <x:f>IF(75&lt;='Сводка'!$B$3,'Сводка'!$B$4+75,"")</x:f>
      </x:c>
      <x:c r="B85" s="19" t="str">
        <x:f>IF($A85="","",(A85-37257+1)/1000)</x:f>
      </x:c>
      <x:c r="C85" s="19" t="str">
        <x:f>IF($A85="","",2*(A85-37257)/8978-1)</x:f>
      </x:c>
      <x:c r="D85" s="3" t="str">
        <x:f>IF($A85="","",$B$4*EXP($B$5*B85))</x:f>
      </x:c>
      <x:c r="E85" s="3" t="str">
        <x:f>IF($A85="","",165.60217192025453*SQRT(1+(EXP($B$5*B85))*$J$59*(EXP($B$5*B85))+(EXP($B$5*B85))*$K$59*(D85*B85)+(D85*B85)*$J$60*(EXP($B$5*B85))+(D85*B85)*$K$60*(D85*B85)))</x:f>
      </x:c>
      <x:c r="F85" s="3" t="str">
        <x:f>IF($A85="","",D85-1.9602400929689823*E85)</x:f>
      </x:c>
      <x:c r="G85" s="3" t="str">
        <x:f>IF($A85="","",D85+1.9602400929689823*E85)</x:f>
      </x:c>
      <x:c r="H85" s="3" t="str">
        <x:f>IF($A85="","",165.60217192025453*SQRT((EXP($B$5*B85))*$J$59*(EXP($B$5*B85))+(EXP($B$5*B85))*$K$59*(D85*B85)+(D85*B85)*$J$60*(EXP($B$5*B85))+(D85*B85)*$K$60*(D85*B85)))</x:f>
      </x:c>
      <x:c r="I85" s="3"/>
      <x:c r="J85" s="3"/>
      <x:c r="K85" s="3"/>
      <x:c r="L85" s="3"/>
      <x:c r="M85" s="3"/>
      <x:c r="N85" s="3"/>
      <x:c r="O85" s="3"/>
      <x:c r="P85" s="3"/>
      <x:c r="Q85" s="3"/>
    </x:row>
    <x:row r="86" ht="15" customHeight="1">
      <x:c r="A86" s="5" t="str">
        <x:f>IF(76&lt;='Сводка'!$B$3,'Сводка'!$B$4+76,"")</x:f>
      </x:c>
      <x:c r="B86" s="19" t="str">
        <x:f>IF($A86="","",(A86-37257+1)/1000)</x:f>
      </x:c>
      <x:c r="C86" s="19" t="str">
        <x:f>IF($A86="","",2*(A86-37257)/8978-1)</x:f>
      </x:c>
      <x:c r="D86" s="3" t="str">
        <x:f>IF($A86="","",$B$4*EXP($B$5*B86))</x:f>
      </x:c>
      <x:c r="E86" s="3" t="str">
        <x:f>IF($A86="","",165.60217192025453*SQRT(1+(EXP($B$5*B86))*$J$59*(EXP($B$5*B86))+(EXP($B$5*B86))*$K$59*(D86*B86)+(D86*B86)*$J$60*(EXP($B$5*B86))+(D86*B86)*$K$60*(D86*B86)))</x:f>
      </x:c>
      <x:c r="F86" s="3" t="str">
        <x:f>IF($A86="","",D86-1.9602400929689823*E86)</x:f>
      </x:c>
      <x:c r="G86" s="3" t="str">
        <x:f>IF($A86="","",D86+1.9602400929689823*E86)</x:f>
      </x:c>
      <x:c r="H86" s="3" t="str">
        <x:f>IF($A86="","",165.60217192025453*SQRT((EXP($B$5*B86))*$J$59*(EXP($B$5*B86))+(EXP($B$5*B86))*$K$59*(D86*B86)+(D86*B86)*$J$60*(EXP($B$5*B86))+(D86*B86)*$K$60*(D86*B86)))</x:f>
      </x:c>
      <x:c r="I86" s="3"/>
      <x:c r="J86" s="3"/>
      <x:c r="K86" s="3"/>
      <x:c r="L86" s="3"/>
      <x:c r="M86" s="3"/>
      <x:c r="N86" s="3"/>
      <x:c r="O86" s="3"/>
      <x:c r="P86" s="3"/>
      <x:c r="Q86" s="3"/>
    </x:row>
    <x:row r="87" ht="15" customHeight="1">
      <x:c r="A87" s="5" t="str">
        <x:f>IF(77&lt;='Сводка'!$B$3,'Сводка'!$B$4+77,"")</x:f>
      </x:c>
      <x:c r="B87" s="19" t="str">
        <x:f>IF($A87="","",(A87-37257+1)/1000)</x:f>
      </x:c>
      <x:c r="C87" s="19" t="str">
        <x:f>IF($A87="","",2*(A87-37257)/8978-1)</x:f>
      </x:c>
      <x:c r="D87" s="3" t="str">
        <x:f>IF($A87="","",$B$4*EXP($B$5*B87))</x:f>
      </x:c>
      <x:c r="E87" s="3" t="str">
        <x:f>IF($A87="","",165.60217192025453*SQRT(1+(EXP($B$5*B87))*$J$59*(EXP($B$5*B87))+(EXP($B$5*B87))*$K$59*(D87*B87)+(D87*B87)*$J$60*(EXP($B$5*B87))+(D87*B87)*$K$60*(D87*B87)))</x:f>
      </x:c>
      <x:c r="F87" s="3" t="str">
        <x:f>IF($A87="","",D87-1.9602400929689823*E87)</x:f>
      </x:c>
      <x:c r="G87" s="3" t="str">
        <x:f>IF($A87="","",D87+1.9602400929689823*E87)</x:f>
      </x:c>
      <x:c r="H87" s="3" t="str">
        <x:f>IF($A87="","",165.60217192025453*SQRT((EXP($B$5*B87))*$J$59*(EXP($B$5*B87))+(EXP($B$5*B87))*$K$59*(D87*B87)+(D87*B87)*$J$60*(EXP($B$5*B87))+(D87*B87)*$K$60*(D87*B87)))</x:f>
      </x:c>
      <x:c r="I87" s="3"/>
      <x:c r="J87" s="3"/>
      <x:c r="K87" s="3"/>
      <x:c r="L87" s="3"/>
      <x:c r="M87" s="3"/>
      <x:c r="N87" s="3"/>
      <x:c r="O87" s="3"/>
      <x:c r="P87" s="3"/>
      <x:c r="Q87" s="3"/>
    </x:row>
    <x:row r="88" ht="15" customHeight="1">
      <x:c r="A88" s="5" t="str">
        <x:f>IF(78&lt;='Сводка'!$B$3,'Сводка'!$B$4+78,"")</x:f>
      </x:c>
      <x:c r="B88" s="19" t="str">
        <x:f>IF($A88="","",(A88-37257+1)/1000)</x:f>
      </x:c>
      <x:c r="C88" s="19" t="str">
        <x:f>IF($A88="","",2*(A88-37257)/8978-1)</x:f>
      </x:c>
      <x:c r="D88" s="3" t="str">
        <x:f>IF($A88="","",$B$4*EXP($B$5*B88))</x:f>
      </x:c>
      <x:c r="E88" s="3" t="str">
        <x:f>IF($A88="","",165.60217192025453*SQRT(1+(EXP($B$5*B88))*$J$59*(EXP($B$5*B88))+(EXP($B$5*B88))*$K$59*(D88*B88)+(D88*B88)*$J$60*(EXP($B$5*B88))+(D88*B88)*$K$60*(D88*B88)))</x:f>
      </x:c>
      <x:c r="F88" s="3" t="str">
        <x:f>IF($A88="","",D88-1.9602400929689823*E88)</x:f>
      </x:c>
      <x:c r="G88" s="3" t="str">
        <x:f>IF($A88="","",D88+1.9602400929689823*E88)</x:f>
      </x:c>
      <x:c r="H88" s="3" t="str">
        <x:f>IF($A88="","",165.60217192025453*SQRT((EXP($B$5*B88))*$J$59*(EXP($B$5*B88))+(EXP($B$5*B88))*$K$59*(D88*B88)+(D88*B88)*$J$60*(EXP($B$5*B88))+(D88*B88)*$K$60*(D88*B88)))</x:f>
      </x:c>
      <x:c r="I88" s="3"/>
      <x:c r="J88" s="3"/>
      <x:c r="K88" s="3"/>
      <x:c r="L88" s="3"/>
      <x:c r="M88" s="3"/>
      <x:c r="N88" s="3"/>
      <x:c r="O88" s="3"/>
      <x:c r="P88" s="3"/>
      <x:c r="Q88" s="3"/>
    </x:row>
    <x:row r="89" ht="15" customHeight="1">
      <x:c r="A89" s="5" t="str">
        <x:f>IF(79&lt;='Сводка'!$B$3,'Сводка'!$B$4+79,"")</x:f>
      </x:c>
      <x:c r="B89" s="19" t="str">
        <x:f>IF($A89="","",(A89-37257+1)/1000)</x:f>
      </x:c>
      <x:c r="C89" s="19" t="str">
        <x:f>IF($A89="","",2*(A89-37257)/8978-1)</x:f>
      </x:c>
      <x:c r="D89" s="3" t="str">
        <x:f>IF($A89="","",$B$4*EXP($B$5*B89))</x:f>
      </x:c>
      <x:c r="E89" s="3" t="str">
        <x:f>IF($A89="","",165.60217192025453*SQRT(1+(EXP($B$5*B89))*$J$59*(EXP($B$5*B89))+(EXP($B$5*B89))*$K$59*(D89*B89)+(D89*B89)*$J$60*(EXP($B$5*B89))+(D89*B89)*$K$60*(D89*B89)))</x:f>
      </x:c>
      <x:c r="F89" s="3" t="str">
        <x:f>IF($A89="","",D89-1.9602400929689823*E89)</x:f>
      </x:c>
      <x:c r="G89" s="3" t="str">
        <x:f>IF($A89="","",D89+1.9602400929689823*E89)</x:f>
      </x:c>
      <x:c r="H89" s="3" t="str">
        <x:f>IF($A89="","",165.60217192025453*SQRT((EXP($B$5*B89))*$J$59*(EXP($B$5*B89))+(EXP($B$5*B89))*$K$59*(D89*B89)+(D89*B89)*$J$60*(EXP($B$5*B89))+(D89*B89)*$K$60*(D89*B89)))</x:f>
      </x:c>
      <x:c r="I89" s="3"/>
      <x:c r="J89" s="3"/>
      <x:c r="K89" s="3"/>
      <x:c r="L89" s="3"/>
      <x:c r="M89" s="3"/>
      <x:c r="N89" s="3"/>
      <x:c r="O89" s="3"/>
      <x:c r="P89" s="3"/>
      <x:c r="Q89" s="3"/>
    </x:row>
    <x:row r="90" ht="15" customHeight="1">
      <x:c r="A90" s="5" t="str">
        <x:f>IF(80&lt;='Сводка'!$B$3,'Сводка'!$B$4+80,"")</x:f>
      </x:c>
      <x:c r="B90" s="19" t="str">
        <x:f>IF($A90="","",(A90-37257+1)/1000)</x:f>
      </x:c>
      <x:c r="C90" s="19" t="str">
        <x:f>IF($A90="","",2*(A90-37257)/8978-1)</x:f>
      </x:c>
      <x:c r="D90" s="3" t="str">
        <x:f>IF($A90="","",$B$4*EXP($B$5*B90))</x:f>
      </x:c>
      <x:c r="E90" s="3" t="str">
        <x:f>IF($A90="","",165.60217192025453*SQRT(1+(EXP($B$5*B90))*$J$59*(EXP($B$5*B90))+(EXP($B$5*B90))*$K$59*(D90*B90)+(D90*B90)*$J$60*(EXP($B$5*B90))+(D90*B90)*$K$60*(D90*B90)))</x:f>
      </x:c>
      <x:c r="F90" s="3" t="str">
        <x:f>IF($A90="","",D90-1.9602400929689823*E90)</x:f>
      </x:c>
      <x:c r="G90" s="3" t="str">
        <x:f>IF($A90="","",D90+1.9602400929689823*E90)</x:f>
      </x:c>
      <x:c r="H90" s="3" t="str">
        <x:f>IF($A90="","",165.60217192025453*SQRT((EXP($B$5*B90))*$J$59*(EXP($B$5*B90))+(EXP($B$5*B90))*$K$59*(D90*B90)+(D90*B90)*$J$60*(EXP($B$5*B90))+(D90*B90)*$K$60*(D90*B90)))</x:f>
      </x:c>
      <x:c r="I90" s="3"/>
      <x:c r="J90" s="3"/>
      <x:c r="K90" s="3"/>
      <x:c r="L90" s="3"/>
      <x:c r="M90" s="3"/>
      <x:c r="N90" s="3"/>
      <x:c r="O90" s="3"/>
      <x:c r="P90" s="3"/>
      <x:c r="Q90" s="3"/>
    </x:row>
    <x:row r="91" ht="15" customHeight="1">
      <x:c r="A91" s="5" t="str">
        <x:f>IF(81&lt;='Сводка'!$B$3,'Сводка'!$B$4+81,"")</x:f>
      </x:c>
      <x:c r="B91" s="19" t="str">
        <x:f>IF($A91="","",(A91-37257+1)/1000)</x:f>
      </x:c>
      <x:c r="C91" s="19" t="str">
        <x:f>IF($A91="","",2*(A91-37257)/8978-1)</x:f>
      </x:c>
      <x:c r="D91" s="3" t="str">
        <x:f>IF($A91="","",$B$4*EXP($B$5*B91))</x:f>
      </x:c>
      <x:c r="E91" s="3" t="str">
        <x:f>IF($A91="","",165.60217192025453*SQRT(1+(EXP($B$5*B91))*$J$59*(EXP($B$5*B91))+(EXP($B$5*B91))*$K$59*(D91*B91)+(D91*B91)*$J$60*(EXP($B$5*B91))+(D91*B91)*$K$60*(D91*B91)))</x:f>
      </x:c>
      <x:c r="F91" s="3" t="str">
        <x:f>IF($A91="","",D91-1.9602400929689823*E91)</x:f>
      </x:c>
      <x:c r="G91" s="3" t="str">
        <x:f>IF($A91="","",D91+1.9602400929689823*E91)</x:f>
      </x:c>
      <x:c r="H91" s="3" t="str">
        <x:f>IF($A91="","",165.60217192025453*SQRT((EXP($B$5*B91))*$J$59*(EXP($B$5*B91))+(EXP($B$5*B91))*$K$59*(D91*B91)+(D91*B91)*$J$60*(EXP($B$5*B91))+(D91*B91)*$K$60*(D91*B91)))</x:f>
      </x:c>
      <x:c r="I91" s="3"/>
      <x:c r="J91" s="3"/>
      <x:c r="K91" s="3"/>
      <x:c r="L91" s="3"/>
      <x:c r="M91" s="3"/>
      <x:c r="N91" s="3"/>
      <x:c r="O91" s="3"/>
      <x:c r="P91" s="3"/>
      <x:c r="Q91" s="3"/>
    </x:row>
    <x:row r="92" ht="15" customHeight="1">
      <x:c r="A92" s="5" t="str">
        <x:f>IF(82&lt;='Сводка'!$B$3,'Сводка'!$B$4+82,"")</x:f>
      </x:c>
      <x:c r="B92" s="19" t="str">
        <x:f>IF($A92="","",(A92-37257+1)/1000)</x:f>
      </x:c>
      <x:c r="C92" s="19" t="str">
        <x:f>IF($A92="","",2*(A92-37257)/8978-1)</x:f>
      </x:c>
      <x:c r="D92" s="3" t="str">
        <x:f>IF($A92="","",$B$4*EXP($B$5*B92))</x:f>
      </x:c>
      <x:c r="E92" s="3" t="str">
        <x:f>IF($A92="","",165.60217192025453*SQRT(1+(EXP($B$5*B92))*$J$59*(EXP($B$5*B92))+(EXP($B$5*B92))*$K$59*(D92*B92)+(D92*B92)*$J$60*(EXP($B$5*B92))+(D92*B92)*$K$60*(D92*B92)))</x:f>
      </x:c>
      <x:c r="F92" s="3" t="str">
        <x:f>IF($A92="","",D92-1.9602400929689823*E92)</x:f>
      </x:c>
      <x:c r="G92" s="3" t="str">
        <x:f>IF($A92="","",D92+1.9602400929689823*E92)</x:f>
      </x:c>
      <x:c r="H92" s="3" t="str">
        <x:f>IF($A92="","",165.60217192025453*SQRT((EXP($B$5*B92))*$J$59*(EXP($B$5*B92))+(EXP($B$5*B92))*$K$59*(D92*B92)+(D92*B92)*$J$60*(EXP($B$5*B92))+(D92*B92)*$K$60*(D92*B92)))</x:f>
      </x:c>
      <x:c r="I92" s="3"/>
      <x:c r="J92" s="3"/>
      <x:c r="K92" s="3"/>
      <x:c r="L92" s="3"/>
      <x:c r="M92" s="3"/>
      <x:c r="N92" s="3"/>
      <x:c r="O92" s="3"/>
      <x:c r="P92" s="3"/>
      <x:c r="Q92" s="3"/>
    </x:row>
    <x:row r="93" ht="15" customHeight="1">
      <x:c r="A93" s="5" t="str">
        <x:f>IF(83&lt;='Сводка'!$B$3,'Сводка'!$B$4+83,"")</x:f>
      </x:c>
      <x:c r="B93" s="19" t="str">
        <x:f>IF($A93="","",(A93-37257+1)/1000)</x:f>
      </x:c>
      <x:c r="C93" s="19" t="str">
        <x:f>IF($A93="","",2*(A93-37257)/8978-1)</x:f>
      </x:c>
      <x:c r="D93" s="3" t="str">
        <x:f>IF($A93="","",$B$4*EXP($B$5*B93))</x:f>
      </x:c>
      <x:c r="E93" s="3" t="str">
        <x:f>IF($A93="","",165.60217192025453*SQRT(1+(EXP($B$5*B93))*$J$59*(EXP($B$5*B93))+(EXP($B$5*B93))*$K$59*(D93*B93)+(D93*B93)*$J$60*(EXP($B$5*B93))+(D93*B93)*$K$60*(D93*B93)))</x:f>
      </x:c>
      <x:c r="F93" s="3" t="str">
        <x:f>IF($A93="","",D93-1.9602400929689823*E93)</x:f>
      </x:c>
      <x:c r="G93" s="3" t="str">
        <x:f>IF($A93="","",D93+1.9602400929689823*E93)</x:f>
      </x:c>
      <x:c r="H93" s="3" t="str">
        <x:f>IF($A93="","",165.60217192025453*SQRT((EXP($B$5*B93))*$J$59*(EXP($B$5*B93))+(EXP($B$5*B93))*$K$59*(D93*B93)+(D93*B93)*$J$60*(EXP($B$5*B93))+(D93*B93)*$K$60*(D93*B93)))</x:f>
      </x:c>
      <x:c r="I93" s="3"/>
      <x:c r="J93" s="3"/>
      <x:c r="K93" s="3"/>
      <x:c r="L93" s="3"/>
      <x:c r="M93" s="3"/>
      <x:c r="N93" s="3"/>
      <x:c r="O93" s="3"/>
      <x:c r="P93" s="3"/>
      <x:c r="Q93" s="3"/>
    </x:row>
    <x:row r="94" ht="15" customHeight="1">
      <x:c r="A94" s="5" t="str">
        <x:f>IF(84&lt;='Сводка'!$B$3,'Сводка'!$B$4+84,"")</x:f>
      </x:c>
      <x:c r="B94" s="19" t="str">
        <x:f>IF($A94="","",(A94-37257+1)/1000)</x:f>
      </x:c>
      <x:c r="C94" s="19" t="str">
        <x:f>IF($A94="","",2*(A94-37257)/8978-1)</x:f>
      </x:c>
      <x:c r="D94" s="3" t="str">
        <x:f>IF($A94="","",$B$4*EXP($B$5*B94))</x:f>
      </x:c>
      <x:c r="E94" s="3" t="str">
        <x:f>IF($A94="","",165.60217192025453*SQRT(1+(EXP($B$5*B94))*$J$59*(EXP($B$5*B94))+(EXP($B$5*B94))*$K$59*(D94*B94)+(D94*B94)*$J$60*(EXP($B$5*B94))+(D94*B94)*$K$60*(D94*B94)))</x:f>
      </x:c>
      <x:c r="F94" s="3" t="str">
        <x:f>IF($A94="","",D94-1.9602400929689823*E94)</x:f>
      </x:c>
      <x:c r="G94" s="3" t="str">
        <x:f>IF($A94="","",D94+1.9602400929689823*E94)</x:f>
      </x:c>
      <x:c r="H94" s="3" t="str">
        <x:f>IF($A94="","",165.60217192025453*SQRT((EXP($B$5*B94))*$J$59*(EXP($B$5*B94))+(EXP($B$5*B94))*$K$59*(D94*B94)+(D94*B94)*$J$60*(EXP($B$5*B94))+(D94*B94)*$K$60*(D94*B94)))</x:f>
      </x:c>
      <x:c r="I94" s="3"/>
      <x:c r="J94" s="3"/>
      <x:c r="K94" s="3"/>
      <x:c r="L94" s="3"/>
      <x:c r="M94" s="3"/>
      <x:c r="N94" s="3"/>
      <x:c r="O94" s="3"/>
      <x:c r="P94" s="3"/>
      <x:c r="Q94" s="3"/>
    </x:row>
    <x:row r="95" ht="15" customHeight="1">
      <x:c r="A95" s="5" t="str">
        <x:f>IF(85&lt;='Сводка'!$B$3,'Сводка'!$B$4+85,"")</x:f>
      </x:c>
      <x:c r="B95" s="19" t="str">
        <x:f>IF($A95="","",(A95-37257+1)/1000)</x:f>
      </x:c>
      <x:c r="C95" s="19" t="str">
        <x:f>IF($A95="","",2*(A95-37257)/8978-1)</x:f>
      </x:c>
      <x:c r="D95" s="3" t="str">
        <x:f>IF($A95="","",$B$4*EXP($B$5*B95))</x:f>
      </x:c>
      <x:c r="E95" s="3" t="str">
        <x:f>IF($A95="","",165.60217192025453*SQRT(1+(EXP($B$5*B95))*$J$59*(EXP($B$5*B95))+(EXP($B$5*B95))*$K$59*(D95*B95)+(D95*B95)*$J$60*(EXP($B$5*B95))+(D95*B95)*$K$60*(D95*B95)))</x:f>
      </x:c>
      <x:c r="F95" s="3" t="str">
        <x:f>IF($A95="","",D95-1.9602400929689823*E95)</x:f>
      </x:c>
      <x:c r="G95" s="3" t="str">
        <x:f>IF($A95="","",D95+1.9602400929689823*E95)</x:f>
      </x:c>
      <x:c r="H95" s="3" t="str">
        <x:f>IF($A95="","",165.60217192025453*SQRT((EXP($B$5*B95))*$J$59*(EXP($B$5*B95))+(EXP($B$5*B95))*$K$59*(D95*B95)+(D95*B95)*$J$60*(EXP($B$5*B95))+(D95*B95)*$K$60*(D95*B95)))</x:f>
      </x:c>
      <x:c r="I95" s="3"/>
      <x:c r="J95" s="3"/>
      <x:c r="K95" s="3"/>
      <x:c r="L95" s="3"/>
      <x:c r="M95" s="3"/>
      <x:c r="N95" s="3"/>
      <x:c r="O95" s="3"/>
      <x:c r="P95" s="3"/>
      <x:c r="Q95" s="3"/>
    </x:row>
    <x:row r="96" ht="15" customHeight="1">
      <x:c r="A96" s="5" t="str">
        <x:f>IF(86&lt;='Сводка'!$B$3,'Сводка'!$B$4+86,"")</x:f>
      </x:c>
      <x:c r="B96" s="19" t="str">
        <x:f>IF($A96="","",(A96-37257+1)/1000)</x:f>
      </x:c>
      <x:c r="C96" s="19" t="str">
        <x:f>IF($A96="","",2*(A96-37257)/8978-1)</x:f>
      </x:c>
      <x:c r="D96" s="3" t="str">
        <x:f>IF($A96="","",$B$4*EXP($B$5*B96))</x:f>
      </x:c>
      <x:c r="E96" s="3" t="str">
        <x:f>IF($A96="","",165.60217192025453*SQRT(1+(EXP($B$5*B96))*$J$59*(EXP($B$5*B96))+(EXP($B$5*B96))*$K$59*(D96*B96)+(D96*B96)*$J$60*(EXP($B$5*B96))+(D96*B96)*$K$60*(D96*B96)))</x:f>
      </x:c>
      <x:c r="F96" s="3" t="str">
        <x:f>IF($A96="","",D96-1.9602400929689823*E96)</x:f>
      </x:c>
      <x:c r="G96" s="3" t="str">
        <x:f>IF($A96="","",D96+1.9602400929689823*E96)</x:f>
      </x:c>
      <x:c r="H96" s="3" t="str">
        <x:f>IF($A96="","",165.60217192025453*SQRT((EXP($B$5*B96))*$J$59*(EXP($B$5*B96))+(EXP($B$5*B96))*$K$59*(D96*B96)+(D96*B96)*$J$60*(EXP($B$5*B96))+(D96*B96)*$K$60*(D96*B96)))</x:f>
      </x:c>
      <x:c r="I96" s="3"/>
      <x:c r="J96" s="3"/>
      <x:c r="K96" s="3"/>
      <x:c r="L96" s="3"/>
      <x:c r="M96" s="3"/>
      <x:c r="N96" s="3"/>
      <x:c r="O96" s="3"/>
      <x:c r="P96" s="3"/>
      <x:c r="Q96" s="3"/>
    </x:row>
    <x:row r="97" ht="15" customHeight="1">
      <x:c r="A97" s="5" t="str">
        <x:f>IF(87&lt;='Сводка'!$B$3,'Сводка'!$B$4+87,"")</x:f>
      </x:c>
      <x:c r="B97" s="19" t="str">
        <x:f>IF($A97="","",(A97-37257+1)/1000)</x:f>
      </x:c>
      <x:c r="C97" s="19" t="str">
        <x:f>IF($A97="","",2*(A97-37257)/8978-1)</x:f>
      </x:c>
      <x:c r="D97" s="3" t="str">
        <x:f>IF($A97="","",$B$4*EXP($B$5*B97))</x:f>
      </x:c>
      <x:c r="E97" s="3" t="str">
        <x:f>IF($A97="","",165.60217192025453*SQRT(1+(EXP($B$5*B97))*$J$59*(EXP($B$5*B97))+(EXP($B$5*B97))*$K$59*(D97*B97)+(D97*B97)*$J$60*(EXP($B$5*B97))+(D97*B97)*$K$60*(D97*B97)))</x:f>
      </x:c>
      <x:c r="F97" s="3" t="str">
        <x:f>IF($A97="","",D97-1.9602400929689823*E97)</x:f>
      </x:c>
      <x:c r="G97" s="3" t="str">
        <x:f>IF($A97="","",D97+1.9602400929689823*E97)</x:f>
      </x:c>
      <x:c r="H97" s="3" t="str">
        <x:f>IF($A97="","",165.60217192025453*SQRT((EXP($B$5*B97))*$J$59*(EXP($B$5*B97))+(EXP($B$5*B97))*$K$59*(D97*B97)+(D97*B97)*$J$60*(EXP($B$5*B97))+(D97*B97)*$K$60*(D97*B97)))</x:f>
      </x:c>
      <x:c r="I97" s="3"/>
      <x:c r="J97" s="3"/>
      <x:c r="K97" s="3"/>
      <x:c r="L97" s="3"/>
      <x:c r="M97" s="3"/>
      <x:c r="N97" s="3"/>
      <x:c r="O97" s="3"/>
      <x:c r="P97" s="3"/>
      <x:c r="Q97" s="3"/>
    </x:row>
    <x:row r="98" ht="15" customHeight="1">
      <x:c r="A98" s="5" t="str">
        <x:f>IF(88&lt;='Сводка'!$B$3,'Сводка'!$B$4+88,"")</x:f>
      </x:c>
      <x:c r="B98" s="19" t="str">
        <x:f>IF($A98="","",(A98-37257+1)/1000)</x:f>
      </x:c>
      <x:c r="C98" s="19" t="str">
        <x:f>IF($A98="","",2*(A98-37257)/8978-1)</x:f>
      </x:c>
      <x:c r="D98" s="3" t="str">
        <x:f>IF($A98="","",$B$4*EXP($B$5*B98))</x:f>
      </x:c>
      <x:c r="E98" s="3" t="str">
        <x:f>IF($A98="","",165.60217192025453*SQRT(1+(EXP($B$5*B98))*$J$59*(EXP($B$5*B98))+(EXP($B$5*B98))*$K$59*(D98*B98)+(D98*B98)*$J$60*(EXP($B$5*B98))+(D98*B98)*$K$60*(D98*B98)))</x:f>
      </x:c>
      <x:c r="F98" s="3" t="str">
        <x:f>IF($A98="","",D98-1.9602400929689823*E98)</x:f>
      </x:c>
      <x:c r="G98" s="3" t="str">
        <x:f>IF($A98="","",D98+1.9602400929689823*E98)</x:f>
      </x:c>
      <x:c r="H98" s="3" t="str">
        <x:f>IF($A98="","",165.60217192025453*SQRT((EXP($B$5*B98))*$J$59*(EXP($B$5*B98))+(EXP($B$5*B98))*$K$59*(D98*B98)+(D98*B98)*$J$60*(EXP($B$5*B98))+(D98*B98)*$K$60*(D98*B98)))</x:f>
      </x:c>
      <x:c r="I98" s="3"/>
      <x:c r="J98" s="3"/>
      <x:c r="K98" s="3"/>
      <x:c r="L98" s="3"/>
      <x:c r="M98" s="3"/>
      <x:c r="N98" s="3"/>
      <x:c r="O98" s="3"/>
      <x:c r="P98" s="3"/>
      <x:c r="Q98" s="3"/>
    </x:row>
    <x:row r="99" ht="15" customHeight="1">
      <x:c r="A99" s="5" t="str">
        <x:f>IF(89&lt;='Сводка'!$B$3,'Сводка'!$B$4+89,"")</x:f>
      </x:c>
      <x:c r="B99" s="19" t="str">
        <x:f>IF($A99="","",(A99-37257+1)/1000)</x:f>
      </x:c>
      <x:c r="C99" s="19" t="str">
        <x:f>IF($A99="","",2*(A99-37257)/8978-1)</x:f>
      </x:c>
      <x:c r="D99" s="3" t="str">
        <x:f>IF($A99="","",$B$4*EXP($B$5*B99))</x:f>
      </x:c>
      <x:c r="E99" s="3" t="str">
        <x:f>IF($A99="","",165.60217192025453*SQRT(1+(EXP($B$5*B99))*$J$59*(EXP($B$5*B99))+(EXP($B$5*B99))*$K$59*(D99*B99)+(D99*B99)*$J$60*(EXP($B$5*B99))+(D99*B99)*$K$60*(D99*B99)))</x:f>
      </x:c>
      <x:c r="F99" s="3" t="str">
        <x:f>IF($A99="","",D99-1.9602400929689823*E99)</x:f>
      </x:c>
      <x:c r="G99" s="3" t="str">
        <x:f>IF($A99="","",D99+1.9602400929689823*E99)</x:f>
      </x:c>
      <x:c r="H99" s="3" t="str">
        <x:f>IF($A99="","",165.60217192025453*SQRT((EXP($B$5*B99))*$J$59*(EXP($B$5*B99))+(EXP($B$5*B99))*$K$59*(D99*B99)+(D99*B99)*$J$60*(EXP($B$5*B99))+(D99*B99)*$K$60*(D99*B99)))</x:f>
      </x:c>
      <x:c r="I99" s="3"/>
      <x:c r="J99" s="3"/>
      <x:c r="K99" s="3"/>
      <x:c r="L99" s="3"/>
      <x:c r="M99" s="3"/>
      <x:c r="N99" s="3"/>
      <x:c r="O99" s="3"/>
      <x:c r="P99" s="3"/>
      <x:c r="Q99" s="3"/>
    </x:row>
    <x:row r="100" ht="15" customHeight="1">
      <x:c r="A100" s="5" t="str">
        <x:f>IF(90&lt;='Сводка'!$B$3,'Сводка'!$B$4+90,"")</x:f>
      </x:c>
      <x:c r="B100" s="19" t="str">
        <x:f>IF($A100="","",(A100-37257+1)/1000)</x:f>
      </x:c>
      <x:c r="C100" s="19" t="str">
        <x:f>IF($A100="","",2*(A100-37257)/8978-1)</x:f>
      </x:c>
      <x:c r="D100" s="3" t="str">
        <x:f>IF($A100="","",$B$4*EXP($B$5*B100))</x:f>
      </x:c>
      <x:c r="E100" s="3" t="str">
        <x:f>IF($A100="","",165.60217192025453*SQRT(1+(EXP($B$5*B100))*$J$59*(EXP($B$5*B100))+(EXP($B$5*B100))*$K$59*(D100*B100)+(D100*B100)*$J$60*(EXP($B$5*B100))+(D100*B100)*$K$60*(D100*B100)))</x:f>
      </x:c>
      <x:c r="F100" s="3" t="str">
        <x:f>IF($A100="","",D100-1.9602400929689823*E100)</x:f>
      </x:c>
      <x:c r="G100" s="3" t="str">
        <x:f>IF($A100="","",D100+1.9602400929689823*E100)</x:f>
      </x:c>
      <x:c r="H100" s="3" t="str">
        <x:f>IF($A100="","",165.60217192025453*SQRT((EXP($B$5*B100))*$J$59*(EXP($B$5*B100))+(EXP($B$5*B100))*$K$59*(D100*B100)+(D100*B100)*$J$60*(EXP($B$5*B100))+(D100*B100)*$K$60*(D100*B100)))</x:f>
      </x:c>
      <x:c r="I100" s="3"/>
      <x:c r="J100" s="3"/>
      <x:c r="K100" s="3"/>
      <x:c r="L100" s="3"/>
      <x:c r="M100" s="3"/>
      <x:c r="N100" s="3"/>
      <x:c r="O100" s="3"/>
      <x:c r="P100" s="3"/>
      <x:c r="Q100" s="3"/>
    </x:row>
    <x:row r="101" ht="1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</x:row>
  </x:sheetData>
  <x:pageMargins left="0.7" right="0.7" top="0.75" bottom="0.75" header="0.3" footer="0.3"/>
  <x:drawing xmlns:r="http://schemas.openxmlformats.org/officeDocument/2006/relationships" r:id="R4c9e40dd7e7448fc"/>
</x:worksheet>
</file>